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grega\Google Drive\CUSG\Quarterly Report Generator\"/>
    </mc:Choice>
  </mc:AlternateContent>
  <xr:revisionPtr revIDLastSave="0" documentId="13_ncr:1_{43326B86-25C3-4E2A-9708-25BE0F96BCDA}" xr6:coauthVersionLast="45" xr6:coauthVersionMax="45" xr10:uidLastSave="{00000000-0000-0000-0000-000000000000}"/>
  <bookViews>
    <workbookView xWindow="28680" yWindow="1335" windowWidth="24240" windowHeight="13740" tabRatio="882" firstSheet="1" activeTab="1" xr2:uid="{C4073121-D881-46CF-8F16-CE61F146BEE6}"/>
  </bookViews>
  <sheets>
    <sheet name="Instructions" sheetId="44" r:id="rId1"/>
    <sheet name="Create Report" sheetId="1" r:id="rId2"/>
    <sheet name="Account Codes" sheetId="2" state="hidden" r:id="rId3"/>
    <sheet name="Consolidation Lists" sheetId="3" state="hidden" r:id="rId4"/>
    <sheet name="Draft" sheetId="4" state="hidden" r:id="rId5"/>
    <sheet name="Fund Balance" sheetId="5" r:id="rId6"/>
    <sheet name="Rev.Exp All Pgms" sheetId="6" r:id="rId7"/>
    <sheet name="Roll Up" sheetId="7" r:id="rId8"/>
    <sheet name="Appellate Court" sheetId="63" r:id="rId9"/>
    <sheet name="CCS - Leg" sheetId="64" r:id="rId10"/>
    <sheet name="Elections" sheetId="65" r:id="rId11"/>
    <sheet name="Exec Staff Payroll" sheetId="66" r:id="rId12"/>
    <sheet name="Finance Board" sheetId="67" r:id="rId13"/>
    <sheet name="Freshman Council" sheetId="68" r:id="rId14"/>
    <sheet name="Homecoming" sheetId="69" r:id="rId15"/>
    <sheet name="Incident Response" sheetId="70" r:id="rId16"/>
    <sheet name="Leg Cncl Disc" sheetId="71" r:id="rId17"/>
    <sheet name="Leg Cncl Staff" sheetId="72" r:id="rId18"/>
    <sheet name="Legis Affairs Comm" sheetId="73" r:id="rId19"/>
    <sheet name="Operations" sheetId="74" r:id="rId20"/>
    <sheet name="Payroll Suspense" sheetId="75" r:id="rId21"/>
    <sheet name="Programming" sheetId="76" r:id="rId22"/>
    <sheet name="Public Relations" sheetId="77" r:id="rId23"/>
    <sheet name="Rep Council" sheetId="78" r:id="rId24"/>
    <sheet name="Staff Support" sheetId="79" r:id="rId25"/>
    <sheet name="Travel" sheetId="80" r:id="rId26"/>
  </sheets>
  <functionGroups builtInGroupCount="19"/>
  <definedNames>
    <definedName name="rngACCTs">'Create Report'!$I$3</definedName>
    <definedName name="rngCC">'Create Report'!$F$3</definedName>
    <definedName name="rngFBs">'Create Report'!$K$3</definedName>
    <definedName name="rngFootnote">Draft!$B$51</definedName>
    <definedName name="rngFY">'Create Report'!$F$5</definedName>
    <definedName name="rngQ">'Create Report'!$F$4</definedName>
    <definedName name="rngSKIP">'Consolidation Lists'!$G$1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6" i="5" l="1"/>
  <c r="F76" i="5"/>
  <c r="D76" i="5"/>
  <c r="H70" i="5"/>
  <c r="F70" i="5"/>
  <c r="F72" i="5" s="1"/>
  <c r="F78" i="5" s="1"/>
  <c r="D70" i="5"/>
  <c r="D72" i="5" s="1"/>
  <c r="D78" i="5" s="1"/>
  <c r="H62" i="5"/>
  <c r="H72" i="5" s="1"/>
  <c r="H78" i="5" s="1"/>
  <c r="H60" i="5"/>
  <c r="F60" i="5"/>
  <c r="H54" i="5"/>
  <c r="F54" i="5"/>
  <c r="D54" i="5"/>
  <c r="H50" i="5"/>
  <c r="H56" i="5" s="1"/>
  <c r="F50" i="5"/>
  <c r="F56" i="5" s="1"/>
  <c r="D50" i="5"/>
  <c r="D56" i="5" s="1"/>
  <c r="H48" i="5"/>
  <c r="F48" i="5"/>
  <c r="D48" i="5"/>
  <c r="H40" i="5"/>
  <c r="H38" i="5"/>
  <c r="F38" i="5"/>
  <c r="H47" i="80" l="1"/>
  <c r="E47" i="80"/>
  <c r="C47" i="80"/>
  <c r="B47" i="80"/>
  <c r="H42" i="80"/>
  <c r="E42" i="80"/>
  <c r="C42" i="80"/>
  <c r="B42" i="80"/>
  <c r="H34" i="80"/>
  <c r="E34" i="80"/>
  <c r="C34" i="80"/>
  <c r="B34" i="80"/>
  <c r="H30" i="80"/>
  <c r="E30" i="80"/>
  <c r="C30" i="80"/>
  <c r="B30" i="80"/>
  <c r="H21" i="80"/>
  <c r="E21" i="80"/>
  <c r="C21" i="80"/>
  <c r="B21" i="80"/>
  <c r="H12" i="80"/>
  <c r="E12" i="80"/>
  <c r="C12" i="80"/>
  <c r="B12" i="80"/>
  <c r="H47" i="79"/>
  <c r="E47" i="79"/>
  <c r="C47" i="79"/>
  <c r="B47" i="79"/>
  <c r="H42" i="79"/>
  <c r="E42" i="79"/>
  <c r="C42" i="79"/>
  <c r="B42" i="79"/>
  <c r="H34" i="79"/>
  <c r="E34" i="79"/>
  <c r="C34" i="79"/>
  <c r="B34" i="79"/>
  <c r="H30" i="79"/>
  <c r="E30" i="79"/>
  <c r="C30" i="79"/>
  <c r="B30" i="79"/>
  <c r="H21" i="79"/>
  <c r="E21" i="79"/>
  <c r="C21" i="79"/>
  <c r="B21" i="79"/>
  <c r="H12" i="79"/>
  <c r="E12" i="79"/>
  <c r="C12" i="79"/>
  <c r="B12" i="79"/>
  <c r="H47" i="78"/>
  <c r="E47" i="78"/>
  <c r="C47" i="78"/>
  <c r="B47" i="78"/>
  <c r="H42" i="78"/>
  <c r="E42" i="78"/>
  <c r="C42" i="78"/>
  <c r="B42" i="78"/>
  <c r="H34" i="78"/>
  <c r="E34" i="78"/>
  <c r="C34" i="78"/>
  <c r="B34" i="78"/>
  <c r="H30" i="78"/>
  <c r="E30" i="78"/>
  <c r="C30" i="78"/>
  <c r="B30" i="78"/>
  <c r="H21" i="78"/>
  <c r="E21" i="78"/>
  <c r="C21" i="78"/>
  <c r="B21" i="78"/>
  <c r="H12" i="78"/>
  <c r="E12" i="78"/>
  <c r="C12" i="78"/>
  <c r="B12" i="78"/>
  <c r="H47" i="77"/>
  <c r="E47" i="77"/>
  <c r="C47" i="77"/>
  <c r="B47" i="77"/>
  <c r="H42" i="77"/>
  <c r="E42" i="77"/>
  <c r="C42" i="77"/>
  <c r="B42" i="77"/>
  <c r="H34" i="77"/>
  <c r="E34" i="77"/>
  <c r="C34" i="77"/>
  <c r="B34" i="77"/>
  <c r="H30" i="77"/>
  <c r="E30" i="77"/>
  <c r="C30" i="77"/>
  <c r="B30" i="77"/>
  <c r="H21" i="77"/>
  <c r="E21" i="77"/>
  <c r="C21" i="77"/>
  <c r="B21" i="77"/>
  <c r="H12" i="77"/>
  <c r="E12" i="77"/>
  <c r="C12" i="77"/>
  <c r="B12" i="77"/>
  <c r="H47" i="76"/>
  <c r="E47" i="76"/>
  <c r="C47" i="76"/>
  <c r="B47" i="76"/>
  <c r="H42" i="76"/>
  <c r="E42" i="76"/>
  <c r="C42" i="76"/>
  <c r="B42" i="76"/>
  <c r="H34" i="76"/>
  <c r="E34" i="76"/>
  <c r="C34" i="76"/>
  <c r="B34" i="76"/>
  <c r="H30" i="76"/>
  <c r="E30" i="76"/>
  <c r="C30" i="76"/>
  <c r="B30" i="76"/>
  <c r="H21" i="76"/>
  <c r="E21" i="76"/>
  <c r="C21" i="76"/>
  <c r="B21" i="76"/>
  <c r="H12" i="76"/>
  <c r="E12" i="76"/>
  <c r="C12" i="76"/>
  <c r="B12" i="76"/>
  <c r="H47" i="75"/>
  <c r="E47" i="75"/>
  <c r="C47" i="75"/>
  <c r="B47" i="75"/>
  <c r="H42" i="75"/>
  <c r="E42" i="75"/>
  <c r="C42" i="75"/>
  <c r="B42" i="75"/>
  <c r="H34" i="75"/>
  <c r="E34" i="75"/>
  <c r="C34" i="75"/>
  <c r="B34" i="75"/>
  <c r="H30" i="75"/>
  <c r="E30" i="75"/>
  <c r="C30" i="75"/>
  <c r="B30" i="75"/>
  <c r="H21" i="75"/>
  <c r="E21" i="75"/>
  <c r="C21" i="75"/>
  <c r="B21" i="75"/>
  <c r="H12" i="75"/>
  <c r="E12" i="75"/>
  <c r="C12" i="75"/>
  <c r="B12" i="75"/>
  <c r="H47" i="74"/>
  <c r="E47" i="74"/>
  <c r="C47" i="74"/>
  <c r="B47" i="74"/>
  <c r="H42" i="74"/>
  <c r="E42" i="74"/>
  <c r="C42" i="74"/>
  <c r="B42" i="74"/>
  <c r="H34" i="74"/>
  <c r="E34" i="74"/>
  <c r="C34" i="74"/>
  <c r="B34" i="74"/>
  <c r="H30" i="74"/>
  <c r="E30" i="74"/>
  <c r="C30" i="74"/>
  <c r="B30" i="74"/>
  <c r="H21" i="74"/>
  <c r="E21" i="74"/>
  <c r="C21" i="74"/>
  <c r="B21" i="74"/>
  <c r="H12" i="74"/>
  <c r="E12" i="74"/>
  <c r="C12" i="74"/>
  <c r="B12" i="74"/>
  <c r="H47" i="73"/>
  <c r="E47" i="73"/>
  <c r="C47" i="73"/>
  <c r="B47" i="73"/>
  <c r="H42" i="73"/>
  <c r="E42" i="73"/>
  <c r="C42" i="73"/>
  <c r="B42" i="73"/>
  <c r="H34" i="73"/>
  <c r="E34" i="73"/>
  <c r="C34" i="73"/>
  <c r="B34" i="73"/>
  <c r="H30" i="73"/>
  <c r="E30" i="73"/>
  <c r="C30" i="73"/>
  <c r="B30" i="73"/>
  <c r="H21" i="73"/>
  <c r="E21" i="73"/>
  <c r="C21" i="73"/>
  <c r="B21" i="73"/>
  <c r="H12" i="73"/>
  <c r="E12" i="73"/>
  <c r="C12" i="73"/>
  <c r="B12" i="73"/>
  <c r="H47" i="72"/>
  <c r="E47" i="72"/>
  <c r="C47" i="72"/>
  <c r="B47" i="72"/>
  <c r="H42" i="72"/>
  <c r="E42" i="72"/>
  <c r="C42" i="72"/>
  <c r="B42" i="72"/>
  <c r="H34" i="72"/>
  <c r="E34" i="72"/>
  <c r="C34" i="72"/>
  <c r="B34" i="72"/>
  <c r="H30" i="72"/>
  <c r="E30" i="72"/>
  <c r="C30" i="72"/>
  <c r="B30" i="72"/>
  <c r="H21" i="72"/>
  <c r="E21" i="72"/>
  <c r="C21" i="72"/>
  <c r="B21" i="72"/>
  <c r="H12" i="72"/>
  <c r="E12" i="72"/>
  <c r="C12" i="72"/>
  <c r="B12" i="72"/>
  <c r="H47" i="71"/>
  <c r="E47" i="71"/>
  <c r="C47" i="71"/>
  <c r="B47" i="71"/>
  <c r="H42" i="71"/>
  <c r="E42" i="71"/>
  <c r="C42" i="71"/>
  <c r="B42" i="71"/>
  <c r="H34" i="71"/>
  <c r="E34" i="71"/>
  <c r="C34" i="71"/>
  <c r="B34" i="71"/>
  <c r="H30" i="71"/>
  <c r="E30" i="71"/>
  <c r="C30" i="71"/>
  <c r="B30" i="71"/>
  <c r="H21" i="71"/>
  <c r="E21" i="71"/>
  <c r="C21" i="71"/>
  <c r="B21" i="71"/>
  <c r="H12" i="71"/>
  <c r="E12" i="71"/>
  <c r="C12" i="71"/>
  <c r="B12" i="71"/>
  <c r="H47" i="70"/>
  <c r="E47" i="70"/>
  <c r="C47" i="70"/>
  <c r="B47" i="70"/>
  <c r="H42" i="70"/>
  <c r="E42" i="70"/>
  <c r="C42" i="70"/>
  <c r="B42" i="70"/>
  <c r="H34" i="70"/>
  <c r="E34" i="70"/>
  <c r="C34" i="70"/>
  <c r="B34" i="70"/>
  <c r="H30" i="70"/>
  <c r="E30" i="70"/>
  <c r="C30" i="70"/>
  <c r="B30" i="70"/>
  <c r="H21" i="70"/>
  <c r="E21" i="70"/>
  <c r="C21" i="70"/>
  <c r="B21" i="70"/>
  <c r="H12" i="70"/>
  <c r="E12" i="70"/>
  <c r="C12" i="70"/>
  <c r="B12" i="70"/>
  <c r="H47" i="69"/>
  <c r="E47" i="69"/>
  <c r="C47" i="69"/>
  <c r="B47" i="69"/>
  <c r="H42" i="69"/>
  <c r="E42" i="69"/>
  <c r="C42" i="69"/>
  <c r="B42" i="69"/>
  <c r="H34" i="69"/>
  <c r="E34" i="69"/>
  <c r="C34" i="69"/>
  <c r="B34" i="69"/>
  <c r="H30" i="69"/>
  <c r="E30" i="69"/>
  <c r="C30" i="69"/>
  <c r="B30" i="69"/>
  <c r="H21" i="69"/>
  <c r="E21" i="69"/>
  <c r="C21" i="69"/>
  <c r="B21" i="69"/>
  <c r="H12" i="69"/>
  <c r="E12" i="69"/>
  <c r="C12" i="69"/>
  <c r="B12" i="69"/>
  <c r="H47" i="68"/>
  <c r="E47" i="68"/>
  <c r="C47" i="68"/>
  <c r="B47" i="68"/>
  <c r="H42" i="68"/>
  <c r="E42" i="68"/>
  <c r="C42" i="68"/>
  <c r="B42" i="68"/>
  <c r="H34" i="68"/>
  <c r="E34" i="68"/>
  <c r="C34" i="68"/>
  <c r="B34" i="68"/>
  <c r="H30" i="68"/>
  <c r="E30" i="68"/>
  <c r="C30" i="68"/>
  <c r="B30" i="68"/>
  <c r="H21" i="68"/>
  <c r="E21" i="68"/>
  <c r="C21" i="68"/>
  <c r="B21" i="68"/>
  <c r="H12" i="68"/>
  <c r="E12" i="68"/>
  <c r="C12" i="68"/>
  <c r="B12" i="68"/>
  <c r="H47" i="67"/>
  <c r="E47" i="67"/>
  <c r="C47" i="67"/>
  <c r="B47" i="67"/>
  <c r="H42" i="67"/>
  <c r="E42" i="67"/>
  <c r="C42" i="67"/>
  <c r="B42" i="67"/>
  <c r="H34" i="67"/>
  <c r="E34" i="67"/>
  <c r="C34" i="67"/>
  <c r="B34" i="67"/>
  <c r="H30" i="67"/>
  <c r="E30" i="67"/>
  <c r="C30" i="67"/>
  <c r="B30" i="67"/>
  <c r="H21" i="67"/>
  <c r="E21" i="67"/>
  <c r="C21" i="67"/>
  <c r="B21" i="67"/>
  <c r="H12" i="67"/>
  <c r="E12" i="67"/>
  <c r="C12" i="67"/>
  <c r="B12" i="67"/>
  <c r="H47" i="66"/>
  <c r="E47" i="66"/>
  <c r="C47" i="66"/>
  <c r="B47" i="66"/>
  <c r="H42" i="66"/>
  <c r="E42" i="66"/>
  <c r="C42" i="66"/>
  <c r="B42" i="66"/>
  <c r="H34" i="66"/>
  <c r="E34" i="66"/>
  <c r="C34" i="66"/>
  <c r="B34" i="66"/>
  <c r="H30" i="66"/>
  <c r="E30" i="66"/>
  <c r="C30" i="66"/>
  <c r="B30" i="66"/>
  <c r="H21" i="66"/>
  <c r="E21" i="66"/>
  <c r="C21" i="66"/>
  <c r="B21" i="66"/>
  <c r="H12" i="66"/>
  <c r="E12" i="66"/>
  <c r="C12" i="66"/>
  <c r="B12" i="66"/>
  <c r="H47" i="65"/>
  <c r="E47" i="65"/>
  <c r="C47" i="65"/>
  <c r="B47" i="65"/>
  <c r="H42" i="65"/>
  <c r="E42" i="65"/>
  <c r="C42" i="65"/>
  <c r="B42" i="65"/>
  <c r="H34" i="65"/>
  <c r="E34" i="65"/>
  <c r="C34" i="65"/>
  <c r="B34" i="65"/>
  <c r="H30" i="65"/>
  <c r="E30" i="65"/>
  <c r="C30" i="65"/>
  <c r="B30" i="65"/>
  <c r="H21" i="65"/>
  <c r="E21" i="65"/>
  <c r="C21" i="65"/>
  <c r="B21" i="65"/>
  <c r="H12" i="65"/>
  <c r="E12" i="65"/>
  <c r="C12" i="65"/>
  <c r="B12" i="65"/>
  <c r="H47" i="64"/>
  <c r="E47" i="64"/>
  <c r="C47" i="64"/>
  <c r="B47" i="64"/>
  <c r="H42" i="64"/>
  <c r="E42" i="64"/>
  <c r="C42" i="64"/>
  <c r="B42" i="64"/>
  <c r="H34" i="64"/>
  <c r="E34" i="64"/>
  <c r="C34" i="64"/>
  <c r="B34" i="64"/>
  <c r="H30" i="64"/>
  <c r="E30" i="64"/>
  <c r="C30" i="64"/>
  <c r="B30" i="64"/>
  <c r="H21" i="64"/>
  <c r="E21" i="64"/>
  <c r="C21" i="64"/>
  <c r="B21" i="64"/>
  <c r="H12" i="64"/>
  <c r="E12" i="64"/>
  <c r="C12" i="64"/>
  <c r="B12" i="64"/>
  <c r="H47" i="63"/>
  <c r="E47" i="63"/>
  <c r="C47" i="63"/>
  <c r="B47" i="63"/>
  <c r="H42" i="63"/>
  <c r="E42" i="63"/>
  <c r="C42" i="63"/>
  <c r="B42" i="63"/>
  <c r="H34" i="63"/>
  <c r="E34" i="63"/>
  <c r="C34" i="63"/>
  <c r="B34" i="63"/>
  <c r="H30" i="63"/>
  <c r="E30" i="63"/>
  <c r="C30" i="63"/>
  <c r="B30" i="63"/>
  <c r="H21" i="63"/>
  <c r="E21" i="63"/>
  <c r="C21" i="63"/>
  <c r="B21" i="63"/>
  <c r="H12" i="63"/>
  <c r="E12" i="63"/>
  <c r="C12" i="63"/>
  <c r="B12" i="63"/>
  <c r="G47" i="80" a="1"/>
  <c r="G42" i="80" a="1"/>
  <c r="G30" i="80" a="1"/>
  <c r="G12" i="80" a="1"/>
  <c r="I37" i="80" a="1"/>
  <c r="D34" i="80" a="1"/>
  <c r="F32" i="80" a="1"/>
  <c r="I28" i="80" a="1"/>
  <c r="I26" i="80" a="1"/>
  <c r="I24" i="80" a="1"/>
  <c r="I21" i="80" a="1"/>
  <c r="F20" i="80" a="1"/>
  <c r="F18" i="80" a="1"/>
  <c r="F17" i="80" a="1"/>
  <c r="F15" i="80" a="1"/>
  <c r="I10" i="80" a="1"/>
  <c r="I8" i="80" a="1"/>
  <c r="F12" i="80" a="1"/>
  <c r="G46" i="80" a="1"/>
  <c r="G45" i="80" a="1"/>
  <c r="G41" i="80" a="1"/>
  <c r="G40" i="80" a="1"/>
  <c r="G39" i="80" a="1"/>
  <c r="G38" i="80" a="1"/>
  <c r="G37" i="80" a="1"/>
  <c r="G36" i="80" a="1"/>
  <c r="D33" i="80" a="1"/>
  <c r="D32" i="80" a="1"/>
  <c r="G29" i="80" a="1"/>
  <c r="G28" i="80" a="1"/>
  <c r="G27" i="80" a="1"/>
  <c r="G26" i="80" a="1"/>
  <c r="G25" i="80" a="1"/>
  <c r="G24" i="80" a="1"/>
  <c r="G23" i="80" a="1"/>
  <c r="D20" i="80" a="1"/>
  <c r="D19" i="80" a="1"/>
  <c r="D18" i="80" a="1"/>
  <c r="D17" i="80" a="1"/>
  <c r="D16" i="80" a="1"/>
  <c r="D15" i="80" a="1"/>
  <c r="G11" i="80" a="1"/>
  <c r="G10" i="80" a="1"/>
  <c r="G9" i="80" a="1"/>
  <c r="G8" i="80" a="1"/>
  <c r="I47" i="80" a="1"/>
  <c r="D47" i="80" a="1"/>
  <c r="F46" i="80" a="1"/>
  <c r="F45" i="80" a="1"/>
  <c r="D42" i="80" a="1"/>
  <c r="F41" i="80" a="1"/>
  <c r="F40" i="80" a="1"/>
  <c r="F39" i="80" a="1"/>
  <c r="F38" i="80" a="1"/>
  <c r="F37" i="80" a="1"/>
  <c r="I33" i="80" a="1"/>
  <c r="I30" i="80" a="1"/>
  <c r="F29" i="80" a="1"/>
  <c r="F27" i="80" a="1"/>
  <c r="F25" i="80" a="1"/>
  <c r="F24" i="80" a="1"/>
  <c r="I19" i="80" a="1"/>
  <c r="I17" i="80" a="1"/>
  <c r="I15" i="80" a="1"/>
  <c r="D12" i="80" a="1"/>
  <c r="F10" i="80" a="1"/>
  <c r="F8" i="80" a="1"/>
  <c r="G34" i="80" a="1"/>
  <c r="G21" i="80" a="1"/>
  <c r="I42" i="80" a="1"/>
  <c r="F36" i="80" a="1"/>
  <c r="I32" i="80" a="1"/>
  <c r="D30" i="80" a="1"/>
  <c r="F28" i="80" a="1"/>
  <c r="F26" i="80" a="1"/>
  <c r="F23" i="80" a="1"/>
  <c r="I20" i="80" a="1"/>
  <c r="I18" i="80" a="1"/>
  <c r="I16" i="80" a="1"/>
  <c r="I12" i="80" a="1"/>
  <c r="F11" i="80" a="1"/>
  <c r="F9" i="80" a="1"/>
  <c r="F34" i="80" a="1"/>
  <c r="F21" i="80" a="1"/>
  <c r="D46" i="80" a="1"/>
  <c r="D45" i="80" a="1"/>
  <c r="D41" i="80" a="1"/>
  <c r="D40" i="80" a="1"/>
  <c r="D39" i="80" a="1"/>
  <c r="D38" i="80" a="1"/>
  <c r="D37" i="80" a="1"/>
  <c r="D36" i="80" a="1"/>
  <c r="G33" i="80" a="1"/>
  <c r="G32" i="80" a="1"/>
  <c r="D29" i="80" a="1"/>
  <c r="D28" i="80" a="1"/>
  <c r="D27" i="80" a="1"/>
  <c r="D26" i="80" a="1"/>
  <c r="D25" i="80" a="1"/>
  <c r="D24" i="80" a="1"/>
  <c r="D23" i="80" a="1"/>
  <c r="G20" i="80" a="1"/>
  <c r="G19" i="80" a="1"/>
  <c r="G18" i="80" a="1"/>
  <c r="G17" i="80" a="1"/>
  <c r="G16" i="80" a="1"/>
  <c r="G15" i="80" a="1"/>
  <c r="D11" i="80" a="1"/>
  <c r="D10" i="80" a="1"/>
  <c r="D9" i="80" a="1"/>
  <c r="D8" i="80" a="1"/>
  <c r="I46" i="80" a="1"/>
  <c r="I45" i="80" a="1"/>
  <c r="I41" i="80" a="1"/>
  <c r="I40" i="80" a="1"/>
  <c r="I39" i="80" a="1"/>
  <c r="I38" i="80" a="1"/>
  <c r="I36" i="80" a="1"/>
  <c r="I34" i="80" a="1"/>
  <c r="F33" i="80" a="1"/>
  <c r="I29" i="80" a="1"/>
  <c r="I27" i="80" a="1"/>
  <c r="I25" i="80" a="1"/>
  <c r="I23" i="80" a="1"/>
  <c r="D21" i="80" a="1"/>
  <c r="F19" i="80" a="1"/>
  <c r="F16" i="80" a="1"/>
  <c r="I11" i="80" a="1"/>
  <c r="I9" i="80" a="1"/>
  <c r="F47" i="80" a="1"/>
  <c r="F42" i="80" a="1"/>
  <c r="F30" i="80" a="1"/>
  <c r="G42" i="79" a="1"/>
  <c r="I46" i="79" a="1"/>
  <c r="I45" i="79" a="1"/>
  <c r="I41" i="79" a="1"/>
  <c r="I40" i="79" a="1"/>
  <c r="I39" i="79" a="1"/>
  <c r="I38" i="79" a="1"/>
  <c r="I37" i="79" a="1"/>
  <c r="I36" i="79" a="1"/>
  <c r="I34" i="79" a="1"/>
  <c r="D34" i="79" a="1"/>
  <c r="F33" i="79" a="1"/>
  <c r="F32" i="79" a="1"/>
  <c r="I29" i="79" a="1"/>
  <c r="I28" i="79" a="1"/>
  <c r="I27" i="79" a="1"/>
  <c r="I26" i="79" a="1"/>
  <c r="I25" i="79" a="1"/>
  <c r="I24" i="79" a="1"/>
  <c r="I23" i="79" a="1"/>
  <c r="I21" i="79" a="1"/>
  <c r="D21" i="79" a="1"/>
  <c r="F20" i="79" a="1"/>
  <c r="F19" i="79" a="1"/>
  <c r="F18" i="79" a="1"/>
  <c r="F17" i="79" a="1"/>
  <c r="F16" i="79" a="1"/>
  <c r="F15" i="79" a="1"/>
  <c r="I11" i="79" a="1"/>
  <c r="I10" i="79" a="1"/>
  <c r="I9" i="79" a="1"/>
  <c r="I8" i="79" a="1"/>
  <c r="F45" i="79" a="1"/>
  <c r="F41" i="79" a="1"/>
  <c r="F37" i="79" a="1"/>
  <c r="I30" i="79" a="1"/>
  <c r="F27" i="79" a="1"/>
  <c r="I17" i="79" a="1"/>
  <c r="F11" i="79" a="1"/>
  <c r="F47" i="79" a="1"/>
  <c r="F42" i="79" a="1"/>
  <c r="F30" i="79" a="1"/>
  <c r="F12" i="79" a="1"/>
  <c r="F46" i="79" a="1"/>
  <c r="F39" i="79" a="1"/>
  <c r="I33" i="79" a="1"/>
  <c r="F28" i="79" a="1"/>
  <c r="F23" i="79" a="1"/>
  <c r="I18" i="79" a="1"/>
  <c r="I12" i="79" a="1"/>
  <c r="F9" i="79" a="1"/>
  <c r="G46" i="79" a="1"/>
  <c r="G45" i="79" a="1"/>
  <c r="G41" i="79" a="1"/>
  <c r="G40" i="79" a="1"/>
  <c r="G39" i="79" a="1"/>
  <c r="G38" i="79" a="1"/>
  <c r="G37" i="79" a="1"/>
  <c r="G36" i="79" a="1"/>
  <c r="D33" i="79" a="1"/>
  <c r="D32" i="79" a="1"/>
  <c r="G29" i="79" a="1"/>
  <c r="G28" i="79" a="1"/>
  <c r="G27" i="79" a="1"/>
  <c r="G26" i="79" a="1"/>
  <c r="G25" i="79" a="1"/>
  <c r="G24" i="79" a="1"/>
  <c r="G23" i="79" a="1"/>
  <c r="D20" i="79" a="1"/>
  <c r="D19" i="79" a="1"/>
  <c r="D18" i="79" a="1"/>
  <c r="D17" i="79" a="1"/>
  <c r="D16" i="79" a="1"/>
  <c r="D15" i="79" a="1"/>
  <c r="G11" i="79" a="1"/>
  <c r="G10" i="79" a="1"/>
  <c r="G9" i="79" a="1"/>
  <c r="G8" i="79" a="1"/>
  <c r="D47" i="79" a="1"/>
  <c r="F40" i="79" a="1"/>
  <c r="F29" i="79" a="1"/>
  <c r="F26" i="79" a="1"/>
  <c r="I20" i="79" a="1"/>
  <c r="I16" i="79" a="1"/>
  <c r="F10" i="79" a="1"/>
  <c r="G34" i="79" a="1"/>
  <c r="G21" i="79" a="1"/>
  <c r="I47" i="79" a="1"/>
  <c r="D42" i="79" a="1"/>
  <c r="F38" i="79" a="1"/>
  <c r="F36" i="79" a="1"/>
  <c r="D30" i="79" a="1"/>
  <c r="F25" i="79" a="1"/>
  <c r="I19" i="79" a="1"/>
  <c r="D12" i="79" a="1"/>
  <c r="I42" i="79" a="1"/>
  <c r="I32" i="79" a="1"/>
  <c r="F24" i="79" a="1"/>
  <c r="I15" i="79" a="1"/>
  <c r="F8" i="79" a="1"/>
  <c r="F34" i="79" a="1"/>
  <c r="F21" i="79" a="1"/>
  <c r="G47" i="79" a="1"/>
  <c r="G30" i="79" a="1"/>
  <c r="D46" i="79" a="1"/>
  <c r="D45" i="79" a="1"/>
  <c r="D41" i="79" a="1"/>
  <c r="D40" i="79" a="1"/>
  <c r="D39" i="79" a="1"/>
  <c r="D38" i="79" a="1"/>
  <c r="D37" i="79" a="1"/>
  <c r="D36" i="79" a="1"/>
  <c r="G33" i="79" a="1"/>
  <c r="G32" i="79" a="1"/>
  <c r="D29" i="79" a="1"/>
  <c r="D28" i="79" a="1"/>
  <c r="D27" i="79" a="1"/>
  <c r="D26" i="79" a="1"/>
  <c r="D25" i="79" a="1"/>
  <c r="D24" i="79" a="1"/>
  <c r="D23" i="79" a="1"/>
  <c r="G20" i="79" a="1"/>
  <c r="G19" i="79" a="1"/>
  <c r="G18" i="79" a="1"/>
  <c r="G17" i="79" a="1"/>
  <c r="G16" i="79" a="1"/>
  <c r="G15" i="79" a="1"/>
  <c r="D11" i="79" a="1"/>
  <c r="D10" i="79" a="1"/>
  <c r="D9" i="79" a="1"/>
  <c r="D8" i="79" a="1"/>
  <c r="G12" i="79" a="1"/>
  <c r="G47" i="78" a="1"/>
  <c r="G42" i="78" a="1"/>
  <c r="G30" i="78" a="1"/>
  <c r="G12" i="78" a="1"/>
  <c r="I46" i="78" a="1"/>
  <c r="I45" i="78" a="1"/>
  <c r="I41" i="78" a="1"/>
  <c r="I40" i="78" a="1"/>
  <c r="I39" i="78" a="1"/>
  <c r="I38" i="78" a="1"/>
  <c r="I37" i="78" a="1"/>
  <c r="I36" i="78" a="1"/>
  <c r="I34" i="78" a="1"/>
  <c r="D34" i="78" a="1"/>
  <c r="F33" i="78" a="1"/>
  <c r="F32" i="78" a="1"/>
  <c r="I29" i="78" a="1"/>
  <c r="I28" i="78" a="1"/>
  <c r="I27" i="78" a="1"/>
  <c r="I26" i="78" a="1"/>
  <c r="I25" i="78" a="1"/>
  <c r="I24" i="78" a="1"/>
  <c r="I23" i="78" a="1"/>
  <c r="I21" i="78" a="1"/>
  <c r="D21" i="78" a="1"/>
  <c r="F20" i="78" a="1"/>
  <c r="F19" i="78" a="1"/>
  <c r="F18" i="78" a="1"/>
  <c r="F17" i="78" a="1"/>
  <c r="F16" i="78" a="1"/>
  <c r="F15" i="78" a="1"/>
  <c r="I11" i="78" a="1"/>
  <c r="I10" i="78" a="1"/>
  <c r="I9" i="78" a="1"/>
  <c r="I8" i="78" a="1"/>
  <c r="F47" i="78" a="1"/>
  <c r="F42" i="78" a="1"/>
  <c r="F30" i="78" a="1"/>
  <c r="F12" i="78" a="1"/>
  <c r="G46" i="78" a="1"/>
  <c r="G45" i="78" a="1"/>
  <c r="G41" i="78" a="1"/>
  <c r="G40" i="78" a="1"/>
  <c r="G39" i="78" a="1"/>
  <c r="G38" i="78" a="1"/>
  <c r="G37" i="78" a="1"/>
  <c r="G36" i="78" a="1"/>
  <c r="D33" i="78" a="1"/>
  <c r="D32" i="78" a="1"/>
  <c r="G29" i="78" a="1"/>
  <c r="G28" i="78" a="1"/>
  <c r="G27" i="78" a="1"/>
  <c r="G26" i="78" a="1"/>
  <c r="G25" i="78" a="1"/>
  <c r="G24" i="78" a="1"/>
  <c r="G23" i="78" a="1"/>
  <c r="D20" i="78" a="1"/>
  <c r="D19" i="78" a="1"/>
  <c r="D18" i="78" a="1"/>
  <c r="D17" i="78" a="1"/>
  <c r="D16" i="78" a="1"/>
  <c r="D15" i="78" a="1"/>
  <c r="G11" i="78" a="1"/>
  <c r="G10" i="78" a="1"/>
  <c r="G9" i="78" a="1"/>
  <c r="G8" i="78" a="1"/>
  <c r="G34" i="78" a="1"/>
  <c r="G21" i="78" a="1"/>
  <c r="I47" i="78" a="1"/>
  <c r="D47" i="78" a="1"/>
  <c r="F46" i="78" a="1"/>
  <c r="F45" i="78" a="1"/>
  <c r="I42" i="78" a="1"/>
  <c r="D42" i="78" a="1"/>
  <c r="F41" i="78" a="1"/>
  <c r="F40" i="78" a="1"/>
  <c r="F39" i="78" a="1"/>
  <c r="F38" i="78" a="1"/>
  <c r="F37" i="78" a="1"/>
  <c r="F36" i="78" a="1"/>
  <c r="I33" i="78" a="1"/>
  <c r="I32" i="78" a="1"/>
  <c r="I30" i="78" a="1"/>
  <c r="D30" i="78" a="1"/>
  <c r="F29" i="78" a="1"/>
  <c r="F28" i="78" a="1"/>
  <c r="F27" i="78" a="1"/>
  <c r="F26" i="78" a="1"/>
  <c r="F25" i="78" a="1"/>
  <c r="F24" i="78" a="1"/>
  <c r="F23" i="78" a="1"/>
  <c r="I20" i="78" a="1"/>
  <c r="I19" i="78" a="1"/>
  <c r="I18" i="78" a="1"/>
  <c r="I17" i="78" a="1"/>
  <c r="I16" i="78" a="1"/>
  <c r="I15" i="78" a="1"/>
  <c r="I12" i="78" a="1"/>
  <c r="D12" i="78" a="1"/>
  <c r="F11" i="78" a="1"/>
  <c r="F10" i="78" a="1"/>
  <c r="F9" i="78" a="1"/>
  <c r="F8" i="78" a="1"/>
  <c r="F34" i="78" a="1"/>
  <c r="F21" i="78" a="1"/>
  <c r="D46" i="78" a="1"/>
  <c r="D45" i="78" a="1"/>
  <c r="D41" i="78" a="1"/>
  <c r="D40" i="78" a="1"/>
  <c r="D39" i="78" a="1"/>
  <c r="D38" i="78" a="1"/>
  <c r="D37" i="78" a="1"/>
  <c r="D36" i="78" a="1"/>
  <c r="G33" i="78" a="1"/>
  <c r="G32" i="78" a="1"/>
  <c r="D29" i="78" a="1"/>
  <c r="D28" i="78" a="1"/>
  <c r="D27" i="78" a="1"/>
  <c r="D26" i="78" a="1"/>
  <c r="D25" i="78" a="1"/>
  <c r="D24" i="78" a="1"/>
  <c r="D23" i="78" a="1"/>
  <c r="G20" i="78" a="1"/>
  <c r="G19" i="78" a="1"/>
  <c r="G18" i="78" a="1"/>
  <c r="G17" i="78" a="1"/>
  <c r="G16" i="78" a="1"/>
  <c r="G15" i="78" a="1"/>
  <c r="D11" i="78" a="1"/>
  <c r="D10" i="78" a="1"/>
  <c r="D9" i="78" a="1"/>
  <c r="D8" i="78" a="1"/>
  <c r="G47" i="77" a="1"/>
  <c r="G42" i="77" a="1"/>
  <c r="G30" i="77" a="1"/>
  <c r="I38" i="77" a="1"/>
  <c r="I34" i="77" a="1"/>
  <c r="F32" i="77" a="1"/>
  <c r="I27" i="77" a="1"/>
  <c r="I24" i="77" a="1"/>
  <c r="D21" i="77" a="1"/>
  <c r="F18" i="77" a="1"/>
  <c r="F15" i="77" a="1"/>
  <c r="I9" i="77" a="1"/>
  <c r="F47" i="77" a="1"/>
  <c r="F42" i="77" a="1"/>
  <c r="F30" i="77" a="1"/>
  <c r="F12" i="77" a="1"/>
  <c r="F46" i="77" a="1"/>
  <c r="D42" i="77" a="1"/>
  <c r="F40" i="77" a="1"/>
  <c r="F38" i="77" a="1"/>
  <c r="I30" i="77" a="1"/>
  <c r="F29" i="77" a="1"/>
  <c r="F26" i="77" a="1"/>
  <c r="F23" i="77" a="1"/>
  <c r="I17" i="77" a="1"/>
  <c r="I12" i="77" a="1"/>
  <c r="F11" i="77" a="1"/>
  <c r="F8" i="77" a="1"/>
  <c r="G46" i="77" a="1"/>
  <c r="G45" i="77" a="1"/>
  <c r="G41" i="77" a="1"/>
  <c r="G40" i="77" a="1"/>
  <c r="G39" i="77" a="1"/>
  <c r="G38" i="77" a="1"/>
  <c r="G37" i="77" a="1"/>
  <c r="G36" i="77" a="1"/>
  <c r="D33" i="77" a="1"/>
  <c r="D32" i="77" a="1"/>
  <c r="G29" i="77" a="1"/>
  <c r="G28" i="77" a="1"/>
  <c r="G27" i="77" a="1"/>
  <c r="G26" i="77" a="1"/>
  <c r="G25" i="77" a="1"/>
  <c r="G24" i="77" a="1"/>
  <c r="G23" i="77" a="1"/>
  <c r="D20" i="77" a="1"/>
  <c r="D19" i="77" a="1"/>
  <c r="D18" i="77" a="1"/>
  <c r="D17" i="77" a="1"/>
  <c r="D16" i="77" a="1"/>
  <c r="D15" i="77" a="1"/>
  <c r="G11" i="77" a="1"/>
  <c r="G10" i="77" a="1"/>
  <c r="G9" i="77" a="1"/>
  <c r="G8" i="77" a="1"/>
  <c r="G21" i="77" a="1"/>
  <c r="I47" i="77" a="1"/>
  <c r="F45" i="77" a="1"/>
  <c r="I42" i="77" a="1"/>
  <c r="F41" i="77" a="1"/>
  <c r="F39" i="77" a="1"/>
  <c r="F36" i="77" a="1"/>
  <c r="I33" i="77" a="1"/>
  <c r="D30" i="77" a="1"/>
  <c r="F27" i="77" a="1"/>
  <c r="F24" i="77" a="1"/>
  <c r="I19" i="77" a="1"/>
  <c r="I16" i="77" a="1"/>
  <c r="D12" i="77" a="1"/>
  <c r="F9" i="77" a="1"/>
  <c r="G34" i="77" a="1"/>
  <c r="D47" i="77" a="1"/>
  <c r="F37" i="77" a="1"/>
  <c r="I32" i="77" a="1"/>
  <c r="F28" i="77" a="1"/>
  <c r="F25" i="77" a="1"/>
  <c r="I18" i="77" a="1"/>
  <c r="I15" i="77" a="1"/>
  <c r="F10" i="77" a="1"/>
  <c r="I20" i="77" a="1"/>
  <c r="F34" i="77" a="1"/>
  <c r="F21" i="77" a="1"/>
  <c r="G12" i="77" a="1"/>
  <c r="I45" i="77" a="1"/>
  <c r="I40" i="77" a="1"/>
  <c r="I37" i="77" a="1"/>
  <c r="D34" i="77" a="1"/>
  <c r="I28" i="77" a="1"/>
  <c r="I25" i="77" a="1"/>
  <c r="I21" i="77" a="1"/>
  <c r="F19" i="77" a="1"/>
  <c r="F16" i="77" a="1"/>
  <c r="I11" i="77" a="1"/>
  <c r="I8" i="77" a="1"/>
  <c r="D46" i="77" a="1"/>
  <c r="D45" i="77" a="1"/>
  <c r="D41" i="77" a="1"/>
  <c r="D40" i="77" a="1"/>
  <c r="D39" i="77" a="1"/>
  <c r="D38" i="77" a="1"/>
  <c r="D37" i="77" a="1"/>
  <c r="D36" i="77" a="1"/>
  <c r="G33" i="77" a="1"/>
  <c r="G32" i="77" a="1"/>
  <c r="D29" i="77" a="1"/>
  <c r="D28" i="77" a="1"/>
  <c r="D27" i="77" a="1"/>
  <c r="D26" i="77" a="1"/>
  <c r="D25" i="77" a="1"/>
  <c r="D24" i="77" a="1"/>
  <c r="D23" i="77" a="1"/>
  <c r="G20" i="77" a="1"/>
  <c r="G19" i="77" a="1"/>
  <c r="G18" i="77" a="1"/>
  <c r="G17" i="77" a="1"/>
  <c r="G16" i="77" a="1"/>
  <c r="G15" i="77" a="1"/>
  <c r="D11" i="77" a="1"/>
  <c r="D10" i="77" a="1"/>
  <c r="D9" i="77" a="1"/>
  <c r="D8" i="77" a="1"/>
  <c r="I46" i="77" a="1"/>
  <c r="I41" i="77" a="1"/>
  <c r="I39" i="77" a="1"/>
  <c r="I36" i="77" a="1"/>
  <c r="F33" i="77" a="1"/>
  <c r="I29" i="77" a="1"/>
  <c r="I26" i="77" a="1"/>
  <c r="I23" i="77" a="1"/>
  <c r="F20" i="77" a="1"/>
  <c r="F17" i="77" a="1"/>
  <c r="I10" i="77" a="1"/>
  <c r="G47" i="76" a="1"/>
  <c r="G42" i="76" a="1"/>
  <c r="G30" i="76" a="1"/>
  <c r="G12" i="76" a="1"/>
  <c r="I46" i="76" a="1"/>
  <c r="I45" i="76" a="1"/>
  <c r="I41" i="76" a="1"/>
  <c r="I40" i="76" a="1"/>
  <c r="I39" i="76" a="1"/>
  <c r="I38" i="76" a="1"/>
  <c r="I37" i="76" a="1"/>
  <c r="I36" i="76" a="1"/>
  <c r="I34" i="76" a="1"/>
  <c r="D34" i="76" a="1"/>
  <c r="F33" i="76" a="1"/>
  <c r="F32" i="76" a="1"/>
  <c r="I29" i="76" a="1"/>
  <c r="I28" i="76" a="1"/>
  <c r="I27" i="76" a="1"/>
  <c r="I26" i="76" a="1"/>
  <c r="I25" i="76" a="1"/>
  <c r="I24" i="76" a="1"/>
  <c r="I23" i="76" a="1"/>
  <c r="I21" i="76" a="1"/>
  <c r="D21" i="76" a="1"/>
  <c r="F20" i="76" a="1"/>
  <c r="F17" i="76" a="1"/>
  <c r="F15" i="76" a="1"/>
  <c r="I11" i="76" a="1"/>
  <c r="I8" i="76" a="1"/>
  <c r="F47" i="76" a="1"/>
  <c r="F42" i="76" a="1"/>
  <c r="G46" i="76" a="1"/>
  <c r="G45" i="76" a="1"/>
  <c r="G41" i="76" a="1"/>
  <c r="G40" i="76" a="1"/>
  <c r="G39" i="76" a="1"/>
  <c r="G38" i="76" a="1"/>
  <c r="G37" i="76" a="1"/>
  <c r="G36" i="76" a="1"/>
  <c r="D33" i="76" a="1"/>
  <c r="D32" i="76" a="1"/>
  <c r="G29" i="76" a="1"/>
  <c r="G28" i="76" a="1"/>
  <c r="G27" i="76" a="1"/>
  <c r="G26" i="76" a="1"/>
  <c r="G25" i="76" a="1"/>
  <c r="G24" i="76" a="1"/>
  <c r="G23" i="76" a="1"/>
  <c r="D20" i="76" a="1"/>
  <c r="D19" i="76" a="1"/>
  <c r="D18" i="76" a="1"/>
  <c r="D17" i="76" a="1"/>
  <c r="D16" i="76" a="1"/>
  <c r="D15" i="76" a="1"/>
  <c r="G11" i="76" a="1"/>
  <c r="G10" i="76" a="1"/>
  <c r="G9" i="76" a="1"/>
  <c r="G8" i="76" a="1"/>
  <c r="G21" i="76" a="1"/>
  <c r="D36" i="76" a="1"/>
  <c r="D25" i="76" a="1"/>
  <c r="G20" i="76" a="1"/>
  <c r="G17" i="76" a="1"/>
  <c r="D9" i="76" a="1"/>
  <c r="F19" i="76" a="1"/>
  <c r="I10" i="76" a="1"/>
  <c r="G34" i="76" a="1"/>
  <c r="D27" i="76" a="1"/>
  <c r="F16" i="76" a="1"/>
  <c r="F12" i="76" a="1"/>
  <c r="I47" i="76" a="1"/>
  <c r="D47" i="76" a="1"/>
  <c r="F46" i="76" a="1"/>
  <c r="F45" i="76" a="1"/>
  <c r="I42" i="76" a="1"/>
  <c r="D42" i="76" a="1"/>
  <c r="F41" i="76" a="1"/>
  <c r="F40" i="76" a="1"/>
  <c r="F39" i="76" a="1"/>
  <c r="F38" i="76" a="1"/>
  <c r="F37" i="76" a="1"/>
  <c r="F36" i="76" a="1"/>
  <c r="I33" i="76" a="1"/>
  <c r="I32" i="76" a="1"/>
  <c r="I30" i="76" a="1"/>
  <c r="D30" i="76" a="1"/>
  <c r="F29" i="76" a="1"/>
  <c r="F28" i="76" a="1"/>
  <c r="F27" i="76" a="1"/>
  <c r="F26" i="76" a="1"/>
  <c r="F25" i="76" a="1"/>
  <c r="F24" i="76" a="1"/>
  <c r="F23" i="76" a="1"/>
  <c r="I20" i="76" a="1"/>
  <c r="I19" i="76" a="1"/>
  <c r="I18" i="76" a="1"/>
  <c r="I17" i="76" a="1"/>
  <c r="I16" i="76" a="1"/>
  <c r="I15" i="76" a="1"/>
  <c r="I12" i="76" a="1"/>
  <c r="D12" i="76" a="1"/>
  <c r="F11" i="76" a="1"/>
  <c r="F10" i="76" a="1"/>
  <c r="F9" i="76" a="1"/>
  <c r="F8" i="76" a="1"/>
  <c r="D45" i="76" a="1"/>
  <c r="D39" i="76" a="1"/>
  <c r="D37" i="76" a="1"/>
  <c r="G33" i="76" a="1"/>
  <c r="D28" i="76" a="1"/>
  <c r="D24" i="76" a="1"/>
  <c r="G18" i="76" a="1"/>
  <c r="G15" i="76" a="1"/>
  <c r="D10" i="76" a="1"/>
  <c r="F30" i="76" a="1"/>
  <c r="F34" i="76" a="1"/>
  <c r="F21" i="76" a="1"/>
  <c r="D46" i="76" a="1"/>
  <c r="D41" i="76" a="1"/>
  <c r="D40" i="76" a="1"/>
  <c r="D38" i="76" a="1"/>
  <c r="G32" i="76" a="1"/>
  <c r="D29" i="76" a="1"/>
  <c r="D26" i="76" a="1"/>
  <c r="D23" i="76" a="1"/>
  <c r="G19" i="76" a="1"/>
  <c r="G16" i="76" a="1"/>
  <c r="D11" i="76" a="1"/>
  <c r="D8" i="76" a="1"/>
  <c r="F18" i="76" a="1"/>
  <c r="I9" i="76" a="1"/>
  <c r="G42" i="75" a="1"/>
  <c r="I46" i="75" a="1"/>
  <c r="I45" i="75" a="1"/>
  <c r="I41" i="75" a="1"/>
  <c r="I40" i="75" a="1"/>
  <c r="I39" i="75" a="1"/>
  <c r="I38" i="75" a="1"/>
  <c r="I37" i="75" a="1"/>
  <c r="I36" i="75" a="1"/>
  <c r="I34" i="75" a="1"/>
  <c r="D34" i="75" a="1"/>
  <c r="F33" i="75" a="1"/>
  <c r="F32" i="75" a="1"/>
  <c r="I29" i="75" a="1"/>
  <c r="I28" i="75" a="1"/>
  <c r="I27" i="75" a="1"/>
  <c r="I26" i="75" a="1"/>
  <c r="I25" i="75" a="1"/>
  <c r="I24" i="75" a="1"/>
  <c r="I23" i="75" a="1"/>
  <c r="I21" i="75" a="1"/>
  <c r="D21" i="75" a="1"/>
  <c r="F20" i="75" a="1"/>
  <c r="F19" i="75" a="1"/>
  <c r="F18" i="75" a="1"/>
  <c r="F17" i="75" a="1"/>
  <c r="F16" i="75" a="1"/>
  <c r="F15" i="75" a="1"/>
  <c r="I11" i="75" a="1"/>
  <c r="I10" i="75" a="1"/>
  <c r="I9" i="75" a="1"/>
  <c r="I8" i="75" a="1"/>
  <c r="F47" i="75" a="1"/>
  <c r="F42" i="75" a="1"/>
  <c r="G46" i="75" a="1"/>
  <c r="G45" i="75" a="1"/>
  <c r="G41" i="75" a="1"/>
  <c r="G40" i="75" a="1"/>
  <c r="G39" i="75" a="1"/>
  <c r="G38" i="75" a="1"/>
  <c r="G37" i="75" a="1"/>
  <c r="G36" i="75" a="1"/>
  <c r="D33" i="75" a="1"/>
  <c r="D32" i="75" a="1"/>
  <c r="G29" i="75" a="1"/>
  <c r="G28" i="75" a="1"/>
  <c r="G27" i="75" a="1"/>
  <c r="G26" i="75" a="1"/>
  <c r="G25" i="75" a="1"/>
  <c r="G24" i="75" a="1"/>
  <c r="G23" i="75" a="1"/>
  <c r="D20" i="75" a="1"/>
  <c r="D19" i="75" a="1"/>
  <c r="D18" i="75" a="1"/>
  <c r="D17" i="75" a="1"/>
  <c r="D16" i="75" a="1"/>
  <c r="D15" i="75" a="1"/>
  <c r="G11" i="75" a="1"/>
  <c r="G10" i="75" a="1"/>
  <c r="G9" i="75" a="1"/>
  <c r="G8" i="75" a="1"/>
  <c r="F10" i="75" a="1"/>
  <c r="D46" i="75" a="1"/>
  <c r="D40" i="75" a="1"/>
  <c r="D37" i="75" a="1"/>
  <c r="G32" i="75" a="1"/>
  <c r="D25" i="75" a="1"/>
  <c r="G20" i="75" a="1"/>
  <c r="G16" i="75" a="1"/>
  <c r="D11" i="75" a="1"/>
  <c r="G47" i="75" a="1"/>
  <c r="G12" i="75" a="1"/>
  <c r="G34" i="75" a="1"/>
  <c r="G21" i="75" a="1"/>
  <c r="F11" i="75" a="1"/>
  <c r="D36" i="75" a="1"/>
  <c r="D28" i="75" a="1"/>
  <c r="D24" i="75" a="1"/>
  <c r="G18" i="75" a="1"/>
  <c r="D8" i="75" a="1"/>
  <c r="F30" i="75" a="1"/>
  <c r="I47" i="75" a="1"/>
  <c r="D47" i="75" a="1"/>
  <c r="F46" i="75" a="1"/>
  <c r="F45" i="75" a="1"/>
  <c r="I42" i="75" a="1"/>
  <c r="D42" i="75" a="1"/>
  <c r="F41" i="75" a="1"/>
  <c r="F40" i="75" a="1"/>
  <c r="F39" i="75" a="1"/>
  <c r="F38" i="75" a="1"/>
  <c r="F37" i="75" a="1"/>
  <c r="F36" i="75" a="1"/>
  <c r="I33" i="75" a="1"/>
  <c r="I32" i="75" a="1"/>
  <c r="I30" i="75" a="1"/>
  <c r="D30" i="75" a="1"/>
  <c r="F29" i="75" a="1"/>
  <c r="F28" i="75" a="1"/>
  <c r="F27" i="75" a="1"/>
  <c r="F26" i="75" a="1"/>
  <c r="F25" i="75" a="1"/>
  <c r="F24" i="75" a="1"/>
  <c r="F23" i="75" a="1"/>
  <c r="I20" i="75" a="1"/>
  <c r="I19" i="75" a="1"/>
  <c r="I18" i="75" a="1"/>
  <c r="I17" i="75" a="1"/>
  <c r="I16" i="75" a="1"/>
  <c r="I15" i="75" a="1"/>
  <c r="I12" i="75" a="1"/>
  <c r="D12" i="75" a="1"/>
  <c r="F9" i="75" a="1"/>
  <c r="F8" i="75" a="1"/>
  <c r="G33" i="75" a="1"/>
  <c r="D27" i="75" a="1"/>
  <c r="D23" i="75" a="1"/>
  <c r="G17" i="75" a="1"/>
  <c r="D9" i="75" a="1"/>
  <c r="F34" i="75" a="1"/>
  <c r="F21" i="75" a="1"/>
  <c r="D45" i="75" a="1"/>
  <c r="D41" i="75" a="1"/>
  <c r="D39" i="75" a="1"/>
  <c r="D38" i="75" a="1"/>
  <c r="D29" i="75" a="1"/>
  <c r="D26" i="75" a="1"/>
  <c r="G19" i="75" a="1"/>
  <c r="G15" i="75" a="1"/>
  <c r="D10" i="75" a="1"/>
  <c r="G30" i="75" a="1"/>
  <c r="F12" i="75" a="1"/>
  <c r="G47" i="74" a="1"/>
  <c r="G42" i="74" a="1"/>
  <c r="G30" i="74" a="1"/>
  <c r="G12" i="74" a="1"/>
  <c r="D46" i="74" a="1"/>
  <c r="D39" i="74" a="1"/>
  <c r="G20" i="74" a="1"/>
  <c r="I46" i="74" a="1"/>
  <c r="I45" i="74" a="1"/>
  <c r="I41" i="74" a="1"/>
  <c r="I40" i="74" a="1"/>
  <c r="I39" i="74" a="1"/>
  <c r="I38" i="74" a="1"/>
  <c r="I37" i="74" a="1"/>
  <c r="I36" i="74" a="1"/>
  <c r="I34" i="74" a="1"/>
  <c r="D34" i="74" a="1"/>
  <c r="F33" i="74" a="1"/>
  <c r="F32" i="74" a="1"/>
  <c r="I29" i="74" a="1"/>
  <c r="I28" i="74" a="1"/>
  <c r="I27" i="74" a="1"/>
  <c r="I26" i="74" a="1"/>
  <c r="I25" i="74" a="1"/>
  <c r="I24" i="74" a="1"/>
  <c r="I23" i="74" a="1"/>
  <c r="I21" i="74" a="1"/>
  <c r="D21" i="74" a="1"/>
  <c r="F20" i="74" a="1"/>
  <c r="F19" i="74" a="1"/>
  <c r="F18" i="74" a="1"/>
  <c r="F17" i="74" a="1"/>
  <c r="F16" i="74" a="1"/>
  <c r="F15" i="74" a="1"/>
  <c r="I11" i="74" a="1"/>
  <c r="I10" i="74" a="1"/>
  <c r="I9" i="74" a="1"/>
  <c r="I8" i="74" a="1"/>
  <c r="D28" i="74" a="1"/>
  <c r="G19" i="74" a="1"/>
  <c r="D10" i="74" a="1"/>
  <c r="F47" i="74" a="1"/>
  <c r="F42" i="74" a="1"/>
  <c r="F30" i="74" a="1"/>
  <c r="F12" i="74" a="1"/>
  <c r="D45" i="74" a="1"/>
  <c r="G32" i="74" a="1"/>
  <c r="D24" i="74" a="1"/>
  <c r="G16" i="74" a="1"/>
  <c r="D8" i="74" a="1"/>
  <c r="G46" i="74" a="1"/>
  <c r="G45" i="74" a="1"/>
  <c r="G41" i="74" a="1"/>
  <c r="G40" i="74" a="1"/>
  <c r="G39" i="74" a="1"/>
  <c r="G38" i="74" a="1"/>
  <c r="G37" i="74" a="1"/>
  <c r="G36" i="74" a="1"/>
  <c r="D33" i="74" a="1"/>
  <c r="D32" i="74" a="1"/>
  <c r="G29" i="74" a="1"/>
  <c r="G28" i="74" a="1"/>
  <c r="G27" i="74" a="1"/>
  <c r="G26" i="74" a="1"/>
  <c r="G25" i="74" a="1"/>
  <c r="G24" i="74" a="1"/>
  <c r="G23" i="74" a="1"/>
  <c r="D20" i="74" a="1"/>
  <c r="D19" i="74" a="1"/>
  <c r="D18" i="74" a="1"/>
  <c r="D17" i="74" a="1"/>
  <c r="D16" i="74" a="1"/>
  <c r="D15" i="74" a="1"/>
  <c r="G11" i="74" a="1"/>
  <c r="G10" i="74" a="1"/>
  <c r="G9" i="74" a="1"/>
  <c r="G8" i="74" a="1"/>
  <c r="D27" i="74" a="1"/>
  <c r="D23" i="74" a="1"/>
  <c r="G15" i="74" a="1"/>
  <c r="G34" i="74" a="1"/>
  <c r="G21" i="74" a="1"/>
  <c r="G33" i="74" a="1"/>
  <c r="D26" i="74" a="1"/>
  <c r="G17" i="74" a="1"/>
  <c r="I47" i="74" a="1"/>
  <c r="D47" i="74" a="1"/>
  <c r="F46" i="74" a="1"/>
  <c r="F45" i="74" a="1"/>
  <c r="I42" i="74" a="1"/>
  <c r="D42" i="74" a="1"/>
  <c r="F41" i="74" a="1"/>
  <c r="F40" i="74" a="1"/>
  <c r="F39" i="74" a="1"/>
  <c r="F38" i="74" a="1"/>
  <c r="F37" i="74" a="1"/>
  <c r="F36" i="74" a="1"/>
  <c r="I33" i="74" a="1"/>
  <c r="I32" i="74" a="1"/>
  <c r="I30" i="74" a="1"/>
  <c r="D30" i="74" a="1"/>
  <c r="F29" i="74" a="1"/>
  <c r="F28" i="74" a="1"/>
  <c r="F27" i="74" a="1"/>
  <c r="F26" i="74" a="1"/>
  <c r="F25" i="74" a="1"/>
  <c r="F24" i="74" a="1"/>
  <c r="F23" i="74" a="1"/>
  <c r="I20" i="74" a="1"/>
  <c r="I19" i="74" a="1"/>
  <c r="I18" i="74" a="1"/>
  <c r="I17" i="74" a="1"/>
  <c r="I16" i="74" a="1"/>
  <c r="I15" i="74" a="1"/>
  <c r="I12" i="74" a="1"/>
  <c r="D12" i="74" a="1"/>
  <c r="F11" i="74" a="1"/>
  <c r="F10" i="74" a="1"/>
  <c r="F9" i="74" a="1"/>
  <c r="F8" i="74" a="1"/>
  <c r="D41" i="74" a="1"/>
  <c r="D38" i="74" a="1"/>
  <c r="D37" i="74" a="1"/>
  <c r="D11" i="74" a="1"/>
  <c r="F34" i="74" a="1"/>
  <c r="F21" i="74" a="1"/>
  <c r="D40" i="74" a="1"/>
  <c r="D36" i="74" a="1"/>
  <c r="D29" i="74" a="1"/>
  <c r="D25" i="74" a="1"/>
  <c r="G18" i="74" a="1"/>
  <c r="D9" i="74" a="1"/>
  <c r="I40" i="73" a="1"/>
  <c r="F33" i="73" a="1"/>
  <c r="I27" i="73" a="1"/>
  <c r="I24" i="73" a="1"/>
  <c r="D21" i="73" a="1"/>
  <c r="F18" i="73" a="1"/>
  <c r="F15" i="73" a="1"/>
  <c r="I9" i="73" a="1"/>
  <c r="F47" i="73" a="1"/>
  <c r="F42" i="73" a="1"/>
  <c r="F30" i="73" a="1"/>
  <c r="F12" i="73" a="1"/>
  <c r="F45" i="73" a="1"/>
  <c r="I42" i="73" a="1"/>
  <c r="F40" i="73" a="1"/>
  <c r="F38" i="73" a="1"/>
  <c r="F36" i="73" a="1"/>
  <c r="I30" i="73" a="1"/>
  <c r="F29" i="73" a="1"/>
  <c r="F26" i="73" a="1"/>
  <c r="F23" i="73" a="1"/>
  <c r="I18" i="73" a="1"/>
  <c r="I15" i="73" a="1"/>
  <c r="F11" i="73" a="1"/>
  <c r="G46" i="73" a="1"/>
  <c r="G45" i="73" a="1"/>
  <c r="G41" i="73" a="1"/>
  <c r="G40" i="73" a="1"/>
  <c r="G39" i="73" a="1"/>
  <c r="G38" i="73" a="1"/>
  <c r="G37" i="73" a="1"/>
  <c r="G36" i="73" a="1"/>
  <c r="D33" i="73" a="1"/>
  <c r="D32" i="73" a="1"/>
  <c r="G29" i="73" a="1"/>
  <c r="G28" i="73" a="1"/>
  <c r="G27" i="73" a="1"/>
  <c r="G26" i="73" a="1"/>
  <c r="G25" i="73" a="1"/>
  <c r="G24" i="73" a="1"/>
  <c r="G23" i="73" a="1"/>
  <c r="D20" i="73" a="1"/>
  <c r="D19" i="73" a="1"/>
  <c r="D18" i="73" a="1"/>
  <c r="D17" i="73" a="1"/>
  <c r="D16" i="73" a="1"/>
  <c r="D15" i="73" a="1"/>
  <c r="G11" i="73" a="1"/>
  <c r="G10" i="73" a="1"/>
  <c r="G9" i="73" a="1"/>
  <c r="G8" i="73" a="1"/>
  <c r="G34" i="73" a="1"/>
  <c r="G21" i="73" a="1"/>
  <c r="I47" i="73" a="1"/>
  <c r="F46" i="73" a="1"/>
  <c r="D42" i="73" a="1"/>
  <c r="F41" i="73" a="1"/>
  <c r="F39" i="73" a="1"/>
  <c r="F37" i="73" a="1"/>
  <c r="I32" i="73" a="1"/>
  <c r="D30" i="73" a="1"/>
  <c r="F27" i="73" a="1"/>
  <c r="F24" i="73" a="1"/>
  <c r="I20" i="73" a="1"/>
  <c r="I17" i="73" a="1"/>
  <c r="I12" i="73" a="1"/>
  <c r="F10" i="73" a="1"/>
  <c r="F8" i="73" a="1"/>
  <c r="D47" i="73" a="1"/>
  <c r="I33" i="73" a="1"/>
  <c r="F28" i="73" a="1"/>
  <c r="F25" i="73" a="1"/>
  <c r="I19" i="73" a="1"/>
  <c r="I16" i="73" a="1"/>
  <c r="D12" i="73" a="1"/>
  <c r="F9" i="73" a="1"/>
  <c r="F34" i="73" a="1"/>
  <c r="F21" i="73" a="1"/>
  <c r="G30" i="73" a="1"/>
  <c r="G12" i="73" a="1"/>
  <c r="I45" i="73" a="1"/>
  <c r="I39" i="73" a="1"/>
  <c r="I37" i="73" a="1"/>
  <c r="I34" i="73" a="1"/>
  <c r="F32" i="73" a="1"/>
  <c r="I28" i="73" a="1"/>
  <c r="I25" i="73" a="1"/>
  <c r="I21" i="73" a="1"/>
  <c r="F19" i="73" a="1"/>
  <c r="F16" i="73" a="1"/>
  <c r="I10" i="73" a="1"/>
  <c r="D46" i="73" a="1"/>
  <c r="D45" i="73" a="1"/>
  <c r="D41" i="73" a="1"/>
  <c r="D40" i="73" a="1"/>
  <c r="D39" i="73" a="1"/>
  <c r="D38" i="73" a="1"/>
  <c r="D37" i="73" a="1"/>
  <c r="D36" i="73" a="1"/>
  <c r="G33" i="73" a="1"/>
  <c r="G32" i="73" a="1"/>
  <c r="D29" i="73" a="1"/>
  <c r="D28" i="73" a="1"/>
  <c r="D27" i="73" a="1"/>
  <c r="D26" i="73" a="1"/>
  <c r="D25" i="73" a="1"/>
  <c r="D24" i="73" a="1"/>
  <c r="D23" i="73" a="1"/>
  <c r="G20" i="73" a="1"/>
  <c r="G19" i="73" a="1"/>
  <c r="G18" i="73" a="1"/>
  <c r="G17" i="73" a="1"/>
  <c r="G16" i="73" a="1"/>
  <c r="G15" i="73" a="1"/>
  <c r="D11" i="73" a="1"/>
  <c r="D10" i="73" a="1"/>
  <c r="D9" i="73" a="1"/>
  <c r="D8" i="73" a="1"/>
  <c r="G47" i="73" a="1"/>
  <c r="G42" i="73" a="1"/>
  <c r="I46" i="73" a="1"/>
  <c r="I41" i="73" a="1"/>
  <c r="I38" i="73" a="1"/>
  <c r="I36" i="73" a="1"/>
  <c r="D34" i="73" a="1"/>
  <c r="I29" i="73" a="1"/>
  <c r="I26" i="73" a="1"/>
  <c r="I23" i="73" a="1"/>
  <c r="F20" i="73" a="1"/>
  <c r="F17" i="73" a="1"/>
  <c r="I11" i="73" a="1"/>
  <c r="I8" i="73" a="1"/>
  <c r="G47" i="72" a="1"/>
  <c r="G42" i="72" a="1"/>
  <c r="G30" i="72" a="1"/>
  <c r="G12" i="72" a="1"/>
  <c r="I46" i="72" a="1"/>
  <c r="I45" i="72" a="1"/>
  <c r="I41" i="72" a="1"/>
  <c r="I40" i="72" a="1"/>
  <c r="I39" i="72" a="1"/>
  <c r="I38" i="72" a="1"/>
  <c r="I37" i="72" a="1"/>
  <c r="I36" i="72" a="1"/>
  <c r="I34" i="72" a="1"/>
  <c r="D34" i="72" a="1"/>
  <c r="F33" i="72" a="1"/>
  <c r="F32" i="72" a="1"/>
  <c r="I29" i="72" a="1"/>
  <c r="I28" i="72" a="1"/>
  <c r="I27" i="72" a="1"/>
  <c r="I26" i="72" a="1"/>
  <c r="I25" i="72" a="1"/>
  <c r="I24" i="72" a="1"/>
  <c r="I23" i="72" a="1"/>
  <c r="I21" i="72" a="1"/>
  <c r="D21" i="72" a="1"/>
  <c r="F20" i="72" a="1"/>
  <c r="F19" i="72" a="1"/>
  <c r="F18" i="72" a="1"/>
  <c r="F17" i="72" a="1"/>
  <c r="F16" i="72" a="1"/>
  <c r="F15" i="72" a="1"/>
  <c r="I11" i="72" a="1"/>
  <c r="I10" i="72" a="1"/>
  <c r="I9" i="72" a="1"/>
  <c r="I8" i="72" a="1"/>
  <c r="G21" i="72" a="1"/>
  <c r="I47" i="72" a="1"/>
  <c r="F45" i="72" a="1"/>
  <c r="F41" i="72" a="1"/>
  <c r="F37" i="72" a="1"/>
  <c r="I32" i="72" a="1"/>
  <c r="F29" i="72" a="1"/>
  <c r="F26" i="72" a="1"/>
  <c r="I19" i="72" a="1"/>
  <c r="I16" i="72" a="1"/>
  <c r="F11" i="72" a="1"/>
  <c r="D11" i="72" a="1"/>
  <c r="F47" i="72" a="1"/>
  <c r="F42" i="72" a="1"/>
  <c r="F30" i="72" a="1"/>
  <c r="F12" i="72" a="1"/>
  <c r="G34" i="72" a="1"/>
  <c r="F46" i="72" a="1"/>
  <c r="D42" i="72" a="1"/>
  <c r="F38" i="72" a="1"/>
  <c r="I33" i="72" a="1"/>
  <c r="D30" i="72" a="1"/>
  <c r="F27" i="72" a="1"/>
  <c r="F23" i="72" a="1"/>
  <c r="I18" i="72" a="1"/>
  <c r="D12" i="72" a="1"/>
  <c r="F9" i="72" a="1"/>
  <c r="D10" i="72" a="1"/>
  <c r="G46" i="72" a="1"/>
  <c r="G45" i="72" a="1"/>
  <c r="G41" i="72" a="1"/>
  <c r="G40" i="72" a="1"/>
  <c r="G39" i="72" a="1"/>
  <c r="G38" i="72" a="1"/>
  <c r="G37" i="72" a="1"/>
  <c r="G36" i="72" a="1"/>
  <c r="D33" i="72" a="1"/>
  <c r="D32" i="72" a="1"/>
  <c r="G29" i="72" a="1"/>
  <c r="G28" i="72" a="1"/>
  <c r="G27" i="72" a="1"/>
  <c r="G26" i="72" a="1"/>
  <c r="G25" i="72" a="1"/>
  <c r="G24" i="72" a="1"/>
  <c r="G23" i="72" a="1"/>
  <c r="D20" i="72" a="1"/>
  <c r="D19" i="72" a="1"/>
  <c r="D18" i="72" a="1"/>
  <c r="D17" i="72" a="1"/>
  <c r="D16" i="72" a="1"/>
  <c r="D15" i="72" a="1"/>
  <c r="G11" i="72" a="1"/>
  <c r="G10" i="72" a="1"/>
  <c r="G9" i="72" a="1"/>
  <c r="G8" i="72" a="1"/>
  <c r="D47" i="72" a="1"/>
  <c r="I42" i="72" a="1"/>
  <c r="F40" i="72" a="1"/>
  <c r="F36" i="72" a="1"/>
  <c r="I30" i="72" a="1"/>
  <c r="F28" i="72" a="1"/>
  <c r="F25" i="72" a="1"/>
  <c r="I20" i="72" a="1"/>
  <c r="I17" i="72" a="1"/>
  <c r="I12" i="72" a="1"/>
  <c r="F10" i="72" a="1"/>
  <c r="D9" i="72" a="1"/>
  <c r="F39" i="72" a="1"/>
  <c r="F24" i="72" a="1"/>
  <c r="I15" i="72" a="1"/>
  <c r="F8" i="72" a="1"/>
  <c r="D8" i="72" a="1"/>
  <c r="F34" i="72" a="1"/>
  <c r="F21" i="72" a="1"/>
  <c r="D46" i="72" a="1"/>
  <c r="D45" i="72" a="1"/>
  <c r="D41" i="72" a="1"/>
  <c r="D40" i="72" a="1"/>
  <c r="D39" i="72" a="1"/>
  <c r="D38" i="72" a="1"/>
  <c r="D37" i="72" a="1"/>
  <c r="D36" i="72" a="1"/>
  <c r="G33" i="72" a="1"/>
  <c r="G32" i="72" a="1"/>
  <c r="D29" i="72" a="1"/>
  <c r="D28" i="72" a="1"/>
  <c r="D27" i="72" a="1"/>
  <c r="D26" i="72" a="1"/>
  <c r="D25" i="72" a="1"/>
  <c r="D24" i="72" a="1"/>
  <c r="D23" i="72" a="1"/>
  <c r="G20" i="72" a="1"/>
  <c r="G19" i="72" a="1"/>
  <c r="G18" i="72" a="1"/>
  <c r="G17" i="72" a="1"/>
  <c r="G16" i="72" a="1"/>
  <c r="G15" i="72" a="1"/>
  <c r="G47" i="71" a="1"/>
  <c r="G42" i="71" a="1"/>
  <c r="G30" i="71" a="1"/>
  <c r="G12" i="71" a="1"/>
  <c r="I37" i="71" a="1"/>
  <c r="F32" i="71" a="1"/>
  <c r="F20" i="71" a="1"/>
  <c r="I11" i="71" a="1"/>
  <c r="D16" i="71" a="1"/>
  <c r="I10" i="71" a="1"/>
  <c r="G11" i="71" a="1"/>
  <c r="F47" i="71" a="1"/>
  <c r="F42" i="71" a="1"/>
  <c r="F30" i="71" a="1"/>
  <c r="F12" i="71" a="1"/>
  <c r="G45" i="71" a="1"/>
  <c r="G41" i="71" a="1"/>
  <c r="G40" i="71" a="1"/>
  <c r="G39" i="71" a="1"/>
  <c r="G38" i="71" a="1"/>
  <c r="G37" i="71" a="1"/>
  <c r="G36" i="71" a="1"/>
  <c r="D33" i="71" a="1"/>
  <c r="D32" i="71" a="1"/>
  <c r="G29" i="71" a="1"/>
  <c r="G28" i="71" a="1"/>
  <c r="G27" i="71" a="1"/>
  <c r="G26" i="71" a="1"/>
  <c r="G24" i="71" a="1"/>
  <c r="G23" i="71" a="1"/>
  <c r="D19" i="71" a="1"/>
  <c r="D15" i="71" a="1"/>
  <c r="G10" i="71" a="1"/>
  <c r="G46" i="71" a="1"/>
  <c r="G25" i="71" a="1"/>
  <c r="D20" i="71" a="1"/>
  <c r="G34" i="71" a="1"/>
  <c r="G21" i="71" a="1"/>
  <c r="I45" i="71" a="1"/>
  <c r="I38" i="71" a="1"/>
  <c r="D34" i="71" a="1"/>
  <c r="I28" i="71" a="1"/>
  <c r="I24" i="71" a="1"/>
  <c r="F19" i="71" a="1"/>
  <c r="F16" i="71" a="1"/>
  <c r="I9" i="71" a="1"/>
  <c r="D17" i="71" a="1"/>
  <c r="G9" i="71" a="1"/>
  <c r="I47" i="71" a="1"/>
  <c r="D47" i="71" a="1"/>
  <c r="F46" i="71" a="1"/>
  <c r="F45" i="71" a="1"/>
  <c r="I42" i="71" a="1"/>
  <c r="D42" i="71" a="1"/>
  <c r="F41" i="71" a="1"/>
  <c r="F40" i="71" a="1"/>
  <c r="F39" i="71" a="1"/>
  <c r="F38" i="71" a="1"/>
  <c r="F37" i="71" a="1"/>
  <c r="F36" i="71" a="1"/>
  <c r="I33" i="71" a="1"/>
  <c r="I32" i="71" a="1"/>
  <c r="I30" i="71" a="1"/>
  <c r="D30" i="71" a="1"/>
  <c r="F29" i="71" a="1"/>
  <c r="F28" i="71" a="1"/>
  <c r="F27" i="71" a="1"/>
  <c r="F26" i="71" a="1"/>
  <c r="F25" i="71" a="1"/>
  <c r="F24" i="71" a="1"/>
  <c r="F23" i="71" a="1"/>
  <c r="I20" i="71" a="1"/>
  <c r="I19" i="71" a="1"/>
  <c r="I18" i="71" a="1"/>
  <c r="I17" i="71" a="1"/>
  <c r="I16" i="71" a="1"/>
  <c r="I15" i="71" a="1"/>
  <c r="I12" i="71" a="1"/>
  <c r="D12" i="71" a="1"/>
  <c r="F11" i="71" a="1"/>
  <c r="F10" i="71" a="1"/>
  <c r="F9" i="71" a="1"/>
  <c r="F8" i="71" a="1"/>
  <c r="F34" i="71" a="1"/>
  <c r="F21" i="71" a="1"/>
  <c r="I46" i="71" a="1"/>
  <c r="F33" i="71" a="1"/>
  <c r="I26" i="71" a="1"/>
  <c r="I23" i="71" a="1"/>
  <c r="F18" i="71" a="1"/>
  <c r="D46" i="71" a="1"/>
  <c r="D45" i="71" a="1"/>
  <c r="D41" i="71" a="1"/>
  <c r="D40" i="71" a="1"/>
  <c r="D39" i="71" a="1"/>
  <c r="D38" i="71" a="1"/>
  <c r="D37" i="71" a="1"/>
  <c r="D36" i="71" a="1"/>
  <c r="G33" i="71" a="1"/>
  <c r="G32" i="71" a="1"/>
  <c r="D29" i="71" a="1"/>
  <c r="D28" i="71" a="1"/>
  <c r="D27" i="71" a="1"/>
  <c r="D26" i="71" a="1"/>
  <c r="D25" i="71" a="1"/>
  <c r="D24" i="71" a="1"/>
  <c r="D23" i="71" a="1"/>
  <c r="G20" i="71" a="1"/>
  <c r="G19" i="71" a="1"/>
  <c r="G18" i="71" a="1"/>
  <c r="G17" i="71" a="1"/>
  <c r="G16" i="71" a="1"/>
  <c r="G15" i="71" a="1"/>
  <c r="D11" i="71" a="1"/>
  <c r="D10" i="71" a="1"/>
  <c r="D9" i="71" a="1"/>
  <c r="D8" i="71" a="1"/>
  <c r="I41" i="71" a="1"/>
  <c r="I40" i="71" a="1"/>
  <c r="I39" i="71" a="1"/>
  <c r="I36" i="71" a="1"/>
  <c r="I34" i="71" a="1"/>
  <c r="I29" i="71" a="1"/>
  <c r="I27" i="71" a="1"/>
  <c r="I25" i="71" a="1"/>
  <c r="I21" i="71" a="1"/>
  <c r="D21" i="71" a="1"/>
  <c r="F17" i="71" a="1"/>
  <c r="F15" i="71" a="1"/>
  <c r="I8" i="71" a="1"/>
  <c r="D18" i="71" a="1"/>
  <c r="G8" i="71" a="1"/>
  <c r="I46" i="70" a="1"/>
  <c r="I45" i="70" a="1"/>
  <c r="I41" i="70" a="1"/>
  <c r="I40" i="70" a="1"/>
  <c r="I39" i="70" a="1"/>
  <c r="I38" i="70" a="1"/>
  <c r="I37" i="70" a="1"/>
  <c r="I36" i="70" a="1"/>
  <c r="I34" i="70" a="1"/>
  <c r="D34" i="70" a="1"/>
  <c r="F33" i="70" a="1"/>
  <c r="F32" i="70" a="1"/>
  <c r="I29" i="70" a="1"/>
  <c r="I28" i="70" a="1"/>
  <c r="I27" i="70" a="1"/>
  <c r="I26" i="70" a="1"/>
  <c r="I25" i="70" a="1"/>
  <c r="I24" i="70" a="1"/>
  <c r="I23" i="70" a="1"/>
  <c r="D21" i="70" a="1"/>
  <c r="F20" i="70" a="1"/>
  <c r="F18" i="70" a="1"/>
  <c r="F16" i="70" a="1"/>
  <c r="I10" i="70" a="1"/>
  <c r="I8" i="70" a="1"/>
  <c r="F42" i="70" a="1"/>
  <c r="G46" i="70" a="1"/>
  <c r="G45" i="70" a="1"/>
  <c r="G41" i="70" a="1"/>
  <c r="G40" i="70" a="1"/>
  <c r="G39" i="70" a="1"/>
  <c r="G38" i="70" a="1"/>
  <c r="G37" i="70" a="1"/>
  <c r="G36" i="70" a="1"/>
  <c r="D33" i="70" a="1"/>
  <c r="D32" i="70" a="1"/>
  <c r="G29" i="70" a="1"/>
  <c r="G28" i="70" a="1"/>
  <c r="G27" i="70" a="1"/>
  <c r="G26" i="70" a="1"/>
  <c r="G25" i="70" a="1"/>
  <c r="G24" i="70" a="1"/>
  <c r="G23" i="70" a="1"/>
  <c r="D20" i="70" a="1"/>
  <c r="D19" i="70" a="1"/>
  <c r="D18" i="70" a="1"/>
  <c r="D17" i="70" a="1"/>
  <c r="D16" i="70" a="1"/>
  <c r="D15" i="70" a="1"/>
  <c r="G11" i="70" a="1"/>
  <c r="G10" i="70" a="1"/>
  <c r="G9" i="70" a="1"/>
  <c r="G8" i="70" a="1"/>
  <c r="G34" i="70" a="1"/>
  <c r="G21" i="70" a="1"/>
  <c r="F34" i="70" a="1"/>
  <c r="F21" i="70" a="1"/>
  <c r="F12" i="70" a="1"/>
  <c r="I47" i="70" a="1"/>
  <c r="D47" i="70" a="1"/>
  <c r="F46" i="70" a="1"/>
  <c r="F45" i="70" a="1"/>
  <c r="I42" i="70" a="1"/>
  <c r="D42" i="70" a="1"/>
  <c r="F41" i="70" a="1"/>
  <c r="F40" i="70" a="1"/>
  <c r="F39" i="70" a="1"/>
  <c r="F38" i="70" a="1"/>
  <c r="F37" i="70" a="1"/>
  <c r="F36" i="70" a="1"/>
  <c r="I33" i="70" a="1"/>
  <c r="I32" i="70" a="1"/>
  <c r="I30" i="70" a="1"/>
  <c r="D30" i="70" a="1"/>
  <c r="F29" i="70" a="1"/>
  <c r="F28" i="70" a="1"/>
  <c r="F27" i="70" a="1"/>
  <c r="F26" i="70" a="1"/>
  <c r="F25" i="70" a="1"/>
  <c r="F24" i="70" a="1"/>
  <c r="F23" i="70" a="1"/>
  <c r="I20" i="70" a="1"/>
  <c r="I19" i="70" a="1"/>
  <c r="I18" i="70" a="1"/>
  <c r="I17" i="70" a="1"/>
  <c r="I16" i="70" a="1"/>
  <c r="I15" i="70" a="1"/>
  <c r="I12" i="70" a="1"/>
  <c r="D12" i="70" a="1"/>
  <c r="F11" i="70" a="1"/>
  <c r="F10" i="70" a="1"/>
  <c r="F9" i="70" a="1"/>
  <c r="F8" i="70" a="1"/>
  <c r="D46" i="70" a="1"/>
  <c r="D45" i="70" a="1"/>
  <c r="D41" i="70" a="1"/>
  <c r="D40" i="70" a="1"/>
  <c r="D39" i="70" a="1"/>
  <c r="D38" i="70" a="1"/>
  <c r="D37" i="70" a="1"/>
  <c r="D36" i="70" a="1"/>
  <c r="G33" i="70" a="1"/>
  <c r="G32" i="70" a="1"/>
  <c r="D29" i="70" a="1"/>
  <c r="D28" i="70" a="1"/>
  <c r="D27" i="70" a="1"/>
  <c r="D26" i="70" a="1"/>
  <c r="D25" i="70" a="1"/>
  <c r="D24" i="70" a="1"/>
  <c r="D23" i="70" a="1"/>
  <c r="G20" i="70" a="1"/>
  <c r="G19" i="70" a="1"/>
  <c r="G18" i="70" a="1"/>
  <c r="G17" i="70" a="1"/>
  <c r="G16" i="70" a="1"/>
  <c r="G15" i="70" a="1"/>
  <c r="D11" i="70" a="1"/>
  <c r="D10" i="70" a="1"/>
  <c r="D9" i="70" a="1"/>
  <c r="D8" i="70" a="1"/>
  <c r="G47" i="70" a="1"/>
  <c r="G42" i="70" a="1"/>
  <c r="G30" i="70" a="1"/>
  <c r="G12" i="70" a="1"/>
  <c r="I21" i="70" a="1"/>
  <c r="F19" i="70" a="1"/>
  <c r="F17" i="70" a="1"/>
  <c r="F15" i="70" a="1"/>
  <c r="I11" i="70" a="1"/>
  <c r="I9" i="70" a="1"/>
  <c r="F47" i="70" a="1"/>
  <c r="F30" i="70" a="1"/>
  <c r="G47" i="69" a="1"/>
  <c r="G42" i="69" a="1"/>
  <c r="G30" i="69" a="1"/>
  <c r="G12" i="69" a="1"/>
  <c r="I40" i="69" a="1"/>
  <c r="I39" i="69" a="1"/>
  <c r="I36" i="69" a="1"/>
  <c r="I29" i="69" a="1"/>
  <c r="I24" i="69" a="1"/>
  <c r="F18" i="69" a="1"/>
  <c r="I8" i="69" a="1"/>
  <c r="F47" i="69" a="1"/>
  <c r="F42" i="69" a="1"/>
  <c r="F30" i="69" a="1"/>
  <c r="F12" i="69" a="1"/>
  <c r="D29" i="69" a="1"/>
  <c r="G20" i="69" a="1"/>
  <c r="D11" i="69" a="1"/>
  <c r="F33" i="69" a="1"/>
  <c r="I21" i="69" a="1"/>
  <c r="F15" i="69" a="1"/>
  <c r="G46" i="69" a="1"/>
  <c r="G45" i="69" a="1"/>
  <c r="G41" i="69" a="1"/>
  <c r="G40" i="69" a="1"/>
  <c r="G39" i="69" a="1"/>
  <c r="G38" i="69" a="1"/>
  <c r="G37" i="69" a="1"/>
  <c r="G36" i="69" a="1"/>
  <c r="D33" i="69" a="1"/>
  <c r="D32" i="69" a="1"/>
  <c r="G29" i="69" a="1"/>
  <c r="G28" i="69" a="1"/>
  <c r="G27" i="69" a="1"/>
  <c r="G26" i="69" a="1"/>
  <c r="G25" i="69" a="1"/>
  <c r="G24" i="69" a="1"/>
  <c r="G23" i="69" a="1"/>
  <c r="D20" i="69" a="1"/>
  <c r="D19" i="69" a="1"/>
  <c r="D18" i="69" a="1"/>
  <c r="D17" i="69" a="1"/>
  <c r="D16" i="69" a="1"/>
  <c r="D15" i="69" a="1"/>
  <c r="G11" i="69" a="1"/>
  <c r="G10" i="69" a="1"/>
  <c r="G9" i="69" a="1"/>
  <c r="G8" i="69" a="1"/>
  <c r="G34" i="69" a="1"/>
  <c r="G21" i="69" a="1"/>
  <c r="G17" i="69" a="1"/>
  <c r="D8" i="69" a="1"/>
  <c r="I45" i="69" a="1"/>
  <c r="I38" i="69" a="1"/>
  <c r="I34" i="69" a="1"/>
  <c r="I27" i="69" a="1"/>
  <c r="D21" i="69" a="1"/>
  <c r="F16" i="69" a="1"/>
  <c r="I9" i="69" a="1"/>
  <c r="D26" i="69" a="1"/>
  <c r="G16" i="69" a="1"/>
  <c r="D34" i="69" a="1"/>
  <c r="I26" i="69" a="1"/>
  <c r="F20" i="69" a="1"/>
  <c r="I11" i="69" a="1"/>
  <c r="I47" i="69" a="1"/>
  <c r="D47" i="69" a="1"/>
  <c r="F46" i="69" a="1"/>
  <c r="F45" i="69" a="1"/>
  <c r="I42" i="69" a="1"/>
  <c r="D42" i="69" a="1"/>
  <c r="F41" i="69" a="1"/>
  <c r="F40" i="69" a="1"/>
  <c r="F39" i="69" a="1"/>
  <c r="F38" i="69" a="1"/>
  <c r="F37" i="69" a="1"/>
  <c r="F36" i="69" a="1"/>
  <c r="I33" i="69" a="1"/>
  <c r="I32" i="69" a="1"/>
  <c r="I30" i="69" a="1"/>
  <c r="D30" i="69" a="1"/>
  <c r="F29" i="69" a="1"/>
  <c r="F28" i="69" a="1"/>
  <c r="F27" i="69" a="1"/>
  <c r="F26" i="69" a="1"/>
  <c r="F25" i="69" a="1"/>
  <c r="F24" i="69" a="1"/>
  <c r="F23" i="69" a="1"/>
  <c r="I20" i="69" a="1"/>
  <c r="I19" i="69" a="1"/>
  <c r="I18" i="69" a="1"/>
  <c r="I17" i="69" a="1"/>
  <c r="I16" i="69" a="1"/>
  <c r="I15" i="69" a="1"/>
  <c r="I12" i="69" a="1"/>
  <c r="D12" i="69" a="1"/>
  <c r="F11" i="69" a="1"/>
  <c r="F10" i="69" a="1"/>
  <c r="F9" i="69" a="1"/>
  <c r="F8" i="69" a="1"/>
  <c r="D45" i="69" a="1"/>
  <c r="D41" i="69" a="1"/>
  <c r="D39" i="69" a="1"/>
  <c r="D37" i="69" a="1"/>
  <c r="G32" i="69" a="1"/>
  <c r="D27" i="69" a="1"/>
  <c r="D24" i="69" a="1"/>
  <c r="G19" i="69" a="1"/>
  <c r="D10" i="69" a="1"/>
  <c r="I41" i="69" a="1"/>
  <c r="F32" i="69" a="1"/>
  <c r="I25" i="69" a="1"/>
  <c r="F19" i="69" a="1"/>
  <c r="I10" i="69" a="1"/>
  <c r="F34" i="69" a="1"/>
  <c r="F21" i="69" a="1"/>
  <c r="D46" i="69" a="1"/>
  <c r="D40" i="69" a="1"/>
  <c r="D38" i="69" a="1"/>
  <c r="D36" i="69" a="1"/>
  <c r="G33" i="69" a="1"/>
  <c r="D28" i="69" a="1"/>
  <c r="D25" i="69" a="1"/>
  <c r="D23" i="69" a="1"/>
  <c r="G18" i="69" a="1"/>
  <c r="G15" i="69" a="1"/>
  <c r="D9" i="69" a="1"/>
  <c r="I46" i="69" a="1"/>
  <c r="I37" i="69" a="1"/>
  <c r="I28" i="69" a="1"/>
  <c r="I23" i="69" a="1"/>
  <c r="F17" i="69" a="1"/>
  <c r="G47" i="68" a="1"/>
  <c r="G42" i="68" a="1"/>
  <c r="G30" i="68" a="1"/>
  <c r="G12" i="68" a="1"/>
  <c r="I46" i="68" a="1"/>
  <c r="I45" i="68" a="1"/>
  <c r="I41" i="68" a="1"/>
  <c r="I40" i="68" a="1"/>
  <c r="I39" i="68" a="1"/>
  <c r="I38" i="68" a="1"/>
  <c r="I37" i="68" a="1"/>
  <c r="I36" i="68" a="1"/>
  <c r="I34" i="68" a="1"/>
  <c r="D34" i="68" a="1"/>
  <c r="F33" i="68" a="1"/>
  <c r="F32" i="68" a="1"/>
  <c r="I29" i="68" a="1"/>
  <c r="I27" i="68" a="1"/>
  <c r="I25" i="68" a="1"/>
  <c r="I24" i="68" a="1"/>
  <c r="F19" i="68" a="1"/>
  <c r="F16" i="68" a="1"/>
  <c r="I11" i="68" a="1"/>
  <c r="F47" i="68" a="1"/>
  <c r="F42" i="68" a="1"/>
  <c r="F30" i="68" a="1"/>
  <c r="F12" i="68" a="1"/>
  <c r="D17" i="68" a="1"/>
  <c r="G10" i="68" a="1"/>
  <c r="G8" i="68" a="1"/>
  <c r="I16" i="68" a="1"/>
  <c r="F11" i="68" a="1"/>
  <c r="F8" i="68" a="1"/>
  <c r="G46" i="68" a="1"/>
  <c r="G45" i="68" a="1"/>
  <c r="G41" i="68" a="1"/>
  <c r="G40" i="68" a="1"/>
  <c r="G39" i="68" a="1"/>
  <c r="G38" i="68" a="1"/>
  <c r="G37" i="68" a="1"/>
  <c r="G36" i="68" a="1"/>
  <c r="D33" i="68" a="1"/>
  <c r="D32" i="68" a="1"/>
  <c r="G29" i="68" a="1"/>
  <c r="G28" i="68" a="1"/>
  <c r="G27" i="68" a="1"/>
  <c r="G26" i="68" a="1"/>
  <c r="G25" i="68" a="1"/>
  <c r="G24" i="68" a="1"/>
  <c r="G23" i="68" a="1"/>
  <c r="D20" i="68" a="1"/>
  <c r="D19" i="68" a="1"/>
  <c r="D18" i="68" a="1"/>
  <c r="D16" i="68" a="1"/>
  <c r="D15" i="68" a="1"/>
  <c r="G11" i="68" a="1"/>
  <c r="G9" i="68" a="1"/>
  <c r="F28" i="68" a="1"/>
  <c r="F25" i="68" a="1"/>
  <c r="F23" i="68" a="1"/>
  <c r="I20" i="68" a="1"/>
  <c r="I18" i="68" a="1"/>
  <c r="I15" i="68" a="1"/>
  <c r="D12" i="68" a="1"/>
  <c r="F9" i="68" a="1"/>
  <c r="G34" i="68" a="1"/>
  <c r="G21" i="68" a="1"/>
  <c r="I47" i="68" a="1"/>
  <c r="D47" i="68" a="1"/>
  <c r="F46" i="68" a="1"/>
  <c r="F45" i="68" a="1"/>
  <c r="I42" i="68" a="1"/>
  <c r="D42" i="68" a="1"/>
  <c r="F41" i="68" a="1"/>
  <c r="F40" i="68" a="1"/>
  <c r="F39" i="68" a="1"/>
  <c r="F38" i="68" a="1"/>
  <c r="F37" i="68" a="1"/>
  <c r="F36" i="68" a="1"/>
  <c r="I33" i="68" a="1"/>
  <c r="I32" i="68" a="1"/>
  <c r="I30" i="68" a="1"/>
  <c r="D30" i="68" a="1"/>
  <c r="F29" i="68" a="1"/>
  <c r="F27" i="68" a="1"/>
  <c r="F26" i="68" a="1"/>
  <c r="F24" i="68" a="1"/>
  <c r="I19" i="68" a="1"/>
  <c r="I17" i="68" a="1"/>
  <c r="I12" i="68" a="1"/>
  <c r="F10" i="68" a="1"/>
  <c r="F34" i="68" a="1"/>
  <c r="F21" i="68" a="1"/>
  <c r="G17" i="68" a="1"/>
  <c r="D11" i="68" a="1"/>
  <c r="D10" i="68" a="1"/>
  <c r="D8" i="68" a="1"/>
  <c r="I28" i="68" a="1"/>
  <c r="D21" i="68" a="1"/>
  <c r="F18" i="68" a="1"/>
  <c r="I10" i="68" a="1"/>
  <c r="I8" i="68" a="1"/>
  <c r="D46" i="68" a="1"/>
  <c r="D45" i="68" a="1"/>
  <c r="D41" i="68" a="1"/>
  <c r="D40" i="68" a="1"/>
  <c r="D39" i="68" a="1"/>
  <c r="D38" i="68" a="1"/>
  <c r="D37" i="68" a="1"/>
  <c r="D36" i="68" a="1"/>
  <c r="G33" i="68" a="1"/>
  <c r="G32" i="68" a="1"/>
  <c r="D29" i="68" a="1"/>
  <c r="D28" i="68" a="1"/>
  <c r="D27" i="68" a="1"/>
  <c r="D26" i="68" a="1"/>
  <c r="D25" i="68" a="1"/>
  <c r="D24" i="68" a="1"/>
  <c r="D23" i="68" a="1"/>
  <c r="G20" i="68" a="1"/>
  <c r="G19" i="68" a="1"/>
  <c r="G18" i="68" a="1"/>
  <c r="G16" i="68" a="1"/>
  <c r="G15" i="68" a="1"/>
  <c r="D9" i="68" a="1"/>
  <c r="I26" i="68" a="1"/>
  <c r="I23" i="68" a="1"/>
  <c r="I21" i="68" a="1"/>
  <c r="F20" i="68" a="1"/>
  <c r="F17" i="68" a="1"/>
  <c r="F15" i="68" a="1"/>
  <c r="I9" i="68" a="1"/>
  <c r="G47" i="67" a="1"/>
  <c r="G42" i="67" a="1"/>
  <c r="G30" i="67" a="1"/>
  <c r="G12" i="67" a="1"/>
  <c r="F18" i="67" a="1"/>
  <c r="F16" i="67" a="1"/>
  <c r="I11" i="67" a="1"/>
  <c r="I9" i="67" a="1"/>
  <c r="G15" i="67" a="1"/>
  <c r="I46" i="67" a="1"/>
  <c r="I45" i="67" a="1"/>
  <c r="I41" i="67" a="1"/>
  <c r="I40" i="67" a="1"/>
  <c r="I39" i="67" a="1"/>
  <c r="I38" i="67" a="1"/>
  <c r="I37" i="67" a="1"/>
  <c r="I36" i="67" a="1"/>
  <c r="I34" i="67" a="1"/>
  <c r="D34" i="67" a="1"/>
  <c r="F33" i="67" a="1"/>
  <c r="F32" i="67" a="1"/>
  <c r="I29" i="67" a="1"/>
  <c r="I28" i="67" a="1"/>
  <c r="I27" i="67" a="1"/>
  <c r="I26" i="67" a="1"/>
  <c r="I25" i="67" a="1"/>
  <c r="I24" i="67" a="1"/>
  <c r="I23" i="67" a="1"/>
  <c r="I21" i="67" a="1"/>
  <c r="D21" i="67" a="1"/>
  <c r="F20" i="67" a="1"/>
  <c r="F19" i="67" a="1"/>
  <c r="F17" i="67" a="1"/>
  <c r="F15" i="67" a="1"/>
  <c r="I10" i="67" a="1"/>
  <c r="I8" i="67" a="1"/>
  <c r="G8" i="67" a="1"/>
  <c r="F47" i="67" a="1"/>
  <c r="F42" i="67" a="1"/>
  <c r="F30" i="67" a="1"/>
  <c r="F12" i="67" a="1"/>
  <c r="D19" i="67" a="1"/>
  <c r="D16" i="67" a="1"/>
  <c r="G10" i="67" a="1"/>
  <c r="G46" i="67" a="1"/>
  <c r="G45" i="67" a="1"/>
  <c r="G41" i="67" a="1"/>
  <c r="G40" i="67" a="1"/>
  <c r="G39" i="67" a="1"/>
  <c r="G38" i="67" a="1"/>
  <c r="G37" i="67" a="1"/>
  <c r="G36" i="67" a="1"/>
  <c r="D33" i="67" a="1"/>
  <c r="D32" i="67" a="1"/>
  <c r="G29" i="67" a="1"/>
  <c r="G28" i="67" a="1"/>
  <c r="G27" i="67" a="1"/>
  <c r="G26" i="67" a="1"/>
  <c r="G25" i="67" a="1"/>
  <c r="G24" i="67" a="1"/>
  <c r="G23" i="67" a="1"/>
  <c r="D20" i="67" a="1"/>
  <c r="D18" i="67" a="1"/>
  <c r="D17" i="67" a="1"/>
  <c r="D15" i="67" a="1"/>
  <c r="G11" i="67" a="1"/>
  <c r="G9" i="67" a="1"/>
  <c r="G34" i="67" a="1"/>
  <c r="G21" i="67" a="1"/>
  <c r="I20" i="67" a="1"/>
  <c r="I16" i="67" a="1"/>
  <c r="I12" i="67" a="1"/>
  <c r="F11" i="67" a="1"/>
  <c r="F9" i="67" a="1"/>
  <c r="D11" i="67" a="1"/>
  <c r="I47" i="67" a="1"/>
  <c r="D47" i="67" a="1"/>
  <c r="F46" i="67" a="1"/>
  <c r="F45" i="67" a="1"/>
  <c r="I42" i="67" a="1"/>
  <c r="D42" i="67" a="1"/>
  <c r="F41" i="67" a="1"/>
  <c r="F40" i="67" a="1"/>
  <c r="F39" i="67" a="1"/>
  <c r="F38" i="67" a="1"/>
  <c r="F37" i="67" a="1"/>
  <c r="F36" i="67" a="1"/>
  <c r="I33" i="67" a="1"/>
  <c r="I32" i="67" a="1"/>
  <c r="I30" i="67" a="1"/>
  <c r="D30" i="67" a="1"/>
  <c r="F29" i="67" a="1"/>
  <c r="F28" i="67" a="1"/>
  <c r="F27" i="67" a="1"/>
  <c r="F26" i="67" a="1"/>
  <c r="F25" i="67" a="1"/>
  <c r="F24" i="67" a="1"/>
  <c r="F23" i="67" a="1"/>
  <c r="I19" i="67" a="1"/>
  <c r="I18" i="67" a="1"/>
  <c r="I17" i="67" a="1"/>
  <c r="I15" i="67" a="1"/>
  <c r="D12" i="67" a="1"/>
  <c r="F10" i="67" a="1"/>
  <c r="F8" i="67" a="1"/>
  <c r="D10" i="67" a="1"/>
  <c r="F34" i="67" a="1"/>
  <c r="F21" i="67" a="1"/>
  <c r="G17" i="67" a="1"/>
  <c r="D9" i="67" a="1"/>
  <c r="D46" i="67" a="1"/>
  <c r="D45" i="67" a="1"/>
  <c r="D41" i="67" a="1"/>
  <c r="D40" i="67" a="1"/>
  <c r="D39" i="67" a="1"/>
  <c r="D38" i="67" a="1"/>
  <c r="D37" i="67" a="1"/>
  <c r="D36" i="67" a="1"/>
  <c r="G33" i="67" a="1"/>
  <c r="G32" i="67" a="1"/>
  <c r="D29" i="67" a="1"/>
  <c r="D28" i="67" a="1"/>
  <c r="D27" i="67" a="1"/>
  <c r="D26" i="67" a="1"/>
  <c r="D25" i="67" a="1"/>
  <c r="D24" i="67" a="1"/>
  <c r="D23" i="67" a="1"/>
  <c r="G20" i="67" a="1"/>
  <c r="G19" i="67" a="1"/>
  <c r="G18" i="67" a="1"/>
  <c r="G16" i="67" a="1"/>
  <c r="D8" i="67" a="1"/>
  <c r="G47" i="66" a="1"/>
  <c r="G42" i="66" a="1"/>
  <c r="G30" i="66" a="1"/>
  <c r="G12" i="66" a="1"/>
  <c r="F19" i="66" a="1"/>
  <c r="F16" i="66" a="1"/>
  <c r="I11" i="66" a="1"/>
  <c r="I9" i="66" a="1"/>
  <c r="D36" i="66" a="1"/>
  <c r="D25" i="66" a="1"/>
  <c r="G17" i="66" a="1"/>
  <c r="D11" i="66" a="1"/>
  <c r="I46" i="66" a="1"/>
  <c r="I45" i="66" a="1"/>
  <c r="I41" i="66" a="1"/>
  <c r="I40" i="66" a="1"/>
  <c r="I39" i="66" a="1"/>
  <c r="I38" i="66" a="1"/>
  <c r="I37" i="66" a="1"/>
  <c r="I36" i="66" a="1"/>
  <c r="I34" i="66" a="1"/>
  <c r="D34" i="66" a="1"/>
  <c r="F33" i="66" a="1"/>
  <c r="F32" i="66" a="1"/>
  <c r="I29" i="66" a="1"/>
  <c r="I28" i="66" a="1"/>
  <c r="I27" i="66" a="1"/>
  <c r="I26" i="66" a="1"/>
  <c r="I25" i="66" a="1"/>
  <c r="I24" i="66" a="1"/>
  <c r="I23" i="66" a="1"/>
  <c r="I21" i="66" a="1"/>
  <c r="D21" i="66" a="1"/>
  <c r="F20" i="66" a="1"/>
  <c r="F18" i="66" a="1"/>
  <c r="F17" i="66" a="1"/>
  <c r="F15" i="66" a="1"/>
  <c r="I10" i="66" a="1"/>
  <c r="I8" i="66" a="1"/>
  <c r="G8" i="66" a="1"/>
  <c r="F11" i="66" a="1"/>
  <c r="D40" i="66" a="1"/>
  <c r="G33" i="66" a="1"/>
  <c r="D28" i="66" a="1"/>
  <c r="G20" i="66" a="1"/>
  <c r="G15" i="66" a="1"/>
  <c r="F47" i="66" a="1"/>
  <c r="F42" i="66" a="1"/>
  <c r="F30" i="66" a="1"/>
  <c r="F12" i="66" a="1"/>
  <c r="D20" i="66" a="1"/>
  <c r="D18" i="66" a="1"/>
  <c r="D15" i="66" a="1"/>
  <c r="G11" i="66" a="1"/>
  <c r="G9" i="66" a="1"/>
  <c r="D12" i="66" a="1"/>
  <c r="F8" i="66" a="1"/>
  <c r="D46" i="66" a="1"/>
  <c r="D39" i="66" a="1"/>
  <c r="G32" i="66" a="1"/>
  <c r="D26" i="66" a="1"/>
  <c r="G19" i="66" a="1"/>
  <c r="G46" i="66" a="1"/>
  <c r="G45" i="66" a="1"/>
  <c r="G41" i="66" a="1"/>
  <c r="G40" i="66" a="1"/>
  <c r="G39" i="66" a="1"/>
  <c r="G38" i="66" a="1"/>
  <c r="G37" i="66" a="1"/>
  <c r="G36" i="66" a="1"/>
  <c r="D33" i="66" a="1"/>
  <c r="D32" i="66" a="1"/>
  <c r="G29" i="66" a="1"/>
  <c r="G28" i="66" a="1"/>
  <c r="G27" i="66" a="1"/>
  <c r="G26" i="66" a="1"/>
  <c r="G25" i="66" a="1"/>
  <c r="G24" i="66" a="1"/>
  <c r="G23" i="66" a="1"/>
  <c r="D19" i="66" a="1"/>
  <c r="D17" i="66" a="1"/>
  <c r="D16" i="66" a="1"/>
  <c r="G10" i="66" a="1"/>
  <c r="D41" i="66" a="1"/>
  <c r="D38" i="66" a="1"/>
  <c r="D23" i="66" a="1"/>
  <c r="G16" i="66" a="1"/>
  <c r="D8" i="66" a="1"/>
  <c r="G34" i="66" a="1"/>
  <c r="G21" i="66" a="1"/>
  <c r="F28" i="66" a="1"/>
  <c r="F24" i="66" a="1"/>
  <c r="I19" i="66" a="1"/>
  <c r="I17" i="66" a="1"/>
  <c r="I15" i="66" a="1"/>
  <c r="F9" i="66" a="1"/>
  <c r="D24" i="66" a="1"/>
  <c r="I47" i="66" a="1"/>
  <c r="D47" i="66" a="1"/>
  <c r="F46" i="66" a="1"/>
  <c r="F45" i="66" a="1"/>
  <c r="I42" i="66" a="1"/>
  <c r="D42" i="66" a="1"/>
  <c r="F41" i="66" a="1"/>
  <c r="F40" i="66" a="1"/>
  <c r="F39" i="66" a="1"/>
  <c r="F38" i="66" a="1"/>
  <c r="F37" i="66" a="1"/>
  <c r="F36" i="66" a="1"/>
  <c r="I33" i="66" a="1"/>
  <c r="I32" i="66" a="1"/>
  <c r="I30" i="66" a="1"/>
  <c r="D30" i="66" a="1"/>
  <c r="F29" i="66" a="1"/>
  <c r="F27" i="66" a="1"/>
  <c r="F26" i="66" a="1"/>
  <c r="F25" i="66" a="1"/>
  <c r="F23" i="66" a="1"/>
  <c r="I20" i="66" a="1"/>
  <c r="I18" i="66" a="1"/>
  <c r="I16" i="66" a="1"/>
  <c r="I12" i="66" a="1"/>
  <c r="F10" i="66" a="1"/>
  <c r="D45" i="66" a="1"/>
  <c r="D29" i="66" a="1"/>
  <c r="D10" i="66" a="1"/>
  <c r="F34" i="66" a="1"/>
  <c r="F21" i="66" a="1"/>
  <c r="D37" i="66" a="1"/>
  <c r="D27" i="66" a="1"/>
  <c r="G18" i="66" a="1"/>
  <c r="D9" i="66" a="1"/>
  <c r="G47" i="65" a="1"/>
  <c r="G42" i="65" a="1"/>
  <c r="G30" i="65" a="1"/>
  <c r="G12" i="65" a="1"/>
  <c r="I26" i="65" a="1"/>
  <c r="I23" i="65" a="1"/>
  <c r="D21" i="65" a="1"/>
  <c r="F19" i="65" a="1"/>
  <c r="F17" i="65" a="1"/>
  <c r="F15" i="65" a="1"/>
  <c r="I10" i="65" a="1"/>
  <c r="I8" i="65" a="1"/>
  <c r="D19" i="65" a="1"/>
  <c r="D15" i="65" a="1"/>
  <c r="G10" i="65" a="1"/>
  <c r="D46" i="65" a="1"/>
  <c r="G17" i="65" a="1"/>
  <c r="D9" i="65" a="1"/>
  <c r="I46" i="65" a="1"/>
  <c r="I45" i="65" a="1"/>
  <c r="I41" i="65" a="1"/>
  <c r="I40" i="65" a="1"/>
  <c r="I39" i="65" a="1"/>
  <c r="I38" i="65" a="1"/>
  <c r="I37" i="65" a="1"/>
  <c r="I36" i="65" a="1"/>
  <c r="I34" i="65" a="1"/>
  <c r="D34" i="65" a="1"/>
  <c r="F33" i="65" a="1"/>
  <c r="F32" i="65" a="1"/>
  <c r="I29" i="65" a="1"/>
  <c r="I28" i="65" a="1"/>
  <c r="I27" i="65" a="1"/>
  <c r="I25" i="65" a="1"/>
  <c r="I24" i="65" a="1"/>
  <c r="I21" i="65" a="1"/>
  <c r="F20" i="65" a="1"/>
  <c r="F18" i="65" a="1"/>
  <c r="F16" i="65" a="1"/>
  <c r="I11" i="65" a="1"/>
  <c r="I9" i="65" a="1"/>
  <c r="D41" i="65" a="1"/>
  <c r="D27" i="65" a="1"/>
  <c r="G20" i="65" a="1"/>
  <c r="D10" i="65" a="1"/>
  <c r="F47" i="65" a="1"/>
  <c r="F42" i="65" a="1"/>
  <c r="F30" i="65" a="1"/>
  <c r="F12" i="65" a="1"/>
  <c r="D18" i="65" a="1"/>
  <c r="D16" i="65" a="1"/>
  <c r="G11" i="65" a="1"/>
  <c r="G8" i="65" a="1"/>
  <c r="D36" i="65" a="1"/>
  <c r="D26" i="65" a="1"/>
  <c r="G16" i="65" a="1"/>
  <c r="G46" i="65" a="1"/>
  <c r="G45" i="65" a="1"/>
  <c r="G41" i="65" a="1"/>
  <c r="G40" i="65" a="1"/>
  <c r="G39" i="65" a="1"/>
  <c r="G38" i="65" a="1"/>
  <c r="G37" i="65" a="1"/>
  <c r="G36" i="65" a="1"/>
  <c r="D33" i="65" a="1"/>
  <c r="D32" i="65" a="1"/>
  <c r="G29" i="65" a="1"/>
  <c r="G28" i="65" a="1"/>
  <c r="G27" i="65" a="1"/>
  <c r="G26" i="65" a="1"/>
  <c r="G25" i="65" a="1"/>
  <c r="G24" i="65" a="1"/>
  <c r="G23" i="65" a="1"/>
  <c r="D20" i="65" a="1"/>
  <c r="D17" i="65" a="1"/>
  <c r="G9" i="65" a="1"/>
  <c r="D39" i="65" a="1"/>
  <c r="G33" i="65" a="1"/>
  <c r="D28" i="65" a="1"/>
  <c r="D23" i="65" a="1"/>
  <c r="G18" i="65" a="1"/>
  <c r="D8" i="65" a="1"/>
  <c r="G34" i="65" a="1"/>
  <c r="G21" i="65" a="1"/>
  <c r="F39" i="65" a="1"/>
  <c r="I32" i="65" a="1"/>
  <c r="D30" i="65" a="1"/>
  <c r="F28" i="65" a="1"/>
  <c r="F26" i="65" a="1"/>
  <c r="F24" i="65" a="1"/>
  <c r="I19" i="65" a="1"/>
  <c r="I18" i="65" a="1"/>
  <c r="I16" i="65" a="1"/>
  <c r="I12" i="65" a="1"/>
  <c r="F11" i="65" a="1"/>
  <c r="F9" i="65" a="1"/>
  <c r="F8" i="65" a="1"/>
  <c r="D24" i="65" a="1"/>
  <c r="D11" i="65" a="1"/>
  <c r="I47" i="65" a="1"/>
  <c r="D47" i="65" a="1"/>
  <c r="F46" i="65" a="1"/>
  <c r="F45" i="65" a="1"/>
  <c r="I42" i="65" a="1"/>
  <c r="D42" i="65" a="1"/>
  <c r="F41" i="65" a="1"/>
  <c r="F40" i="65" a="1"/>
  <c r="F38" i="65" a="1"/>
  <c r="F37" i="65" a="1"/>
  <c r="F36" i="65" a="1"/>
  <c r="I33" i="65" a="1"/>
  <c r="I30" i="65" a="1"/>
  <c r="F29" i="65" a="1"/>
  <c r="F27" i="65" a="1"/>
  <c r="F25" i="65" a="1"/>
  <c r="F23" i="65" a="1"/>
  <c r="I20" i="65" a="1"/>
  <c r="I17" i="65" a="1"/>
  <c r="I15" i="65" a="1"/>
  <c r="D12" i="65" a="1"/>
  <c r="F10" i="65" a="1"/>
  <c r="D37" i="65" a="1"/>
  <c r="D29" i="65" a="1"/>
  <c r="F34" i="65" a="1"/>
  <c r="F21" i="65" a="1"/>
  <c r="D45" i="65" a="1"/>
  <c r="D40" i="65" a="1"/>
  <c r="D38" i="65" a="1"/>
  <c r="G32" i="65" a="1"/>
  <c r="D25" i="65" a="1"/>
  <c r="G19" i="65" a="1"/>
  <c r="G15" i="65" a="1"/>
  <c r="G47" i="64" a="1"/>
  <c r="G42" i="64" a="1"/>
  <c r="G30" i="64" a="1"/>
  <c r="I38" i="64" a="1"/>
  <c r="I34" i="64" a="1"/>
  <c r="I26" i="64" a="1"/>
  <c r="F19" i="64" a="1"/>
  <c r="I10" i="64" a="1"/>
  <c r="I46" i="64" a="1"/>
  <c r="I45" i="64" a="1"/>
  <c r="F47" i="64" a="1"/>
  <c r="F42" i="64" a="1"/>
  <c r="F30" i="64" a="1"/>
  <c r="F12" i="64" a="1"/>
  <c r="G32" i="64" a="1"/>
  <c r="D24" i="64" a="1"/>
  <c r="G18" i="64" a="1"/>
  <c r="I36" i="64" a="1"/>
  <c r="I27" i="64" a="1"/>
  <c r="I21" i="64" a="1"/>
  <c r="F15" i="64" a="1"/>
  <c r="G46" i="64" a="1"/>
  <c r="G45" i="64" a="1"/>
  <c r="G41" i="64" a="1"/>
  <c r="G40" i="64" a="1"/>
  <c r="G39" i="64" a="1"/>
  <c r="G38" i="64" a="1"/>
  <c r="G37" i="64" a="1"/>
  <c r="G36" i="64" a="1"/>
  <c r="D33" i="64" a="1"/>
  <c r="D32" i="64" a="1"/>
  <c r="G29" i="64" a="1"/>
  <c r="G28" i="64" a="1"/>
  <c r="G27" i="64" a="1"/>
  <c r="G26" i="64" a="1"/>
  <c r="G25" i="64" a="1"/>
  <c r="G24" i="64" a="1"/>
  <c r="G23" i="64" a="1"/>
  <c r="D20" i="64" a="1"/>
  <c r="D19" i="64" a="1"/>
  <c r="D18" i="64" a="1"/>
  <c r="D17" i="64" a="1"/>
  <c r="D16" i="64" a="1"/>
  <c r="D15" i="64" a="1"/>
  <c r="G11" i="64" a="1"/>
  <c r="G10" i="64" a="1"/>
  <c r="G9" i="64" a="1"/>
  <c r="G8" i="64" a="1"/>
  <c r="G34" i="64" a="1"/>
  <c r="G21" i="64" a="1"/>
  <c r="G33" i="64" a="1"/>
  <c r="D29" i="64" a="1"/>
  <c r="D25" i="64" a="1"/>
  <c r="G17" i="64" a="1"/>
  <c r="D11" i="64" a="1"/>
  <c r="I41" i="64" a="1"/>
  <c r="D34" i="64" a="1"/>
  <c r="I28" i="64" a="1"/>
  <c r="I23" i="64" a="1"/>
  <c r="F17" i="64" a="1"/>
  <c r="I9" i="64" a="1"/>
  <c r="D26" i="64" a="1"/>
  <c r="G16" i="64" a="1"/>
  <c r="D8" i="64" a="1"/>
  <c r="F33" i="64" a="1"/>
  <c r="I24" i="64" a="1"/>
  <c r="F18" i="64" a="1"/>
  <c r="I11" i="64" a="1"/>
  <c r="I47" i="64" a="1"/>
  <c r="D47" i="64" a="1"/>
  <c r="F46" i="64" a="1"/>
  <c r="F45" i="64" a="1"/>
  <c r="I42" i="64" a="1"/>
  <c r="D42" i="64" a="1"/>
  <c r="F41" i="64" a="1"/>
  <c r="F40" i="64" a="1"/>
  <c r="F39" i="64" a="1"/>
  <c r="F38" i="64" a="1"/>
  <c r="F37" i="64" a="1"/>
  <c r="F36" i="64" a="1"/>
  <c r="I33" i="64" a="1"/>
  <c r="I32" i="64" a="1"/>
  <c r="I30" i="64" a="1"/>
  <c r="D30" i="64" a="1"/>
  <c r="F29" i="64" a="1"/>
  <c r="F28" i="64" a="1"/>
  <c r="F27" i="64" a="1"/>
  <c r="F26" i="64" a="1"/>
  <c r="F25" i="64" a="1"/>
  <c r="F24" i="64" a="1"/>
  <c r="F23" i="64" a="1"/>
  <c r="I20" i="64" a="1"/>
  <c r="I19" i="64" a="1"/>
  <c r="I18" i="64" a="1"/>
  <c r="I17" i="64" a="1"/>
  <c r="I16" i="64" a="1"/>
  <c r="I15" i="64" a="1"/>
  <c r="I12" i="64" a="1"/>
  <c r="D12" i="64" a="1"/>
  <c r="F11" i="64" a="1"/>
  <c r="F10" i="64" a="1"/>
  <c r="F9" i="64" a="1"/>
  <c r="F8" i="64" a="1"/>
  <c r="D36" i="64" a="1"/>
  <c r="D28" i="64" a="1"/>
  <c r="G20" i="64" a="1"/>
  <c r="D9" i="64" a="1"/>
  <c r="I39" i="64" a="1"/>
  <c r="I29" i="64" a="1"/>
  <c r="F20" i="64" a="1"/>
  <c r="F34" i="64" a="1"/>
  <c r="F21" i="64" a="1"/>
  <c r="D46" i="64" a="1"/>
  <c r="D45" i="64" a="1"/>
  <c r="D41" i="64" a="1"/>
  <c r="D40" i="64" a="1"/>
  <c r="D39" i="64" a="1"/>
  <c r="D38" i="64" a="1"/>
  <c r="D37" i="64" a="1"/>
  <c r="D27" i="64" a="1"/>
  <c r="D23" i="64" a="1"/>
  <c r="G19" i="64" a="1"/>
  <c r="G15" i="64" a="1"/>
  <c r="D10" i="64" a="1"/>
  <c r="G12" i="64" a="1"/>
  <c r="I40" i="64" a="1"/>
  <c r="I37" i="64" a="1"/>
  <c r="F32" i="64" a="1"/>
  <c r="I25" i="64" a="1"/>
  <c r="D21" i="64" a="1"/>
  <c r="F16" i="64" a="1"/>
  <c r="I8" i="64" a="1"/>
  <c r="G47" i="63" a="1"/>
  <c r="G42" i="63" a="1"/>
  <c r="G30" i="63" a="1"/>
  <c r="G12" i="63" a="1"/>
  <c r="I25" i="63" a="1"/>
  <c r="I21" i="63" a="1"/>
  <c r="F20" i="63" a="1"/>
  <c r="F18" i="63" a="1"/>
  <c r="F16" i="63" a="1"/>
  <c r="I11" i="63" a="1"/>
  <c r="I9" i="63" a="1"/>
  <c r="D8" i="63" a="1"/>
  <c r="I46" i="63" a="1"/>
  <c r="I45" i="63" a="1"/>
  <c r="I41" i="63" a="1"/>
  <c r="I40" i="63" a="1"/>
  <c r="I39" i="63" a="1"/>
  <c r="I38" i="63" a="1"/>
  <c r="I37" i="63" a="1"/>
  <c r="I36" i="63" a="1"/>
  <c r="I34" i="63" a="1"/>
  <c r="D34" i="63" a="1"/>
  <c r="F33" i="63" a="1"/>
  <c r="F32" i="63" a="1"/>
  <c r="I29" i="63" a="1"/>
  <c r="I28" i="63" a="1"/>
  <c r="I27" i="63" a="1"/>
  <c r="I26" i="63" a="1"/>
  <c r="I24" i="63" a="1"/>
  <c r="I23" i="63" a="1"/>
  <c r="D21" i="63" a="1"/>
  <c r="F19" i="63" a="1"/>
  <c r="F17" i="63" a="1"/>
  <c r="F15" i="63" a="1"/>
  <c r="I10" i="63" a="1"/>
  <c r="I8" i="63" a="1"/>
  <c r="D20" i="63" a="1"/>
  <c r="D15" i="63" a="1"/>
  <c r="G10" i="63" a="1"/>
  <c r="F47" i="63" a="1"/>
  <c r="F42" i="63" a="1"/>
  <c r="F30" i="63" a="1"/>
  <c r="F12" i="63" a="1"/>
  <c r="D19" i="63" a="1"/>
  <c r="D17" i="63" a="1"/>
  <c r="G9" i="63" a="1"/>
  <c r="G46" i="63" a="1"/>
  <c r="G45" i="63" a="1"/>
  <c r="G41" i="63" a="1"/>
  <c r="G40" i="63" a="1"/>
  <c r="G39" i="63" a="1"/>
  <c r="G38" i="63" a="1"/>
  <c r="G37" i="63" a="1"/>
  <c r="G36" i="63" a="1"/>
  <c r="D33" i="63" a="1"/>
  <c r="D32" i="63" a="1"/>
  <c r="G29" i="63" a="1"/>
  <c r="G28" i="63" a="1"/>
  <c r="G27" i="63" a="1"/>
  <c r="G26" i="63" a="1"/>
  <c r="G25" i="63" a="1"/>
  <c r="G24" i="63" a="1"/>
  <c r="G23" i="63" a="1"/>
  <c r="D18" i="63" a="1"/>
  <c r="D16" i="63" a="1"/>
  <c r="G11" i="63" a="1"/>
  <c r="G8" i="63" a="1"/>
  <c r="D9" i="63" a="1"/>
  <c r="G34" i="63" a="1"/>
  <c r="G21" i="63" a="1"/>
  <c r="F29" i="63" a="1"/>
  <c r="F26" i="63" a="1"/>
  <c r="F24" i="63" a="1"/>
  <c r="I20" i="63" a="1"/>
  <c r="I18" i="63" a="1"/>
  <c r="I16" i="63" a="1"/>
  <c r="I12" i="63" a="1"/>
  <c r="F11" i="63" a="1"/>
  <c r="F9" i="63" a="1"/>
  <c r="G20" i="63" a="1"/>
  <c r="D10" i="63" a="1"/>
  <c r="I47" i="63" a="1"/>
  <c r="D47" i="63" a="1"/>
  <c r="F46" i="63" a="1"/>
  <c r="F45" i="63" a="1"/>
  <c r="I42" i="63" a="1"/>
  <c r="D42" i="63" a="1"/>
  <c r="F41" i="63" a="1"/>
  <c r="F40" i="63" a="1"/>
  <c r="F39" i="63" a="1"/>
  <c r="F38" i="63" a="1"/>
  <c r="F37" i="63" a="1"/>
  <c r="F36" i="63" a="1"/>
  <c r="I33" i="63" a="1"/>
  <c r="I32" i="63" a="1"/>
  <c r="I30" i="63" a="1"/>
  <c r="D30" i="63" a="1"/>
  <c r="F28" i="63" a="1"/>
  <c r="F27" i="63" a="1"/>
  <c r="F25" i="63" a="1"/>
  <c r="F23" i="63" a="1"/>
  <c r="I19" i="63" a="1"/>
  <c r="I17" i="63" a="1"/>
  <c r="I15" i="63" a="1"/>
  <c r="D12" i="63" a="1"/>
  <c r="F10" i="63" a="1"/>
  <c r="F8" i="63" a="1"/>
  <c r="G18" i="63" a="1"/>
  <c r="F34" i="63" a="1"/>
  <c r="F21" i="63" a="1"/>
  <c r="D27" i="63" a="1"/>
  <c r="G17" i="63" a="1"/>
  <c r="G16" i="63" a="1"/>
  <c r="D11" i="63" a="1"/>
  <c r="D46" i="63" a="1"/>
  <c r="D45" i="63" a="1"/>
  <c r="D41" i="63" a="1"/>
  <c r="D40" i="63" a="1"/>
  <c r="D39" i="63" a="1"/>
  <c r="D38" i="63" a="1"/>
  <c r="D37" i="63" a="1"/>
  <c r="D36" i="63" a="1"/>
  <c r="G33" i="63" a="1"/>
  <c r="G32" i="63" a="1"/>
  <c r="D29" i="63" a="1"/>
  <c r="D28" i="63" a="1"/>
  <c r="D26" i="63" a="1"/>
  <c r="D25" i="63" a="1"/>
  <c r="D24" i="63" a="1"/>
  <c r="D23" i="63" a="1"/>
  <c r="G19" i="63" a="1"/>
  <c r="G15" i="63" a="1"/>
  <c r="C43" i="65" l="1"/>
  <c r="C48" i="65" s="1"/>
  <c r="C43" i="64"/>
  <c r="C48" i="64" s="1"/>
  <c r="C43" i="68"/>
  <c r="C48" i="68" s="1"/>
  <c r="C43" i="71"/>
  <c r="C48" i="71" s="1"/>
  <c r="C43" i="66"/>
  <c r="C48" i="66" s="1"/>
  <c r="C43" i="63"/>
  <c r="C48" i="63" s="1"/>
  <c r="C43" i="67"/>
  <c r="C48" i="67" s="1"/>
  <c r="C43" i="69"/>
  <c r="C48" i="69" s="1"/>
  <c r="C43" i="70"/>
  <c r="C48" i="70" s="1"/>
  <c r="C43" i="72"/>
  <c r="C43" i="73"/>
  <c r="C48" i="73" s="1"/>
  <c r="C43" i="74"/>
  <c r="C48" i="74" s="1"/>
  <c r="C43" i="75"/>
  <c r="C48" i="75" s="1"/>
  <c r="C43" i="76"/>
  <c r="C48" i="76" s="1"/>
  <c r="H43" i="64"/>
  <c r="H48" i="64" s="1"/>
  <c r="H43" i="70"/>
  <c r="H48" i="70" s="1"/>
  <c r="C43" i="77"/>
  <c r="C48" i="77" s="1"/>
  <c r="B43" i="64"/>
  <c r="B48" i="64" s="1"/>
  <c r="B43" i="70"/>
  <c r="B48" i="70" s="1"/>
  <c r="C43" i="78"/>
  <c r="C48" i="78" s="1"/>
  <c r="C43" i="79"/>
  <c r="C48" i="79" s="1"/>
  <c r="C43" i="80"/>
  <c r="C48" i="80" s="1"/>
  <c r="E43" i="64"/>
  <c r="E43" i="70"/>
  <c r="H43" i="80"/>
  <c r="H48" i="80" s="1"/>
  <c r="E43" i="80"/>
  <c r="E48" i="80" s="1"/>
  <c r="B43" i="80"/>
  <c r="H43" i="78"/>
  <c r="H48" i="78" s="1"/>
  <c r="E43" i="78"/>
  <c r="B43" i="78"/>
  <c r="H43" i="75"/>
  <c r="H48" i="75" s="1"/>
  <c r="E43" i="75"/>
  <c r="B43" i="75"/>
  <c r="H43" i="72"/>
  <c r="H48" i="72" s="1"/>
  <c r="E43" i="72"/>
  <c r="E48" i="72" s="1"/>
  <c r="B43" i="72"/>
  <c r="B48" i="72" s="1"/>
  <c r="H43" i="67"/>
  <c r="H48" i="67" s="1"/>
  <c r="E43" i="67"/>
  <c r="B43" i="67"/>
  <c r="H43" i="76"/>
  <c r="H48" i="76" s="1"/>
  <c r="E43" i="76"/>
  <c r="E48" i="76" s="1"/>
  <c r="B43" i="76"/>
  <c r="H43" i="68"/>
  <c r="H48" i="68" s="1"/>
  <c r="E43" i="68"/>
  <c r="B43" i="68"/>
  <c r="B48" i="68" s="1"/>
  <c r="H43" i="71"/>
  <c r="H48" i="71" s="1"/>
  <c r="E43" i="71"/>
  <c r="E48" i="71" s="1"/>
  <c r="B43" i="71"/>
  <c r="B48" i="71" s="1"/>
  <c r="H43" i="79"/>
  <c r="H48" i="79" s="1"/>
  <c r="E43" i="79"/>
  <c r="E48" i="79" s="1"/>
  <c r="B43" i="79"/>
  <c r="H43" i="63"/>
  <c r="H48" i="63" s="1"/>
  <c r="E43" i="63"/>
  <c r="E48" i="63" s="1"/>
  <c r="B43" i="63"/>
  <c r="H43" i="74"/>
  <c r="H48" i="74" s="1"/>
  <c r="E43" i="74"/>
  <c r="E48" i="74" s="1"/>
  <c r="B43" i="74"/>
  <c r="B48" i="74" s="1"/>
  <c r="H43" i="69"/>
  <c r="H48" i="69" s="1"/>
  <c r="E43" i="69"/>
  <c r="E48" i="69" s="1"/>
  <c r="B43" i="69"/>
  <c r="B48" i="69" s="1"/>
  <c r="H43" i="77"/>
  <c r="H48" i="77" s="1"/>
  <c r="E43" i="77"/>
  <c r="E48" i="77" s="1"/>
  <c r="B43" i="77"/>
  <c r="H43" i="66"/>
  <c r="H48" i="66" s="1"/>
  <c r="E43" i="66"/>
  <c r="E48" i="66" s="1"/>
  <c r="B43" i="66"/>
  <c r="B48" i="66" s="1"/>
  <c r="H43" i="73"/>
  <c r="H48" i="73" s="1"/>
  <c r="E43" i="73"/>
  <c r="E48" i="73" s="1"/>
  <c r="B43" i="73"/>
  <c r="B48" i="73" s="1"/>
  <c r="H43" i="65"/>
  <c r="H48" i="65" s="1"/>
  <c r="E43" i="65"/>
  <c r="E48" i="65" s="1"/>
  <c r="B43" i="65"/>
  <c r="B48" i="65" s="1"/>
  <c r="F30" i="80"/>
  <c r="F42" i="80"/>
  <c r="F47" i="80"/>
  <c r="I9" i="80"/>
  <c r="I11" i="80"/>
  <c r="F16" i="80"/>
  <c r="F19" i="80"/>
  <c r="D21" i="80"/>
  <c r="I23" i="80"/>
  <c r="I25" i="80"/>
  <c r="I27" i="80"/>
  <c r="I29" i="80"/>
  <c r="F33" i="80"/>
  <c r="I34" i="80"/>
  <c r="I36" i="80"/>
  <c r="I38" i="80"/>
  <c r="I39" i="80"/>
  <c r="I40" i="80"/>
  <c r="I41" i="80"/>
  <c r="I45" i="80"/>
  <c r="I46" i="80"/>
  <c r="D8" i="80"/>
  <c r="D9" i="80"/>
  <c r="D10" i="80"/>
  <c r="D11" i="80"/>
  <c r="G15" i="80"/>
  <c r="G16" i="80"/>
  <c r="G17" i="80"/>
  <c r="G18" i="80"/>
  <c r="G19" i="80"/>
  <c r="G20" i="80"/>
  <c r="D23" i="80"/>
  <c r="D24" i="80"/>
  <c r="D25" i="80"/>
  <c r="D26" i="80"/>
  <c r="D27" i="80"/>
  <c r="D28" i="80"/>
  <c r="D29" i="80"/>
  <c r="G32" i="80"/>
  <c r="G33" i="80"/>
  <c r="D36" i="80"/>
  <c r="D37" i="80"/>
  <c r="D38" i="80"/>
  <c r="D39" i="80"/>
  <c r="D40" i="80"/>
  <c r="D41" i="80"/>
  <c r="D45" i="80"/>
  <c r="D46" i="80"/>
  <c r="F21" i="80"/>
  <c r="F34" i="80"/>
  <c r="F9" i="80"/>
  <c r="F11" i="80"/>
  <c r="I12" i="80"/>
  <c r="I16" i="80"/>
  <c r="I18" i="80"/>
  <c r="I20" i="80"/>
  <c r="F23" i="80"/>
  <c r="F26" i="80"/>
  <c r="F28" i="80"/>
  <c r="D30" i="80"/>
  <c r="I32" i="80"/>
  <c r="F36" i="80"/>
  <c r="I42" i="80"/>
  <c r="G21" i="80"/>
  <c r="G34" i="80"/>
  <c r="F8" i="80"/>
  <c r="F10" i="80"/>
  <c r="D12" i="80"/>
  <c r="I15" i="80"/>
  <c r="I17" i="80"/>
  <c r="I19" i="80"/>
  <c r="F24" i="80"/>
  <c r="F25" i="80"/>
  <c r="F27" i="80"/>
  <c r="F29" i="80"/>
  <c r="I30" i="80"/>
  <c r="I33" i="80"/>
  <c r="F37" i="80"/>
  <c r="F38" i="80"/>
  <c r="F39" i="80"/>
  <c r="F40" i="80"/>
  <c r="F41" i="80"/>
  <c r="D42" i="80"/>
  <c r="F45" i="80"/>
  <c r="F46" i="80"/>
  <c r="D47" i="80"/>
  <c r="I47" i="80"/>
  <c r="G8" i="80"/>
  <c r="G9" i="80"/>
  <c r="G10" i="80"/>
  <c r="G11" i="80"/>
  <c r="D15" i="80"/>
  <c r="D16" i="80"/>
  <c r="D17" i="80"/>
  <c r="D18" i="80"/>
  <c r="D19" i="80"/>
  <c r="D20" i="80"/>
  <c r="G23" i="80"/>
  <c r="G24" i="80"/>
  <c r="G25" i="80"/>
  <c r="G26" i="80"/>
  <c r="G27" i="80"/>
  <c r="G28" i="80"/>
  <c r="G29" i="80"/>
  <c r="D32" i="80"/>
  <c r="D33" i="80"/>
  <c r="G36" i="80"/>
  <c r="G37" i="80"/>
  <c r="G38" i="80"/>
  <c r="G39" i="80"/>
  <c r="G40" i="80"/>
  <c r="G41" i="80"/>
  <c r="G45" i="80"/>
  <c r="G46" i="80"/>
  <c r="F12" i="80"/>
  <c r="I8" i="80"/>
  <c r="I10" i="80"/>
  <c r="F15" i="80"/>
  <c r="F17" i="80"/>
  <c r="F18" i="80"/>
  <c r="F20" i="80"/>
  <c r="I21" i="80"/>
  <c r="I24" i="80"/>
  <c r="I26" i="80"/>
  <c r="I28" i="80"/>
  <c r="F32" i="80"/>
  <c r="D34" i="80"/>
  <c r="I37" i="80"/>
  <c r="G12" i="80"/>
  <c r="G30" i="80"/>
  <c r="G42" i="80"/>
  <c r="G47" i="80"/>
  <c r="G12" i="79"/>
  <c r="D8" i="79"/>
  <c r="D9" i="79"/>
  <c r="D10" i="79"/>
  <c r="D11" i="79"/>
  <c r="G15" i="79"/>
  <c r="G16" i="79"/>
  <c r="G17" i="79"/>
  <c r="G18" i="79"/>
  <c r="G19" i="79"/>
  <c r="G20" i="79"/>
  <c r="D23" i="79"/>
  <c r="D24" i="79"/>
  <c r="D25" i="79"/>
  <c r="D26" i="79"/>
  <c r="D27" i="79"/>
  <c r="D28" i="79"/>
  <c r="D29" i="79"/>
  <c r="G32" i="79"/>
  <c r="G33" i="79"/>
  <c r="D36" i="79"/>
  <c r="D37" i="79"/>
  <c r="D38" i="79"/>
  <c r="D39" i="79"/>
  <c r="D40" i="79"/>
  <c r="D41" i="79"/>
  <c r="D45" i="79"/>
  <c r="D46" i="79"/>
  <c r="G30" i="79"/>
  <c r="G47" i="79"/>
  <c r="F21" i="79"/>
  <c r="F34" i="79"/>
  <c r="F8" i="79"/>
  <c r="I15" i="79"/>
  <c r="F24" i="79"/>
  <c r="I32" i="79"/>
  <c r="I42" i="79"/>
  <c r="D12" i="79"/>
  <c r="I19" i="79"/>
  <c r="F25" i="79"/>
  <c r="D30" i="79"/>
  <c r="F36" i="79"/>
  <c r="F38" i="79"/>
  <c r="D42" i="79"/>
  <c r="I47" i="79"/>
  <c r="G21" i="79"/>
  <c r="G34" i="79"/>
  <c r="F10" i="79"/>
  <c r="I16" i="79"/>
  <c r="I20" i="79"/>
  <c r="F26" i="79"/>
  <c r="F29" i="79"/>
  <c r="F40" i="79"/>
  <c r="D47" i="79"/>
  <c r="G8" i="79"/>
  <c r="G9" i="79"/>
  <c r="G10" i="79"/>
  <c r="G11" i="79"/>
  <c r="D15" i="79"/>
  <c r="D16" i="79"/>
  <c r="D17" i="79"/>
  <c r="D18" i="79"/>
  <c r="D19" i="79"/>
  <c r="D20" i="79"/>
  <c r="G23" i="79"/>
  <c r="G24" i="79"/>
  <c r="G25" i="79"/>
  <c r="G26" i="79"/>
  <c r="G27" i="79"/>
  <c r="G28" i="79"/>
  <c r="G29" i="79"/>
  <c r="D32" i="79"/>
  <c r="D33" i="79"/>
  <c r="G36" i="79"/>
  <c r="G37" i="79"/>
  <c r="G38" i="79"/>
  <c r="G39" i="79"/>
  <c r="G40" i="79"/>
  <c r="G41" i="79"/>
  <c r="G45" i="79"/>
  <c r="G46" i="79"/>
  <c r="F9" i="79"/>
  <c r="I12" i="79"/>
  <c r="I18" i="79"/>
  <c r="F23" i="79"/>
  <c r="F28" i="79"/>
  <c r="I33" i="79"/>
  <c r="F39" i="79"/>
  <c r="F46" i="79"/>
  <c r="F12" i="79"/>
  <c r="F30" i="79"/>
  <c r="F42" i="79"/>
  <c r="F47" i="79"/>
  <c r="F11" i="79"/>
  <c r="I17" i="79"/>
  <c r="F27" i="79"/>
  <c r="I30" i="79"/>
  <c r="F37" i="79"/>
  <c r="F41" i="79"/>
  <c r="F45" i="79"/>
  <c r="I8" i="79"/>
  <c r="I9" i="79"/>
  <c r="I10" i="79"/>
  <c r="I11" i="79"/>
  <c r="F15" i="79"/>
  <c r="F16" i="79"/>
  <c r="F17" i="79"/>
  <c r="F18" i="79"/>
  <c r="F19" i="79"/>
  <c r="F20" i="79"/>
  <c r="D21" i="79"/>
  <c r="I21" i="79"/>
  <c r="I23" i="79"/>
  <c r="I24" i="79"/>
  <c r="I25" i="79"/>
  <c r="I26" i="79"/>
  <c r="I27" i="79"/>
  <c r="I28" i="79"/>
  <c r="I29" i="79"/>
  <c r="F32" i="79"/>
  <c r="F33" i="79"/>
  <c r="D34" i="79"/>
  <c r="I34" i="79"/>
  <c r="I36" i="79"/>
  <c r="I37" i="79"/>
  <c r="I38" i="79"/>
  <c r="I39" i="79"/>
  <c r="I40" i="79"/>
  <c r="I41" i="79"/>
  <c r="I45" i="79"/>
  <c r="I46" i="79"/>
  <c r="G42" i="79"/>
  <c r="D8" i="78"/>
  <c r="D9" i="78"/>
  <c r="D10" i="78"/>
  <c r="D11" i="78"/>
  <c r="G15" i="78"/>
  <c r="G16" i="78"/>
  <c r="G17" i="78"/>
  <c r="G18" i="78"/>
  <c r="G19" i="78"/>
  <c r="G20" i="78"/>
  <c r="D23" i="78"/>
  <c r="D24" i="78"/>
  <c r="D25" i="78"/>
  <c r="D26" i="78"/>
  <c r="D27" i="78"/>
  <c r="D28" i="78"/>
  <c r="D29" i="78"/>
  <c r="G32" i="78"/>
  <c r="G33" i="78"/>
  <c r="D36" i="78"/>
  <c r="D37" i="78"/>
  <c r="D38" i="78"/>
  <c r="D39" i="78"/>
  <c r="D40" i="78"/>
  <c r="D41" i="78"/>
  <c r="D45" i="78"/>
  <c r="D46" i="78"/>
  <c r="F21" i="78"/>
  <c r="F34" i="78"/>
  <c r="F8" i="78"/>
  <c r="F9" i="78"/>
  <c r="F10" i="78"/>
  <c r="F11" i="78"/>
  <c r="D12" i="78"/>
  <c r="I12" i="78"/>
  <c r="I15" i="78"/>
  <c r="I16" i="78"/>
  <c r="I17" i="78"/>
  <c r="I18" i="78"/>
  <c r="I19" i="78"/>
  <c r="I20" i="78"/>
  <c r="F23" i="78"/>
  <c r="F24" i="78"/>
  <c r="F25" i="78"/>
  <c r="F26" i="78"/>
  <c r="F27" i="78"/>
  <c r="F28" i="78"/>
  <c r="F29" i="78"/>
  <c r="D30" i="78"/>
  <c r="I30" i="78"/>
  <c r="I32" i="78"/>
  <c r="I33" i="78"/>
  <c r="F36" i="78"/>
  <c r="F37" i="78"/>
  <c r="F38" i="78"/>
  <c r="F39" i="78"/>
  <c r="F40" i="78"/>
  <c r="F41" i="78"/>
  <c r="D42" i="78"/>
  <c r="I42" i="78"/>
  <c r="F45" i="78"/>
  <c r="F46" i="78"/>
  <c r="D47" i="78"/>
  <c r="I47" i="78"/>
  <c r="G21" i="78"/>
  <c r="G34" i="78"/>
  <c r="G8" i="78"/>
  <c r="G9" i="78"/>
  <c r="G10" i="78"/>
  <c r="G11" i="78"/>
  <c r="D15" i="78"/>
  <c r="D16" i="78"/>
  <c r="D17" i="78"/>
  <c r="D18" i="78"/>
  <c r="D19" i="78"/>
  <c r="D20" i="78"/>
  <c r="G23" i="78"/>
  <c r="G24" i="78"/>
  <c r="G25" i="78"/>
  <c r="G26" i="78"/>
  <c r="G27" i="78"/>
  <c r="G28" i="78"/>
  <c r="G29" i="78"/>
  <c r="D32" i="78"/>
  <c r="D33" i="78"/>
  <c r="G36" i="78"/>
  <c r="G37" i="78"/>
  <c r="G38" i="78"/>
  <c r="G39" i="78"/>
  <c r="G40" i="78"/>
  <c r="G41" i="78"/>
  <c r="G45" i="78"/>
  <c r="G46" i="78"/>
  <c r="F12" i="78"/>
  <c r="F30" i="78"/>
  <c r="F42" i="78"/>
  <c r="F47" i="78"/>
  <c r="I8" i="78"/>
  <c r="I9" i="78"/>
  <c r="I10" i="78"/>
  <c r="I11" i="78"/>
  <c r="F15" i="78"/>
  <c r="F16" i="78"/>
  <c r="F17" i="78"/>
  <c r="F18" i="78"/>
  <c r="F19" i="78"/>
  <c r="F20" i="78"/>
  <c r="D21" i="78"/>
  <c r="I21" i="78"/>
  <c r="I23" i="78"/>
  <c r="I24" i="78"/>
  <c r="I25" i="78"/>
  <c r="I26" i="78"/>
  <c r="I27" i="78"/>
  <c r="I28" i="78"/>
  <c r="I29" i="78"/>
  <c r="F32" i="78"/>
  <c r="F33" i="78"/>
  <c r="D34" i="78"/>
  <c r="I34" i="78"/>
  <c r="I36" i="78"/>
  <c r="I37" i="78"/>
  <c r="I38" i="78"/>
  <c r="I39" i="78"/>
  <c r="I40" i="78"/>
  <c r="I41" i="78"/>
  <c r="I45" i="78"/>
  <c r="I46" i="78"/>
  <c r="G12" i="78"/>
  <c r="G30" i="78"/>
  <c r="G42" i="78"/>
  <c r="G47" i="78"/>
  <c r="I10" i="77"/>
  <c r="F17" i="77"/>
  <c r="F20" i="77"/>
  <c r="I23" i="77"/>
  <c r="I26" i="77"/>
  <c r="I29" i="77"/>
  <c r="F33" i="77"/>
  <c r="I36" i="77"/>
  <c r="I39" i="77"/>
  <c r="I41" i="77"/>
  <c r="I46" i="77"/>
  <c r="D8" i="77"/>
  <c r="D9" i="77"/>
  <c r="D10" i="77"/>
  <c r="D11" i="77"/>
  <c r="G15" i="77"/>
  <c r="G16" i="77"/>
  <c r="G17" i="77"/>
  <c r="G18" i="77"/>
  <c r="G19" i="77"/>
  <c r="G20" i="77"/>
  <c r="D23" i="77"/>
  <c r="D24" i="77"/>
  <c r="D25" i="77"/>
  <c r="D26" i="77"/>
  <c r="D27" i="77"/>
  <c r="D28" i="77"/>
  <c r="D29" i="77"/>
  <c r="G32" i="77"/>
  <c r="G33" i="77"/>
  <c r="D36" i="77"/>
  <c r="D37" i="77"/>
  <c r="D38" i="77"/>
  <c r="D39" i="77"/>
  <c r="D40" i="77"/>
  <c r="D41" i="77"/>
  <c r="D45" i="77"/>
  <c r="D46" i="77"/>
  <c r="I8" i="77"/>
  <c r="I11" i="77"/>
  <c r="F16" i="77"/>
  <c r="F19" i="77"/>
  <c r="I21" i="77"/>
  <c r="I25" i="77"/>
  <c r="I28" i="77"/>
  <c r="D34" i="77"/>
  <c r="I37" i="77"/>
  <c r="I40" i="77"/>
  <c r="I45" i="77"/>
  <c r="G12" i="77"/>
  <c r="F21" i="77"/>
  <c r="F34" i="77"/>
  <c r="I20" i="77"/>
  <c r="F10" i="77"/>
  <c r="I15" i="77"/>
  <c r="I18" i="77"/>
  <c r="F25" i="77"/>
  <c r="F28" i="77"/>
  <c r="I32" i="77"/>
  <c r="F37" i="77"/>
  <c r="D47" i="77"/>
  <c r="G34" i="77"/>
  <c r="F9" i="77"/>
  <c r="D12" i="77"/>
  <c r="I16" i="77"/>
  <c r="I19" i="77"/>
  <c r="F24" i="77"/>
  <c r="F27" i="77"/>
  <c r="D30" i="77"/>
  <c r="I33" i="77"/>
  <c r="F36" i="77"/>
  <c r="F39" i="77"/>
  <c r="F41" i="77"/>
  <c r="I42" i="77"/>
  <c r="F45" i="77"/>
  <c r="I47" i="77"/>
  <c r="G21" i="77"/>
  <c r="G8" i="77"/>
  <c r="G9" i="77"/>
  <c r="G10" i="77"/>
  <c r="G11" i="77"/>
  <c r="D15" i="77"/>
  <c r="D16" i="77"/>
  <c r="D17" i="77"/>
  <c r="D18" i="77"/>
  <c r="D19" i="77"/>
  <c r="D20" i="77"/>
  <c r="G23" i="77"/>
  <c r="G24" i="77"/>
  <c r="G25" i="77"/>
  <c r="G26" i="77"/>
  <c r="G27" i="77"/>
  <c r="G28" i="77"/>
  <c r="G29" i="77"/>
  <c r="D32" i="77"/>
  <c r="D33" i="77"/>
  <c r="G36" i="77"/>
  <c r="G37" i="77"/>
  <c r="G38" i="77"/>
  <c r="G39" i="77"/>
  <c r="G40" i="77"/>
  <c r="G41" i="77"/>
  <c r="G45" i="77"/>
  <c r="G46" i="77"/>
  <c r="F8" i="77"/>
  <c r="F11" i="77"/>
  <c r="I12" i="77"/>
  <c r="I17" i="77"/>
  <c r="F23" i="77"/>
  <c r="F26" i="77"/>
  <c r="F29" i="77"/>
  <c r="I30" i="77"/>
  <c r="F38" i="77"/>
  <c r="F40" i="77"/>
  <c r="D42" i="77"/>
  <c r="F46" i="77"/>
  <c r="F12" i="77"/>
  <c r="F30" i="77"/>
  <c r="F42" i="77"/>
  <c r="F47" i="77"/>
  <c r="I9" i="77"/>
  <c r="F15" i="77"/>
  <c r="F18" i="77"/>
  <c r="D21" i="77"/>
  <c r="I24" i="77"/>
  <c r="I27" i="77"/>
  <c r="F32" i="77"/>
  <c r="I34" i="77"/>
  <c r="I38" i="77"/>
  <c r="G30" i="77"/>
  <c r="G42" i="77"/>
  <c r="G47" i="77"/>
  <c r="I9" i="76"/>
  <c r="F18" i="76"/>
  <c r="D8" i="76"/>
  <c r="D11" i="76"/>
  <c r="G16" i="76"/>
  <c r="G19" i="76"/>
  <c r="D23" i="76"/>
  <c r="D26" i="76"/>
  <c r="D29" i="76"/>
  <c r="G32" i="76"/>
  <c r="D38" i="76"/>
  <c r="D40" i="76"/>
  <c r="D41" i="76"/>
  <c r="D46" i="76"/>
  <c r="F21" i="76"/>
  <c r="F34" i="76"/>
  <c r="F30" i="76"/>
  <c r="D10" i="76"/>
  <c r="G15" i="76"/>
  <c r="G18" i="76"/>
  <c r="D24" i="76"/>
  <c r="D28" i="76"/>
  <c r="G33" i="76"/>
  <c r="D37" i="76"/>
  <c r="D39" i="76"/>
  <c r="D45" i="76"/>
  <c r="F8" i="76"/>
  <c r="F9" i="76"/>
  <c r="F10" i="76"/>
  <c r="F11" i="76"/>
  <c r="D12" i="76"/>
  <c r="I12" i="76"/>
  <c r="I15" i="76"/>
  <c r="I16" i="76"/>
  <c r="I17" i="76"/>
  <c r="I18" i="76"/>
  <c r="I19" i="76"/>
  <c r="I20" i="76"/>
  <c r="F23" i="76"/>
  <c r="F24" i="76"/>
  <c r="F25" i="76"/>
  <c r="F26" i="76"/>
  <c r="F27" i="76"/>
  <c r="F28" i="76"/>
  <c r="F29" i="76"/>
  <c r="D30" i="76"/>
  <c r="I30" i="76"/>
  <c r="I32" i="76"/>
  <c r="I33" i="76"/>
  <c r="F36" i="76"/>
  <c r="F37" i="76"/>
  <c r="F38" i="76"/>
  <c r="F39" i="76"/>
  <c r="F40" i="76"/>
  <c r="F41" i="76"/>
  <c r="D42" i="76"/>
  <c r="I42" i="76"/>
  <c r="F45" i="76"/>
  <c r="F46" i="76"/>
  <c r="D47" i="76"/>
  <c r="I47" i="76"/>
  <c r="F12" i="76"/>
  <c r="F16" i="76"/>
  <c r="D27" i="76"/>
  <c r="G34" i="76"/>
  <c r="I10" i="76"/>
  <c r="F19" i="76"/>
  <c r="D9" i="76"/>
  <c r="G17" i="76"/>
  <c r="G20" i="76"/>
  <c r="D25" i="76"/>
  <c r="D36" i="76"/>
  <c r="G21" i="76"/>
  <c r="G8" i="76"/>
  <c r="G9" i="76"/>
  <c r="G10" i="76"/>
  <c r="G11" i="76"/>
  <c r="D15" i="76"/>
  <c r="D16" i="76"/>
  <c r="D17" i="76"/>
  <c r="D18" i="76"/>
  <c r="D19" i="76"/>
  <c r="D20" i="76"/>
  <c r="G23" i="76"/>
  <c r="G24" i="76"/>
  <c r="G25" i="76"/>
  <c r="G26" i="76"/>
  <c r="G27" i="76"/>
  <c r="G28" i="76"/>
  <c r="G29" i="76"/>
  <c r="D32" i="76"/>
  <c r="D33" i="76"/>
  <c r="G36" i="76"/>
  <c r="G37" i="76"/>
  <c r="G38" i="76"/>
  <c r="G39" i="76"/>
  <c r="G40" i="76"/>
  <c r="G41" i="76"/>
  <c r="G45" i="76"/>
  <c r="G46" i="76"/>
  <c r="F42" i="76"/>
  <c r="F47" i="76"/>
  <c r="I8" i="76"/>
  <c r="I11" i="76"/>
  <c r="F15" i="76"/>
  <c r="F17" i="76"/>
  <c r="F20" i="76"/>
  <c r="D21" i="76"/>
  <c r="I21" i="76"/>
  <c r="I23" i="76"/>
  <c r="I24" i="76"/>
  <c r="I25" i="76"/>
  <c r="I26" i="76"/>
  <c r="I27" i="76"/>
  <c r="I28" i="76"/>
  <c r="I29" i="76"/>
  <c r="F32" i="76"/>
  <c r="F33" i="76"/>
  <c r="D34" i="76"/>
  <c r="I34" i="76"/>
  <c r="I36" i="76"/>
  <c r="I37" i="76"/>
  <c r="I38" i="76"/>
  <c r="I39" i="76"/>
  <c r="I40" i="76"/>
  <c r="I41" i="76"/>
  <c r="I45" i="76"/>
  <c r="I46" i="76"/>
  <c r="G12" i="76"/>
  <c r="G30" i="76"/>
  <c r="G42" i="76"/>
  <c r="G47" i="76"/>
  <c r="F12" i="75"/>
  <c r="G30" i="75"/>
  <c r="D10" i="75"/>
  <c r="G15" i="75"/>
  <c r="G19" i="75"/>
  <c r="D26" i="75"/>
  <c r="D29" i="75"/>
  <c r="D38" i="75"/>
  <c r="D39" i="75"/>
  <c r="D41" i="75"/>
  <c r="D45" i="75"/>
  <c r="F21" i="75"/>
  <c r="F34" i="75"/>
  <c r="D9" i="75"/>
  <c r="G17" i="75"/>
  <c r="D23" i="75"/>
  <c r="D27" i="75"/>
  <c r="G33" i="75"/>
  <c r="F8" i="75"/>
  <c r="F9" i="75"/>
  <c r="D12" i="75"/>
  <c r="I12" i="75"/>
  <c r="I15" i="75"/>
  <c r="I16" i="75"/>
  <c r="I17" i="75"/>
  <c r="I18" i="75"/>
  <c r="I19" i="75"/>
  <c r="I20" i="75"/>
  <c r="F23" i="75"/>
  <c r="F24" i="75"/>
  <c r="F25" i="75"/>
  <c r="F26" i="75"/>
  <c r="F27" i="75"/>
  <c r="F28" i="75"/>
  <c r="F29" i="75"/>
  <c r="D30" i="75"/>
  <c r="I30" i="75"/>
  <c r="I32" i="75"/>
  <c r="I33" i="75"/>
  <c r="F36" i="75"/>
  <c r="F37" i="75"/>
  <c r="F38" i="75"/>
  <c r="F39" i="75"/>
  <c r="F40" i="75"/>
  <c r="F41" i="75"/>
  <c r="D42" i="75"/>
  <c r="I42" i="75"/>
  <c r="F45" i="75"/>
  <c r="F46" i="75"/>
  <c r="D47" i="75"/>
  <c r="I47" i="75"/>
  <c r="F30" i="75"/>
  <c r="D8" i="75"/>
  <c r="G18" i="75"/>
  <c r="D24" i="75"/>
  <c r="D28" i="75"/>
  <c r="D36" i="75"/>
  <c r="F11" i="75"/>
  <c r="G21" i="75"/>
  <c r="G34" i="75"/>
  <c r="G12" i="75"/>
  <c r="G47" i="75"/>
  <c r="D11" i="75"/>
  <c r="G16" i="75"/>
  <c r="G20" i="75"/>
  <c r="D25" i="75"/>
  <c r="G32" i="75"/>
  <c r="D37" i="75"/>
  <c r="D40" i="75"/>
  <c r="D46" i="75"/>
  <c r="F10" i="75"/>
  <c r="G8" i="75"/>
  <c r="G9" i="75"/>
  <c r="G10" i="75"/>
  <c r="G11" i="75"/>
  <c r="D15" i="75"/>
  <c r="D16" i="75"/>
  <c r="D17" i="75"/>
  <c r="D18" i="75"/>
  <c r="D19" i="75"/>
  <c r="D20" i="75"/>
  <c r="G23" i="75"/>
  <c r="G24" i="75"/>
  <c r="G25" i="75"/>
  <c r="G26" i="75"/>
  <c r="G27" i="75"/>
  <c r="G28" i="75"/>
  <c r="G29" i="75"/>
  <c r="D32" i="75"/>
  <c r="D33" i="75"/>
  <c r="G36" i="75"/>
  <c r="G37" i="75"/>
  <c r="G38" i="75"/>
  <c r="G39" i="75"/>
  <c r="G40" i="75"/>
  <c r="G41" i="75"/>
  <c r="G45" i="75"/>
  <c r="G46" i="75"/>
  <c r="F42" i="75"/>
  <c r="F47" i="75"/>
  <c r="I8" i="75"/>
  <c r="I9" i="75"/>
  <c r="I10" i="75"/>
  <c r="I11" i="75"/>
  <c r="F15" i="75"/>
  <c r="F16" i="75"/>
  <c r="F17" i="75"/>
  <c r="F18" i="75"/>
  <c r="F19" i="75"/>
  <c r="F20" i="75"/>
  <c r="D21" i="75"/>
  <c r="I21" i="75"/>
  <c r="I23" i="75"/>
  <c r="I24" i="75"/>
  <c r="I25" i="75"/>
  <c r="I26" i="75"/>
  <c r="I27" i="75"/>
  <c r="I28" i="75"/>
  <c r="I29" i="75"/>
  <c r="F32" i="75"/>
  <c r="F33" i="75"/>
  <c r="D34" i="75"/>
  <c r="I34" i="75"/>
  <c r="I36" i="75"/>
  <c r="I37" i="75"/>
  <c r="I38" i="75"/>
  <c r="I39" i="75"/>
  <c r="I40" i="75"/>
  <c r="I41" i="75"/>
  <c r="I45" i="75"/>
  <c r="I46" i="75"/>
  <c r="G42" i="75"/>
  <c r="D9" i="74"/>
  <c r="G18" i="74"/>
  <c r="D25" i="74"/>
  <c r="D29" i="74"/>
  <c r="D36" i="74"/>
  <c r="D40" i="74"/>
  <c r="F21" i="74"/>
  <c r="F34" i="74"/>
  <c r="D11" i="74"/>
  <c r="D37" i="74"/>
  <c r="D38" i="74"/>
  <c r="D41" i="74"/>
  <c r="F8" i="74"/>
  <c r="F9" i="74"/>
  <c r="F10" i="74"/>
  <c r="F11" i="74"/>
  <c r="D12" i="74"/>
  <c r="I12" i="74"/>
  <c r="I15" i="74"/>
  <c r="I16" i="74"/>
  <c r="I17" i="74"/>
  <c r="I18" i="74"/>
  <c r="I19" i="74"/>
  <c r="I20" i="74"/>
  <c r="F23" i="74"/>
  <c r="F24" i="74"/>
  <c r="F25" i="74"/>
  <c r="F26" i="74"/>
  <c r="F27" i="74"/>
  <c r="F28" i="74"/>
  <c r="F29" i="74"/>
  <c r="D30" i="74"/>
  <c r="I30" i="74"/>
  <c r="I32" i="74"/>
  <c r="I33" i="74"/>
  <c r="F36" i="74"/>
  <c r="F37" i="74"/>
  <c r="F38" i="74"/>
  <c r="F39" i="74"/>
  <c r="F40" i="74"/>
  <c r="F41" i="74"/>
  <c r="D42" i="74"/>
  <c r="I42" i="74"/>
  <c r="F45" i="74"/>
  <c r="F46" i="74"/>
  <c r="D47" i="74"/>
  <c r="I47" i="74"/>
  <c r="G17" i="74"/>
  <c r="D26" i="74"/>
  <c r="G33" i="74"/>
  <c r="G21" i="74"/>
  <c r="G34" i="74"/>
  <c r="G15" i="74"/>
  <c r="D23" i="74"/>
  <c r="D27" i="74"/>
  <c r="G8" i="74"/>
  <c r="G9" i="74"/>
  <c r="G10" i="74"/>
  <c r="G11" i="74"/>
  <c r="D15" i="74"/>
  <c r="D16" i="74"/>
  <c r="D17" i="74"/>
  <c r="D18" i="74"/>
  <c r="D19" i="74"/>
  <c r="D20" i="74"/>
  <c r="G23" i="74"/>
  <c r="G24" i="74"/>
  <c r="G25" i="74"/>
  <c r="G26" i="74"/>
  <c r="G27" i="74"/>
  <c r="G28" i="74"/>
  <c r="G29" i="74"/>
  <c r="D32" i="74"/>
  <c r="D33" i="74"/>
  <c r="G36" i="74"/>
  <c r="G37" i="74"/>
  <c r="G38" i="74"/>
  <c r="G39" i="74"/>
  <c r="G40" i="74"/>
  <c r="G41" i="74"/>
  <c r="G45" i="74"/>
  <c r="G46" i="74"/>
  <c r="D8" i="74"/>
  <c r="G16" i="74"/>
  <c r="D24" i="74"/>
  <c r="G32" i="74"/>
  <c r="D45" i="74"/>
  <c r="F12" i="74"/>
  <c r="F30" i="74"/>
  <c r="F42" i="74"/>
  <c r="F47" i="74"/>
  <c r="D10" i="74"/>
  <c r="G19" i="74"/>
  <c r="D28" i="74"/>
  <c r="I8" i="74"/>
  <c r="I9" i="74"/>
  <c r="I10" i="74"/>
  <c r="I11" i="74"/>
  <c r="F15" i="74"/>
  <c r="F16" i="74"/>
  <c r="F17" i="74"/>
  <c r="F18" i="74"/>
  <c r="F19" i="74"/>
  <c r="F20" i="74"/>
  <c r="D21" i="74"/>
  <c r="I21" i="74"/>
  <c r="I23" i="74"/>
  <c r="I24" i="74"/>
  <c r="I25" i="74"/>
  <c r="I26" i="74"/>
  <c r="I27" i="74"/>
  <c r="I28" i="74"/>
  <c r="I29" i="74"/>
  <c r="F32" i="74"/>
  <c r="F33" i="74"/>
  <c r="D34" i="74"/>
  <c r="I34" i="74"/>
  <c r="I36" i="74"/>
  <c r="I37" i="74"/>
  <c r="I38" i="74"/>
  <c r="I39" i="74"/>
  <c r="I40" i="74"/>
  <c r="I41" i="74"/>
  <c r="I45" i="74"/>
  <c r="I46" i="74"/>
  <c r="G20" i="74"/>
  <c r="D39" i="74"/>
  <c r="D46" i="74"/>
  <c r="G12" i="74"/>
  <c r="G30" i="74"/>
  <c r="G42" i="74"/>
  <c r="G47" i="74"/>
  <c r="I8" i="73"/>
  <c r="I11" i="73"/>
  <c r="F17" i="73"/>
  <c r="F20" i="73"/>
  <c r="I23" i="73"/>
  <c r="I26" i="73"/>
  <c r="I29" i="73"/>
  <c r="D34" i="73"/>
  <c r="I36" i="73"/>
  <c r="I38" i="73"/>
  <c r="I41" i="73"/>
  <c r="I46" i="73"/>
  <c r="G42" i="73"/>
  <c r="G47" i="73"/>
  <c r="D8" i="73"/>
  <c r="D9" i="73"/>
  <c r="D10" i="73"/>
  <c r="D11" i="73"/>
  <c r="G15" i="73"/>
  <c r="G16" i="73"/>
  <c r="G17" i="73"/>
  <c r="G18" i="73"/>
  <c r="G19" i="73"/>
  <c r="G20" i="73"/>
  <c r="D23" i="73"/>
  <c r="D24" i="73"/>
  <c r="D25" i="73"/>
  <c r="D26" i="73"/>
  <c r="D27" i="73"/>
  <c r="D28" i="73"/>
  <c r="D29" i="73"/>
  <c r="G32" i="73"/>
  <c r="G33" i="73"/>
  <c r="D36" i="73"/>
  <c r="D37" i="73"/>
  <c r="D38" i="73"/>
  <c r="D39" i="73"/>
  <c r="D40" i="73"/>
  <c r="D41" i="73"/>
  <c r="D45" i="73"/>
  <c r="D46" i="73"/>
  <c r="I10" i="73"/>
  <c r="F16" i="73"/>
  <c r="F19" i="73"/>
  <c r="I21" i="73"/>
  <c r="I25" i="73"/>
  <c r="I28" i="73"/>
  <c r="F32" i="73"/>
  <c r="I34" i="73"/>
  <c r="I37" i="73"/>
  <c r="I39" i="73"/>
  <c r="I45" i="73"/>
  <c r="G12" i="73"/>
  <c r="G30" i="73"/>
  <c r="F21" i="73"/>
  <c r="F34" i="73"/>
  <c r="F9" i="73"/>
  <c r="D12" i="73"/>
  <c r="I16" i="73"/>
  <c r="I19" i="73"/>
  <c r="F25" i="73"/>
  <c r="F28" i="73"/>
  <c r="I33" i="73"/>
  <c r="D47" i="73"/>
  <c r="F8" i="73"/>
  <c r="F10" i="73"/>
  <c r="I12" i="73"/>
  <c r="I17" i="73"/>
  <c r="I20" i="73"/>
  <c r="F24" i="73"/>
  <c r="F27" i="73"/>
  <c r="D30" i="73"/>
  <c r="I32" i="73"/>
  <c r="F37" i="73"/>
  <c r="F39" i="73"/>
  <c r="F41" i="73"/>
  <c r="D42" i="73"/>
  <c r="F46" i="73"/>
  <c r="I47" i="73"/>
  <c r="G21" i="73"/>
  <c r="G34" i="73"/>
  <c r="G8" i="73"/>
  <c r="G9" i="73"/>
  <c r="G10" i="73"/>
  <c r="G11" i="73"/>
  <c r="D15" i="73"/>
  <c r="D16" i="73"/>
  <c r="D17" i="73"/>
  <c r="D18" i="73"/>
  <c r="D19" i="73"/>
  <c r="D20" i="73"/>
  <c r="G23" i="73"/>
  <c r="G24" i="73"/>
  <c r="G25" i="73"/>
  <c r="G26" i="73"/>
  <c r="G27" i="73"/>
  <c r="G28" i="73"/>
  <c r="G29" i="73"/>
  <c r="D32" i="73"/>
  <c r="D33" i="73"/>
  <c r="G36" i="73"/>
  <c r="G37" i="73"/>
  <c r="G38" i="73"/>
  <c r="G39" i="73"/>
  <c r="G40" i="73"/>
  <c r="G41" i="73"/>
  <c r="G45" i="73"/>
  <c r="G46" i="73"/>
  <c r="F11" i="73"/>
  <c r="I15" i="73"/>
  <c r="I18" i="73"/>
  <c r="F23" i="73"/>
  <c r="F26" i="73"/>
  <c r="F29" i="73"/>
  <c r="I30" i="73"/>
  <c r="F36" i="73"/>
  <c r="F38" i="73"/>
  <c r="F40" i="73"/>
  <c r="I42" i="73"/>
  <c r="F45" i="73"/>
  <c r="F12" i="73"/>
  <c r="F30" i="73"/>
  <c r="F42" i="73"/>
  <c r="F47" i="73"/>
  <c r="I9" i="73"/>
  <c r="F15" i="73"/>
  <c r="F18" i="73"/>
  <c r="D21" i="73"/>
  <c r="I24" i="73"/>
  <c r="I27" i="73"/>
  <c r="F33" i="73"/>
  <c r="I40" i="73"/>
  <c r="G15" i="72"/>
  <c r="G16" i="72"/>
  <c r="G17" i="72"/>
  <c r="G18" i="72"/>
  <c r="G19" i="72"/>
  <c r="G20" i="72"/>
  <c r="D23" i="72"/>
  <c r="D24" i="72"/>
  <c r="D25" i="72"/>
  <c r="D26" i="72"/>
  <c r="D27" i="72"/>
  <c r="D28" i="72"/>
  <c r="D29" i="72"/>
  <c r="G32" i="72"/>
  <c r="G33" i="72"/>
  <c r="D36" i="72"/>
  <c r="D37" i="72"/>
  <c r="D38" i="72"/>
  <c r="D39" i="72"/>
  <c r="D40" i="72"/>
  <c r="D41" i="72"/>
  <c r="D45" i="72"/>
  <c r="D46" i="72"/>
  <c r="F21" i="72"/>
  <c r="F34" i="72"/>
  <c r="D8" i="72"/>
  <c r="F8" i="72"/>
  <c r="I15" i="72"/>
  <c r="F24" i="72"/>
  <c r="F39" i="72"/>
  <c r="D9" i="72"/>
  <c r="F10" i="72"/>
  <c r="I12" i="72"/>
  <c r="I17" i="72"/>
  <c r="I20" i="72"/>
  <c r="F25" i="72"/>
  <c r="F28" i="72"/>
  <c r="I30" i="72"/>
  <c r="F36" i="72"/>
  <c r="F40" i="72"/>
  <c r="I42" i="72"/>
  <c r="D47" i="72"/>
  <c r="G8" i="72"/>
  <c r="G9" i="72"/>
  <c r="G10" i="72"/>
  <c r="G11" i="72"/>
  <c r="D15" i="72"/>
  <c r="D16" i="72"/>
  <c r="D17" i="72"/>
  <c r="D18" i="72"/>
  <c r="D19" i="72"/>
  <c r="D20" i="72"/>
  <c r="G23" i="72"/>
  <c r="G24" i="72"/>
  <c r="G25" i="72"/>
  <c r="G26" i="72"/>
  <c r="G27" i="72"/>
  <c r="G28" i="72"/>
  <c r="G29" i="72"/>
  <c r="D32" i="72"/>
  <c r="D33" i="72"/>
  <c r="G36" i="72"/>
  <c r="G37" i="72"/>
  <c r="G38" i="72"/>
  <c r="G39" i="72"/>
  <c r="G40" i="72"/>
  <c r="G41" i="72"/>
  <c r="G45" i="72"/>
  <c r="G46" i="72"/>
  <c r="D10" i="72"/>
  <c r="F9" i="72"/>
  <c r="D12" i="72"/>
  <c r="I18" i="72"/>
  <c r="F23" i="72"/>
  <c r="F27" i="72"/>
  <c r="D30" i="72"/>
  <c r="I33" i="72"/>
  <c r="F38" i="72"/>
  <c r="D42" i="72"/>
  <c r="F46" i="72"/>
  <c r="G34" i="72"/>
  <c r="F12" i="72"/>
  <c r="F30" i="72"/>
  <c r="F42" i="72"/>
  <c r="F47" i="72"/>
  <c r="D11" i="72"/>
  <c r="F11" i="72"/>
  <c r="I16" i="72"/>
  <c r="I19" i="72"/>
  <c r="F26" i="72"/>
  <c r="F29" i="72"/>
  <c r="I32" i="72"/>
  <c r="F37" i="72"/>
  <c r="F41" i="72"/>
  <c r="F45" i="72"/>
  <c r="I47" i="72"/>
  <c r="G21" i="72"/>
  <c r="I8" i="72"/>
  <c r="I9" i="72"/>
  <c r="I10" i="72"/>
  <c r="I11" i="72"/>
  <c r="F15" i="72"/>
  <c r="F16" i="72"/>
  <c r="F17" i="72"/>
  <c r="F18" i="72"/>
  <c r="F19" i="72"/>
  <c r="F20" i="72"/>
  <c r="D21" i="72"/>
  <c r="I21" i="72"/>
  <c r="I23" i="72"/>
  <c r="I24" i="72"/>
  <c r="I25" i="72"/>
  <c r="I26" i="72"/>
  <c r="I27" i="72"/>
  <c r="I28" i="72"/>
  <c r="I29" i="72"/>
  <c r="F32" i="72"/>
  <c r="F33" i="72"/>
  <c r="D34" i="72"/>
  <c r="I34" i="72"/>
  <c r="I36" i="72"/>
  <c r="I37" i="72"/>
  <c r="I38" i="72"/>
  <c r="I39" i="72"/>
  <c r="I40" i="72"/>
  <c r="I41" i="72"/>
  <c r="I45" i="72"/>
  <c r="I46" i="72"/>
  <c r="G12" i="72"/>
  <c r="G30" i="72"/>
  <c r="G42" i="72"/>
  <c r="G47" i="72"/>
  <c r="C48" i="72"/>
  <c r="G8" i="71"/>
  <c r="D18" i="71"/>
  <c r="I8" i="71"/>
  <c r="F15" i="71"/>
  <c r="F17" i="71"/>
  <c r="D21" i="71"/>
  <c r="I21" i="71"/>
  <c r="I25" i="71"/>
  <c r="I27" i="71"/>
  <c r="I29" i="71"/>
  <c r="I34" i="71"/>
  <c r="I36" i="71"/>
  <c r="I39" i="71"/>
  <c r="I40" i="71"/>
  <c r="I41" i="71"/>
  <c r="D8" i="71"/>
  <c r="D9" i="71"/>
  <c r="D10" i="71"/>
  <c r="D11" i="71"/>
  <c r="G15" i="71"/>
  <c r="G16" i="71"/>
  <c r="G17" i="71"/>
  <c r="G18" i="71"/>
  <c r="G19" i="71"/>
  <c r="G20" i="71"/>
  <c r="D23" i="71"/>
  <c r="D24" i="71"/>
  <c r="D25" i="71"/>
  <c r="D26" i="71"/>
  <c r="D27" i="71"/>
  <c r="D28" i="71"/>
  <c r="D29" i="71"/>
  <c r="G32" i="71"/>
  <c r="G33" i="71"/>
  <c r="D36" i="71"/>
  <c r="D37" i="71"/>
  <c r="D38" i="71"/>
  <c r="D39" i="71"/>
  <c r="D40" i="71"/>
  <c r="D41" i="71"/>
  <c r="D45" i="71"/>
  <c r="D46" i="71"/>
  <c r="F18" i="71"/>
  <c r="I23" i="71"/>
  <c r="I26" i="71"/>
  <c r="F33" i="71"/>
  <c r="I46" i="71"/>
  <c r="F21" i="71"/>
  <c r="F34" i="71"/>
  <c r="F8" i="71"/>
  <c r="F9" i="71"/>
  <c r="F10" i="71"/>
  <c r="F11" i="71"/>
  <c r="D12" i="71"/>
  <c r="I12" i="71"/>
  <c r="I15" i="71"/>
  <c r="I16" i="71"/>
  <c r="I17" i="71"/>
  <c r="I18" i="71"/>
  <c r="I19" i="71"/>
  <c r="I20" i="71"/>
  <c r="F23" i="71"/>
  <c r="F24" i="71"/>
  <c r="F25" i="71"/>
  <c r="F26" i="71"/>
  <c r="F27" i="71"/>
  <c r="F28" i="71"/>
  <c r="F29" i="71"/>
  <c r="D30" i="71"/>
  <c r="I30" i="71"/>
  <c r="I32" i="71"/>
  <c r="I33" i="71"/>
  <c r="F36" i="71"/>
  <c r="F37" i="71"/>
  <c r="F38" i="71"/>
  <c r="F39" i="71"/>
  <c r="F40" i="71"/>
  <c r="F41" i="71"/>
  <c r="D42" i="71"/>
  <c r="I42" i="71"/>
  <c r="F45" i="71"/>
  <c r="F46" i="71"/>
  <c r="D47" i="71"/>
  <c r="I47" i="71"/>
  <c r="G9" i="71"/>
  <c r="D17" i="71"/>
  <c r="I9" i="71"/>
  <c r="F16" i="71"/>
  <c r="F19" i="71"/>
  <c r="I24" i="71"/>
  <c r="I28" i="71"/>
  <c r="D34" i="71"/>
  <c r="I38" i="71"/>
  <c r="I45" i="71"/>
  <c r="G21" i="71"/>
  <c r="G34" i="71"/>
  <c r="D20" i="71"/>
  <c r="G25" i="71"/>
  <c r="G46" i="71"/>
  <c r="G10" i="71"/>
  <c r="D15" i="71"/>
  <c r="D19" i="71"/>
  <c r="G23" i="71"/>
  <c r="G24" i="71"/>
  <c r="G26" i="71"/>
  <c r="G27" i="71"/>
  <c r="G28" i="71"/>
  <c r="G29" i="71"/>
  <c r="D32" i="71"/>
  <c r="D33" i="71"/>
  <c r="G36" i="71"/>
  <c r="G37" i="71"/>
  <c r="G38" i="71"/>
  <c r="G39" i="71"/>
  <c r="G40" i="71"/>
  <c r="G41" i="71"/>
  <c r="G45" i="71"/>
  <c r="F12" i="71"/>
  <c r="F30" i="71"/>
  <c r="F42" i="71"/>
  <c r="F47" i="71"/>
  <c r="G11" i="71"/>
  <c r="I10" i="71"/>
  <c r="D16" i="71"/>
  <c r="I11" i="71"/>
  <c r="F20" i="71"/>
  <c r="F32" i="71"/>
  <c r="I37" i="71"/>
  <c r="G12" i="71"/>
  <c r="G30" i="71"/>
  <c r="G42" i="71"/>
  <c r="G47" i="71"/>
  <c r="F30" i="70"/>
  <c r="F47" i="70"/>
  <c r="I9" i="70"/>
  <c r="I11" i="70"/>
  <c r="F15" i="70"/>
  <c r="F17" i="70"/>
  <c r="F19" i="70"/>
  <c r="I21" i="70"/>
  <c r="G12" i="70"/>
  <c r="G30" i="70"/>
  <c r="G42" i="70"/>
  <c r="G47" i="70"/>
  <c r="D8" i="70"/>
  <c r="D9" i="70"/>
  <c r="D10" i="70"/>
  <c r="D11" i="70"/>
  <c r="G15" i="70"/>
  <c r="G16" i="70"/>
  <c r="G17" i="70"/>
  <c r="G18" i="70"/>
  <c r="G19" i="70"/>
  <c r="G20" i="70"/>
  <c r="D23" i="70"/>
  <c r="D24" i="70"/>
  <c r="D25" i="70"/>
  <c r="D26" i="70"/>
  <c r="D27" i="70"/>
  <c r="D28" i="70"/>
  <c r="D29" i="70"/>
  <c r="G32" i="70"/>
  <c r="G33" i="70"/>
  <c r="D36" i="70"/>
  <c r="D37" i="70"/>
  <c r="D38" i="70"/>
  <c r="D39" i="70"/>
  <c r="D40" i="70"/>
  <c r="D41" i="70"/>
  <c r="D45" i="70"/>
  <c r="D46" i="70"/>
  <c r="F8" i="70"/>
  <c r="F9" i="70"/>
  <c r="F10" i="70"/>
  <c r="F11" i="70"/>
  <c r="D12" i="70"/>
  <c r="I12" i="70"/>
  <c r="I15" i="70"/>
  <c r="I16" i="70"/>
  <c r="I17" i="70"/>
  <c r="I18" i="70"/>
  <c r="I19" i="70"/>
  <c r="I20" i="70"/>
  <c r="F23" i="70"/>
  <c r="F24" i="70"/>
  <c r="F25" i="70"/>
  <c r="F26" i="70"/>
  <c r="F27" i="70"/>
  <c r="F28" i="70"/>
  <c r="F29" i="70"/>
  <c r="D30" i="70"/>
  <c r="I30" i="70"/>
  <c r="I32" i="70"/>
  <c r="I33" i="70"/>
  <c r="F36" i="70"/>
  <c r="F37" i="70"/>
  <c r="F38" i="70"/>
  <c r="F39" i="70"/>
  <c r="F40" i="70"/>
  <c r="F41" i="70"/>
  <c r="D42" i="70"/>
  <c r="I42" i="70"/>
  <c r="F45" i="70"/>
  <c r="F46" i="70"/>
  <c r="D47" i="70"/>
  <c r="I47" i="70"/>
  <c r="F12" i="70"/>
  <c r="F21" i="70"/>
  <c r="F34" i="70"/>
  <c r="G21" i="70"/>
  <c r="G34" i="70"/>
  <c r="G8" i="70"/>
  <c r="G9" i="70"/>
  <c r="G10" i="70"/>
  <c r="G11" i="70"/>
  <c r="D15" i="70"/>
  <c r="D16" i="70"/>
  <c r="D17" i="70"/>
  <c r="D18" i="70"/>
  <c r="D19" i="70"/>
  <c r="D20" i="70"/>
  <c r="G23" i="70"/>
  <c r="G24" i="70"/>
  <c r="G25" i="70"/>
  <c r="G26" i="70"/>
  <c r="G27" i="70"/>
  <c r="G28" i="70"/>
  <c r="G29" i="70"/>
  <c r="D32" i="70"/>
  <c r="D33" i="70"/>
  <c r="G36" i="70"/>
  <c r="G37" i="70"/>
  <c r="G38" i="70"/>
  <c r="G39" i="70"/>
  <c r="G40" i="70"/>
  <c r="G41" i="70"/>
  <c r="G45" i="70"/>
  <c r="G46" i="70"/>
  <c r="F42" i="70"/>
  <c r="I8" i="70"/>
  <c r="I10" i="70"/>
  <c r="F16" i="70"/>
  <c r="F18" i="70"/>
  <c r="F20" i="70"/>
  <c r="D21" i="70"/>
  <c r="I23" i="70"/>
  <c r="I24" i="70"/>
  <c r="I25" i="70"/>
  <c r="I26" i="70"/>
  <c r="I27" i="70"/>
  <c r="I28" i="70"/>
  <c r="I29" i="70"/>
  <c r="F32" i="70"/>
  <c r="F33" i="70"/>
  <c r="D34" i="70"/>
  <c r="I34" i="70"/>
  <c r="I36" i="70"/>
  <c r="I37" i="70"/>
  <c r="I38" i="70"/>
  <c r="I39" i="70"/>
  <c r="I40" i="70"/>
  <c r="I41" i="70"/>
  <c r="I45" i="70"/>
  <c r="I46" i="70"/>
  <c r="F17" i="69"/>
  <c r="I23" i="69"/>
  <c r="I28" i="69"/>
  <c r="I37" i="69"/>
  <c r="I46" i="69"/>
  <c r="D9" i="69"/>
  <c r="G15" i="69"/>
  <c r="G18" i="69"/>
  <c r="D23" i="69"/>
  <c r="D25" i="69"/>
  <c r="D28" i="69"/>
  <c r="G33" i="69"/>
  <c r="D36" i="69"/>
  <c r="D38" i="69"/>
  <c r="D40" i="69"/>
  <c r="D46" i="69"/>
  <c r="F21" i="69"/>
  <c r="F34" i="69"/>
  <c r="I10" i="69"/>
  <c r="F19" i="69"/>
  <c r="I25" i="69"/>
  <c r="F32" i="69"/>
  <c r="I41" i="69"/>
  <c r="D10" i="69"/>
  <c r="G19" i="69"/>
  <c r="D24" i="69"/>
  <c r="D27" i="69"/>
  <c r="G32" i="69"/>
  <c r="D37" i="69"/>
  <c r="D39" i="69"/>
  <c r="D41" i="69"/>
  <c r="D45" i="69"/>
  <c r="F8" i="69"/>
  <c r="F9" i="69"/>
  <c r="F10" i="69"/>
  <c r="F11" i="69"/>
  <c r="D12" i="69"/>
  <c r="I12" i="69"/>
  <c r="I15" i="69"/>
  <c r="I16" i="69"/>
  <c r="I17" i="69"/>
  <c r="I18" i="69"/>
  <c r="I19" i="69"/>
  <c r="I20" i="69"/>
  <c r="F23" i="69"/>
  <c r="F24" i="69"/>
  <c r="F25" i="69"/>
  <c r="F26" i="69"/>
  <c r="F27" i="69"/>
  <c r="F28" i="69"/>
  <c r="F29" i="69"/>
  <c r="D30" i="69"/>
  <c r="I30" i="69"/>
  <c r="I32" i="69"/>
  <c r="I33" i="69"/>
  <c r="F36" i="69"/>
  <c r="F37" i="69"/>
  <c r="F38" i="69"/>
  <c r="F39" i="69"/>
  <c r="F40" i="69"/>
  <c r="F41" i="69"/>
  <c r="D42" i="69"/>
  <c r="I42" i="69"/>
  <c r="F45" i="69"/>
  <c r="F46" i="69"/>
  <c r="D47" i="69"/>
  <c r="I47" i="69"/>
  <c r="I11" i="69"/>
  <c r="F20" i="69"/>
  <c r="I26" i="69"/>
  <c r="D34" i="69"/>
  <c r="G16" i="69"/>
  <c r="D26" i="69"/>
  <c r="I9" i="69"/>
  <c r="F16" i="69"/>
  <c r="D21" i="69"/>
  <c r="I27" i="69"/>
  <c r="I34" i="69"/>
  <c r="I38" i="69"/>
  <c r="I45" i="69"/>
  <c r="D8" i="69"/>
  <c r="G17" i="69"/>
  <c r="G21" i="69"/>
  <c r="G34" i="69"/>
  <c r="G8" i="69"/>
  <c r="G9" i="69"/>
  <c r="G10" i="69"/>
  <c r="G11" i="69"/>
  <c r="D15" i="69"/>
  <c r="D16" i="69"/>
  <c r="D17" i="69"/>
  <c r="D18" i="69"/>
  <c r="D19" i="69"/>
  <c r="D20" i="69"/>
  <c r="G23" i="69"/>
  <c r="G24" i="69"/>
  <c r="G25" i="69"/>
  <c r="G26" i="69"/>
  <c r="G27" i="69"/>
  <c r="G28" i="69"/>
  <c r="G29" i="69"/>
  <c r="D32" i="69"/>
  <c r="D33" i="69"/>
  <c r="G36" i="69"/>
  <c r="G37" i="69"/>
  <c r="G38" i="69"/>
  <c r="G39" i="69"/>
  <c r="G40" i="69"/>
  <c r="G41" i="69"/>
  <c r="G45" i="69"/>
  <c r="G46" i="69"/>
  <c r="F15" i="69"/>
  <c r="I21" i="69"/>
  <c r="F33" i="69"/>
  <c r="D11" i="69"/>
  <c r="G20" i="69"/>
  <c r="D29" i="69"/>
  <c r="F12" i="69"/>
  <c r="F30" i="69"/>
  <c r="F42" i="69"/>
  <c r="F47" i="69"/>
  <c r="I8" i="69"/>
  <c r="F18" i="69"/>
  <c r="I24" i="69"/>
  <c r="I29" i="69"/>
  <c r="I36" i="69"/>
  <c r="I39" i="69"/>
  <c r="I40" i="69"/>
  <c r="G12" i="69"/>
  <c r="G30" i="69"/>
  <c r="G42" i="69"/>
  <c r="G47" i="69"/>
  <c r="I9" i="68"/>
  <c r="F15" i="68"/>
  <c r="F17" i="68"/>
  <c r="F20" i="68"/>
  <c r="I21" i="68"/>
  <c r="I23" i="68"/>
  <c r="I26" i="68"/>
  <c r="D9" i="68"/>
  <c r="G15" i="68"/>
  <c r="G16" i="68"/>
  <c r="G18" i="68"/>
  <c r="G19" i="68"/>
  <c r="G20" i="68"/>
  <c r="D23" i="68"/>
  <c r="D24" i="68"/>
  <c r="D25" i="68"/>
  <c r="D26" i="68"/>
  <c r="D27" i="68"/>
  <c r="D28" i="68"/>
  <c r="D29" i="68"/>
  <c r="G32" i="68"/>
  <c r="G33" i="68"/>
  <c r="D36" i="68"/>
  <c r="D37" i="68"/>
  <c r="D38" i="68"/>
  <c r="D39" i="68"/>
  <c r="D40" i="68"/>
  <c r="D41" i="68"/>
  <c r="D45" i="68"/>
  <c r="D46" i="68"/>
  <c r="I8" i="68"/>
  <c r="I10" i="68"/>
  <c r="F18" i="68"/>
  <c r="D21" i="68"/>
  <c r="I28" i="68"/>
  <c r="D8" i="68"/>
  <c r="D10" i="68"/>
  <c r="D11" i="68"/>
  <c r="G17" i="68"/>
  <c r="F21" i="68"/>
  <c r="F34" i="68"/>
  <c r="F10" i="68"/>
  <c r="I12" i="68"/>
  <c r="I17" i="68"/>
  <c r="I19" i="68"/>
  <c r="F24" i="68"/>
  <c r="F26" i="68"/>
  <c r="F27" i="68"/>
  <c r="F29" i="68"/>
  <c r="D30" i="68"/>
  <c r="I30" i="68"/>
  <c r="I32" i="68"/>
  <c r="I33" i="68"/>
  <c r="F36" i="68"/>
  <c r="F37" i="68"/>
  <c r="F38" i="68"/>
  <c r="F39" i="68"/>
  <c r="F40" i="68"/>
  <c r="F41" i="68"/>
  <c r="D42" i="68"/>
  <c r="I42" i="68"/>
  <c r="F45" i="68"/>
  <c r="F46" i="68"/>
  <c r="D47" i="68"/>
  <c r="I47" i="68"/>
  <c r="G21" i="68"/>
  <c r="G34" i="68"/>
  <c r="F9" i="68"/>
  <c r="D12" i="68"/>
  <c r="I15" i="68"/>
  <c r="I18" i="68"/>
  <c r="I20" i="68"/>
  <c r="F23" i="68"/>
  <c r="F25" i="68"/>
  <c r="F28" i="68"/>
  <c r="G9" i="68"/>
  <c r="G11" i="68"/>
  <c r="D15" i="68"/>
  <c r="D16" i="68"/>
  <c r="D18" i="68"/>
  <c r="D19" i="68"/>
  <c r="D20" i="68"/>
  <c r="G23" i="68"/>
  <c r="G24" i="68"/>
  <c r="G25" i="68"/>
  <c r="G26" i="68"/>
  <c r="G27" i="68"/>
  <c r="G28" i="68"/>
  <c r="G29" i="68"/>
  <c r="D32" i="68"/>
  <c r="D33" i="68"/>
  <c r="G36" i="68"/>
  <c r="G37" i="68"/>
  <c r="G38" i="68"/>
  <c r="G39" i="68"/>
  <c r="G40" i="68"/>
  <c r="G41" i="68"/>
  <c r="G45" i="68"/>
  <c r="G46" i="68"/>
  <c r="F8" i="68"/>
  <c r="F11" i="68"/>
  <c r="I16" i="68"/>
  <c r="G8" i="68"/>
  <c r="G10" i="68"/>
  <c r="D17" i="68"/>
  <c r="F12" i="68"/>
  <c r="F30" i="68"/>
  <c r="F42" i="68"/>
  <c r="F47" i="68"/>
  <c r="I11" i="68"/>
  <c r="F16" i="68"/>
  <c r="F19" i="68"/>
  <c r="I24" i="68"/>
  <c r="I25" i="68"/>
  <c r="I27" i="68"/>
  <c r="I29" i="68"/>
  <c r="F32" i="68"/>
  <c r="F33" i="68"/>
  <c r="D34" i="68"/>
  <c r="I34" i="68"/>
  <c r="I36" i="68"/>
  <c r="I37" i="68"/>
  <c r="I38" i="68"/>
  <c r="I39" i="68"/>
  <c r="I40" i="68"/>
  <c r="I41" i="68"/>
  <c r="I45" i="68"/>
  <c r="I46" i="68"/>
  <c r="G12" i="68"/>
  <c r="G30" i="68"/>
  <c r="G42" i="68"/>
  <c r="G47" i="68"/>
  <c r="D8" i="67"/>
  <c r="G16" i="67"/>
  <c r="G18" i="67"/>
  <c r="G19" i="67"/>
  <c r="G20" i="67"/>
  <c r="D23" i="67"/>
  <c r="D24" i="67"/>
  <c r="D25" i="67"/>
  <c r="D26" i="67"/>
  <c r="D27" i="67"/>
  <c r="D28" i="67"/>
  <c r="D29" i="67"/>
  <c r="G32" i="67"/>
  <c r="G33" i="67"/>
  <c r="D36" i="67"/>
  <c r="D37" i="67"/>
  <c r="D38" i="67"/>
  <c r="D39" i="67"/>
  <c r="D40" i="67"/>
  <c r="D41" i="67"/>
  <c r="D45" i="67"/>
  <c r="D46" i="67"/>
  <c r="D9" i="67"/>
  <c r="G17" i="67"/>
  <c r="F21" i="67"/>
  <c r="F34" i="67"/>
  <c r="D10" i="67"/>
  <c r="F8" i="67"/>
  <c r="F10" i="67"/>
  <c r="D12" i="67"/>
  <c r="I15" i="67"/>
  <c r="I17" i="67"/>
  <c r="I18" i="67"/>
  <c r="I19" i="67"/>
  <c r="F23" i="67"/>
  <c r="F24" i="67"/>
  <c r="F25" i="67"/>
  <c r="F26" i="67"/>
  <c r="F27" i="67"/>
  <c r="F28" i="67"/>
  <c r="F29" i="67"/>
  <c r="D30" i="67"/>
  <c r="I30" i="67"/>
  <c r="I32" i="67"/>
  <c r="I33" i="67"/>
  <c r="F36" i="67"/>
  <c r="F37" i="67"/>
  <c r="F38" i="67"/>
  <c r="F39" i="67"/>
  <c r="F40" i="67"/>
  <c r="F41" i="67"/>
  <c r="D42" i="67"/>
  <c r="I42" i="67"/>
  <c r="F45" i="67"/>
  <c r="F46" i="67"/>
  <c r="D47" i="67"/>
  <c r="I47" i="67"/>
  <c r="D11" i="67"/>
  <c r="F9" i="67"/>
  <c r="F11" i="67"/>
  <c r="I12" i="67"/>
  <c r="I16" i="67"/>
  <c r="I20" i="67"/>
  <c r="G21" i="67"/>
  <c r="G34" i="67"/>
  <c r="G9" i="67"/>
  <c r="G11" i="67"/>
  <c r="D15" i="67"/>
  <c r="D17" i="67"/>
  <c r="D18" i="67"/>
  <c r="D20" i="67"/>
  <c r="G23" i="67"/>
  <c r="G24" i="67"/>
  <c r="G25" i="67"/>
  <c r="G26" i="67"/>
  <c r="G27" i="67"/>
  <c r="G28" i="67"/>
  <c r="G29" i="67"/>
  <c r="D32" i="67"/>
  <c r="D33" i="67"/>
  <c r="G36" i="67"/>
  <c r="G37" i="67"/>
  <c r="G38" i="67"/>
  <c r="G39" i="67"/>
  <c r="G40" i="67"/>
  <c r="G41" i="67"/>
  <c r="G45" i="67"/>
  <c r="G46" i="67"/>
  <c r="G10" i="67"/>
  <c r="D16" i="67"/>
  <c r="D19" i="67"/>
  <c r="F12" i="67"/>
  <c r="F30" i="67"/>
  <c r="F42" i="67"/>
  <c r="F47" i="67"/>
  <c r="G8" i="67"/>
  <c r="I8" i="67"/>
  <c r="I10" i="67"/>
  <c r="F15" i="67"/>
  <c r="F17" i="67"/>
  <c r="F19" i="67"/>
  <c r="F20" i="67"/>
  <c r="D21" i="67"/>
  <c r="I21" i="67"/>
  <c r="I23" i="67"/>
  <c r="I24" i="67"/>
  <c r="I25" i="67"/>
  <c r="I26" i="67"/>
  <c r="I27" i="67"/>
  <c r="I28" i="67"/>
  <c r="I29" i="67"/>
  <c r="F32" i="67"/>
  <c r="F33" i="67"/>
  <c r="D34" i="67"/>
  <c r="I34" i="67"/>
  <c r="I36" i="67"/>
  <c r="I37" i="67"/>
  <c r="I38" i="67"/>
  <c r="I39" i="67"/>
  <c r="I40" i="67"/>
  <c r="I41" i="67"/>
  <c r="I45" i="67"/>
  <c r="I46" i="67"/>
  <c r="G15" i="67"/>
  <c r="I9" i="67"/>
  <c r="I11" i="67"/>
  <c r="F16" i="67"/>
  <c r="F18" i="67"/>
  <c r="G12" i="67"/>
  <c r="G30" i="67"/>
  <c r="G42" i="67"/>
  <c r="G47" i="67"/>
  <c r="D9" i="66"/>
  <c r="G18" i="66"/>
  <c r="D27" i="66"/>
  <c r="D37" i="66"/>
  <c r="F21" i="66"/>
  <c r="F34" i="66"/>
  <c r="D10" i="66"/>
  <c r="D29" i="66"/>
  <c r="D45" i="66"/>
  <c r="F10" i="66"/>
  <c r="I12" i="66"/>
  <c r="I16" i="66"/>
  <c r="I18" i="66"/>
  <c r="I20" i="66"/>
  <c r="F23" i="66"/>
  <c r="F25" i="66"/>
  <c r="F26" i="66"/>
  <c r="F27" i="66"/>
  <c r="F29" i="66"/>
  <c r="D30" i="66"/>
  <c r="I30" i="66"/>
  <c r="I32" i="66"/>
  <c r="I33" i="66"/>
  <c r="F36" i="66"/>
  <c r="F37" i="66"/>
  <c r="F38" i="66"/>
  <c r="F39" i="66"/>
  <c r="F40" i="66"/>
  <c r="F41" i="66"/>
  <c r="D42" i="66"/>
  <c r="I42" i="66"/>
  <c r="F45" i="66"/>
  <c r="F46" i="66"/>
  <c r="D47" i="66"/>
  <c r="I47" i="66"/>
  <c r="D24" i="66"/>
  <c r="F9" i="66"/>
  <c r="I15" i="66"/>
  <c r="I17" i="66"/>
  <c r="I19" i="66"/>
  <c r="F24" i="66"/>
  <c r="F28" i="66"/>
  <c r="G21" i="66"/>
  <c r="G34" i="66"/>
  <c r="D8" i="66"/>
  <c r="G16" i="66"/>
  <c r="D23" i="66"/>
  <c r="D38" i="66"/>
  <c r="D41" i="66"/>
  <c r="G10" i="66"/>
  <c r="D16" i="66"/>
  <c r="D17" i="66"/>
  <c r="D19" i="66"/>
  <c r="G23" i="66"/>
  <c r="G24" i="66"/>
  <c r="G25" i="66"/>
  <c r="G26" i="66"/>
  <c r="G27" i="66"/>
  <c r="G28" i="66"/>
  <c r="G29" i="66"/>
  <c r="D32" i="66"/>
  <c r="D33" i="66"/>
  <c r="G36" i="66"/>
  <c r="G37" i="66"/>
  <c r="G38" i="66"/>
  <c r="G39" i="66"/>
  <c r="G40" i="66"/>
  <c r="G41" i="66"/>
  <c r="G45" i="66"/>
  <c r="G46" i="66"/>
  <c r="G19" i="66"/>
  <c r="D26" i="66"/>
  <c r="G32" i="66"/>
  <c r="D39" i="66"/>
  <c r="D46" i="66"/>
  <c r="F8" i="66"/>
  <c r="D12" i="66"/>
  <c r="G9" i="66"/>
  <c r="G11" i="66"/>
  <c r="D15" i="66"/>
  <c r="D18" i="66"/>
  <c r="D20" i="66"/>
  <c r="F12" i="66"/>
  <c r="F30" i="66"/>
  <c r="F42" i="66"/>
  <c r="F47" i="66"/>
  <c r="G15" i="66"/>
  <c r="G20" i="66"/>
  <c r="D28" i="66"/>
  <c r="G33" i="66"/>
  <c r="D40" i="66"/>
  <c r="F11" i="66"/>
  <c r="G8" i="66"/>
  <c r="I8" i="66"/>
  <c r="I10" i="66"/>
  <c r="F15" i="66"/>
  <c r="F17" i="66"/>
  <c r="F18" i="66"/>
  <c r="F20" i="66"/>
  <c r="D21" i="66"/>
  <c r="I21" i="66"/>
  <c r="I23" i="66"/>
  <c r="I24" i="66"/>
  <c r="I25" i="66"/>
  <c r="I26" i="66"/>
  <c r="I27" i="66"/>
  <c r="I28" i="66"/>
  <c r="I29" i="66"/>
  <c r="F32" i="66"/>
  <c r="F33" i="66"/>
  <c r="D34" i="66"/>
  <c r="I34" i="66"/>
  <c r="I36" i="66"/>
  <c r="I37" i="66"/>
  <c r="I38" i="66"/>
  <c r="I39" i="66"/>
  <c r="I40" i="66"/>
  <c r="I41" i="66"/>
  <c r="I45" i="66"/>
  <c r="I46" i="66"/>
  <c r="D11" i="66"/>
  <c r="G17" i="66"/>
  <c r="D25" i="66"/>
  <c r="D36" i="66"/>
  <c r="I9" i="66"/>
  <c r="I11" i="66"/>
  <c r="F16" i="66"/>
  <c r="F19" i="66"/>
  <c r="G12" i="66"/>
  <c r="G30" i="66"/>
  <c r="G42" i="66"/>
  <c r="G47" i="66"/>
  <c r="G15" i="65"/>
  <c r="G19" i="65"/>
  <c r="D25" i="65"/>
  <c r="G32" i="65"/>
  <c r="D38" i="65"/>
  <c r="D40" i="65"/>
  <c r="D45" i="65"/>
  <c r="F21" i="65"/>
  <c r="F34" i="65"/>
  <c r="D29" i="65"/>
  <c r="D37" i="65"/>
  <c r="F10" i="65"/>
  <c r="D12" i="65"/>
  <c r="I15" i="65"/>
  <c r="I17" i="65"/>
  <c r="I20" i="65"/>
  <c r="F23" i="65"/>
  <c r="F25" i="65"/>
  <c r="F27" i="65"/>
  <c r="F29" i="65"/>
  <c r="I30" i="65"/>
  <c r="I33" i="65"/>
  <c r="F36" i="65"/>
  <c r="F37" i="65"/>
  <c r="F38" i="65"/>
  <c r="F40" i="65"/>
  <c r="F41" i="65"/>
  <c r="D42" i="65"/>
  <c r="I42" i="65"/>
  <c r="F45" i="65"/>
  <c r="F46" i="65"/>
  <c r="D47" i="65"/>
  <c r="I47" i="65"/>
  <c r="D11" i="65"/>
  <c r="D24" i="65"/>
  <c r="F8" i="65"/>
  <c r="F9" i="65"/>
  <c r="F11" i="65"/>
  <c r="I12" i="65"/>
  <c r="I16" i="65"/>
  <c r="I18" i="65"/>
  <c r="I19" i="65"/>
  <c r="F24" i="65"/>
  <c r="F26" i="65"/>
  <c r="F28" i="65"/>
  <c r="D30" i="65"/>
  <c r="I32" i="65"/>
  <c r="F39" i="65"/>
  <c r="G21" i="65"/>
  <c r="G34" i="65"/>
  <c r="D8" i="65"/>
  <c r="G18" i="65"/>
  <c r="D23" i="65"/>
  <c r="D28" i="65"/>
  <c r="G33" i="65"/>
  <c r="D39" i="65"/>
  <c r="G9" i="65"/>
  <c r="D17" i="65"/>
  <c r="D20" i="65"/>
  <c r="G23" i="65"/>
  <c r="G24" i="65"/>
  <c r="G25" i="65"/>
  <c r="G26" i="65"/>
  <c r="G27" i="65"/>
  <c r="G28" i="65"/>
  <c r="G29" i="65"/>
  <c r="D32" i="65"/>
  <c r="D33" i="65"/>
  <c r="G36" i="65"/>
  <c r="G37" i="65"/>
  <c r="G38" i="65"/>
  <c r="G39" i="65"/>
  <c r="G40" i="65"/>
  <c r="G41" i="65"/>
  <c r="G45" i="65"/>
  <c r="G46" i="65"/>
  <c r="G16" i="65"/>
  <c r="D26" i="65"/>
  <c r="D36" i="65"/>
  <c r="G8" i="65"/>
  <c r="G11" i="65"/>
  <c r="D16" i="65"/>
  <c r="D18" i="65"/>
  <c r="F12" i="65"/>
  <c r="F30" i="65"/>
  <c r="F42" i="65"/>
  <c r="F47" i="65"/>
  <c r="D10" i="65"/>
  <c r="G20" i="65"/>
  <c r="D27" i="65"/>
  <c r="D41" i="65"/>
  <c r="I9" i="65"/>
  <c r="I11" i="65"/>
  <c r="F16" i="65"/>
  <c r="F18" i="65"/>
  <c r="F20" i="65"/>
  <c r="I21" i="65"/>
  <c r="I24" i="65"/>
  <c r="I25" i="65"/>
  <c r="I27" i="65"/>
  <c r="I28" i="65"/>
  <c r="I29" i="65"/>
  <c r="F32" i="65"/>
  <c r="F33" i="65"/>
  <c r="D34" i="65"/>
  <c r="I34" i="65"/>
  <c r="I36" i="65"/>
  <c r="I37" i="65"/>
  <c r="I38" i="65"/>
  <c r="I39" i="65"/>
  <c r="I40" i="65"/>
  <c r="I41" i="65"/>
  <c r="I45" i="65"/>
  <c r="I46" i="65"/>
  <c r="D9" i="65"/>
  <c r="G17" i="65"/>
  <c r="D46" i="65"/>
  <c r="G10" i="65"/>
  <c r="D15" i="65"/>
  <c r="D19" i="65"/>
  <c r="I8" i="65"/>
  <c r="I10" i="65"/>
  <c r="F15" i="65"/>
  <c r="F17" i="65"/>
  <c r="F19" i="65"/>
  <c r="D21" i="65"/>
  <c r="I23" i="65"/>
  <c r="I26" i="65"/>
  <c r="G12" i="65"/>
  <c r="G30" i="65"/>
  <c r="G42" i="65"/>
  <c r="G47" i="65"/>
  <c r="I8" i="64"/>
  <c r="F16" i="64"/>
  <c r="D21" i="64"/>
  <c r="I25" i="64"/>
  <c r="F32" i="64"/>
  <c r="I37" i="64"/>
  <c r="I40" i="64"/>
  <c r="G12" i="64"/>
  <c r="D10" i="64"/>
  <c r="G15" i="64"/>
  <c r="G19" i="64"/>
  <c r="D23" i="64"/>
  <c r="D27" i="64"/>
  <c r="D37" i="64"/>
  <c r="D38" i="64"/>
  <c r="D39" i="64"/>
  <c r="D40" i="64"/>
  <c r="D41" i="64"/>
  <c r="D45" i="64"/>
  <c r="D46" i="64"/>
  <c r="F21" i="64"/>
  <c r="F34" i="64"/>
  <c r="F20" i="64"/>
  <c r="I29" i="64"/>
  <c r="I39" i="64"/>
  <c r="D9" i="64"/>
  <c r="G20" i="64"/>
  <c r="D28" i="64"/>
  <c r="D36" i="64"/>
  <c r="F8" i="64"/>
  <c r="F9" i="64"/>
  <c r="F10" i="64"/>
  <c r="F11" i="64"/>
  <c r="D12" i="64"/>
  <c r="I12" i="64"/>
  <c r="I15" i="64"/>
  <c r="I16" i="64"/>
  <c r="I17" i="64"/>
  <c r="I18" i="64"/>
  <c r="I19" i="64"/>
  <c r="I20" i="64"/>
  <c r="F23" i="64"/>
  <c r="F24" i="64"/>
  <c r="F25" i="64"/>
  <c r="F26" i="64"/>
  <c r="F27" i="64"/>
  <c r="F28" i="64"/>
  <c r="F29" i="64"/>
  <c r="D30" i="64"/>
  <c r="I30" i="64"/>
  <c r="I32" i="64"/>
  <c r="I33" i="64"/>
  <c r="F36" i="64"/>
  <c r="F37" i="64"/>
  <c r="F38" i="64"/>
  <c r="F39" i="64"/>
  <c r="F40" i="64"/>
  <c r="F41" i="64"/>
  <c r="D42" i="64"/>
  <c r="I42" i="64"/>
  <c r="F45" i="64"/>
  <c r="F46" i="64"/>
  <c r="D47" i="64"/>
  <c r="I47" i="64"/>
  <c r="I11" i="64"/>
  <c r="F18" i="64"/>
  <c r="I24" i="64"/>
  <c r="F33" i="64"/>
  <c r="D8" i="64"/>
  <c r="G16" i="64"/>
  <c r="D26" i="64"/>
  <c r="I9" i="64"/>
  <c r="F17" i="64"/>
  <c r="I23" i="64"/>
  <c r="I28" i="64"/>
  <c r="D34" i="64"/>
  <c r="I41" i="64"/>
  <c r="D11" i="64"/>
  <c r="G17" i="64"/>
  <c r="D25" i="64"/>
  <c r="D29" i="64"/>
  <c r="G33" i="64"/>
  <c r="G21" i="64"/>
  <c r="G34" i="64"/>
  <c r="G8" i="64"/>
  <c r="G9" i="64"/>
  <c r="G10" i="64"/>
  <c r="G11" i="64"/>
  <c r="D15" i="64"/>
  <c r="D16" i="64"/>
  <c r="D17" i="64"/>
  <c r="D18" i="64"/>
  <c r="D19" i="64"/>
  <c r="D20" i="64"/>
  <c r="G23" i="64"/>
  <c r="G24" i="64"/>
  <c r="G25" i="64"/>
  <c r="G26" i="64"/>
  <c r="G27" i="64"/>
  <c r="G28" i="64"/>
  <c r="G29" i="64"/>
  <c r="D32" i="64"/>
  <c r="D33" i="64"/>
  <c r="G36" i="64"/>
  <c r="G37" i="64"/>
  <c r="G38" i="64"/>
  <c r="G39" i="64"/>
  <c r="G40" i="64"/>
  <c r="G41" i="64"/>
  <c r="G45" i="64"/>
  <c r="G46" i="64"/>
  <c r="F15" i="64"/>
  <c r="I21" i="64"/>
  <c r="I27" i="64"/>
  <c r="I36" i="64"/>
  <c r="G18" i="64"/>
  <c r="D24" i="64"/>
  <c r="G32" i="64"/>
  <c r="F12" i="64"/>
  <c r="F30" i="64"/>
  <c r="F42" i="64"/>
  <c r="F47" i="64"/>
  <c r="I45" i="64"/>
  <c r="I46" i="64"/>
  <c r="I10" i="64"/>
  <c r="F19" i="64"/>
  <c r="I26" i="64"/>
  <c r="I34" i="64"/>
  <c r="I38" i="64"/>
  <c r="G30" i="64"/>
  <c r="G42" i="64"/>
  <c r="G47" i="64"/>
  <c r="G15" i="63"/>
  <c r="G19" i="63"/>
  <c r="D23" i="63"/>
  <c r="D24" i="63"/>
  <c r="D25" i="63"/>
  <c r="D26" i="63"/>
  <c r="D28" i="63"/>
  <c r="D29" i="63"/>
  <c r="G32" i="63"/>
  <c r="G33" i="63"/>
  <c r="D36" i="63"/>
  <c r="D37" i="63"/>
  <c r="D38" i="63"/>
  <c r="D39" i="63"/>
  <c r="D40" i="63"/>
  <c r="D41" i="63"/>
  <c r="D45" i="63"/>
  <c r="D46" i="63"/>
  <c r="D11" i="63"/>
  <c r="G16" i="63"/>
  <c r="G17" i="63"/>
  <c r="D27" i="63"/>
  <c r="F21" i="63"/>
  <c r="F34" i="63"/>
  <c r="G18" i="63"/>
  <c r="F8" i="63"/>
  <c r="F10" i="63"/>
  <c r="D12" i="63"/>
  <c r="I15" i="63"/>
  <c r="I17" i="63"/>
  <c r="I19" i="63"/>
  <c r="F23" i="63"/>
  <c r="F25" i="63"/>
  <c r="F27" i="63"/>
  <c r="F28" i="63"/>
  <c r="D30" i="63"/>
  <c r="I30" i="63"/>
  <c r="I32" i="63"/>
  <c r="I33" i="63"/>
  <c r="F36" i="63"/>
  <c r="F37" i="63"/>
  <c r="F38" i="63"/>
  <c r="F39" i="63"/>
  <c r="F40" i="63"/>
  <c r="F41" i="63"/>
  <c r="D42" i="63"/>
  <c r="I42" i="63"/>
  <c r="F45" i="63"/>
  <c r="F46" i="63"/>
  <c r="D47" i="63"/>
  <c r="I47" i="63"/>
  <c r="D10" i="63"/>
  <c r="G20" i="63"/>
  <c r="F9" i="63"/>
  <c r="F11" i="63"/>
  <c r="I12" i="63"/>
  <c r="I16" i="63"/>
  <c r="I18" i="63"/>
  <c r="I20" i="63"/>
  <c r="F24" i="63"/>
  <c r="F26" i="63"/>
  <c r="F29" i="63"/>
  <c r="G21" i="63"/>
  <c r="G34" i="63"/>
  <c r="D9" i="63"/>
  <c r="G8" i="63"/>
  <c r="G11" i="63"/>
  <c r="D16" i="63"/>
  <c r="D18" i="63"/>
  <c r="G23" i="63"/>
  <c r="G24" i="63"/>
  <c r="G25" i="63"/>
  <c r="G26" i="63"/>
  <c r="G27" i="63"/>
  <c r="G28" i="63"/>
  <c r="G29" i="63"/>
  <c r="D32" i="63"/>
  <c r="D33" i="63"/>
  <c r="G36" i="63"/>
  <c r="G37" i="63"/>
  <c r="G38" i="63"/>
  <c r="G39" i="63"/>
  <c r="G40" i="63"/>
  <c r="G41" i="63"/>
  <c r="G45" i="63"/>
  <c r="G46" i="63"/>
  <c r="G9" i="63"/>
  <c r="D17" i="63"/>
  <c r="D19" i="63"/>
  <c r="F12" i="63"/>
  <c r="F30" i="63"/>
  <c r="F42" i="63"/>
  <c r="F47" i="63"/>
  <c r="G10" i="63"/>
  <c r="D15" i="63"/>
  <c r="D20" i="63"/>
  <c r="I8" i="63"/>
  <c r="I10" i="63"/>
  <c r="F15" i="63"/>
  <c r="F17" i="63"/>
  <c r="F19" i="63"/>
  <c r="D21" i="63"/>
  <c r="I23" i="63"/>
  <c r="I24" i="63"/>
  <c r="I26" i="63"/>
  <c r="I27" i="63"/>
  <c r="I28" i="63"/>
  <c r="I29" i="63"/>
  <c r="F32" i="63"/>
  <c r="F33" i="63"/>
  <c r="D34" i="63"/>
  <c r="I34" i="63"/>
  <c r="I36" i="63"/>
  <c r="I37" i="63"/>
  <c r="I38" i="63"/>
  <c r="I39" i="63"/>
  <c r="I40" i="63"/>
  <c r="I41" i="63"/>
  <c r="I45" i="63"/>
  <c r="I46" i="63"/>
  <c r="D8" i="63"/>
  <c r="I9" i="63"/>
  <c r="I11" i="63"/>
  <c r="F16" i="63"/>
  <c r="F18" i="63"/>
  <c r="F20" i="63"/>
  <c r="I21" i="63"/>
  <c r="I25" i="63"/>
  <c r="G12" i="63"/>
  <c r="G30" i="63"/>
  <c r="G42" i="63"/>
  <c r="G47" i="63"/>
  <c r="H9" i="5"/>
  <c r="F43" i="70" a="1"/>
  <c r="G43" i="70" a="1"/>
  <c r="I43" i="70" a="1"/>
  <c r="D43" i="64" a="1"/>
  <c r="D48" i="70" a="1"/>
  <c r="D43" i="70" a="1"/>
  <c r="F43" i="64" a="1"/>
  <c r="G43" i="64" a="1"/>
  <c r="I43" i="64" a="1"/>
  <c r="D48" i="64" a="1"/>
  <c r="I43" i="80" a="1"/>
  <c r="F43" i="80" a="1"/>
  <c r="G43" i="80" a="1"/>
  <c r="D43" i="80" a="1"/>
  <c r="F43" i="78" a="1"/>
  <c r="G43" i="78" a="1"/>
  <c r="I43" i="78" a="1"/>
  <c r="D43" i="78" a="1"/>
  <c r="F43" i="75" a="1"/>
  <c r="G43" i="75" a="1"/>
  <c r="I43" i="75" a="1"/>
  <c r="D43" i="75" a="1"/>
  <c r="F43" i="72" a="1"/>
  <c r="G43" i="72" a="1"/>
  <c r="I43" i="72" a="1"/>
  <c r="D43" i="72" a="1"/>
  <c r="F43" i="67" a="1"/>
  <c r="G43" i="67" a="1"/>
  <c r="I43" i="67" a="1"/>
  <c r="D43" i="67" a="1"/>
  <c r="F43" i="76" a="1"/>
  <c r="G43" i="76" a="1"/>
  <c r="I43" i="76" a="1"/>
  <c r="D43" i="76" a="1"/>
  <c r="F43" i="68" a="1"/>
  <c r="G43" i="68" a="1"/>
  <c r="I43" i="68" a="1"/>
  <c r="D43" i="68" a="1"/>
  <c r="D48" i="68" a="1"/>
  <c r="I43" i="71" a="1"/>
  <c r="F43" i="71" a="1"/>
  <c r="G43" i="71" a="1"/>
  <c r="D43" i="71" a="1"/>
  <c r="D48" i="71" a="1"/>
  <c r="F43" i="79" a="1"/>
  <c r="G43" i="79" a="1"/>
  <c r="I43" i="79" a="1"/>
  <c r="D43" i="79" a="1"/>
  <c r="F43" i="63" a="1"/>
  <c r="G43" i="63" a="1"/>
  <c r="I43" i="63" a="1"/>
  <c r="F48" i="63" a="1"/>
  <c r="G48" i="63" a="1"/>
  <c r="I48" i="63" a="1"/>
  <c r="D43" i="63" a="1"/>
  <c r="F43" i="74" a="1"/>
  <c r="G43" i="74" a="1"/>
  <c r="I43" i="74" a="1"/>
  <c r="D43" i="74" a="1"/>
  <c r="D48" i="74" a="1"/>
  <c r="F43" i="69" a="1"/>
  <c r="G43" i="69" a="1"/>
  <c r="I43" i="69" a="1"/>
  <c r="D43" i="69" a="1"/>
  <c r="I43" i="77" a="1"/>
  <c r="F43" i="77" a="1"/>
  <c r="G43" i="77" a="1"/>
  <c r="D43" i="77" a="1"/>
  <c r="F43" i="66" a="1"/>
  <c r="G43" i="66" a="1"/>
  <c r="I43" i="66" a="1"/>
  <c r="D43" i="66" a="1"/>
  <c r="D48" i="66" a="1"/>
  <c r="I48" i="73" a="1"/>
  <c r="I43" i="73" a="1"/>
  <c r="F43" i="73" a="1"/>
  <c r="G43" i="73" a="1"/>
  <c r="D43" i="73" a="1"/>
  <c r="F43" i="65" a="1"/>
  <c r="G43" i="65" a="1"/>
  <c r="I43" i="65" a="1"/>
  <c r="D43" i="65" a="1"/>
  <c r="D48" i="65" a="1"/>
  <c r="D48" i="69" a="1"/>
  <c r="F48" i="76" a="1"/>
  <c r="G48" i="76" a="1"/>
  <c r="I48" i="76" a="1"/>
  <c r="F48" i="65" a="1"/>
  <c r="G48" i="65" a="1"/>
  <c r="I48" i="65" a="1"/>
  <c r="F48" i="74" a="1"/>
  <c r="G48" i="74" a="1"/>
  <c r="F48" i="66" a="1"/>
  <c r="G48" i="66" a="1"/>
  <c r="F48" i="69" a="1"/>
  <c r="G48" i="69" a="1"/>
  <c r="I48" i="69" a="1"/>
  <c r="I48" i="80" a="1"/>
  <c r="F48" i="80" a="1"/>
  <c r="G48" i="80" a="1"/>
  <c r="F48" i="79" a="1"/>
  <c r="G48" i="79" a="1"/>
  <c r="I48" i="79" a="1"/>
  <c r="I48" i="77" a="1"/>
  <c r="F48" i="77" a="1"/>
  <c r="G48" i="77" a="1"/>
  <c r="I48" i="74" a="1"/>
  <c r="D48" i="73" a="1"/>
  <c r="F48" i="73" a="1"/>
  <c r="G48" i="73" a="1"/>
  <c r="I48" i="72" a="1"/>
  <c r="F48" i="72" a="1"/>
  <c r="G48" i="72" a="1"/>
  <c r="D48" i="72" a="1"/>
  <c r="F48" i="71" a="1"/>
  <c r="G48" i="71" a="1"/>
  <c r="I48" i="71" a="1"/>
  <c r="I48" i="66" a="1"/>
  <c r="I43" i="64" l="1"/>
  <c r="G43" i="64"/>
  <c r="F43" i="64"/>
  <c r="D43" i="70"/>
  <c r="D48" i="70"/>
  <c r="D43" i="64"/>
  <c r="I43" i="70"/>
  <c r="G43" i="70"/>
  <c r="F43" i="70"/>
  <c r="E48" i="64"/>
  <c r="E48" i="70"/>
  <c r="D48" i="64"/>
  <c r="G43" i="80"/>
  <c r="F43" i="80"/>
  <c r="I43" i="80"/>
  <c r="D43" i="80"/>
  <c r="B48" i="80"/>
  <c r="I43" i="78"/>
  <c r="G43" i="78"/>
  <c r="F43" i="78"/>
  <c r="E48" i="78"/>
  <c r="D43" i="78"/>
  <c r="B48" i="78"/>
  <c r="I43" i="75"/>
  <c r="G43" i="75"/>
  <c r="F43" i="75"/>
  <c r="E48" i="75"/>
  <c r="D43" i="75"/>
  <c r="B48" i="75"/>
  <c r="I43" i="72"/>
  <c r="G43" i="72"/>
  <c r="F43" i="72"/>
  <c r="D43" i="72"/>
  <c r="I43" i="67"/>
  <c r="G43" i="67"/>
  <c r="F43" i="67"/>
  <c r="E48" i="67"/>
  <c r="D43" i="67"/>
  <c r="B48" i="67"/>
  <c r="I43" i="76"/>
  <c r="G43" i="76"/>
  <c r="F43" i="76"/>
  <c r="D43" i="76"/>
  <c r="B48" i="76"/>
  <c r="I43" i="68"/>
  <c r="G43" i="68"/>
  <c r="F43" i="68"/>
  <c r="E48" i="68"/>
  <c r="D48" i="68"/>
  <c r="D43" i="68"/>
  <c r="G43" i="71"/>
  <c r="F43" i="71"/>
  <c r="I43" i="71"/>
  <c r="D48" i="71"/>
  <c r="D43" i="71"/>
  <c r="I43" i="79"/>
  <c r="G43" i="79"/>
  <c r="F43" i="79"/>
  <c r="D43" i="79"/>
  <c r="B48" i="79"/>
  <c r="I48" i="63"/>
  <c r="G48" i="63"/>
  <c r="F48" i="63"/>
  <c r="I43" i="63"/>
  <c r="G43" i="63"/>
  <c r="F43" i="63"/>
  <c r="D43" i="63"/>
  <c r="B48" i="63"/>
  <c r="I43" i="74"/>
  <c r="G43" i="74"/>
  <c r="F43" i="74"/>
  <c r="D48" i="74"/>
  <c r="D43" i="74"/>
  <c r="I43" i="69"/>
  <c r="G43" i="69"/>
  <c r="F43" i="69"/>
  <c r="D43" i="69"/>
  <c r="G43" i="77"/>
  <c r="F43" i="77"/>
  <c r="I43" i="77"/>
  <c r="D43" i="77"/>
  <c r="B48" i="77"/>
  <c r="I43" i="66"/>
  <c r="G43" i="66"/>
  <c r="F43" i="66"/>
  <c r="D48" i="66"/>
  <c r="D43" i="66"/>
  <c r="G43" i="73"/>
  <c r="F43" i="73"/>
  <c r="I43" i="73"/>
  <c r="I48" i="73"/>
  <c r="D43" i="73"/>
  <c r="I43" i="65"/>
  <c r="G43" i="65"/>
  <c r="F43" i="65"/>
  <c r="D48" i="65"/>
  <c r="D43" i="65"/>
  <c r="D48" i="69"/>
  <c r="I48" i="76"/>
  <c r="G48" i="76"/>
  <c r="F48" i="76"/>
  <c r="I48" i="65"/>
  <c r="G48" i="65"/>
  <c r="F48" i="65"/>
  <c r="G48" i="74"/>
  <c r="F48" i="74"/>
  <c r="G48" i="66"/>
  <c r="F48" i="66"/>
  <c r="I48" i="69"/>
  <c r="G48" i="69"/>
  <c r="F48" i="69"/>
  <c r="G48" i="80"/>
  <c r="F48" i="80"/>
  <c r="I48" i="80"/>
  <c r="I48" i="79"/>
  <c r="G48" i="79"/>
  <c r="F48" i="79"/>
  <c r="G48" i="77"/>
  <c r="F48" i="77"/>
  <c r="I48" i="77"/>
  <c r="I48" i="74"/>
  <c r="G48" i="73"/>
  <c r="F48" i="73"/>
  <c r="D48" i="73"/>
  <c r="D48" i="72"/>
  <c r="G48" i="72"/>
  <c r="F48" i="72"/>
  <c r="I48" i="72"/>
  <c r="I48" i="71"/>
  <c r="G48" i="71"/>
  <c r="F48" i="71"/>
  <c r="I48" i="66"/>
  <c r="H7" i="5"/>
  <c r="F7" i="5"/>
  <c r="F48" i="70" a="1"/>
  <c r="G48" i="70" a="1"/>
  <c r="I48" i="70" a="1"/>
  <c r="I48" i="64" a="1"/>
  <c r="G48" i="64" a="1"/>
  <c r="F48" i="64" a="1"/>
  <c r="D48" i="80" a="1"/>
  <c r="F48" i="78" a="1"/>
  <c r="G48" i="78" a="1"/>
  <c r="I48" i="78" a="1"/>
  <c r="D48" i="78" a="1"/>
  <c r="F48" i="75" a="1"/>
  <c r="G48" i="75" a="1"/>
  <c r="I48" i="75" a="1"/>
  <c r="D48" i="75" a="1"/>
  <c r="F48" i="67" a="1"/>
  <c r="G48" i="67" a="1"/>
  <c r="I48" i="67" a="1"/>
  <c r="D48" i="67" a="1"/>
  <c r="D48" i="76" a="1"/>
  <c r="F48" i="68" a="1"/>
  <c r="G48" i="68" a="1"/>
  <c r="I48" i="68" a="1"/>
  <c r="D48" i="79" a="1"/>
  <c r="D48" i="63" a="1"/>
  <c r="D48" i="77" a="1"/>
  <c r="F48" i="64" l="1"/>
  <c r="G48" i="64"/>
  <c r="I48" i="64"/>
  <c r="I48" i="70"/>
  <c r="G48" i="70"/>
  <c r="F48" i="70"/>
  <c r="D48" i="80"/>
  <c r="I48" i="78"/>
  <c r="G48" i="78"/>
  <c r="F48" i="78"/>
  <c r="D48" i="78"/>
  <c r="I48" i="75"/>
  <c r="G48" i="75"/>
  <c r="F48" i="75"/>
  <c r="D48" i="75"/>
  <c r="I48" i="67"/>
  <c r="G48" i="67"/>
  <c r="F48" i="67"/>
  <c r="D48" i="67"/>
  <c r="D48" i="76"/>
  <c r="I48" i="68"/>
  <c r="G48" i="68"/>
  <c r="F48" i="68"/>
  <c r="D48" i="79"/>
  <c r="D48" i="63"/>
  <c r="D48" i="77"/>
  <c r="H32" i="5"/>
  <c r="F32" i="5"/>
  <c r="D32" i="5"/>
  <c r="H16" i="5"/>
  <c r="F16" i="5"/>
  <c r="D16" i="5"/>
  <c r="D38" i="4" a="1"/>
  <c r="D11" i="4" a="1"/>
  <c r="D25" i="4" a="1"/>
  <c r="D33" i="4" a="1"/>
  <c r="D28" i="4" a="1"/>
  <c r="D10" i="4" a="1"/>
  <c r="D45" i="4" a="1"/>
  <c r="D20" i="4" a="1"/>
  <c r="E8" i="7" a="1"/>
  <c r="D40" i="4" a="1"/>
  <c r="D24" i="4" a="1"/>
  <c r="D9" i="4" a="1"/>
  <c r="D23" i="4" a="1"/>
  <c r="D36" i="4" a="1"/>
  <c r="D27" i="4" a="1"/>
  <c r="D37" i="4" a="1"/>
  <c r="D32" i="4" a="1"/>
  <c r="D17" i="4" a="1"/>
  <c r="D18" i="4" a="1"/>
  <c r="D39" i="4" a="1"/>
  <c r="D15" i="4" a="1"/>
  <c r="D8" i="4" a="1"/>
  <c r="D29" i="4" a="1"/>
  <c r="D16" i="4" a="1"/>
  <c r="H10" i="7" a="1"/>
  <c r="D41" i="4" a="1"/>
  <c r="D46" i="4" a="1"/>
  <c r="D26" i="4" a="1"/>
  <c r="E9" i="7" a="1"/>
  <c r="D19" i="4" a="1"/>
  <c r="A1" i="4" a="1"/>
  <c r="B1" i="7" a="1"/>
  <c r="B1" i="4" a="1"/>
  <c r="D36" i="4" l="1"/>
  <c r="D28" i="4"/>
  <c r="D26" i="4"/>
  <c r="D27" i="4"/>
  <c r="D32" i="4"/>
  <c r="D11" i="4"/>
  <c r="D40" i="4"/>
  <c r="D37" i="4"/>
  <c r="D25" i="4"/>
  <c r="D24" i="4"/>
  <c r="D17" i="4"/>
  <c r="D20" i="4"/>
  <c r="D8" i="4"/>
  <c r="D16" i="4"/>
  <c r="D41" i="4"/>
  <c r="D45" i="4"/>
  <c r="D38" i="4"/>
  <c r="D33" i="4"/>
  <c r="D29" i="4"/>
  <c r="D15" i="4"/>
  <c r="D23" i="4"/>
  <c r="D46" i="4"/>
  <c r="D39" i="4"/>
  <c r="D19" i="4"/>
  <c r="D9" i="4"/>
  <c r="D10" i="4"/>
  <c r="D18" i="4"/>
  <c r="B1" i="4"/>
  <c r="E9" i="7"/>
  <c r="B1" i="7"/>
  <c r="E8" i="7"/>
  <c r="A1" i="4"/>
  <c r="H10" i="7"/>
  <c r="D18" i="5"/>
  <c r="D34" i="5" s="1"/>
  <c r="H18" i="5"/>
  <c r="H4" i="5"/>
  <c r="D4" i="5"/>
  <c r="H47" i="4"/>
  <c r="E47" i="4"/>
  <c r="C47" i="4"/>
  <c r="B47" i="4"/>
  <c r="H42" i="4"/>
  <c r="E42" i="4"/>
  <c r="C42" i="4"/>
  <c r="B42" i="4"/>
  <c r="H34" i="4"/>
  <c r="E34" i="4"/>
  <c r="C34" i="4"/>
  <c r="B34" i="4"/>
  <c r="H30" i="4"/>
  <c r="E30" i="4"/>
  <c r="C30" i="4"/>
  <c r="B30" i="4"/>
  <c r="H21" i="4"/>
  <c r="E21" i="4"/>
  <c r="C21" i="4"/>
  <c r="B21" i="4"/>
  <c r="H12" i="4"/>
  <c r="E12" i="4"/>
  <c r="C12" i="4"/>
  <c r="B12" i="4"/>
  <c r="I10" i="4" a="1"/>
  <c r="I29" i="4" a="1"/>
  <c r="I26" i="4" a="1"/>
  <c r="E25" i="7" a="1"/>
  <c r="H24" i="7" a="1"/>
  <c r="F9" i="4" a="1"/>
  <c r="H27" i="7" a="1"/>
  <c r="C45" i="7" a="1"/>
  <c r="H45" i="7" a="1"/>
  <c r="B41" i="7" a="1"/>
  <c r="B18" i="7" a="1"/>
  <c r="H29" i="7" a="1"/>
  <c r="B36" i="7" a="1"/>
  <c r="E28" i="7" a="1"/>
  <c r="E37" i="7" a="1"/>
  <c r="F29" i="4" a="1"/>
  <c r="G12" i="4" a="1"/>
  <c r="E27" i="7" a="1"/>
  <c r="H28" i="7" a="1"/>
  <c r="E36" i="7" a="1"/>
  <c r="G17" i="4" a="1"/>
  <c r="I27" i="4" a="1"/>
  <c r="G41" i="4" a="1"/>
  <c r="H25" i="7" a="1"/>
  <c r="B23" i="7" a="1"/>
  <c r="C39" i="7" a="1"/>
  <c r="F33" i="4" a="1"/>
  <c r="G10" i="4" a="1"/>
  <c r="H37" i="7" a="1"/>
  <c r="I37" i="4" a="1"/>
  <c r="I40" i="4" a="1"/>
  <c r="I8" i="4" a="1"/>
  <c r="F17" i="4" a="1"/>
  <c r="B28" i="7" a="1"/>
  <c r="C15" i="7" a="1"/>
  <c r="F38" i="4" a="1"/>
  <c r="G46" i="4" a="1"/>
  <c r="B11" i="7" a="1"/>
  <c r="F21" i="4" a="1"/>
  <c r="F45" i="4" a="1"/>
  <c r="H11" i="7" a="1"/>
  <c r="E26" i="7" a="1"/>
  <c r="G27" i="4" a="1"/>
  <c r="F25" i="4" a="1"/>
  <c r="F30" i="4" a="1"/>
  <c r="B38" i="7" a="1"/>
  <c r="F16" i="4" a="1"/>
  <c r="F37" i="4" a="1"/>
  <c r="C26" i="7" a="1"/>
  <c r="I16" i="4" a="1"/>
  <c r="C29" i="7" a="1"/>
  <c r="E17" i="7" a="1"/>
  <c r="D47" i="4" a="1"/>
  <c r="G40" i="4" a="1"/>
  <c r="I18" i="4" a="1"/>
  <c r="I41" i="4" a="1"/>
  <c r="G24" i="4" a="1"/>
  <c r="G34" i="4" a="1"/>
  <c r="E16" i="7" a="1"/>
  <c r="D42" i="4" a="1"/>
  <c r="H20" i="7" a="1"/>
  <c r="I47" i="4" a="1"/>
  <c r="C37" i="7" a="1"/>
  <c r="B9" i="7" a="1"/>
  <c r="I32" i="4" a="1"/>
  <c r="E20" i="7" a="1"/>
  <c r="F27" i="4" a="1"/>
  <c r="C8" i="7" a="1"/>
  <c r="F42" i="4" a="1"/>
  <c r="G15" i="4" a="1"/>
  <c r="I11" i="4" a="1"/>
  <c r="B16" i="7" a="1"/>
  <c r="C32" i="7" a="1"/>
  <c r="G36" i="4" a="1"/>
  <c r="B46" i="7" a="1"/>
  <c r="B19" i="7" a="1"/>
  <c r="G29" i="4" a="1"/>
  <c r="F12" i="4" a="1"/>
  <c r="I21" i="4" a="1"/>
  <c r="F11" i="4" a="1"/>
  <c r="F46" i="4" a="1"/>
  <c r="B29" i="7" a="1"/>
  <c r="I42" i="4" a="1"/>
  <c r="G47" i="4" a="1"/>
  <c r="F8" i="4" a="1"/>
  <c r="F15" i="4" a="1"/>
  <c r="H32" i="7" a="1"/>
  <c r="H17" i="7" a="1"/>
  <c r="H16" i="7" a="1"/>
  <c r="D21" i="4" a="1"/>
  <c r="B10" i="7" a="1"/>
  <c r="I30" i="4" a="1"/>
  <c r="H26" i="7" a="1"/>
  <c r="F41" i="4" a="1"/>
  <c r="I15" i="4" a="1"/>
  <c r="H33" i="7" a="1"/>
  <c r="G38" i="4" a="1"/>
  <c r="I19" i="4" a="1"/>
  <c r="E45" i="7" a="1"/>
  <c r="I45" i="4" a="1"/>
  <c r="C46" i="7" a="1"/>
  <c r="C17" i="7" a="1"/>
  <c r="I17" i="4" a="1"/>
  <c r="B37" i="7" a="1"/>
  <c r="G39" i="4" a="1"/>
  <c r="C23" i="7" a="1"/>
  <c r="G28" i="4" a="1"/>
  <c r="G9" i="4" a="1"/>
  <c r="B33" i="7" a="1"/>
  <c r="C20" i="7" a="1"/>
  <c r="C40" i="7" a="1"/>
  <c r="F32" i="4" a="1"/>
  <c r="F20" i="4" a="1"/>
  <c r="B24" i="7" a="1"/>
  <c r="G33" i="4" a="1"/>
  <c r="G11" i="4" a="1"/>
  <c r="F10" i="4" a="1"/>
  <c r="E39" i="7" a="1"/>
  <c r="C25" i="7" a="1"/>
  <c r="H40" i="7" a="1"/>
  <c r="D34" i="4" a="1"/>
  <c r="H9" i="7" a="1"/>
  <c r="G16" i="4" a="1"/>
  <c r="I28" i="4" a="1"/>
  <c r="I38" i="4" a="1"/>
  <c r="I39" i="4" a="1"/>
  <c r="B40" i="7" a="1"/>
  <c r="E11" i="7" a="1"/>
  <c r="H38" i="7" a="1"/>
  <c r="F36" i="4" a="1"/>
  <c r="I36" i="4" a="1"/>
  <c r="F23" i="4" a="1"/>
  <c r="C11" i="7" a="1"/>
  <c r="G8" i="4" a="1"/>
  <c r="I34" i="4" a="1"/>
  <c r="I20" i="4" a="1"/>
  <c r="F24" i="4" a="1"/>
  <c r="G26" i="4" a="1"/>
  <c r="I46" i="4" a="1"/>
  <c r="H39" i="7" a="1"/>
  <c r="E46" i="7" a="1"/>
  <c r="C18" i="7" a="1"/>
  <c r="F18" i="4" a="1"/>
  <c r="B27" i="7" a="1"/>
  <c r="C19" i="7" a="1"/>
  <c r="E40" i="7" a="1"/>
  <c r="E19" i="7" a="1"/>
  <c r="G19" i="4" a="1"/>
  <c r="F34" i="4" a="1"/>
  <c r="G25" i="4" a="1"/>
  <c r="G18" i="4" a="1"/>
  <c r="H18" i="7" a="1"/>
  <c r="B15" i="7" a="1"/>
  <c r="E10" i="7" a="1"/>
  <c r="C27" i="7" a="1"/>
  <c r="B45" i="7" a="1"/>
  <c r="G45" i="4" a="1"/>
  <c r="E15" i="7" a="1"/>
  <c r="I12" i="4" a="1"/>
  <c r="H41" i="7" a="1"/>
  <c r="H15" i="7" a="1"/>
  <c r="E41" i="7" a="1"/>
  <c r="E38" i="7" a="1"/>
  <c r="B39" i="7" a="1"/>
  <c r="I24" i="4" a="1"/>
  <c r="G32" i="4" a="1"/>
  <c r="E32" i="7" a="1"/>
  <c r="E18" i="7" a="1"/>
  <c r="I33" i="4" a="1"/>
  <c r="H46" i="7" a="1"/>
  <c r="H19" i="7" a="1"/>
  <c r="C33" i="7" a="1"/>
  <c r="F26" i="4" a="1"/>
  <c r="I23" i="4" a="1"/>
  <c r="D30" i="4" a="1"/>
  <c r="G21" i="4" a="1"/>
  <c r="C28" i="7" a="1"/>
  <c r="C36" i="7" a="1"/>
  <c r="G37" i="4" a="1"/>
  <c r="G20" i="4" a="1"/>
  <c r="F19" i="4" a="1"/>
  <c r="G30" i="4" a="1"/>
  <c r="B8" i="7" a="1"/>
  <c r="C10" i="7" a="1"/>
  <c r="E24" i="7" a="1"/>
  <c r="G42" i="4" a="1"/>
  <c r="E23" i="7" a="1"/>
  <c r="F47" i="4" a="1"/>
  <c r="C41" i="7" a="1"/>
  <c r="G23" i="4" a="1"/>
  <c r="B17" i="7" a="1"/>
  <c r="D12" i="4" a="1"/>
  <c r="C24" i="7" a="1"/>
  <c r="H23" i="7" a="1"/>
  <c r="I9" i="4" a="1"/>
  <c r="E33" i="7" a="1"/>
  <c r="B25" i="7" a="1"/>
  <c r="B20" i="7" a="1"/>
  <c r="B32" i="7" a="1"/>
  <c r="C38" i="7" a="1"/>
  <c r="F40" i="4" a="1"/>
  <c r="F39" i="4" a="1"/>
  <c r="H36" i="7" a="1"/>
  <c r="E29" i="7" a="1"/>
  <c r="C16" i="7" a="1"/>
  <c r="C9" i="7" a="1"/>
  <c r="I25" i="4" a="1"/>
  <c r="H8" i="7" a="1"/>
  <c r="F28" i="4" a="1"/>
  <c r="B26" i="7" a="1"/>
  <c r="F4" i="5" a="1"/>
  <c r="A1" i="7" a="1"/>
  <c r="A1" i="6" a="1"/>
  <c r="A2" i="5" a="1"/>
  <c r="B1" i="6" a="1"/>
  <c r="A1" i="5" a="1"/>
  <c r="D21" i="4" l="1"/>
  <c r="D34" i="4"/>
  <c r="D12" i="4"/>
  <c r="D30" i="4"/>
  <c r="D42" i="4"/>
  <c r="D47" i="4"/>
  <c r="B43" i="4"/>
  <c r="B48" i="4" s="1"/>
  <c r="E43" i="4"/>
  <c r="E48" i="4" s="1"/>
  <c r="H43" i="4"/>
  <c r="H48" i="4" s="1"/>
  <c r="C43" i="4"/>
  <c r="H34" i="5"/>
  <c r="F18" i="5"/>
  <c r="F34" i="5" s="1"/>
  <c r="I20" i="4"/>
  <c r="F27" i="4"/>
  <c r="H17" i="7"/>
  <c r="F12" i="4"/>
  <c r="F16" i="4"/>
  <c r="G18" i="4"/>
  <c r="I30" i="4"/>
  <c r="E18" i="7"/>
  <c r="B25" i="7"/>
  <c r="I8" i="4"/>
  <c r="I18" i="4"/>
  <c r="G23" i="4"/>
  <c r="I25" i="4"/>
  <c r="F9" i="4"/>
  <c r="G11" i="4"/>
  <c r="F28" i="4"/>
  <c r="F38" i="4"/>
  <c r="F42" i="4"/>
  <c r="H19" i="7"/>
  <c r="G10" i="4"/>
  <c r="G29" i="4"/>
  <c r="G19" i="4"/>
  <c r="A2" i="5"/>
  <c r="E20" i="7"/>
  <c r="I11" i="4"/>
  <c r="I19" i="4"/>
  <c r="G26" i="4"/>
  <c r="F15" i="4"/>
  <c r="G17" i="4"/>
  <c r="G21" i="4"/>
  <c r="F29" i="4"/>
  <c r="G40" i="4"/>
  <c r="E16" i="7"/>
  <c r="B23" i="7"/>
  <c r="F8" i="4"/>
  <c r="F17" i="4"/>
  <c r="I23" i="4"/>
  <c r="G9" i="4"/>
  <c r="F24" i="4"/>
  <c r="I28" i="4"/>
  <c r="I34" i="4"/>
  <c r="H15" i="7"/>
  <c r="I15" i="4"/>
  <c r="F20" i="4"/>
  <c r="I24" i="4"/>
  <c r="G30" i="4"/>
  <c r="I36" i="4"/>
  <c r="C38" i="7"/>
  <c r="C40" i="7"/>
  <c r="G8" i="4"/>
  <c r="G12" i="4"/>
  <c r="G16" i="4"/>
  <c r="H25" i="7"/>
  <c r="B33" i="7"/>
  <c r="H45" i="7"/>
  <c r="I9" i="4"/>
  <c r="G15" i="4"/>
  <c r="I16" i="4"/>
  <c r="F25" i="4"/>
  <c r="G27" i="4"/>
  <c r="I29" i="4"/>
  <c r="F32" i="4"/>
  <c r="F36" i="4"/>
  <c r="G38" i="4"/>
  <c r="I40" i="4"/>
  <c r="G42" i="4"/>
  <c r="F46" i="4"/>
  <c r="I47" i="4"/>
  <c r="E11" i="7"/>
  <c r="C23" i="7"/>
  <c r="C25" i="7"/>
  <c r="C27" i="7"/>
  <c r="C29" i="7"/>
  <c r="E32" i="7"/>
  <c r="H33" i="7"/>
  <c r="B37" i="7"/>
  <c r="B39" i="7"/>
  <c r="B41" i="7"/>
  <c r="C45" i="7"/>
  <c r="F4" i="5"/>
  <c r="B8" i="7"/>
  <c r="H9" i="7"/>
  <c r="E15" i="7"/>
  <c r="B16" i="7"/>
  <c r="B18" i="7"/>
  <c r="B20" i="7"/>
  <c r="H37" i="7"/>
  <c r="H39" i="7"/>
  <c r="H41" i="7"/>
  <c r="G37" i="4"/>
  <c r="F11" i="4"/>
  <c r="A1" i="6"/>
  <c r="H16" i="7"/>
  <c r="H18" i="7"/>
  <c r="H20" i="7"/>
  <c r="B24" i="7"/>
  <c r="B26" i="7"/>
  <c r="B28" i="7"/>
  <c r="C37" i="7"/>
  <c r="B46" i="7"/>
  <c r="G33" i="4"/>
  <c r="I39" i="4"/>
  <c r="F45" i="4"/>
  <c r="C9" i="7"/>
  <c r="I12" i="4"/>
  <c r="F19" i="4"/>
  <c r="F23" i="4"/>
  <c r="G25" i="4"/>
  <c r="I27" i="4"/>
  <c r="G32" i="4"/>
  <c r="I33" i="4"/>
  <c r="G34" i="4"/>
  <c r="G36" i="4"/>
  <c r="I38" i="4"/>
  <c r="G46" i="4"/>
  <c r="E10" i="7"/>
  <c r="E17" i="7"/>
  <c r="E19" i="7"/>
  <c r="C39" i="7"/>
  <c r="C41" i="7"/>
  <c r="F10" i="4"/>
  <c r="F18" i="4"/>
  <c r="G20" i="4"/>
  <c r="G24" i="4"/>
  <c r="I26" i="4"/>
  <c r="I32" i="4"/>
  <c r="I37" i="4"/>
  <c r="F41" i="4"/>
  <c r="I42" i="4"/>
  <c r="G45" i="4"/>
  <c r="F47" i="4"/>
  <c r="C8" i="7"/>
  <c r="H8" i="7"/>
  <c r="B11" i="7"/>
  <c r="B15" i="7"/>
  <c r="H24" i="7"/>
  <c r="H26" i="7"/>
  <c r="H28" i="7"/>
  <c r="B32" i="7"/>
  <c r="H46" i="7"/>
  <c r="F40" i="4"/>
  <c r="I46" i="4"/>
  <c r="B1" i="6"/>
  <c r="C24" i="7"/>
  <c r="C26" i="7"/>
  <c r="C28" i="7"/>
  <c r="H32" i="7"/>
  <c r="E33" i="7"/>
  <c r="B36" i="7"/>
  <c r="B38" i="7"/>
  <c r="B40" i="7"/>
  <c r="C46" i="7"/>
  <c r="F39" i="4"/>
  <c r="G41" i="4"/>
  <c r="I45" i="4"/>
  <c r="G47" i="4"/>
  <c r="A1" i="5"/>
  <c r="A1" i="7"/>
  <c r="B10" i="7"/>
  <c r="C11" i="7"/>
  <c r="H11" i="7"/>
  <c r="C15" i="7"/>
  <c r="B17" i="7"/>
  <c r="B19" i="7"/>
  <c r="H36" i="7"/>
  <c r="H38" i="7"/>
  <c r="H40" i="7"/>
  <c r="B45" i="7"/>
  <c r="B27" i="7"/>
  <c r="B29" i="7"/>
  <c r="C36" i="7"/>
  <c r="I10" i="4"/>
  <c r="I17" i="4"/>
  <c r="I21" i="4"/>
  <c r="F26" i="4"/>
  <c r="G28" i="4"/>
  <c r="F30" i="4"/>
  <c r="F33" i="4"/>
  <c r="F37" i="4"/>
  <c r="G39" i="4"/>
  <c r="I41" i="4"/>
  <c r="B9" i="7"/>
  <c r="C10" i="7"/>
  <c r="H23" i="7"/>
  <c r="H27" i="7"/>
  <c r="H29" i="7"/>
  <c r="F21" i="4"/>
  <c r="F34" i="4"/>
  <c r="C16" i="7"/>
  <c r="C17" i="7"/>
  <c r="C18" i="7"/>
  <c r="C19" i="7"/>
  <c r="C20" i="7"/>
  <c r="E23" i="7"/>
  <c r="E24" i="7"/>
  <c r="E25" i="7"/>
  <c r="E26" i="7"/>
  <c r="E27" i="7"/>
  <c r="E28" i="7"/>
  <c r="E29" i="7"/>
  <c r="C32" i="7"/>
  <c r="C33" i="7"/>
  <c r="E36" i="7"/>
  <c r="E37" i="7"/>
  <c r="E38" i="7"/>
  <c r="E39" i="7"/>
  <c r="E40" i="7"/>
  <c r="E41" i="7"/>
  <c r="E45" i="7"/>
  <c r="E46" i="7"/>
  <c r="F18" i="7" a="1"/>
  <c r="G17" i="7" a="1"/>
  <c r="F41" i="7" a="1"/>
  <c r="G18" i="7" a="1"/>
  <c r="F36" i="7" a="1"/>
  <c r="F24" i="7" a="1"/>
  <c r="F45" i="7" a="1"/>
  <c r="G28" i="7" a="1"/>
  <c r="D33" i="7" a="1"/>
  <c r="I15" i="7" a="1"/>
  <c r="G38" i="7" a="1"/>
  <c r="D24" i="7" a="1"/>
  <c r="F38" i="7" a="1"/>
  <c r="F39" i="7" a="1"/>
  <c r="G11" i="7" a="1"/>
  <c r="F23" i="7" a="1"/>
  <c r="F20" i="7" a="1"/>
  <c r="G8" i="7" a="1"/>
  <c r="I45" i="7" a="1"/>
  <c r="D45" i="7" a="1"/>
  <c r="F25" i="7" a="1"/>
  <c r="I36" i="7" a="1"/>
  <c r="D17" i="7" a="1"/>
  <c r="G27" i="7" a="1"/>
  <c r="I11" i="7" a="1"/>
  <c r="I26" i="7" a="1"/>
  <c r="F29" i="7" a="1"/>
  <c r="I39" i="7" a="1"/>
  <c r="D26" i="7" a="1"/>
  <c r="F17" i="7" a="1"/>
  <c r="D28" i="7" a="1"/>
  <c r="D27" i="7" a="1"/>
  <c r="D15" i="7" a="1"/>
  <c r="I33" i="7" a="1"/>
  <c r="D37" i="7" a="1"/>
  <c r="D20" i="7" a="1"/>
  <c r="F11" i="7" a="1"/>
  <c r="I32" i="7" a="1"/>
  <c r="D19" i="7" a="1"/>
  <c r="G32" i="7" a="1"/>
  <c r="I46" i="7" a="1"/>
  <c r="F15" i="7" a="1"/>
  <c r="I37" i="7" a="1"/>
  <c r="G39" i="7" a="1"/>
  <c r="F16" i="7" a="1"/>
  <c r="I40" i="7" a="1"/>
  <c r="G9" i="7" a="1"/>
  <c r="D41" i="7" a="1"/>
  <c r="F33" i="7" a="1"/>
  <c r="D40" i="7" a="1"/>
  <c r="G41" i="7" a="1"/>
  <c r="D36" i="7" a="1"/>
  <c r="G46" i="7" a="1"/>
  <c r="I10" i="7" a="1"/>
  <c r="I23" i="7" a="1"/>
  <c r="G45" i="7" a="1"/>
  <c r="I18" i="7" a="1"/>
  <c r="I41" i="7" a="1"/>
  <c r="D11" i="7" a="1"/>
  <c r="F43" i="4" a="1"/>
  <c r="F27" i="7" a="1"/>
  <c r="I27" i="7" a="1"/>
  <c r="I24" i="7" a="1"/>
  <c r="I28" i="7" a="1"/>
  <c r="D9" i="7" a="1"/>
  <c r="G29" i="7" a="1"/>
  <c r="D23" i="7" a="1"/>
  <c r="G36" i="7" a="1"/>
  <c r="G26" i="7" a="1"/>
  <c r="I17" i="7" a="1"/>
  <c r="F9" i="7" a="1"/>
  <c r="F28" i="7" a="1"/>
  <c r="I29" i="7" a="1"/>
  <c r="I20" i="7" a="1"/>
  <c r="G37" i="7" a="1"/>
  <c r="F19" i="7" a="1"/>
  <c r="I8" i="7" a="1"/>
  <c r="D29" i="7" a="1"/>
  <c r="G19" i="7" a="1"/>
  <c r="I16" i="7" a="1"/>
  <c r="D10" i="7" a="1"/>
  <c r="G40" i="7" a="1"/>
  <c r="I38" i="7" a="1"/>
  <c r="D18" i="7" a="1"/>
  <c r="G25" i="7" a="1"/>
  <c r="D8" i="7" a="1"/>
  <c r="I9" i="7" a="1"/>
  <c r="G24" i="7" a="1"/>
  <c r="F8" i="7" a="1"/>
  <c r="F40" i="7" a="1"/>
  <c r="G10" i="7" a="1"/>
  <c r="I48" i="4" a="1"/>
  <c r="G16" i="7" a="1"/>
  <c r="G33" i="7" a="1"/>
  <c r="D39" i="7" a="1"/>
  <c r="G23" i="7" a="1"/>
  <c r="F32" i="7" a="1"/>
  <c r="D38" i="7" a="1"/>
  <c r="F46" i="7" a="1"/>
  <c r="D16" i="7" a="1"/>
  <c r="D43" i="4" a="1"/>
  <c r="G43" i="4" a="1"/>
  <c r="F10" i="7" a="1"/>
  <c r="F37" i="7" a="1"/>
  <c r="G15" i="7" a="1"/>
  <c r="I43" i="4" a="1"/>
  <c r="I19" i="7" a="1"/>
  <c r="D32" i="7" a="1"/>
  <c r="G20" i="7" a="1"/>
  <c r="F26" i="7" a="1"/>
  <c r="D46" i="7" a="1"/>
  <c r="I25" i="7" a="1"/>
  <c r="D25" i="7" a="1"/>
  <c r="D11" i="7" l="1"/>
  <c r="D24" i="7"/>
  <c r="D41" i="7"/>
  <c r="D9" i="7"/>
  <c r="D27" i="7"/>
  <c r="D38" i="7"/>
  <c r="D18" i="7"/>
  <c r="D10" i="7"/>
  <c r="D39" i="7"/>
  <c r="D45" i="7"/>
  <c r="D25" i="7"/>
  <c r="D17" i="7"/>
  <c r="D23" i="7"/>
  <c r="D16" i="7"/>
  <c r="D19" i="7"/>
  <c r="D46" i="7"/>
  <c r="D8" i="7"/>
  <c r="D36" i="7"/>
  <c r="D37" i="7"/>
  <c r="D33" i="7"/>
  <c r="D15" i="7"/>
  <c r="D28" i="7"/>
  <c r="D32" i="7"/>
  <c r="D20" i="7"/>
  <c r="D26" i="7"/>
  <c r="D29" i="7"/>
  <c r="D40" i="7"/>
  <c r="D43" i="4"/>
  <c r="C48" i="4"/>
  <c r="I43" i="4"/>
  <c r="G43" i="4"/>
  <c r="F43" i="4"/>
  <c r="I48" i="4"/>
  <c r="B34" i="7"/>
  <c r="H34" i="7"/>
  <c r="B12" i="7"/>
  <c r="B30" i="7"/>
  <c r="I45" i="7"/>
  <c r="G45" i="7"/>
  <c r="F45" i="7"/>
  <c r="G19" i="7"/>
  <c r="F19" i="7"/>
  <c r="I19" i="7"/>
  <c r="G15" i="7"/>
  <c r="F15" i="7"/>
  <c r="I15" i="7"/>
  <c r="G32" i="7"/>
  <c r="F32" i="7"/>
  <c r="I32" i="7"/>
  <c r="I41" i="7"/>
  <c r="G41" i="7"/>
  <c r="F41" i="7"/>
  <c r="I29" i="7"/>
  <c r="F29" i="7"/>
  <c r="G29" i="7"/>
  <c r="G17" i="7"/>
  <c r="F17" i="7"/>
  <c r="I17" i="7"/>
  <c r="I40" i="7"/>
  <c r="G40" i="7"/>
  <c r="F40" i="7"/>
  <c r="I28" i="7"/>
  <c r="G28" i="7"/>
  <c r="F28" i="7"/>
  <c r="G33" i="7"/>
  <c r="F33" i="7"/>
  <c r="I33" i="7"/>
  <c r="F10" i="7"/>
  <c r="I10" i="7"/>
  <c r="G10" i="7"/>
  <c r="I39" i="7"/>
  <c r="F39" i="7"/>
  <c r="G39" i="7"/>
  <c r="I27" i="7"/>
  <c r="F27" i="7"/>
  <c r="G27" i="7"/>
  <c r="G16" i="7"/>
  <c r="I16" i="7"/>
  <c r="F16" i="7"/>
  <c r="I38" i="7"/>
  <c r="G38" i="7"/>
  <c r="F38" i="7"/>
  <c r="I26" i="7"/>
  <c r="G26" i="7"/>
  <c r="F26" i="7"/>
  <c r="I37" i="7"/>
  <c r="F37" i="7"/>
  <c r="G37" i="7"/>
  <c r="I25" i="7"/>
  <c r="F25" i="7"/>
  <c r="G25" i="7"/>
  <c r="G11" i="7"/>
  <c r="F11" i="7"/>
  <c r="I11" i="7"/>
  <c r="G20" i="7"/>
  <c r="I20" i="7"/>
  <c r="F20" i="7"/>
  <c r="G18" i="7"/>
  <c r="I18" i="7"/>
  <c r="F18" i="7"/>
  <c r="I36" i="7"/>
  <c r="G36" i="7"/>
  <c r="F36" i="7"/>
  <c r="I24" i="7"/>
  <c r="G24" i="7"/>
  <c r="F24" i="7"/>
  <c r="I8" i="7"/>
  <c r="G8" i="7"/>
  <c r="F8" i="7"/>
  <c r="I46" i="7"/>
  <c r="G46" i="7"/>
  <c r="F46" i="7"/>
  <c r="I23" i="7"/>
  <c r="F23" i="7"/>
  <c r="G23" i="7"/>
  <c r="I9" i="7"/>
  <c r="G9" i="7"/>
  <c r="F9" i="7"/>
  <c r="E47" i="7"/>
  <c r="C34" i="7"/>
  <c r="E21" i="7"/>
  <c r="E34" i="7"/>
  <c r="C21" i="7"/>
  <c r="B42" i="7"/>
  <c r="H21" i="7"/>
  <c r="C47" i="7"/>
  <c r="H30" i="7"/>
  <c r="C42" i="7"/>
  <c r="B21" i="7"/>
  <c r="C30" i="7"/>
  <c r="B47" i="7"/>
  <c r="H47" i="7"/>
  <c r="E42" i="7"/>
  <c r="H42" i="7"/>
  <c r="H12" i="7"/>
  <c r="E12" i="7"/>
  <c r="E30" i="7"/>
  <c r="C12" i="7"/>
  <c r="D42" i="7" a="1"/>
  <c r="F21" i="7" a="1"/>
  <c r="I30" i="7" a="1"/>
  <c r="D34" i="7" a="1"/>
  <c r="G47" i="7" a="1"/>
  <c r="F30" i="7" a="1"/>
  <c r="D48" i="4" a="1"/>
  <c r="I12" i="7" a="1"/>
  <c r="I21" i="7" a="1"/>
  <c r="F34" i="7" a="1"/>
  <c r="I34" i="7" a="1"/>
  <c r="F47" i="7" a="1"/>
  <c r="G30" i="7" a="1"/>
  <c r="D30" i="7" a="1"/>
  <c r="G21" i="7" a="1"/>
  <c r="I47" i="7" a="1"/>
  <c r="F12" i="7" a="1"/>
  <c r="G48" i="4" a="1"/>
  <c r="G34" i="7" a="1"/>
  <c r="G42" i="7" a="1"/>
  <c r="I42" i="7" a="1"/>
  <c r="F42" i="7" a="1"/>
  <c r="D12" i="7" a="1"/>
  <c r="D21" i="7" a="1"/>
  <c r="F48" i="4" a="1"/>
  <c r="D47" i="7" a="1"/>
  <c r="G12" i="7" a="1"/>
  <c r="D34" i="7" l="1"/>
  <c r="D47" i="7"/>
  <c r="D42" i="7"/>
  <c r="D21" i="7"/>
  <c r="D12" i="7"/>
  <c r="D30" i="7"/>
  <c r="D48" i="4"/>
  <c r="G48" i="4"/>
  <c r="F48" i="4"/>
  <c r="B43" i="7"/>
  <c r="B48" i="7" s="1"/>
  <c r="F30" i="7"/>
  <c r="I30" i="7"/>
  <c r="G30" i="7"/>
  <c r="G12" i="7"/>
  <c r="F12" i="7"/>
  <c r="I12" i="7"/>
  <c r="I47" i="7"/>
  <c r="G47" i="7"/>
  <c r="F47" i="7"/>
  <c r="I34" i="7"/>
  <c r="G34" i="7"/>
  <c r="F34" i="7"/>
  <c r="I21" i="7"/>
  <c r="G21" i="7"/>
  <c r="F21" i="7"/>
  <c r="I42" i="7"/>
  <c r="G42" i="7"/>
  <c r="F42" i="7"/>
  <c r="E43" i="7"/>
  <c r="H43" i="7"/>
  <c r="H48" i="7" s="1"/>
  <c r="C43" i="7"/>
  <c r="F43" i="7" a="1"/>
  <c r="G43" i="7" a="1"/>
  <c r="D43" i="7" a="1"/>
  <c r="I43" i="7" a="1"/>
  <c r="D43" i="7" l="1"/>
  <c r="C48" i="7"/>
  <c r="I43" i="7"/>
  <c r="G43" i="7"/>
  <c r="F43" i="7"/>
  <c r="E48" i="7"/>
  <c r="G48" i="7" a="1"/>
  <c r="D48" i="7" a="1"/>
  <c r="F48" i="7" a="1"/>
  <c r="I48" i="7" a="1"/>
  <c r="D48" i="7" l="1"/>
  <c r="I48" i="7"/>
  <c r="G48" i="7"/>
  <c r="F48"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<sst xmlns="http://schemas.openxmlformats.org/spreadsheetml/2006/main" count="3332" uniqueCount="830">
  <si>
    <t>Cost Center</t>
  </si>
  <si>
    <t>Quarter</t>
  </si>
  <si>
    <t>Fiscal Year</t>
  </si>
  <si>
    <t>Row #</t>
  </si>
  <si>
    <t>Line Item Account</t>
  </si>
  <si>
    <t>Account Code</t>
  </si>
  <si>
    <t>Lower</t>
  </si>
  <si>
    <t>Upper</t>
  </si>
  <si>
    <t>Student Fee Revenues</t>
  </si>
  <si>
    <t>220000 - 224999 STUDENT FEES</t>
  </si>
  <si>
    <t>225000 - 229996 REFUND STUDENT ACTIVITY FEES</t>
  </si>
  <si>
    <t>229997 - 229997 FEES BAD DEBT CONTRA</t>
  </si>
  <si>
    <t>229998 FEES SCHOL ALLOW-NONEXMPT</t>
  </si>
  <si>
    <t>229999 FEES SCHOL ALLOW-EXMPT</t>
  </si>
  <si>
    <t>Self-Generated Revenues</t>
  </si>
  <si>
    <t>200000 REVENUE GENERAL BUDGET</t>
  </si>
  <si>
    <t>200100 - 200999 APPROPRIATIONS</t>
  </si>
  <si>
    <t>201000 - 201997 REFUNDS ON APPROPRIATIONS</t>
  </si>
  <si>
    <t>202000 CONTRIBUTN FROM STATE GEN BUDG</t>
  </si>
  <si>
    <t>202001 COP CAPITAL CONTRIBUT TRANSFER</t>
  </si>
  <si>
    <t>202002 COP CAP CONTRIBUT-INT EXP</t>
  </si>
  <si>
    <t>202003 COP CAP CONTRIBUT-INT REV</t>
  </si>
  <si>
    <t>202004 COP CAP CONTRIBUT-ISS COSTS</t>
  </si>
  <si>
    <t>202005 COP 2008 CAPITAL CONTRIBUTION</t>
  </si>
  <si>
    <t>202006 COP 2008 CAP CONT INTEREST REV</t>
  </si>
  <si>
    <t>237500 - 237999 REVENUE-PROGRAM INCOME</t>
  </si>
  <si>
    <t>250000 - 250099 SALES-SERV ED ACT GEN BDGT</t>
  </si>
  <si>
    <t>250100 - 254999 SALES&amp;SRVS EDUCATIONAL ACTIVTS</t>
  </si>
  <si>
    <t>255000 - 259997 REFUND - SALES-SRVS EDUC ACTIV</t>
  </si>
  <si>
    <t>280000 - 280099 AUX ENTERPRISE REV-GEN BDGT</t>
  </si>
  <si>
    <t>280100 - 284999 AUXILLIARY ENTERPRISE REVENUE</t>
  </si>
  <si>
    <t>285000 - 289997 REFUND-AUX ENTERPRISE REVENUE</t>
  </si>
  <si>
    <t>289998 AUX REV SCHOL ALLOW NONEXMPT</t>
  </si>
  <si>
    <t>289999 AUX REV SCHOL ALLOW EXMPT</t>
  </si>
  <si>
    <t>310000 - 310099 HEALTH SERVICES REV-GEN BUDGET</t>
  </si>
  <si>
    <t>310100 - 310999 HEALTH SERVICES REVENUE</t>
  </si>
  <si>
    <t>311000 - 311999 RFND HEALTH SERVICES REVENUE</t>
  </si>
  <si>
    <t>315000 - 315099 F-A GENERAL BUDGET</t>
  </si>
  <si>
    <t>315100 - 315199 F-A REV-RESEARCH ON-CAMPUS</t>
  </si>
  <si>
    <t>315200 - 315299 F-A REV-RESEARCH OFF-CAMPUS</t>
  </si>
  <si>
    <t>315300 - 315399 F-A REV-INSTRUCTION ON-CAMPUS</t>
  </si>
  <si>
    <t>315400 - 315499 F-A REV-INSTRUCTION OFF-CAMPUS</t>
  </si>
  <si>
    <t>315500 - 315599 F-A REV-OTHER ON-CAMPUS</t>
  </si>
  <si>
    <t>315600 - 315699 F-A REV-OTHER OFF-CAMPUS</t>
  </si>
  <si>
    <t>315700 - 315799 STUDENT AID ADMIN ALLOWANCE</t>
  </si>
  <si>
    <t>320000 - 320099 RENTAL INCOME GENERAL BUDGET</t>
  </si>
  <si>
    <t>320100 - 320999 RENTAL INCOME</t>
  </si>
  <si>
    <t>321000 - 321997 REFUND RENTAL INCOME</t>
  </si>
  <si>
    <t>325000 - 325099 MISC INCOME-GEN BUDGET</t>
  </si>
  <si>
    <t>325100 - 332999 MISCELLANEOUS INCOME</t>
  </si>
  <si>
    <t>333000 - 334996 RFND-PROCEEDS PROPERTY SALES</t>
  </si>
  <si>
    <t>334997 - 334997 MISC FEES BAD DEBT CONTRA</t>
  </si>
  <si>
    <t>355000 - 355099 OTHER FUND ADDL GENERAL BUDGET</t>
  </si>
  <si>
    <t>355100 - 355199 US GOVERNMENT ADVANCES</t>
  </si>
  <si>
    <t>355200 - 355299 ADDITIONS TO PLANT</t>
  </si>
  <si>
    <t>355300 - 355399 RETIREMENT OF DEBT</t>
  </si>
  <si>
    <t>355400 - 355499 REFINANCING NET GAINS-LOSSES</t>
  </si>
  <si>
    <t>355500 - 355599 AURARIA LIBRARY-MEDIA REVENUE</t>
  </si>
  <si>
    <t>355700 - 355799 ADDITIONS TO ENDOWMENT FUND</t>
  </si>
  <si>
    <t>380000 - 380099 SERVICE CENTER IN GENERAL BUDG</t>
  </si>
  <si>
    <t>380100 - 384999 SERVICE CENTER IN REVENUE</t>
  </si>
  <si>
    <t>385000 - 389999 REFUND SERVICE CENTER IN REV</t>
  </si>
  <si>
    <t>390000 ID REVENUE GENERAL BUDGET</t>
  </si>
  <si>
    <t>390001 ID MISC REVENUE</t>
  </si>
  <si>
    <t>390002 ID SECURITY SERVICES</t>
  </si>
  <si>
    <t>390003 ID PHYSICAL PLANT SERVICES</t>
  </si>
  <si>
    <t>390004 ID RECYCLING SERVICES</t>
  </si>
  <si>
    <t>390005 ID FOOD SERVICES</t>
  </si>
  <si>
    <t>390006 ID PROFESSIONAL SERVICES</t>
  </si>
  <si>
    <t>390007 ID SUPPLIES SALES</t>
  </si>
  <si>
    <t>390008 ID CUSTODIAL SERVICES</t>
  </si>
  <si>
    <t>390009 ID INFORMATION TECHNOLOGY REV</t>
  </si>
  <si>
    <t>390010 ID STORAGE REVENUE</t>
  </si>
  <si>
    <t>390011 ID PRINTING SERVICES</t>
  </si>
  <si>
    <t>390012 ID INSURANCE REVENUE</t>
  </si>
  <si>
    <t>390013 ID MOVING REVENUE</t>
  </si>
  <si>
    <t>390014 ID RENTAL REVENUE</t>
  </si>
  <si>
    <t>390015 ID SSEA REVENUE</t>
  </si>
  <si>
    <t>390016 ID MEDICAL SERVICES</t>
  </si>
  <si>
    <t>390017 ID TUITION</t>
  </si>
  <si>
    <t>390018 ID INSTRUCTIONAL FEES</t>
  </si>
  <si>
    <t>390019 ID LAB SERVICES</t>
  </si>
  <si>
    <t>390020 ID ADVERTISING REVENUES</t>
  </si>
  <si>
    <t>390021 ID LABORATORY SALES</t>
  </si>
  <si>
    <t>390022 ID GME-HLTH BEN-MEDICAL PREM</t>
  </si>
  <si>
    <t>390023 ID GME-HLTH BEN-DENTAL PREM</t>
  </si>
  <si>
    <t>390024 ID GME-OFF-CAMP LIFE INS PREM</t>
  </si>
  <si>
    <t>390025 ID GME-OFF-CAMP DISAB PREM</t>
  </si>
  <si>
    <t>390026 ID GME-OFF-CAMP MALPRACT PREM</t>
  </si>
  <si>
    <t>390027 ID GME - ADMINISTRATIVE FEE</t>
  </si>
  <si>
    <t>390029 ID ISIS BILLING SERVICE REV</t>
  </si>
  <si>
    <t>390030 ID ISISCOLLECTIONSERVICES REV</t>
  </si>
  <si>
    <t>390031 ID LABOR REVENUE</t>
  </si>
  <si>
    <t>390032 ID TRASH ROLLOFF REVENUE</t>
  </si>
  <si>
    <t>390049 ID LEGAL REIMBURSEMENT</t>
  </si>
  <si>
    <t>390050 ID LICENSE DISBURSEMENT-UCB</t>
  </si>
  <si>
    <t>390051 ID LICENSE DISBURSMT-UCDANSCHZ</t>
  </si>
  <si>
    <t>390052 ID LICENSE DISBURSMT-UCDDENVER</t>
  </si>
  <si>
    <t>390053 ID LICENSE DISBURSEMENT-UCCS</t>
  </si>
  <si>
    <t>390054 ID LICENSE DISTRIBUTION-TTO</t>
  </si>
  <si>
    <t>390055 ID TTO MGMT FEE</t>
  </si>
  <si>
    <t>390056 ID GENERAL REVENUE FROM UCB</t>
  </si>
  <si>
    <t>390057 ID GENERAL REVENUE FROM HSC</t>
  </si>
  <si>
    <t>390058 ID GENERAL REVENUE FROM UCD</t>
  </si>
  <si>
    <t>390059 ID GENERAL REVENUE FROM UCCS</t>
  </si>
  <si>
    <t>390060 ID GENERAL REVENUE FROM SYS</t>
  </si>
  <si>
    <t>390061 ID INTRNL LOAN INTEREST REV</t>
  </si>
  <si>
    <t>390062 ID RENT - BOOKSTORE</t>
  </si>
  <si>
    <t>390063 ID RENT - IMAGING SERVICES</t>
  </si>
  <si>
    <t>390064 ID RENT - FA-STUDENT EMPLOYMNT</t>
  </si>
  <si>
    <t>390065 ID RENT - GREEK AFFAIRS</t>
  </si>
  <si>
    <t>390066 ID RENT - PHARMACY</t>
  </si>
  <si>
    <t>390067 ID RENT - STAFF COUNCIL</t>
  </si>
  <si>
    <t>390069 ID RENT - HONOR CODE</t>
  </si>
  <si>
    <t>390070 ID DISCOUNTS</t>
  </si>
  <si>
    <t>390071 ID ROOM RENTAL - UMC</t>
  </si>
  <si>
    <t>390072 ID ROOM RENTAL - NON-ACADEMIC</t>
  </si>
  <si>
    <t>390073 ID ROOM RENTAL - CONFERENCES</t>
  </si>
  <si>
    <t>390074 ID KEY FEES</t>
  </si>
  <si>
    <t>390075 ID RENT - CAREER SERVICES</t>
  </si>
  <si>
    <t>390076 ID CONFERENCE REVENUE</t>
  </si>
  <si>
    <t>390077 ID FACILITY RENTAL</t>
  </si>
  <si>
    <t>390078 ID EQUIPMENT RENTAL</t>
  </si>
  <si>
    <t>390079 ID LABOR REVENUE</t>
  </si>
  <si>
    <t>390080 ID CONCERT REVENUE</t>
  </si>
  <si>
    <t>390081 ID ASSESSMENT REVENUE</t>
  </si>
  <si>
    <t>390083 ID CME CONFERENCE FEE REVENUE</t>
  </si>
  <si>
    <t>390084 ID CME ADMIN FEE REVENUE</t>
  </si>
  <si>
    <t>390085 ID SSE PROMOTIONAL SUPPORT</t>
  </si>
  <si>
    <t>390086 ID - ELECTRICITY</t>
  </si>
  <si>
    <t>390087 ID - WATER</t>
  </si>
  <si>
    <t>390088 ID - SEWER</t>
  </si>
  <si>
    <t>390089 ID - NATURAL GAS</t>
  </si>
  <si>
    <t>390090 ID - FLOOD CONTROL</t>
  </si>
  <si>
    <t>390091 ID ROYALTY REVENUE ALLOCATION</t>
  </si>
  <si>
    <t>390092 ID REVENUE REFUND</t>
  </si>
  <si>
    <t>390093 ID BLDG OPER REVENUE</t>
  </si>
  <si>
    <t>390094 ID NETWORK SERVICES</t>
  </si>
  <si>
    <t>390095 ID IRB REVENUE</t>
  </si>
  <si>
    <t>390096 ID - LOGGIA RENT</t>
  </si>
  <si>
    <t>390098 ID GRAD STUDNT TUITION PAYBACK</t>
  </si>
  <si>
    <t>390100 ID CME CONFERENCE SERVICE FEE</t>
  </si>
  <si>
    <t>390101 ID CME ADMINISTRATIVE FEE</t>
  </si>
  <si>
    <t>390102 ID CME PER-PERSON FEE</t>
  </si>
  <si>
    <t>390103 ID CME CONFERENCE BALANCE FEE</t>
  </si>
  <si>
    <t>390104 ID CME MISC ADMIN FEE</t>
  </si>
  <si>
    <t>390105 ID MEMBERSHIP-DUES REVENUE</t>
  </si>
  <si>
    <t>390106 ID RENT - PEACE CORPS</t>
  </si>
  <si>
    <t>390107 ID-SPECIAL EVENT ADMISSION REV</t>
  </si>
  <si>
    <t>390108 ID PROGRAM INCOME</t>
  </si>
  <si>
    <t>390109 ID CAMPUS NETWORK REVENUE</t>
  </si>
  <si>
    <t>390110 ID CU TRASH PICKUP HSG</t>
  </si>
  <si>
    <t>390111 ID CU TRASH PICKUP MISC</t>
  </si>
  <si>
    <t>390112 ID SSEA CAPE-CHA-PA-AMC SOM</t>
  </si>
  <si>
    <t>390113 ID SSEA CAPE-PHYSTHERAPY-AMC</t>
  </si>
  <si>
    <t>390114 ID SSEA CAPE-UME-AMC</t>
  </si>
  <si>
    <t>390115 ID SSEA CAPE-CON-AMC</t>
  </si>
  <si>
    <t>390116 ID SSEA CAPE-GME-AMC SOM</t>
  </si>
  <si>
    <t>390117 ID SSEA CAPE-INTERPROFSSNL-AMC</t>
  </si>
  <si>
    <t>390118 ID SSEA CAPE-SDM-AMC</t>
  </si>
  <si>
    <t>390119 ID SSEA CAPE-SOP-AMC</t>
  </si>
  <si>
    <t>390120 ID SSEA CAPE-STUDENT GROUPS</t>
  </si>
  <si>
    <t>390121 ID SSEA CAPE-STD PT RENTALS</t>
  </si>
  <si>
    <t>390122 ID SSEA CAPE-SPACE RENTALS</t>
  </si>
  <si>
    <t xml:space="preserve">390123 ID SALES TO GRANTS-CONTRACTS		</t>
  </si>
  <si>
    <t>390124 ID TTO CMMIZ SVC-FEDERAL AWDS</t>
  </si>
  <si>
    <t>390125 ID SURPLUS PROPERTY PROCEEDS</t>
  </si>
  <si>
    <t>390126 ID ALCOHOL SALES</t>
  </si>
  <si>
    <t>Gift &amp; Grant</t>
  </si>
  <si>
    <t>235000 - 235099 GRANTS-CONTRACTS-GFTS-GEN BDGT</t>
  </si>
  <si>
    <t>235100 - 235399 GRANTS-CONTRACT - FEDERAL</t>
  </si>
  <si>
    <t>235400 - 236499 GRANT-CONTRACT - FED SUB-RECIP</t>
  </si>
  <si>
    <t>236500 - 236999 GRANT-CONTRACT - STATE OF COLO</t>
  </si>
  <si>
    <t>237000 - 237499 GRANT-CONTRACT - GOVT</t>
  </si>
  <si>
    <t>240000 - 240997 PRIVATE GIFTS-GRANTS-CONTRACTS</t>
  </si>
  <si>
    <t>390028 ID GIFT REVENUE - COLEMAN</t>
  </si>
  <si>
    <t>390097 ID GIFT - ATHLETIC SUPPORT</t>
  </si>
  <si>
    <t>971101 - 971101 REFUNDED TO GRANTORS-FEDERAL</t>
  </si>
  <si>
    <t>Transfers In</t>
  </si>
  <si>
    <t>995000 - 996999 VOLUNTARY TRANSFERS IN</t>
  </si>
  <si>
    <t>Professional Salaries</t>
  </si>
  <si>
    <t>400000 - 400189 FAC FTP SAL</t>
  </si>
  <si>
    <t>400190 - 400289 CLNFAC FTP SAL</t>
  </si>
  <si>
    <t>400290 - 400389 RSCHFAC FTP SAL</t>
  </si>
  <si>
    <t>400390 - 400549 PRAFAC FTP SAL</t>
  </si>
  <si>
    <t>400550 - 400689 RSASFAC FTP SAL</t>
  </si>
  <si>
    <t>400690 - 400789 OTHFAC FTP SAL</t>
  </si>
  <si>
    <t>400790 - 400889 FELL FT PAY</t>
  </si>
  <si>
    <t>400890 - 400999 ALLFAC FTP SAL</t>
  </si>
  <si>
    <t>401000 - 401099 RSCHFAC P-TGR SAL</t>
  </si>
  <si>
    <t>401100 - 401199 CLNFAC P-TGR SAL</t>
  </si>
  <si>
    <t>401200 - 401449 FAC P-TGR SAL</t>
  </si>
  <si>
    <t>401450 - 401649 PRA P-TGR FAC SAL</t>
  </si>
  <si>
    <t>401750 - 401849 RSASFAC P-TGR FAC SAL</t>
  </si>
  <si>
    <t>401850 - 402099 OTHFAC P-TGR SAL</t>
  </si>
  <si>
    <t>402200 - 402249 STDFAC FTP SAL</t>
  </si>
  <si>
    <t>402250 - 402299 STDFAC FTT SAL</t>
  </si>
  <si>
    <t>402300 - 402349 STDFAC PTP SAL</t>
  </si>
  <si>
    <t>402350 - 402399 STDFAC PTT SAL</t>
  </si>
  <si>
    <t>402400 - 402499 ALLSTD FAC SAL</t>
  </si>
  <si>
    <t>402500 - 403099 O-E SAL</t>
  </si>
  <si>
    <t>403100 - 404999 PLACEHOLDER</t>
  </si>
  <si>
    <t>Classified Salaries</t>
  </si>
  <si>
    <t>405000 - 405149 CLASS FTP SAL</t>
  </si>
  <si>
    <t>405150 - 405249 CLASS PTP SAL</t>
  </si>
  <si>
    <t>405250 - 405349 CLASS FTT SAL</t>
  </si>
  <si>
    <t>405350 - 405449 CLASS PTT SAL</t>
  </si>
  <si>
    <t>405450 - 405999 ALLCLASS SAL</t>
  </si>
  <si>
    <t>406000 - 407499 PLACEHOLDER</t>
  </si>
  <si>
    <t>Hourly Wages</t>
  </si>
  <si>
    <t>407500 - 407699 STD HR PAY</t>
  </si>
  <si>
    <t>407700 - 407799 STD ONC WS PAY</t>
  </si>
  <si>
    <t>407800 - 407899 STD OFFC WS PAY</t>
  </si>
  <si>
    <t>407900 - 407999 STD HR OVERTIME</t>
  </si>
  <si>
    <t>408100 - 408199 OTH PER PAY</t>
  </si>
  <si>
    <t>408200 - 408299 ALL STD PAY</t>
  </si>
  <si>
    <t>Professional Benefits</t>
  </si>
  <si>
    <t>418400 - 418499 FAC FTP BEN</t>
  </si>
  <si>
    <t>418500 - 418599 CLNFAC FTP BEN</t>
  </si>
  <si>
    <t>418600 - 418699 RSCHFAC FTP BEN</t>
  </si>
  <si>
    <t>418700 - 418799 PRAFAC FTP BEN</t>
  </si>
  <si>
    <t>418800 - 418899 RSASFAC FTP BEN</t>
  </si>
  <si>
    <t>418900 - 418999 OTHFAC FTP BEN</t>
  </si>
  <si>
    <t>419000 - 419089 FELL FT BEN</t>
  </si>
  <si>
    <t>419090 - 419899 ALLFAC FTP BEN</t>
  </si>
  <si>
    <t>419900 - 420499 PLACEHOLDER</t>
  </si>
  <si>
    <t>420500 - 420999 FAC P-TGR BEN</t>
  </si>
  <si>
    <t>421000 - 421199 CLNFAC P-TGR BEN</t>
  </si>
  <si>
    <t>421200 - 421399 RSCHFAC P-TGR BEN</t>
  </si>
  <si>
    <t>421400 - 421599 OTHFAC P-TGR BEN</t>
  </si>
  <si>
    <t>421600 - 421799 PRAFAC P-TGR BEN</t>
  </si>
  <si>
    <t>421800 - 421999 RSASFAC P-TGR BEN</t>
  </si>
  <si>
    <t>422000 - 422099 FELL PT BEN</t>
  </si>
  <si>
    <t>422100 - 422204 ALLFAC P-TGR BEN</t>
  </si>
  <si>
    <t>422210 - 422259 STDFAC FTP BEN</t>
  </si>
  <si>
    <t>422260 - 422299 STDFAC FTT BEN</t>
  </si>
  <si>
    <t>422300 - 422359 STDFAC PTP BEN</t>
  </si>
  <si>
    <t>422360 - 422399 STDFAC PTT BEN</t>
  </si>
  <si>
    <t>422400 - 422409 ALLSTD FAC BEN</t>
  </si>
  <si>
    <t>422410 - 422439 ALLSTD FAC TTN BEN</t>
  </si>
  <si>
    <t>422440 - 422499 ALLSTD FAC MISC BEN</t>
  </si>
  <si>
    <t>422500 - 422799 O-E BEN</t>
  </si>
  <si>
    <t>422800 - 422899 MDRS BEN (HSC)</t>
  </si>
  <si>
    <t>422900 - 424999 PLACEHOLDER</t>
  </si>
  <si>
    <t>Classified Benefits</t>
  </si>
  <si>
    <t>425000 - 425099 CLASS FTP BEN</t>
  </si>
  <si>
    <t>425100 - 425199 CLASS PTP BEN</t>
  </si>
  <si>
    <t>425200 - 425299 CLASS FTT BEN</t>
  </si>
  <si>
    <t>425300 - 425399 CLASS PTT BEN</t>
  </si>
  <si>
    <t>425400 - 426399 ALLCLASS BEN</t>
  </si>
  <si>
    <t>426400 - 427499 PLACEHOLDER</t>
  </si>
  <si>
    <t>Hourly Benefits</t>
  </si>
  <si>
    <t>427500 - 428259 STD HR BEN</t>
  </si>
  <si>
    <t>428260 - 428289 OTH PER BEN</t>
  </si>
  <si>
    <t>428290 - 429199 ALL STD-OTH PER BEN</t>
  </si>
  <si>
    <t>429200 - 429999 PLACEHOLDER</t>
  </si>
  <si>
    <t>430000 - 430199 PBS SUSPENSE</t>
  </si>
  <si>
    <t>430200 - 430899 PLACEHOLDER</t>
  </si>
  <si>
    <t>430900 - 430999 SUSPENSE BEN</t>
  </si>
  <si>
    <t>431000 - 431000 PERA PENSION EXPENSE OFFSET</t>
  </si>
  <si>
    <t>431001 - 439999 PLACEHOLDER</t>
  </si>
  <si>
    <t>Operating Expense Budget</t>
  </si>
  <si>
    <t>460000 - 479999 OPERATING EXPENSE GEN BUDGET</t>
  </si>
  <si>
    <t>COGS</t>
  </si>
  <si>
    <t>450100 - 450199 COGS-GENERAL BUDGET</t>
  </si>
  <si>
    <t>450200 - 450299 COGS-COST OF GOODS SOLD</t>
  </si>
  <si>
    <t>450300 - 450399 PHYSICAL INVENTORY ADJUSTMENT</t>
  </si>
  <si>
    <t>450400 - 450499 COST OF GOODS SOLD ADJUSTMENTS</t>
  </si>
  <si>
    <t>450500 - 450599 FREIGHT RETURNED PURCHASES</t>
  </si>
  <si>
    <t>450600 - 459999 PLACEHOLDER</t>
  </si>
  <si>
    <t>Office Administration</t>
  </si>
  <si>
    <t>480000 - 482499 OFFICE ADMINSTRATION</t>
  </si>
  <si>
    <t>482500 - 484999 TELECOMMUNICATIONS</t>
  </si>
  <si>
    <t>485000 - 487499 POSTAL COSTS</t>
  </si>
  <si>
    <t>500000 - 502499 INFORMATION TECHNOLOGY</t>
  </si>
  <si>
    <t>512500 - 514999 SUBSCRIPT,BKS,PERIODCLS,SCORS</t>
  </si>
  <si>
    <t>517500 - 519999 CUSTODIAL AND LAUNDRY</t>
  </si>
  <si>
    <t>527500 - 529999 INSTRUCTIONAL SUPPLIES &amp; SRVS</t>
  </si>
  <si>
    <t>530000 - 532499 LABORATORY &amp; TECHNICAL SHOP</t>
  </si>
  <si>
    <t>540000 - 542499 FREIGHT, MOVING AND STORAGE</t>
  </si>
  <si>
    <t>790000 - 790099 BKS-PER LIBRARY GEN BDGT</t>
  </si>
  <si>
    <t>790100 - 790109 CAP. BKS-PERIODICALS LIBRARY</t>
  </si>
  <si>
    <t>790110 - 790275 NONCAP BKS-PERIODICALS LIBRARY</t>
  </si>
  <si>
    <t>Official Functions</t>
  </si>
  <si>
    <t>522500 - 524999 FOOD SUPPLIES AND SERVICES</t>
  </si>
  <si>
    <t>550000 - 552499 OFFICIAL FUNCTIONS</t>
  </si>
  <si>
    <t>Rentals</t>
  </si>
  <si>
    <t>502500 - 504999 RENTALS, BUILDING, SPACE, LAND</t>
  </si>
  <si>
    <t>Promotional Materials &amp; Services</t>
  </si>
  <si>
    <t>487500 - 489999 PRINT, PUBLICATIONS&amp;REPRODUCTN</t>
  </si>
  <si>
    <t>490000 - 492499 MICROFORM,PHOTOGR&amp;GRAPHICSUPPL</t>
  </si>
  <si>
    <t>507500 - 509999 ADVERTISING AND PUBLICITY</t>
  </si>
  <si>
    <t>Other Operating Expense</t>
  </si>
  <si>
    <t>492500 - 494999 GRANTS AND SUBCONTRACTS</t>
  </si>
  <si>
    <t>495000 - 497499 HONOR, FELLWSHPS &amp; PART. COSTS</t>
  </si>
  <si>
    <t>497500 - 499999 MOTOR VEHICLE MAINT &amp; SUPPLIES</t>
  </si>
  <si>
    <t>510000 - 512499 DUES AND MEMBERSHIPS</t>
  </si>
  <si>
    <t>515000 - 517499 PHYSICAL PLANT MAINT &amp; REPAIR</t>
  </si>
  <si>
    <t>520000 - 522499 HOSPITALIZATION COSTS</t>
  </si>
  <si>
    <t>532500 - 534999 FIELD RESEARCH EXPENSES</t>
  </si>
  <si>
    <t>535000 - 537499 MEDICAL SUPPLIES AND SERVICES</t>
  </si>
  <si>
    <t>537500 - 539999 EQUIPMENT - NON-CAPITAL</t>
  </si>
  <si>
    <t>547500 - 549999 DONATIONS &amp; COMMUNITY SUPPORT</t>
  </si>
  <si>
    <t>552500 - 557499 OTHER OPERATING EXPENSES</t>
  </si>
  <si>
    <t>557500 - 699999 PLACEHOLDER</t>
  </si>
  <si>
    <t>950700 - 950799 STUDENT AID ADMIN ALLOWANCE</t>
  </si>
  <si>
    <t>Employee Travel</t>
  </si>
  <si>
    <t>700000 - 700099 TRAVEL GENERAL BUDGET</t>
  </si>
  <si>
    <t>700100 - 701999 EMPLOYEE TRAVEL</t>
  </si>
  <si>
    <t>Non-Employee Travel</t>
  </si>
  <si>
    <t>702000 - 703999 NON-EMPLOYEE TRAVEL</t>
  </si>
  <si>
    <t>Insurance</t>
  </si>
  <si>
    <t>545000 - 545499 INSURANCE</t>
  </si>
  <si>
    <t>Utilities</t>
  </si>
  <si>
    <t>750000 - 750099 UTILITIES GENERAL BUDGET</t>
  </si>
  <si>
    <t>750100 - 750199 UTILITIES</t>
  </si>
  <si>
    <t>750200 - 750299 STEAM</t>
  </si>
  <si>
    <t>750300 - 750399 ELECTRICITY</t>
  </si>
  <si>
    <t>750400 - 750499 WATER</t>
  </si>
  <si>
    <t>750500 - 750599 SEWER</t>
  </si>
  <si>
    <t>750600 - 750699 NATURAL GAS</t>
  </si>
  <si>
    <t>750700 - 750799 FUEL OIL</t>
  </si>
  <si>
    <t>750800 - 750899 CHILLED WATER</t>
  </si>
  <si>
    <t>750900 - 750999 FLOOD CONTROL</t>
  </si>
  <si>
    <t>751000 - 751099 OTHER UTILITIES</t>
  </si>
  <si>
    <t>751100 - 751199 AHEC UTILITIES</t>
  </si>
  <si>
    <t>752492 ID - CHILLED WATER</t>
  </si>
  <si>
    <t>752493 ID - OTHER UTILITIES</t>
  </si>
  <si>
    <t>752494 ID - ELECTRIC</t>
  </si>
  <si>
    <t>752495 ID - WATER</t>
  </si>
  <si>
    <t>752496 ID - SEWER</t>
  </si>
  <si>
    <t>Capital</t>
  </si>
  <si>
    <t>792500 NONOPERATING EXPENSE MISC</t>
  </si>
  <si>
    <t>792501 CAPITAL DISTRIBUTION</t>
  </si>
  <si>
    <t>810000 - 810099 FIXED ASSETS GENERAL BUDGET</t>
  </si>
  <si>
    <t>810100 - 810199 EQUIPMENT OVER $5,000</t>
  </si>
  <si>
    <t>810200 - 810299 EQUIP OVER $5,000 GOVT TITLE</t>
  </si>
  <si>
    <t>810300 - 810349 EQUIP OVER $5,000 PRIVATE TTLE</t>
  </si>
  <si>
    <t>810350 - 810399 INTANGIBLE ASSETS</t>
  </si>
  <si>
    <t>810400 - 810499 NON-DEPRECIABLE COLLECTIONS</t>
  </si>
  <si>
    <t>810500 - 810599 LEASE PURCHASE PRINCIPAL</t>
  </si>
  <si>
    <t>810600 - 810699 LEASE PURCHASE INTEREST</t>
  </si>
  <si>
    <t>810700 - 810799 EQUIPMENT COMPONENTS</t>
  </si>
  <si>
    <t>810800 - 810899 FEDERAL EQUIPMENT COMPONENTS</t>
  </si>
  <si>
    <t>810900 - 810999 EQUIP LESS THAN $5,000 FA EXMP</t>
  </si>
  <si>
    <t>811000 - 811099 LAND-SITE ACQUISITION</t>
  </si>
  <si>
    <t>811100 - 811199 BUILDING ACQUISITION</t>
  </si>
  <si>
    <t>811200 - 811299 1998 COP EQUIP OVER $5,000</t>
  </si>
  <si>
    <t>811300 - 811399 CONSTRUCTION COSTS</t>
  </si>
  <si>
    <t>970100 - 970199 EXPANDED PLANT FACILITIES</t>
  </si>
  <si>
    <t>970200 - 970299 CAPITALIZE CONSTRUCT-IN-PROGRE</t>
  </si>
  <si>
    <t>Facilities &amp; Admin.</t>
  </si>
  <si>
    <t>950000 - 950099 F-A GENERAL BUDGET</t>
  </si>
  <si>
    <t>950100 - 950199 FACILITIES&amp;ADMINSTRATION COSTS</t>
  </si>
  <si>
    <t>950200 - 950299 F-A - RESEARCH OFF-CAMPUS</t>
  </si>
  <si>
    <t>950300 - 950399 F-A INSTRUCTIONAL ON-CAMPUS</t>
  </si>
  <si>
    <t>950400 - 950499 F-A INSTRUCTIONAL OFF-CAMPUS</t>
  </si>
  <si>
    <t>950500 - 950599 F-A OTHER ON-CAMPUS</t>
  </si>
  <si>
    <t>950600 - 950699 F-A OTHER OFF-CAMPUS</t>
  </si>
  <si>
    <t>GAR</t>
  </si>
  <si>
    <t>790276 - 790399 LIBRARY-PERIODICALS RECHARGE</t>
  </si>
  <si>
    <t>960100 - 960199 GEN ADMIN RECHARGE</t>
  </si>
  <si>
    <t>960400 - 960499 OTHER ALLOCATIONS</t>
  </si>
  <si>
    <t>GIR</t>
  </si>
  <si>
    <t>960200 - 960299 GENERAL INFRASTRUCTURE RECHARG</t>
  </si>
  <si>
    <t>Transfers Out</t>
  </si>
  <si>
    <t>997000 - 999997 VOLUNTARY TRANSFERS OUT</t>
  </si>
  <si>
    <t>Debt Management</t>
  </si>
  <si>
    <t>542500 - 544999 INTEREST, ROYALTIES &amp; PATENTS</t>
  </si>
  <si>
    <t>811400 - 812399 DEPR-AMORT EXPENSE</t>
  </si>
  <si>
    <t>970000 - 970099 OTHER DEDUCTIONS GEN BUDGET</t>
  </si>
  <si>
    <t>970300 - 970399 DISPOSAL OF PLANT FACILITIES</t>
  </si>
  <si>
    <t>970400 - 970499 FIXED ASSET INVENTORY ADJUST</t>
  </si>
  <si>
    <t>970500 - 970599 LONG-TERM LIABILITY ASSUMED</t>
  </si>
  <si>
    <t>970600 - 970699 CAPITALIZED ASSET-DEBT</t>
  </si>
  <si>
    <t>970700 - 970799 BOND RETIREMENT</t>
  </si>
  <si>
    <t>970800 - 970899 LONG-TERM NOTE RETIREMENT</t>
  </si>
  <si>
    <t>970900 - 970999 BOND INTEREST</t>
  </si>
  <si>
    <t>971000 - 971099 LONG-TERM NOTE INTEREST</t>
  </si>
  <si>
    <t>971100 - 971199 OTHER FUND DEDUCTIONS</t>
  </si>
  <si>
    <t>971200 - 971299 LOAN CANCELLATION</t>
  </si>
  <si>
    <t>971300 - 971399 ENDOWMENT DEDUCTION</t>
  </si>
  <si>
    <t>972000 - 994999 MISCELLANEOUS DEBT</t>
  </si>
  <si>
    <t>Speedtype</t>
  </si>
  <si>
    <t>Consolidate Into</t>
  </si>
  <si>
    <t>CUSG</t>
  </si>
  <si>
    <t>12010675 -- CUSG APPELLATE COURT</t>
  </si>
  <si>
    <t>Appellate Court</t>
  </si>
  <si>
    <t>12019481 -- CUSG CCS/LEG</t>
  </si>
  <si>
    <t>12061258 -- CUSG HOMECOMING</t>
  </si>
  <si>
    <t>Homecoming</t>
  </si>
  <si>
    <t>12028619 -- CUSG LEG CNCL STAFF</t>
  </si>
  <si>
    <t>Leg Cncl Staff</t>
  </si>
  <si>
    <t>12026391 -- CUSG REP COUNCIL</t>
  </si>
  <si>
    <t>Rep Council</t>
  </si>
  <si>
    <t>Travel</t>
  </si>
  <si>
    <t>12020250 -- CUSG LEG CNCL DISC</t>
  </si>
  <si>
    <t>Leg Cncl Disc</t>
  </si>
  <si>
    <t>12020378 -- CUSG PUBLIC RELATION</t>
  </si>
  <si>
    <t>Public Relations</t>
  </si>
  <si>
    <t>12016931 -- CUSG PAYROLL</t>
  </si>
  <si>
    <t>Exec Staff Payroll</t>
  </si>
  <si>
    <t>12016565 -- CUSG OPERATIONS</t>
  </si>
  <si>
    <t>Operations</t>
  </si>
  <si>
    <t>12061257 -- CUSG FRESHMAN COUNCIL</t>
  </si>
  <si>
    <t>Freshman Council</t>
  </si>
  <si>
    <t>12016858 -- CUSG LEGIS AFFAIRS COMM</t>
  </si>
  <si>
    <t>Legis Affairs Comm</t>
  </si>
  <si>
    <t>12016579 -- CUSG ELECTIONS</t>
  </si>
  <si>
    <t>Elections</t>
  </si>
  <si>
    <t>12017973 -- CUSG FINANCE BOARD</t>
  </si>
  <si>
    <t>Finance Board</t>
  </si>
  <si>
    <t>12000984 -- CUSG PROGRAMMING</t>
  </si>
  <si>
    <t>Programming</t>
  </si>
  <si>
    <t>12001808 -- INCIDENT RESPONSE - CUSG CCS</t>
  </si>
  <si>
    <t>Incident Response</t>
  </si>
  <si>
    <t>12001363 -- CUSG PAYROLL SUSPENSE</t>
  </si>
  <si>
    <t>Payroll Suspense</t>
  </si>
  <si>
    <t>12016648 -- CUSG OPERATIONS</t>
  </si>
  <si>
    <t>12026382 -- CUSG REP COUNCIL</t>
  </si>
  <si>
    <t>12020244 -- CUSG LEG CNCL DISC</t>
  </si>
  <si>
    <t>REC</t>
  </si>
  <si>
    <t>12001290 -- MISC. TRIPS AND CLINICS</t>
  </si>
  <si>
    <t>12024188 -- MISC FW ACTIVITIES</t>
  </si>
  <si>
    <t>12001289 -- OUTDOOR EQUIPMENT RENTAL</t>
  </si>
  <si>
    <t>12016519 -- REC FAC-SWIMMING POOLS</t>
  </si>
  <si>
    <t>12017103 -- MIND BODY</t>
  </si>
  <si>
    <t>12020098 -- REC FAC-SECURITY</t>
  </si>
  <si>
    <t>12025353 -- OP GENERAL OPS</t>
  </si>
  <si>
    <t>12046857 -- SUMMER TRIPS</t>
  </si>
  <si>
    <t>12000355 -- FWP CYCLE</t>
  </si>
  <si>
    <t>12000583 -- WILDERNESS FIRST RESPONDER</t>
  </si>
  <si>
    <t>12020915 -- REC FAC-ICE RINK</t>
  </si>
  <si>
    <t>12021496 -- CLIMBING GYM</t>
  </si>
  <si>
    <t>12080880 -- ROPES COURSE</t>
  </si>
  <si>
    <t>12012402 -- FACILITY RENTAL</t>
  </si>
  <si>
    <t>12014439 -- REC PROG-UNPLGD REV</t>
  </si>
  <si>
    <t>12015461 -- INSTRUCTION AQUA</t>
  </si>
  <si>
    <t>12023633 -- CERTIFICATIONS</t>
  </si>
  <si>
    <t>12023696 -- MEMBERSHIP/USE FEE</t>
  </si>
  <si>
    <t>12027600 -- INSTRUCTION MART ART</t>
  </si>
  <si>
    <t>12086363 -- PROG ADMIN SPECIAL PROJECTS</t>
  </si>
  <si>
    <t>12024013 -- TA/PT</t>
  </si>
  <si>
    <t>12025203 -- REC FAC-STUDENT FEES</t>
  </si>
  <si>
    <t>12028225 -- INTRAMURALS</t>
  </si>
  <si>
    <t>12014027 -- GROUP FITNESS</t>
  </si>
  <si>
    <t>12014182 -- LOCKER RENTAL</t>
  </si>
  <si>
    <t>12011344 -- INSTRUCTION RACQUET</t>
  </si>
  <si>
    <t>12021495 -- REC CTR MARKETING</t>
  </si>
  <si>
    <t>12072536 -- REC FIELD INITIATIVE</t>
  </si>
  <si>
    <t>12000582 -- PRO SHOP OPERATION</t>
  </si>
  <si>
    <t>12015774 -- PERSONAL TRAINING</t>
  </si>
  <si>
    <t>12017991 -- INSTRUCTION DANCE</t>
  </si>
  <si>
    <t>12022392 -- FOOD SERVICE</t>
  </si>
  <si>
    <t>12060718 -- BEAR CREEK FITNESS</t>
  </si>
  <si>
    <t>12015453 -- REC FAC-CAPITAL EQUP</t>
  </si>
  <si>
    <t>12000759 -- TRAINING ROOM OPERATION</t>
  </si>
  <si>
    <t>12021453 -- CLEARING</t>
  </si>
  <si>
    <t>12022391 -- REC FAC-EQUIPMENT SERVICES</t>
  </si>
  <si>
    <t>12028595 -- SHORTAGE/OVERAGE</t>
  </si>
  <si>
    <t>12001557 -- NIRSA SPORTS TOURNAMENTS</t>
  </si>
  <si>
    <t>12001246 -- MEN'S HOCKEY 2ND TEAM (FR)</t>
  </si>
  <si>
    <t>12023552 -- MEN'S HOCKEY (FR)</t>
  </si>
  <si>
    <t>12001387 -- DISCOVERY SUMMER CAMPS</t>
  </si>
  <si>
    <t>12019402 -- WOMEN'S VOLLEYBALL (FR)</t>
  </si>
  <si>
    <t>12023554 -- BASEBALL (FR)</t>
  </si>
  <si>
    <t>12046855 -- WRESTLING (FR)</t>
  </si>
  <si>
    <t>12023561 -- MEN'S SOCCER (FR)</t>
  </si>
  <si>
    <t>12023566 -- KAYAK (FR)</t>
  </si>
  <si>
    <t>12030802 -- WOMEN'S LACROSSE (FR)</t>
  </si>
  <si>
    <t>12030805 -- MEN'S VOLLEYBALL (FR)</t>
  </si>
  <si>
    <t>12043771 -- SNOWBOARDING (FR)</t>
  </si>
  <si>
    <t>12023549 -- DANCE (FR)</t>
  </si>
  <si>
    <t>12023550 -- MEN'S RUGBY (FR)</t>
  </si>
  <si>
    <t>12057297 -- FREE STYLE SKI (FR)</t>
  </si>
  <si>
    <t>12030806 -- WOMEN'S SOFTBALL (FR)</t>
  </si>
  <si>
    <t>12023546 -- CYCLING (FR)</t>
  </si>
  <si>
    <t>12023557 -- TRIATHLON (FR)</t>
  </si>
  <si>
    <t>12023567 -- FLY FISHING (FR)</t>
  </si>
  <si>
    <t>12023568 -- FIELD HOCKEY (FR)</t>
  </si>
  <si>
    <t>12030803 -- SWIMMING &amp; DIVING (FR)</t>
  </si>
  <si>
    <t>12030804 -- TAE KWON DO (FR)</t>
  </si>
  <si>
    <t>12046082 -- TENNIS (FR)</t>
  </si>
  <si>
    <t>12023565 -- WOMEN'S RUGBY (FR)</t>
  </si>
  <si>
    <t>12023555 -- MEN'S WATER POLO (FR)</t>
  </si>
  <si>
    <t>12023564 -- WOMEN'S HOCKEY (FR)</t>
  </si>
  <si>
    <t>12000343 -- WOMEN'S WATER POLO (FR)</t>
  </si>
  <si>
    <t>12023548 -- ROLLER HOCKEY (FR)</t>
  </si>
  <si>
    <t>12023556 -- MEN'S ULTIMATE (FR)</t>
  </si>
  <si>
    <t>12051681 -- COLORADO CREW (FR)</t>
  </si>
  <si>
    <t>12023563 -- MEN'S LACROSSE (FR)</t>
  </si>
  <si>
    <t>12023553 -- FENCING (FR)</t>
  </si>
  <si>
    <t>12023560 -- WOMEN'S SOCCER (FR)</t>
  </si>
  <si>
    <t>12030801 -- WOMEN'S ULTIMATE (FR)</t>
  </si>
  <si>
    <t>12010647 -- SPECIAL USE MEMBERSHIP</t>
  </si>
  <si>
    <t>12028667 -- CLUB SPORTS (FR) ADM</t>
  </si>
  <si>
    <t>12000210 -- SPORT CLUBS UNIFORMS</t>
  </si>
  <si>
    <t>12086898 -- BEAR CREEK FACILITIES RENTAL</t>
  </si>
  <si>
    <t>12020830 -- REC FAC-MAINTENANCE</t>
  </si>
  <si>
    <t>12053296 -- MAINTENANCE - CUSTODIAL</t>
  </si>
  <si>
    <t>12031662 -- IT SUPPORT</t>
  </si>
  <si>
    <t>12031666 -- NIRSA</t>
  </si>
  <si>
    <t>12001643 -- MARKETING: EVENTS</t>
  </si>
  <si>
    <t>12001807 -- INCIDENT RESPONSE - CLUB SPRTS</t>
  </si>
  <si>
    <t>12031651 -- SPECIAL PROJECT #3</t>
  </si>
  <si>
    <t>12001036 -- CLUBS EMT/TRAINERS</t>
  </si>
  <si>
    <t>12086362 -- FAC ADMIN SPECIAL PROJECTS</t>
  </si>
  <si>
    <t>12001063 -- TRIATHLON SF</t>
  </si>
  <si>
    <t>12001043 -- FIELD HOCKEY SF</t>
  </si>
  <si>
    <t>12018472 -- INSTRUCTION ADMIN</t>
  </si>
  <si>
    <t>12027282 -- REC FAC-ADMINISTRATN</t>
  </si>
  <si>
    <t>12001035 -- CLUBS ADMIN</t>
  </si>
  <si>
    <t>12030457 -- FITNESS EQPMNT/WEIGHT RM</t>
  </si>
  <si>
    <t>12001033 -- STAFF CPR</t>
  </si>
  <si>
    <t>12051682 -- LATE NIGHT - STUDENT FEES</t>
  </si>
  <si>
    <t>12086896 -- MAINTENANCE - PARTS/SUPPLIES</t>
  </si>
  <si>
    <t>12001039 -- CREW SF</t>
  </si>
  <si>
    <t>12001059 -- SWIMMING/DIVING SF</t>
  </si>
  <si>
    <t>12001044 -- FLY FISHING SF</t>
  </si>
  <si>
    <t>12001071 -- CYCLING SF</t>
  </si>
  <si>
    <t>12001247 -- HOCKEY, MEN'S 2ND TEAM SF</t>
  </si>
  <si>
    <t>12001049 -- LACROSSE, MEN'S SF</t>
  </si>
  <si>
    <t>12001054 -- RUGBY, WOMEN'S SF</t>
  </si>
  <si>
    <t>12001038 -- BASEBALL SF</t>
  </si>
  <si>
    <t>12001045 -- FREESTYLE SKIING SF</t>
  </si>
  <si>
    <t>12001056 -- SOCCER, MEN'S SF</t>
  </si>
  <si>
    <t>12001065 -- ULTIMATE, WOMEN'S SF</t>
  </si>
  <si>
    <t>12001037 -- CLUBS FACILITY RENTAL</t>
  </si>
  <si>
    <t>12001040 -- DANCE SF</t>
  </si>
  <si>
    <t>12001052 -- ROLLER HOCKEY SF</t>
  </si>
  <si>
    <t>12001062 -- TENNIS SF</t>
  </si>
  <si>
    <t>12001066 -- VOLLEYBALL, MEN'S SF</t>
  </si>
  <si>
    <t>12001067 -- VOLLEYBALL, WOMEN'S SF</t>
  </si>
  <si>
    <t>12000016 -- SPECIAL PROJECT: STUDENT DEVEL</t>
  </si>
  <si>
    <t>12001053 -- RUGBY, MEN'S SF</t>
  </si>
  <si>
    <t>12001069 -- WATER POLO, WOMEN'S SF</t>
  </si>
  <si>
    <t>12001048 -- KAYAK, SF</t>
  </si>
  <si>
    <t>12001050 -- LACROSSE, WOMEN'S SF</t>
  </si>
  <si>
    <t>12001057 -- SOCCER, WOMEN'S SF</t>
  </si>
  <si>
    <t>12001055 -- SNOWBOARDING SF</t>
  </si>
  <si>
    <t>12001058 -- SOFTBALL SF</t>
  </si>
  <si>
    <t>12001061 -- TAE KWON DO SF</t>
  </si>
  <si>
    <t>12001064 -- ULTIMATE, MEN'S SF</t>
  </si>
  <si>
    <t>12001068 -- WATER POLO, MEN'S SF</t>
  </si>
  <si>
    <t>12001047 -- HOCKEY, WOMEN'S SF</t>
  </si>
  <si>
    <t>12001046 -- HOCKEY, MEN'S SF</t>
  </si>
  <si>
    <t>12000692 -- 2011 EXPANSION OUTSTNDNG ITEMS</t>
  </si>
  <si>
    <t>12001373 -- INCLUSIVE SPORTS SUMMIT</t>
  </si>
  <si>
    <t>12001042 -- FENCING SF</t>
  </si>
  <si>
    <t>12023562 -- RACQUETBALL (FR)</t>
  </si>
  <si>
    <t>12023551 -- EQUESTRIAN (FR)</t>
  </si>
  <si>
    <t>Speedtype / Program</t>
  </si>
  <si>
    <t>( A )</t>
  </si>
  <si>
    <t>( B )</t>
  </si>
  <si>
    <t>( C )</t>
  </si>
  <si>
    <t>( D )</t>
  </si>
  <si>
    <t>( E )</t>
  </si>
  <si>
    <t>( F )</t>
  </si>
  <si>
    <t>( G )</t>
  </si>
  <si>
    <t>( H )</t>
  </si>
  <si>
    <t>Footnotes</t>
  </si>
  <si>
    <t xml:space="preserve">Seasonalized </t>
  </si>
  <si>
    <t>Act. - Seas.</t>
  </si>
  <si>
    <t>Prior</t>
  </si>
  <si>
    <t>YTD - Prior</t>
  </si>
  <si>
    <t>Annual Budget</t>
  </si>
  <si>
    <t>Budget</t>
  </si>
  <si>
    <t>Seasonal %</t>
  </si>
  <si>
    <t>YTD Actual</t>
  </si>
  <si>
    <t>$ Variance</t>
  </si>
  <si>
    <t>% Variance</t>
  </si>
  <si>
    <t xml:space="preserve">   </t>
  </si>
  <si>
    <t>( B / A )</t>
  </si>
  <si>
    <t>( D - B )</t>
  </si>
  <si>
    <t>( E / B )</t>
  </si>
  <si>
    <t>( G / D ) - 1</t>
  </si>
  <si>
    <t>Revenue</t>
  </si>
  <si>
    <t>Student Fees</t>
  </si>
  <si>
    <t>Self-Generated</t>
  </si>
  <si>
    <t>Total Revenue</t>
  </si>
  <si>
    <t>Salaries &amp; Benefits</t>
  </si>
  <si>
    <t>Subtotal Salaries &amp; Benefits</t>
  </si>
  <si>
    <t>Operating Expenses</t>
  </si>
  <si>
    <t>Subtotal Operating Expenses</t>
  </si>
  <si>
    <t>Subtotal Travel</t>
  </si>
  <si>
    <t>Other Fund Deductions</t>
  </si>
  <si>
    <t>Subtotal Other Deductions</t>
  </si>
  <si>
    <t>Total Expenses</t>
  </si>
  <si>
    <t>Transfers Out &amp; Debt Management</t>
  </si>
  <si>
    <t>Subtotal Transfers</t>
  </si>
  <si>
    <t>Net Position</t>
  </si>
  <si>
    <t>Subtotal Transfers Out &amp; Debt</t>
  </si>
  <si>
    <t>Roll Up</t>
  </si>
  <si>
    <t>Seasonalized</t>
  </si>
  <si>
    <t>Program Name</t>
  </si>
  <si>
    <t>Revenues</t>
  </si>
  <si>
    <t>Expenses</t>
  </si>
  <si>
    <t>Ctrl + Shift + A</t>
  </si>
  <si>
    <t>Returns you to this sheet</t>
  </si>
  <si>
    <t>Ctrl + Shift + Z</t>
  </si>
  <si>
    <t>Fills all selected cells with 0</t>
  </si>
  <si>
    <t>Useful Keyboard Shortcuts</t>
  </si>
  <si>
    <t>12010476 -- CUSG TRAVEL</t>
  </si>
  <si>
    <t>12016081 -- CUSG STAFF SUPPORT</t>
  </si>
  <si>
    <t>Staff Support</t>
  </si>
  <si>
    <t>YTD - Seasonal</t>
  </si>
  <si>
    <t xml:space="preserve">&amp; Debt </t>
  </si>
  <si>
    <t>Net</t>
  </si>
  <si>
    <t>Position</t>
  </si>
  <si>
    <t>Balance</t>
  </si>
  <si>
    <t>Fund Balance</t>
  </si>
  <si>
    <t>Main</t>
  </si>
  <si>
    <t>CCS</t>
  </si>
  <si>
    <t>Rep</t>
  </si>
  <si>
    <t>Click this button to edit account code references, speedtype consolidation lists, or the draft sheet.</t>
  </si>
  <si>
    <t>Footnotes:</t>
  </si>
  <si>
    <t>Beginning Balance</t>
  </si>
  <si>
    <t>Transfers</t>
  </si>
  <si>
    <t>Earmarks</t>
  </si>
  <si>
    <t>Unadjusted Balance</t>
  </si>
  <si>
    <t>Actuals</t>
  </si>
  <si>
    <t>Projected</t>
  </si>
  <si>
    <t>Unencumbered Balance</t>
  </si>
  <si>
    <t>Ctrl + Shift + Q</t>
  </si>
  <si>
    <t>Selects the range A1 of the activesheet</t>
  </si>
  <si>
    <t>Fund Balances</t>
  </si>
  <si>
    <t>Programs</t>
  </si>
  <si>
    <t>Instructions</t>
  </si>
  <si>
    <t>3 - Updated Reserve Request workbook from the Finance Board Chair (XLSX file)</t>
  </si>
  <si>
    <t>There are 3 workbooks that you will need to create a new quarterly report:</t>
  </si>
  <si>
    <t>1 - Rev. &amp; Exp. SUMMARY Report from CU Data (CSV file)</t>
  </si>
  <si>
    <t>This file will be used to calculate historical YTD actuals / historical FY totals. This ratio is then multiplied by the annual budget to determine a seasonal budget for each line item.</t>
  </si>
  <si>
    <t>The Reserve Request workbook can include requests from other Cost Center's or FY's. Only requests for the selected Cost Center &amp; FY will be included. If, the selected Cost Center has more than one fund balance, every request will be allocated to the main/ops fund balances on the fund balance sheet. In future versions, specifying what fund balance each request is allocated to is possible if needed.</t>
  </si>
  <si>
    <t>Make sure this report is downloaded for the entire orgnode and includes level 6 account codes for revenues, expenses, and transfers. Include columns for Account Tree Level 6 codes, Speedtype codes, Annual Budget data, YTD Actuals, &amp; Prior Year YTD Actuals</t>
  </si>
  <si>
    <t>If either of the first two workbooks is open prior to creating a new report, they will be heavily modified but changes will not be saved</t>
  </si>
  <si>
    <t>1 - Account Codes</t>
  </si>
  <si>
    <t>Within this sheet, the level 6 account codes have been grouped and assigned to a specific row number. The function "IdentifyRow" will take a level 6 account code and return what row within the Draft sheet it has been assigned to.</t>
  </si>
  <si>
    <t>2 - Consolidation Lists</t>
  </si>
  <si>
    <t>3 - Draft</t>
  </si>
  <si>
    <t>2 - Compact Seasonal Budget Report from the Seasonal Budget Generator (XLSX file)</t>
  </si>
  <si>
    <t>It does not matter where these workbooks are saved as long as they can be found in your File Explorer/Finder app. You will be prompted to select each one in this order.</t>
  </si>
  <si>
    <t>This sheet contains a table of each speedtype for each Cost Center. Each unique speedtype will consolidate into a single program. The program sheets also need to be assigned to a Fund Balance for the Cost Center. All columns in the CL table need to be assigned values.</t>
  </si>
  <si>
    <t>If the program finds a speedtype in the Rev/Exp Summary report that is not included in CL table, you will be prompted to tell the program to skip that speedtype or provide necessary info for appending the speedtype to the CL table.</t>
  </si>
  <si>
    <t xml:space="preserve"> </t>
  </si>
  <si>
    <t>Speedtypes can be manually appended to the CL table. There should be no empty values in any of the columns. After appending new data, press Ctrl + Alt + L to reapply the table filter. When the CL table is updated in this report, the changes need to also be made to the Seasonal Budget program.</t>
  </si>
  <si>
    <t>User input needed on Create Report sheet:</t>
  </si>
  <si>
    <r>
      <t>Fiscal Year:</t>
    </r>
    <r>
      <rPr>
        <sz val="11"/>
        <color theme="1"/>
        <rFont val="Calibri"/>
        <family val="2"/>
        <scheme val="minor"/>
      </rPr>
      <t xml:space="preserve"> Identify FY for the report</t>
    </r>
  </si>
  <si>
    <r>
      <t>Quarter:</t>
    </r>
    <r>
      <rPr>
        <sz val="11"/>
        <color theme="1"/>
        <rFont val="Calibri"/>
        <family val="2"/>
        <scheme val="minor"/>
      </rPr>
      <t xml:space="preserve"> Identify the quarter of the report</t>
    </r>
  </si>
  <si>
    <r>
      <rPr>
        <b/>
        <sz val="11"/>
        <color theme="1"/>
        <rFont val="Calibri"/>
        <family val="2"/>
        <scheme val="minor"/>
      </rPr>
      <t>Cost Center:</t>
    </r>
    <r>
      <rPr>
        <sz val="11"/>
        <color theme="1"/>
        <rFont val="Calibri"/>
        <family val="2"/>
        <scheme val="minor"/>
      </rPr>
      <t xml:space="preserve"> Identify what Cost Center the report is for</t>
    </r>
  </si>
  <si>
    <t>There are 3 hidden reference sheets in this workbook that are essential to creating the report:</t>
  </si>
  <si>
    <t>After the report is run, users will need to go through the program sheets to find rows that require footnotes. For the Operating and Travel subcategories, the program will only mark footnotes as necessary if the subtotal row for each category contains a variance greater than 12.5%. Before a report can be exported, all footnotes must have a description in the designated footnotes section of each sheet.</t>
  </si>
  <si>
    <t>The Draft sheet should generally not be changed in any way. The VBA code is set up to assign the Budget data, Seasonal Budget data, YTD Actuals data, and PY data to the specific rows and columns laid out in the draft sheet. In addition, important formulas for varaiances are copied from this sheet to the program sheets.</t>
  </si>
  <si>
    <t>IT Support</t>
  </si>
  <si>
    <t>FWP</t>
  </si>
  <si>
    <t>Security</t>
  </si>
  <si>
    <t>Pools</t>
  </si>
  <si>
    <t>Fields</t>
  </si>
  <si>
    <t>Maintenance</t>
  </si>
  <si>
    <t>Marketing</t>
  </si>
  <si>
    <t>Ice Rink</t>
  </si>
  <si>
    <t>12012155 -- UMC COPY CENTER</t>
  </si>
  <si>
    <t>12019440 -- UMC ART SALES</t>
  </si>
  <si>
    <t>12035036 -- UMC-VENDING</t>
  </si>
  <si>
    <t>12020401 -- UMC ADMINISTRATION</t>
  </si>
  <si>
    <t>12047508 -- UMC MARKETING</t>
  </si>
  <si>
    <t>12016080 -- UMC SUPPORT</t>
  </si>
  <si>
    <t>12030748 -- UMC FOOD SERVICE II</t>
  </si>
  <si>
    <t>12035027 -- UMC GAMES-FOOD AND DRINK</t>
  </si>
  <si>
    <t>12035028 -- UMC GAMES-VIDEO GAMES</t>
  </si>
  <si>
    <t>12035029 -- UMC - SUMMER CAMPS</t>
  </si>
  <si>
    <t>12025532 -- UMC FOOD SERVICE I</t>
  </si>
  <si>
    <t>12046905 -- UMC EXPANSION BONDS FEES</t>
  </si>
  <si>
    <t>12035033 -- UMC-RENT-UMC EQUIPMENT</t>
  </si>
  <si>
    <t>12035031 -- UMC-RENT-UMC ROOMS</t>
  </si>
  <si>
    <t>12014693 -- UMC GAMES AREA</t>
  </si>
  <si>
    <t>12001204 -- SHOE RENTAL</t>
  </si>
  <si>
    <t>12030744 -- UMC GAMES AREA II</t>
  </si>
  <si>
    <t>12028972 -- UMC GAMES AREA I</t>
  </si>
  <si>
    <t>12035030 -- UMC-GAMES SP1</t>
  </si>
  <si>
    <t>12035032 -- UMC-RENT-UMC ATMS</t>
  </si>
  <si>
    <t>12035038 -- UMC-FS-TENANT CLEARING</t>
  </si>
  <si>
    <t>12000897 -- CUSG DISCOUNTS</t>
  </si>
  <si>
    <t>12035034 -- UMC-RENT UMC OPERATOR</t>
  </si>
  <si>
    <t>12021718 -- UMC FOOD SERV III</t>
  </si>
  <si>
    <t>12021719 -- UMC MAINT &amp; OP III</t>
  </si>
  <si>
    <t>12015850 -- UMC MAINT &amp; OP I</t>
  </si>
  <si>
    <t>12052067 -- UMC BOARD SCHOLARSHIP</t>
  </si>
  <si>
    <t>12010045 -- PIZZA VENDOR</t>
  </si>
  <si>
    <t>12000960 -- UMC FLOOR REPLACEMENT</t>
  </si>
  <si>
    <t>12021440 -- UMC SCHEDULING</t>
  </si>
  <si>
    <t>12014330 -- NIGHT WALK NIGHT RID</t>
  </si>
  <si>
    <t>12010275 -- SUBWAY</t>
  </si>
  <si>
    <t>12074529 -- JAMBA JUICE</t>
  </si>
  <si>
    <t>12001556 -- ALCOHOL AGENT-TIPS</t>
  </si>
  <si>
    <t>12000961 -- OCHNR OFFICE REMODEL</t>
  </si>
  <si>
    <t>12000979 -- CARPET REPLACEMENT</t>
  </si>
  <si>
    <t>12001010 -- PROGRAM PLAN ROOF</t>
  </si>
  <si>
    <t>12001029 -- OFFICE SPACE REMODEL</t>
  </si>
  <si>
    <t>12001034 -- ART PROGRAM</t>
  </si>
  <si>
    <t>12001072 -- WDININGROOM CARPET</t>
  </si>
  <si>
    <t>12001074 -- 5TH FLOOR AIR CONDITIONING</t>
  </si>
  <si>
    <t>12001075 -- CONNECTION RESTROOM REMODEL</t>
  </si>
  <si>
    <t>12001077 -- N&amp;E DINING ROOM HVAC PROJ</t>
  </si>
  <si>
    <t>12001076 -- E DINING ROOM INSULATION</t>
  </si>
  <si>
    <t>12001078 -- DECK REPAIR</t>
  </si>
  <si>
    <t>12001200 -- DOOR COUNTERS</t>
  </si>
  <si>
    <t>12001202 -- SMART ROOMS</t>
  </si>
  <si>
    <t>12001201 -- PAINT AND SIGNAGE</t>
  </si>
  <si>
    <t>12001210 -- DDC CONTROLS 2ND/3RD FLOOR</t>
  </si>
  <si>
    <t>12001237 -- DDC CONTROLS ALL UMC</t>
  </si>
  <si>
    <t>12001286 -- EVENING PROG/ASSESSMENT</t>
  </si>
  <si>
    <t>12001287 -- RECOMM MECH SYSTEMS</t>
  </si>
  <si>
    <t>12001304 -- ELECTRICAL PANEL PROJECT</t>
  </si>
  <si>
    <t>12001303 -- CONNECTION PROGRAM PLAN</t>
  </si>
  <si>
    <t>12001302 -- EAST DOCK SNOWMELT</t>
  </si>
  <si>
    <t>12001301 -- WRC AIR/DX SYSTEM</t>
  </si>
  <si>
    <t>12001305 -- CR1740-KITCHEN HALLWAY UPGRADE</t>
  </si>
  <si>
    <t>12001495 -- UMC401 REMODEL PROJECT</t>
  </si>
  <si>
    <t>12001496 -- 4TH FLOOR DDC CONTROLS</t>
  </si>
  <si>
    <t>12001497 -- ELECTRICAL SWITCHGEAR</t>
  </si>
  <si>
    <t>12001500 -- BUSINESS CONTINUITY</t>
  </si>
  <si>
    <t>12001569 -- WIRELESS/CELLULAR</t>
  </si>
  <si>
    <t>12001639 -- UMC SECURITY</t>
  </si>
  <si>
    <t>12030742 -- UMC MAINT &amp; OP II</t>
  </si>
  <si>
    <t>12022390 -- UMC BUSINESS OFFICE</t>
  </si>
  <si>
    <t>12024213 -- UMC RECEPTION DESK</t>
  </si>
  <si>
    <t>12017680 -- UMC SALARY SAVINGS</t>
  </si>
  <si>
    <t>12035037 -- UMC-BUILDING SP-1</t>
  </si>
  <si>
    <t>12031643 -- SF CAPITAL PROJECTS</t>
  </si>
  <si>
    <t>12000780 -- PRIOR YEAR EARMARKS</t>
  </si>
  <si>
    <t>12000874 -- PANDA STU LEADERSHIP FUNDS</t>
  </si>
  <si>
    <t>12064888 -- TIMEKEEPING SYSTEM</t>
  </si>
  <si>
    <t>12000851 -- NIGHTRIDE DISPATCH SYS</t>
  </si>
  <si>
    <t>12000875 -- PIZZA STU LEADERSHIP FUNDS</t>
  </si>
  <si>
    <t>12000202 -- ECRF BUNDLE #2</t>
  </si>
  <si>
    <t>12000852 -- SPACE REMODEL PROJECT</t>
  </si>
  <si>
    <t>12000878 -- HVAC&amp;ENERGY PROJECTS</t>
  </si>
  <si>
    <t>12000318 -- UMC TENT - SOR</t>
  </si>
  <si>
    <t>12000746 -- SF5&amp;6 BOOKSTORE</t>
  </si>
  <si>
    <t>12001494 -- REMODEL PROGRAM SPACE</t>
  </si>
  <si>
    <t>12000876 -- SUBWAY STU LEADERSHIP FUNDS</t>
  </si>
  <si>
    <t>12000745 -- SF4 UNIT FOR FOOD SERVICES</t>
  </si>
  <si>
    <t>12000188 -- REPAIR OF FREIGHT ELEVATOR-UMC</t>
  </si>
  <si>
    <t>12000896 -- 3RD FLOOR REN LOAN</t>
  </si>
  <si>
    <t>12061490 -- UMC ROOF REPAIR</t>
  </si>
  <si>
    <t>12058418 -- GENDER NEUTRAL RESTROOM</t>
  </si>
  <si>
    <t>12017912 -- ASIAN FOOD</t>
  </si>
  <si>
    <t>12052201 -- UMC FINISH PROJECTS</t>
  </si>
  <si>
    <t>12068871 -- UMC ESCO PROJECTS</t>
  </si>
  <si>
    <t>12069287 -- CONNECTION INSULATION</t>
  </si>
  <si>
    <t>12016650 -- UMC OPERATIONS</t>
  </si>
  <si>
    <t>12000454 -- SOR SECURITY CAMERAS</t>
  </si>
  <si>
    <t>12000736 -- SUSTAINABLE PROJECTS</t>
  </si>
  <si>
    <t>UMC</t>
  </si>
  <si>
    <t>Administration</t>
  </si>
  <si>
    <t>Continuity</t>
  </si>
  <si>
    <t>Business Office</t>
  </si>
  <si>
    <t>Reception Desk</t>
  </si>
  <si>
    <t>Salary Savings</t>
  </si>
  <si>
    <t>Capital Projects</t>
  </si>
  <si>
    <t>Bookstore</t>
  </si>
  <si>
    <t>Building Operations</t>
  </si>
  <si>
    <t>ECRF Bundle #2</t>
  </si>
  <si>
    <t>Nightride</t>
  </si>
  <si>
    <t>Student Art Program</t>
  </si>
  <si>
    <t>Student Fee Support</t>
  </si>
  <si>
    <t>Events Planning</t>
  </si>
  <si>
    <t>Connection Games</t>
  </si>
  <si>
    <t>Bond</t>
  </si>
  <si>
    <t>Tenant Rent</t>
  </si>
  <si>
    <t>Tenant Clearing</t>
  </si>
  <si>
    <t>HDS Rent</t>
  </si>
  <si>
    <t>Scholarships</t>
  </si>
  <si>
    <t>2nd&amp;3rd Floor Renovation</t>
  </si>
  <si>
    <t>Alcohol Agent - TIPS</t>
  </si>
  <si>
    <t>Connection Remodel</t>
  </si>
  <si>
    <t>Evening Programming</t>
  </si>
  <si>
    <t>Prior Year Earmarks</t>
  </si>
  <si>
    <t>Student Leadership Training</t>
  </si>
  <si>
    <t>Building Services</t>
  </si>
  <si>
    <t>Equipment Services</t>
  </si>
  <si>
    <t>Fields Initiative</t>
  </si>
  <si>
    <t>Intramural Program</t>
  </si>
  <si>
    <t>Itramural Program</t>
  </si>
  <si>
    <t>Locker Services</t>
  </si>
  <si>
    <t>Membership Service</t>
  </si>
  <si>
    <t>Outdoor Program</t>
  </si>
  <si>
    <t>Special Events</t>
  </si>
  <si>
    <t>Sport Clubs Program</t>
  </si>
  <si>
    <t>Stud Fee Rev - 2011 Expansion</t>
  </si>
  <si>
    <t>Training Room</t>
  </si>
  <si>
    <t>Vending Pro Shop</t>
  </si>
  <si>
    <t>Will Vill Rec</t>
  </si>
  <si>
    <t>Stud Fee Rev - Pre-2011</t>
  </si>
  <si>
    <t>Cu Night Ride</t>
  </si>
  <si>
    <t>Cusg Discounts</t>
  </si>
  <si>
    <t>CCS - Leg</t>
  </si>
  <si>
    <t>If a level 6 code is identified in the Rev. &amp; Exp. Summary workbook that does not correspond to any values in this sheet, the IdentifyRow function will return 0 and a runtime error of 1004. A message box will be displayed with what the level 6 code is that has caused the error. The VBA editor will then be brought up and a row of text will be highlighted yellow. Press the "End" button and you will be returned to the Create Report sheet. The Account Codes table will need to be updated so that this level 6 code can be classified. Notify the Finance Board Chair of the error and what the level 6 code is.</t>
  </si>
  <si>
    <t xml:space="preserve">On the Fund Balance sheet, you will need to input the Beginning Fund Balance values, the projected year-end values for revenues, expenses &amp; transfers, as well as the remaining &amp; projected balances of earmarks. </t>
  </si>
  <si>
    <t>CU Student Government - Proper</t>
  </si>
  <si>
    <t>1)</t>
  </si>
  <si>
    <t>2)</t>
  </si>
  <si>
    <t>3)</t>
  </si>
  <si>
    <t>4)</t>
  </si>
  <si>
    <t>5)</t>
  </si>
  <si>
    <t>6)</t>
  </si>
  <si>
    <t>7)</t>
  </si>
  <si>
    <t>Total</t>
  </si>
  <si>
    <t>OUT</t>
  </si>
  <si>
    <t>IN</t>
  </si>
  <si>
    <t>CUSG-FB-20-0003</t>
  </si>
  <si>
    <t>5 hr Increase in Hours Per Week for Liaisons &amp; Chair positions</t>
  </si>
  <si>
    <t>CUSG-FB-20-0006</t>
  </si>
  <si>
    <t>Programming Funds</t>
  </si>
  <si>
    <t>CUSG-FB-20-0001</t>
  </si>
  <si>
    <t>Deputy Chief of Staff Wages</t>
  </si>
  <si>
    <t>CUSG-FB-20-0002</t>
  </si>
  <si>
    <t>Director of Legislative Affairs Wages</t>
  </si>
  <si>
    <t>CUSG-FB-20-0004</t>
  </si>
  <si>
    <t>New Student Intern Program</t>
  </si>
  <si>
    <t>CUSG-FB-20-0005</t>
  </si>
  <si>
    <t>Office Redesign</t>
  </si>
  <si>
    <t>CUSG-CE-20-0009</t>
  </si>
  <si>
    <t>CUSG Helmet Program</t>
  </si>
  <si>
    <t>CUSG-CE-20-0008</t>
  </si>
  <si>
    <t>Homecoming Rollover Budget</t>
  </si>
  <si>
    <t>CUSG-CE-20-0010</t>
  </si>
  <si>
    <t>Chairs for Full Time Staff</t>
  </si>
  <si>
    <t>CUSG-CE-20-0011</t>
  </si>
  <si>
    <t>Elections Rollover Budget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</si>
</sst>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3" formatCode="_(* #,##0.00_);_(* \(#,##0.00\);_(* &quot;-&quot;??_);_(@_)"/>
    <numFmt numFmtId="164" formatCode="0.0%"/>
    <numFmt numFmtId="165" formatCode="mm/dd/yy;@"/>
    <numFmt numFmtId="166" formatCode="[$-409]d/mmm/yy;@"/>
  </numFmts>
  <fonts count="27">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u/>
      <sz val="12"/>
      <color theme="1"/>
      <name val="Calibri"/>
      <family val="2"/>
      <scheme val="minor"/>
    </font>
    <font>
      <b/>
      <u/>
      <sz val="11"/>
      <color theme="1"/>
      <name val="Calibri"/>
      <family val="2"/>
      <scheme val="minor"/>
    </font>
    <font>
      <sz val="10"/>
      <name val="Arial MT"/>
    </font>
    <font>
      <b/>
      <u/>
      <sz val="12"/>
      <name val="Calibri"/>
      <family val="2"/>
      <scheme val="minor"/>
    </font>
    <font>
      <sz val="11"/>
      <name val="Calibri"/>
      <family val="2"/>
      <scheme val="minor"/>
    </font>
    <font>
      <u/>
      <sz val="11"/>
      <name val="Calibri"/>
      <family val="2"/>
      <scheme val="minor"/>
    </font>
    <font>
      <sz val="10"/>
      <name val="Calibri"/>
      <family val="2"/>
      <scheme val="minor"/>
    </font>
    <font>
      <b/>
      <sz val="11"/>
      <name val="Calibri"/>
      <family val="2"/>
      <scheme val="minor"/>
    </font>
    <font>
      <sz val="12"/>
      <color theme="1"/>
      <name val="Calibri"/>
      <family val="2"/>
      <scheme val="minor"/>
    </font>
    <font>
      <b/>
      <sz val="12"/>
      <name val="Calibri"/>
      <family val="2"/>
      <scheme val="minor"/>
    </font>
    <font>
      <sz val="12"/>
      <name val="Calibri"/>
      <family val="2"/>
      <scheme val="minor"/>
    </font>
    <font>
      <u/>
      <sz val="11"/>
      <color theme="10"/>
      <name val="Calibri"/>
      <family val="2"/>
      <scheme val="minor"/>
    </font>
    <font>
      <b/>
      <u/>
      <sz val="11"/>
      <name val="Calibri"/>
      <family val="2"/>
      <scheme val="minor"/>
    </font>
    <font>
      <u/>
      <sz val="11"/>
      <color theme="1"/>
      <name val="Calibri"/>
      <family val="2"/>
      <scheme val="minor"/>
    </font>
    <font>
      <sz val="11"/>
      <color rgb="FFFF0000"/>
      <name val="Calibri"/>
      <family val="2"/>
      <scheme val="minor"/>
    </font>
    <font>
      <sz val="12"/>
      <color rgb="FFFF0000"/>
      <name val="Calibri"/>
      <family val="2"/>
      <scheme val="minor"/>
    </font>
    <font>
      <sz val="10"/>
      <color rgb="FFFF0000"/>
      <name val="Calibri"/>
      <family val="2"/>
      <scheme val="minor"/>
    </font>
    <font>
      <sz val="11"/>
      <color theme="0"/>
      <name val="Calibri"/>
      <family val="2"/>
      <scheme val="minor"/>
    </font>
    <font>
      <b/>
      <u/>
      <sz val="14"/>
      <color theme="1"/>
      <name val="Calibri"/>
      <family val="2"/>
      <scheme val="minor"/>
    </font>
    <font>
      <sz val="11"/>
      <color theme="2"/>
      <name val="Calibri"/>
      <family val="2"/>
      <scheme val="minor"/>
    </font>
    <font>
      <sz val="11"/>
      <color rgb="FF000000"/>
      <name val="Calibri"/>
      <family val="2"/>
    </font>
    <font>
      <sz val="11"/>
      <color indexed="8"/>
      <name val="Calibri"/>
      <family val="2"/>
      <scheme val="minor"/>
    </font>
    <font>
      <b/>
      <sz val="11"/>
      <color rgb="FFE6E6E6"/>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theme="0" tint="-0.14999847407452621"/>
        <bgColor indexed="64"/>
      </patternFill>
    </fill>
  </fills>
  <borders count="46">
    <border>
      <left/>
      <right/>
      <top/>
      <bottom/>
      <diagonal/>
    </border>
    <border>
      <left/>
      <right/>
      <top/>
      <bottom style="dotted">
        <color indexed="64"/>
      </bottom>
      <diagonal/>
    </border>
    <border>
      <left style="dotted">
        <color indexed="64"/>
      </left>
      <right/>
      <top/>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style="dotted">
        <color indexed="64"/>
      </left>
      <right/>
      <top/>
      <bottom style="dotted">
        <color indexed="64"/>
      </bottom>
      <diagonal/>
    </border>
    <border>
      <left style="dotted">
        <color indexed="64"/>
      </left>
      <right style="dotted">
        <color indexed="64"/>
      </right>
      <top/>
      <bottom style="dotted">
        <color indexed="64"/>
      </bottom>
      <diagonal/>
    </border>
    <border>
      <left style="dotted">
        <color indexed="64"/>
      </left>
      <right/>
      <top/>
      <bottom style="thin">
        <color indexed="64"/>
      </bottom>
      <diagonal/>
    </border>
    <border>
      <left/>
      <right/>
      <top style="thin">
        <color indexed="64"/>
      </top>
      <bottom/>
      <diagonal/>
    </border>
    <border>
      <left style="dotted">
        <color indexed="64"/>
      </left>
      <right/>
      <top style="thin">
        <color indexed="64"/>
      </top>
      <bottom/>
      <diagonal/>
    </border>
    <border>
      <left/>
      <right/>
      <top/>
      <bottom style="thin">
        <color auto="1"/>
      </bottom>
      <diagonal/>
    </border>
    <border>
      <left/>
      <right/>
      <top style="thin">
        <color indexed="64"/>
      </top>
      <bottom style="double">
        <color indexed="64"/>
      </bottom>
      <diagonal/>
    </border>
    <border>
      <left style="dotted">
        <color indexed="64"/>
      </left>
      <right/>
      <top style="thin">
        <color indexed="64"/>
      </top>
      <bottom style="double">
        <color indexed="64"/>
      </bottom>
      <diagonal/>
    </border>
    <border>
      <left style="dotted">
        <color indexed="64"/>
      </left>
      <right style="dotted">
        <color indexed="64"/>
      </right>
      <top style="thin">
        <color indexed="64"/>
      </top>
      <bottom style="double">
        <color indexed="64"/>
      </bottom>
      <diagonal/>
    </border>
    <border>
      <left/>
      <right/>
      <top style="double">
        <color indexed="64"/>
      </top>
      <bottom/>
      <diagonal/>
    </border>
    <border>
      <left/>
      <right style="dotted">
        <color indexed="64"/>
      </right>
      <top/>
      <bottom/>
      <diagonal/>
    </border>
    <border>
      <left/>
      <right/>
      <top style="thin">
        <color indexed="64"/>
      </top>
      <bottom style="thin">
        <color indexed="64"/>
      </bottom>
      <diagonal/>
    </border>
    <border>
      <left style="dotted">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
      <left/>
      <right style="dotted">
        <color indexed="64"/>
      </right>
      <top style="thin">
        <color indexed="64"/>
      </top>
      <bottom style="thin">
        <color indexed="64"/>
      </bottom>
      <diagonal/>
    </border>
    <border>
      <left/>
      <right/>
      <top style="double">
        <color indexed="64"/>
      </top>
      <bottom style="thin">
        <color auto="1"/>
      </bottom>
      <diagonal/>
    </border>
    <border>
      <left style="dotted">
        <color indexed="64"/>
      </left>
      <right style="dotted">
        <color indexed="64"/>
      </right>
      <top style="thin">
        <color indexed="64"/>
      </top>
      <bottom/>
      <diagonal/>
    </border>
    <border>
      <left/>
      <right style="dotted">
        <color indexed="64"/>
      </right>
      <top/>
      <bottom style="dotted">
        <color indexed="64"/>
      </bottom>
      <diagonal/>
    </border>
    <border>
      <left/>
      <right/>
      <top style="thin">
        <color indexed="64"/>
      </top>
      <bottom style="dotted">
        <color indexed="64"/>
      </bottom>
      <diagonal/>
    </border>
    <border>
      <left style="dotted">
        <color indexed="64"/>
      </left>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right/>
      <top/>
      <bottom style="double">
        <color indexed="64"/>
      </bottom>
      <diagonal/>
    </border>
    <border>
      <left/>
      <right style="dotted">
        <color indexed="64"/>
      </right>
      <top/>
      <bottom style="dashed">
        <color indexed="64"/>
      </bottom>
      <diagonal/>
    </border>
    <border>
      <left style="dotted">
        <color indexed="64"/>
      </left>
      <right style="dotted">
        <color indexed="64"/>
      </right>
      <top style="dashed">
        <color indexed="64"/>
      </top>
      <bottom/>
      <diagonal/>
    </border>
    <border>
      <left style="dotted">
        <color indexed="64"/>
      </left>
      <right style="dotted">
        <color indexed="64"/>
      </right>
      <top/>
      <bottom style="dashed">
        <color indexed="64"/>
      </bottom>
      <diagonal/>
    </border>
    <border>
      <left style="dotted">
        <color indexed="64"/>
      </left>
      <right/>
      <top/>
      <bottom style="dashed">
        <color indexed="64"/>
      </bottom>
      <diagonal/>
    </border>
    <border>
      <left/>
      <right style="thin">
        <color indexed="64"/>
      </right>
      <top/>
      <bottom/>
      <diagonal/>
    </border>
    <border>
      <left/>
      <right style="thin">
        <color indexed="64"/>
      </right>
      <top style="thin">
        <color indexed="64"/>
      </top>
      <bottom/>
      <diagonal/>
    </border>
    <border>
      <left/>
      <right style="dotted">
        <color indexed="64"/>
      </right>
      <top style="dotted">
        <color indexed="64"/>
      </top>
      <bottom/>
      <diagonal/>
    </border>
    <border>
      <left style="dotted">
        <color indexed="64"/>
      </left>
      <right/>
      <top style="dotted">
        <color indexed="64"/>
      </top>
      <bottom/>
      <diagonal/>
    </border>
    <border>
      <left style="thin">
        <color indexed="64"/>
      </left>
      <right/>
      <top style="thin">
        <color indexed="64"/>
      </top>
      <bottom/>
      <diagonal/>
    </border>
    <border>
      <left style="thin">
        <color indexed="64"/>
      </left>
      <right/>
      <top/>
      <bottom/>
      <diagonal/>
    </border>
    <border>
      <left style="thin">
        <color rgb="FF000000"/>
      </left>
      <right/>
      <top style="thin">
        <color indexed="64"/>
      </top>
      <bottom/>
      <diagonal/>
    </border>
    <border>
      <left style="thin">
        <color rgb="FF000000"/>
      </left>
      <right/>
      <top/>
      <bottom/>
      <diagonal/>
    </border>
    <border>
      <left/>
      <right style="thin">
        <color rgb="FF000000"/>
      </right>
      <top style="thin">
        <color indexed="64"/>
      </top>
      <bottom/>
      <diagonal/>
    </border>
    <border>
      <left/>
      <right style="thin">
        <color rgb="FF000000"/>
      </right>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indexed="64"/>
      </right>
      <top style="thin">
        <color rgb="FF000000"/>
      </top>
      <bottom style="thin">
        <color rgb="FF000000"/>
      </bottom>
      <diagonal/>
    </border>
    <border>
      <left/>
      <right style="thin">
        <color rgb="FF000000"/>
      </right>
      <top style="thin">
        <color rgb="FF000000"/>
      </top>
      <bottom style="thin">
        <color rgb="FF000000"/>
      </bottom>
      <diagonal/>
    </border>
  </borders>
  <cellStyleXfs count="7">
    <xf numFmtId="0" fontId="0" fillId="0" borderId="0"/>
    <xf numFmtId="9" fontId="1" fillId="0" borderId="0" applyFont="0" applyFill="0" applyBorder="0" applyAlignment="0" applyProtection="0"/>
    <xf numFmtId="0" fontId="6" fillId="0" borderId="0"/>
    <xf numFmtId="9" fontId="6" fillId="0" borderId="0" applyFont="0" applyFill="0" applyBorder="0" applyAlignment="0" applyProtection="0"/>
    <xf numFmtId="43" fontId="1" fillId="0" borderId="0" applyFont="0" applyFill="0" applyBorder="0" applyAlignment="0" applyProtection="0"/>
    <xf numFmtId="0" fontId="6" fillId="0" borderId="0"/>
    <xf numFmtId="0" fontId="15" fillId="0" borderId="0" applyNumberFormat="0" applyFill="0" applyBorder="0" applyAlignment="0" applyProtection="0"/>
  </cellStyleXfs>
  <cellXfs count="339">
    <xf numFmtId="0" fontId="0" fillId="0" borderId="0" xfId="0"/>
    <xf numFmtId="0" fontId="3" fillId="0" borderId="0" xfId="0" applyFont="1" applyAlignment="1">
      <alignment horizontal="right"/>
    </xf>
    <xf numFmtId="0" fontId="2" fillId="0" borderId="0" xfId="0" applyFont="1"/>
    <xf numFmtId="42" fontId="8" fillId="0" borderId="2" xfId="2" applyNumberFormat="1" applyFont="1" applyBorder="1" applyAlignment="1">
      <alignment horizontal="center"/>
    </xf>
    <xf numFmtId="0" fontId="0" fillId="0" borderId="2" xfId="0" applyBorder="1"/>
    <xf numFmtId="165" fontId="9" fillId="0" borderId="0" xfId="2" applyNumberFormat="1" applyFont="1" applyAlignment="1">
      <alignment vertical="center"/>
    </xf>
    <xf numFmtId="0" fontId="9" fillId="0" borderId="0" xfId="2" applyFont="1" applyAlignment="1">
      <alignment horizontal="center"/>
    </xf>
    <xf numFmtId="0" fontId="9" fillId="0" borderId="1" xfId="2" applyFont="1" applyBorder="1" applyAlignment="1">
      <alignment horizontal="right"/>
    </xf>
    <xf numFmtId="42" fontId="8" fillId="0" borderId="5" xfId="2" applyNumberFormat="1" applyFont="1" applyBorder="1" applyAlignment="1">
      <alignment horizontal="center"/>
    </xf>
    <xf numFmtId="42" fontId="10" fillId="0" borderId="5" xfId="2" applyNumberFormat="1" applyFont="1" applyBorder="1" applyAlignment="1">
      <alignment horizontal="center"/>
    </xf>
    <xf numFmtId="0" fontId="11" fillId="0" borderId="0" xfId="2" applyFont="1" applyAlignment="1">
      <alignment horizontal="left"/>
    </xf>
    <xf numFmtId="42" fontId="8" fillId="0" borderId="7" xfId="2" applyNumberFormat="1" applyFont="1" applyBorder="1"/>
    <xf numFmtId="42" fontId="8" fillId="0" borderId="7" xfId="2" applyNumberFormat="1" applyFont="1" applyBorder="1" applyAlignment="1">
      <alignment horizontal="right"/>
    </xf>
    <xf numFmtId="42" fontId="8" fillId="0" borderId="2" xfId="2" applyNumberFormat="1" applyFont="1" applyBorder="1"/>
    <xf numFmtId="0" fontId="8" fillId="2" borderId="8" xfId="2" applyFont="1" applyFill="1" applyBorder="1" applyAlignment="1">
      <alignment horizontal="left" indent="1"/>
    </xf>
    <xf numFmtId="42" fontId="8" fillId="2" borderId="9" xfId="2" applyNumberFormat="1" applyFont="1" applyFill="1" applyBorder="1"/>
    <xf numFmtId="0" fontId="8" fillId="2" borderId="0" xfId="2" applyFont="1" applyFill="1" applyAlignment="1">
      <alignment horizontal="left" indent="1"/>
    </xf>
    <xf numFmtId="42" fontId="8" fillId="2" borderId="2" xfId="2" applyNumberFormat="1" applyFont="1" applyFill="1" applyBorder="1"/>
    <xf numFmtId="42" fontId="8" fillId="2" borderId="2" xfId="2" applyNumberFormat="1" applyFont="1" applyFill="1" applyBorder="1" applyAlignment="1">
      <alignment horizontal="right"/>
    </xf>
    <xf numFmtId="0" fontId="8" fillId="2" borderId="10" xfId="2" applyFont="1" applyFill="1" applyBorder="1" applyAlignment="1">
      <alignment horizontal="left" indent="1"/>
    </xf>
    <xf numFmtId="42" fontId="8" fillId="2" borderId="7" xfId="2" applyNumberFormat="1" applyFont="1" applyFill="1" applyBorder="1"/>
    <xf numFmtId="42" fontId="8" fillId="2" borderId="7" xfId="2" applyNumberFormat="1" applyFont="1" applyFill="1" applyBorder="1" applyAlignment="1">
      <alignment horizontal="right"/>
    </xf>
    <xf numFmtId="0" fontId="12" fillId="0" borderId="2" xfId="0" applyFont="1" applyBorder="1"/>
    <xf numFmtId="0" fontId="13" fillId="3" borderId="11" xfId="2" applyFont="1" applyFill="1" applyBorder="1" applyAlignment="1">
      <alignment horizontal="right"/>
    </xf>
    <xf numFmtId="42" fontId="14" fillId="3" borderId="12" xfId="2" applyNumberFormat="1" applyFont="1" applyFill="1" applyBorder="1"/>
    <xf numFmtId="0" fontId="8" fillId="0" borderId="0" xfId="2" applyFont="1" applyAlignment="1">
      <alignment horizontal="left"/>
    </xf>
    <xf numFmtId="42" fontId="10" fillId="0" borderId="14" xfId="2" applyNumberFormat="1" applyFont="1" applyBorder="1"/>
    <xf numFmtId="42" fontId="10" fillId="0" borderId="0" xfId="2" applyNumberFormat="1" applyFont="1"/>
    <xf numFmtId="0" fontId="1" fillId="0" borderId="0" xfId="0" applyFont="1"/>
    <xf numFmtId="42" fontId="8" fillId="0" borderId="10" xfId="2" applyNumberFormat="1" applyFont="1" applyBorder="1"/>
    <xf numFmtId="42" fontId="8" fillId="0" borderId="0" xfId="2" applyNumberFormat="1" applyFont="1"/>
    <xf numFmtId="0" fontId="1" fillId="0" borderId="2" xfId="0" applyFont="1" applyBorder="1"/>
    <xf numFmtId="0" fontId="11" fillId="0" borderId="16" xfId="2" applyFont="1" applyBorder="1" applyAlignment="1">
      <alignment horizontal="right"/>
    </xf>
    <xf numFmtId="42" fontId="8" fillId="0" borderId="17" xfId="2" applyNumberFormat="1" applyFont="1" applyBorder="1"/>
    <xf numFmtId="42" fontId="8" fillId="0" borderId="17" xfId="2" quotePrefix="1" applyNumberFormat="1" applyFont="1" applyBorder="1"/>
    <xf numFmtId="0" fontId="11" fillId="0" borderId="16" xfId="2" applyFont="1" applyBorder="1" applyAlignment="1">
      <alignment horizontal="left"/>
    </xf>
    <xf numFmtId="42" fontId="1" fillId="0" borderId="16" xfId="0" applyNumberFormat="1" applyFont="1" applyBorder="1"/>
    <xf numFmtId="42" fontId="8" fillId="0" borderId="16" xfId="2" applyNumberFormat="1" applyFont="1" applyBorder="1"/>
    <xf numFmtId="0" fontId="11" fillId="0" borderId="20" xfId="2" applyFont="1" applyBorder="1" applyAlignment="1">
      <alignment horizontal="right"/>
    </xf>
    <xf numFmtId="42" fontId="8" fillId="0" borderId="18" xfId="2" applyNumberFormat="1" applyFont="1" applyBorder="1"/>
    <xf numFmtId="0" fontId="12" fillId="0" borderId="0" xfId="0" applyFont="1"/>
    <xf numFmtId="0" fontId="11" fillId="0" borderId="21" xfId="2" applyFont="1" applyBorder="1" applyAlignment="1">
      <alignment horizontal="left"/>
    </xf>
    <xf numFmtId="42" fontId="8" fillId="0" borderId="21" xfId="2" applyNumberFormat="1" applyFont="1" applyBorder="1"/>
    <xf numFmtId="0" fontId="11" fillId="0" borderId="0" xfId="2" applyFont="1" applyAlignment="1">
      <alignment horizontal="right"/>
    </xf>
    <xf numFmtId="42" fontId="8" fillId="0" borderId="2" xfId="2" quotePrefix="1" applyNumberFormat="1" applyFont="1" applyBorder="1"/>
    <xf numFmtId="0" fontId="0" fillId="0" borderId="14" xfId="0" applyBorder="1"/>
    <xf numFmtId="0" fontId="0" fillId="0" borderId="0" xfId="0" applyAlignment="1">
      <alignment horizontal="center"/>
    </xf>
    <xf numFmtId="0" fontId="4" fillId="0" borderId="0" xfId="0" applyFont="1" applyBorder="1" applyAlignment="1">
      <alignment horizontal="left"/>
    </xf>
    <xf numFmtId="0" fontId="0" fillId="0" borderId="0" xfId="0" applyBorder="1" applyAlignment="1">
      <alignment horizontal="right"/>
    </xf>
    <xf numFmtId="0" fontId="5" fillId="0" borderId="0" xfId="0" applyFont="1" applyBorder="1" applyAlignment="1">
      <alignment horizontal="right"/>
    </xf>
    <xf numFmtId="0" fontId="0" fillId="0" borderId="0" xfId="0" applyBorder="1"/>
    <xf numFmtId="1" fontId="0" fillId="0" borderId="0" xfId="0" applyNumberFormat="1" applyBorder="1" applyAlignment="1">
      <alignment horizontal="center"/>
    </xf>
    <xf numFmtId="0" fontId="0" fillId="0" borderId="0" xfId="0" applyProtection="1">
      <protection locked="0"/>
    </xf>
    <xf numFmtId="0" fontId="0" fillId="0" borderId="2" xfId="0" applyBorder="1" applyProtection="1">
      <protection locked="0"/>
    </xf>
    <xf numFmtId="0" fontId="12" fillId="0" borderId="2" xfId="0" applyFont="1" applyBorder="1" applyProtection="1">
      <protection locked="0"/>
    </xf>
    <xf numFmtId="42" fontId="10" fillId="0" borderId="14" xfId="2" applyNumberFormat="1" applyFont="1" applyBorder="1" applyProtection="1">
      <protection locked="0"/>
    </xf>
    <xf numFmtId="0" fontId="1" fillId="0" borderId="0" xfId="0" applyFont="1" applyProtection="1">
      <protection locked="0"/>
    </xf>
    <xf numFmtId="0" fontId="1" fillId="0" borderId="2" xfId="0" applyFont="1" applyBorder="1" applyProtection="1">
      <protection locked="0"/>
    </xf>
    <xf numFmtId="0" fontId="12" fillId="0" borderId="0" xfId="0" applyFont="1" applyProtection="1">
      <protection locked="0"/>
    </xf>
    <xf numFmtId="0" fontId="0" fillId="0" borderId="14" xfId="0" applyBorder="1" applyProtection="1">
      <protection locked="0"/>
    </xf>
    <xf numFmtId="0" fontId="10" fillId="0" borderId="14" xfId="2" applyFont="1" applyBorder="1" applyProtection="1">
      <protection locked="0"/>
    </xf>
    <xf numFmtId="0" fontId="0" fillId="0" borderId="0" xfId="0" applyProtection="1"/>
    <xf numFmtId="42" fontId="8" fillId="0" borderId="2" xfId="2" applyNumberFormat="1" applyFont="1" applyBorder="1" applyAlignment="1" applyProtection="1">
      <alignment horizontal="center"/>
    </xf>
    <xf numFmtId="164" fontId="8" fillId="0" borderId="0" xfId="2" applyNumberFormat="1" applyFont="1" applyAlignment="1" applyProtection="1">
      <alignment horizontal="center"/>
    </xf>
    <xf numFmtId="165" fontId="9" fillId="0" borderId="0" xfId="2" applyNumberFormat="1" applyFont="1" applyAlignment="1" applyProtection="1">
      <alignment vertical="center"/>
    </xf>
    <xf numFmtId="0" fontId="9" fillId="0" borderId="0" xfId="2" applyFont="1" applyAlignment="1" applyProtection="1">
      <alignment horizontal="center"/>
    </xf>
    <xf numFmtId="0" fontId="9" fillId="0" borderId="1" xfId="2" applyFont="1" applyBorder="1" applyAlignment="1" applyProtection="1">
      <alignment horizontal="right"/>
    </xf>
    <xf numFmtId="42" fontId="8" fillId="0" borderId="5" xfId="2" applyNumberFormat="1" applyFont="1" applyBorder="1" applyAlignment="1" applyProtection="1">
      <alignment horizontal="center"/>
    </xf>
    <xf numFmtId="164" fontId="10" fillId="0" borderId="1" xfId="2" applyNumberFormat="1" applyFont="1" applyBorder="1" applyAlignment="1" applyProtection="1">
      <alignment horizontal="center"/>
    </xf>
    <xf numFmtId="42" fontId="10" fillId="0" borderId="5" xfId="2" applyNumberFormat="1" applyFont="1" applyBorder="1" applyAlignment="1" applyProtection="1">
      <alignment horizontal="center"/>
    </xf>
    <xf numFmtId="0" fontId="11" fillId="0" borderId="0" xfId="2" applyFont="1" applyAlignment="1" applyProtection="1">
      <alignment horizontal="left"/>
    </xf>
    <xf numFmtId="42" fontId="8" fillId="0" borderId="7" xfId="2" applyNumberFormat="1" applyFont="1" applyBorder="1" applyProtection="1"/>
    <xf numFmtId="42" fontId="8" fillId="0" borderId="7" xfId="2" applyNumberFormat="1" applyFont="1" applyBorder="1" applyAlignment="1" applyProtection="1">
      <alignment horizontal="right"/>
    </xf>
    <xf numFmtId="42" fontId="8" fillId="0" borderId="2" xfId="2" applyNumberFormat="1" applyFont="1" applyBorder="1" applyProtection="1"/>
    <xf numFmtId="0" fontId="8" fillId="0" borderId="2" xfId="2" applyFont="1" applyBorder="1" applyProtection="1"/>
    <xf numFmtId="0" fontId="8" fillId="2" borderId="8" xfId="2" applyFont="1" applyFill="1" applyBorder="1" applyAlignment="1" applyProtection="1">
      <alignment horizontal="left" indent="1"/>
    </xf>
    <xf numFmtId="42" fontId="8" fillId="2" borderId="9" xfId="2" applyNumberFormat="1" applyFont="1" applyFill="1" applyBorder="1" applyProtection="1"/>
    <xf numFmtId="0" fontId="8" fillId="2" borderId="0" xfId="2" applyFont="1" applyFill="1" applyAlignment="1" applyProtection="1">
      <alignment horizontal="left" indent="1"/>
    </xf>
    <xf numFmtId="42" fontId="8" fillId="2" borderId="2" xfId="2" applyNumberFormat="1" applyFont="1" applyFill="1" applyBorder="1" applyProtection="1"/>
    <xf numFmtId="42" fontId="8" fillId="2" borderId="2" xfId="2" applyNumberFormat="1" applyFont="1" applyFill="1" applyBorder="1" applyAlignment="1" applyProtection="1">
      <alignment horizontal="right"/>
    </xf>
    <xf numFmtId="0" fontId="8" fillId="2" borderId="10" xfId="2" applyFont="1" applyFill="1" applyBorder="1" applyAlignment="1" applyProtection="1">
      <alignment horizontal="left" indent="1"/>
    </xf>
    <xf numFmtId="42" fontId="8" fillId="2" borderId="7" xfId="2" applyNumberFormat="1" applyFont="1" applyFill="1" applyBorder="1" applyProtection="1"/>
    <xf numFmtId="42" fontId="8" fillId="2" borderId="7" xfId="2" applyNumberFormat="1" applyFont="1" applyFill="1" applyBorder="1" applyAlignment="1" applyProtection="1">
      <alignment horizontal="right"/>
    </xf>
    <xf numFmtId="0" fontId="13" fillId="3" borderId="11" xfId="2" applyFont="1" applyFill="1" applyBorder="1" applyAlignment="1" applyProtection="1">
      <alignment horizontal="right"/>
    </xf>
    <xf numFmtId="42" fontId="14" fillId="3" borderId="12" xfId="2" applyNumberFormat="1" applyFont="1" applyFill="1" applyBorder="1" applyProtection="1"/>
    <xf numFmtId="0" fontId="8" fillId="0" borderId="0" xfId="2" applyFont="1" applyAlignment="1" applyProtection="1">
      <alignment horizontal="left"/>
    </xf>
    <xf numFmtId="42" fontId="10" fillId="0" borderId="14" xfId="2" applyNumberFormat="1" applyFont="1" applyBorder="1" applyProtection="1"/>
    <xf numFmtId="42" fontId="10" fillId="0" borderId="0" xfId="2" applyNumberFormat="1" applyFont="1" applyProtection="1"/>
    <xf numFmtId="42" fontId="8" fillId="0" borderId="10" xfId="2" applyNumberFormat="1" applyFont="1" applyBorder="1" applyProtection="1"/>
    <xf numFmtId="42" fontId="8" fillId="0" borderId="0" xfId="2" applyNumberFormat="1" applyFont="1" applyProtection="1"/>
    <xf numFmtId="42" fontId="8" fillId="2" borderId="4" xfId="2" applyNumberFormat="1" applyFont="1" applyFill="1" applyBorder="1" applyProtection="1"/>
    <xf numFmtId="0" fontId="11" fillId="0" borderId="16" xfId="2" applyFont="1" applyBorder="1" applyAlignment="1" applyProtection="1">
      <alignment horizontal="right"/>
    </xf>
    <xf numFmtId="42" fontId="8" fillId="0" borderId="17" xfId="2" applyNumberFormat="1" applyFont="1" applyBorder="1" applyProtection="1"/>
    <xf numFmtId="42" fontId="8" fillId="0" borderId="17" xfId="2" quotePrefix="1" applyNumberFormat="1" applyFont="1" applyBorder="1" applyProtection="1"/>
    <xf numFmtId="0" fontId="11" fillId="0" borderId="16" xfId="2" applyFont="1" applyBorder="1" applyAlignment="1" applyProtection="1">
      <alignment horizontal="left"/>
    </xf>
    <xf numFmtId="42" fontId="1" fillId="0" borderId="16" xfId="0" applyNumberFormat="1" applyFont="1" applyBorder="1" applyProtection="1"/>
    <xf numFmtId="42" fontId="8" fillId="0" borderId="16" xfId="2" applyNumberFormat="1" applyFont="1" applyBorder="1" applyProtection="1"/>
    <xf numFmtId="0" fontId="11" fillId="0" borderId="20" xfId="2" applyFont="1" applyBorder="1" applyAlignment="1" applyProtection="1">
      <alignment horizontal="right"/>
    </xf>
    <xf numFmtId="42" fontId="8" fillId="0" borderId="18" xfId="2" applyNumberFormat="1" applyFont="1" applyBorder="1" applyProtection="1"/>
    <xf numFmtId="0" fontId="11" fillId="0" borderId="21" xfId="2" applyFont="1" applyBorder="1" applyAlignment="1" applyProtection="1">
      <alignment horizontal="left"/>
    </xf>
    <xf numFmtId="42" fontId="8" fillId="0" borderId="21" xfId="2" applyNumberFormat="1" applyFont="1" applyBorder="1" applyProtection="1"/>
    <xf numFmtId="0" fontId="11" fillId="0" borderId="0" xfId="2" applyFont="1" applyAlignment="1" applyProtection="1">
      <alignment horizontal="right"/>
    </xf>
    <xf numFmtId="42" fontId="8" fillId="0" borderId="2" xfId="2" quotePrefix="1" applyNumberFormat="1" applyFont="1" applyBorder="1" applyProtection="1"/>
    <xf numFmtId="166" fontId="4" fillId="0" borderId="0" xfId="0" applyNumberFormat="1" applyFont="1" applyAlignment="1">
      <alignment horizontal="center"/>
    </xf>
    <xf numFmtId="166" fontId="4" fillId="0" borderId="0" xfId="0" applyNumberFormat="1" applyFont="1" applyAlignment="1" applyProtection="1">
      <alignment horizontal="center"/>
    </xf>
    <xf numFmtId="42" fontId="16" fillId="0" borderId="2" xfId="2" applyNumberFormat="1" applyFont="1" applyBorder="1" applyAlignment="1">
      <alignment horizontal="center"/>
    </xf>
    <xf numFmtId="42" fontId="16" fillId="0" borderId="2" xfId="2" applyNumberFormat="1" applyFont="1" applyBorder="1" applyAlignment="1" applyProtection="1">
      <alignment horizontal="center"/>
    </xf>
    <xf numFmtId="164" fontId="16" fillId="0" borderId="0" xfId="2" applyNumberFormat="1" applyFont="1" applyAlignment="1" applyProtection="1">
      <alignment horizontal="center"/>
    </xf>
    <xf numFmtId="0" fontId="17" fillId="0" borderId="0" xfId="0" applyFont="1"/>
    <xf numFmtId="0" fontId="2" fillId="0" borderId="0" xfId="0" applyFont="1" applyAlignment="1">
      <alignment horizontal="center"/>
    </xf>
    <xf numFmtId="42" fontId="11" fillId="0" borderId="0" xfId="5" applyNumberFormat="1" applyFont="1" applyBorder="1" applyAlignment="1">
      <alignment horizontal="center"/>
    </xf>
    <xf numFmtId="0" fontId="2" fillId="0" borderId="0" xfId="0" applyFont="1" applyAlignment="1">
      <alignment horizontal="left"/>
    </xf>
    <xf numFmtId="0" fontId="0" fillId="0" borderId="0" xfId="0" applyFill="1"/>
    <xf numFmtId="0" fontId="0" fillId="4" borderId="0" xfId="0" applyFill="1"/>
    <xf numFmtId="0" fontId="0" fillId="5" borderId="0" xfId="0" applyFill="1"/>
    <xf numFmtId="0" fontId="3" fillId="4" borderId="0" xfId="0" applyFont="1" applyFill="1" applyAlignment="1">
      <alignment horizontal="right" vertical="center"/>
    </xf>
    <xf numFmtId="0" fontId="0" fillId="6" borderId="0" xfId="0" applyFill="1"/>
    <xf numFmtId="0" fontId="3" fillId="6" borderId="0" xfId="0" applyFont="1" applyFill="1" applyAlignment="1">
      <alignment horizontal="right"/>
    </xf>
    <xf numFmtId="0" fontId="0" fillId="6" borderId="0" xfId="0" applyFill="1" applyAlignment="1">
      <alignment horizontal="center"/>
    </xf>
    <xf numFmtId="164" fontId="8" fillId="0" borderId="0" xfId="2" applyNumberFormat="1" applyFont="1" applyAlignment="1">
      <alignment horizontal="center" vertical="center"/>
    </xf>
    <xf numFmtId="164" fontId="16" fillId="0" borderId="0" xfId="2" applyNumberFormat="1" applyFont="1" applyAlignment="1">
      <alignment horizontal="center" vertical="center"/>
    </xf>
    <xf numFmtId="164" fontId="10" fillId="0" borderId="1" xfId="2" applyNumberFormat="1" applyFont="1" applyBorder="1" applyAlignment="1">
      <alignment horizontal="center" vertical="center"/>
    </xf>
    <xf numFmtId="164" fontId="8" fillId="2" borderId="8" xfId="1" applyNumberFormat="1" applyFont="1" applyFill="1" applyBorder="1" applyAlignment="1">
      <alignment horizontal="center" vertical="center"/>
    </xf>
    <xf numFmtId="164" fontId="8" fillId="2" borderId="0" xfId="1" applyNumberFormat="1" applyFont="1" applyFill="1" applyBorder="1" applyAlignment="1">
      <alignment horizontal="center" vertical="center"/>
    </xf>
    <xf numFmtId="164" fontId="8" fillId="2" borderId="10" xfId="1" applyNumberFormat="1" applyFont="1" applyFill="1" applyBorder="1" applyAlignment="1">
      <alignment horizontal="center" vertical="center"/>
    </xf>
    <xf numFmtId="164" fontId="14" fillId="3" borderId="11" xfId="1" applyNumberFormat="1" applyFont="1" applyFill="1" applyBorder="1" applyAlignment="1">
      <alignment horizontal="center" vertical="center"/>
    </xf>
    <xf numFmtId="164" fontId="10" fillId="0" borderId="14" xfId="1" applyNumberFormat="1" applyFont="1" applyFill="1" applyBorder="1" applyAlignment="1">
      <alignment horizontal="center" vertical="center"/>
    </xf>
    <xf numFmtId="164" fontId="8" fillId="0" borderId="10" xfId="1" applyNumberFormat="1" applyFont="1" applyFill="1" applyBorder="1" applyAlignment="1">
      <alignment horizontal="center" vertical="center"/>
    </xf>
    <xf numFmtId="164" fontId="8" fillId="2" borderId="15" xfId="1" applyNumberFormat="1" applyFont="1" applyFill="1" applyBorder="1" applyAlignment="1">
      <alignment horizontal="center" vertical="center"/>
    </xf>
    <xf numFmtId="164" fontId="8" fillId="0" borderId="16" xfId="1" applyNumberFormat="1" applyFont="1" applyFill="1" applyBorder="1" applyAlignment="1">
      <alignment horizontal="center" vertical="center"/>
    </xf>
    <xf numFmtId="164" fontId="1" fillId="0" borderId="16" xfId="1" applyNumberFormat="1" applyFont="1" applyFill="1" applyBorder="1" applyAlignment="1">
      <alignment horizontal="center" vertical="center"/>
    </xf>
    <xf numFmtId="164" fontId="8" fillId="0" borderId="0" xfId="1" applyNumberFormat="1" applyFont="1" applyFill="1" applyBorder="1" applyAlignment="1">
      <alignment horizontal="center" vertical="center"/>
    </xf>
    <xf numFmtId="164" fontId="8" fillId="0" borderId="21" xfId="1" applyNumberFormat="1" applyFont="1" applyFill="1" applyBorder="1" applyAlignment="1">
      <alignment horizontal="center" vertical="center"/>
    </xf>
    <xf numFmtId="164" fontId="10" fillId="0" borderId="14" xfId="2" applyNumberFormat="1" applyFont="1" applyBorder="1" applyAlignment="1">
      <alignment horizontal="center" vertical="center"/>
    </xf>
    <xf numFmtId="0" fontId="0" fillId="0" borderId="0" xfId="0" applyAlignment="1">
      <alignment horizontal="center" vertical="center"/>
    </xf>
    <xf numFmtId="164" fontId="8" fillId="0" borderId="20" xfId="1" applyNumberFormat="1" applyFont="1" applyFill="1" applyBorder="1" applyAlignment="1">
      <alignment horizontal="center" vertical="center"/>
    </xf>
    <xf numFmtId="164" fontId="8" fillId="2" borderId="8" xfId="3" applyNumberFormat="1" applyFont="1" applyFill="1" applyBorder="1" applyAlignment="1">
      <alignment horizontal="center" vertical="center"/>
    </xf>
    <xf numFmtId="164" fontId="8" fillId="2" borderId="0" xfId="3" applyNumberFormat="1" applyFont="1" applyFill="1" applyBorder="1" applyAlignment="1">
      <alignment horizontal="center" vertical="center"/>
    </xf>
    <xf numFmtId="164" fontId="8" fillId="2" borderId="10" xfId="3" applyNumberFormat="1" applyFont="1" applyFill="1" applyBorder="1" applyAlignment="1">
      <alignment horizontal="center" vertical="center"/>
    </xf>
    <xf numFmtId="164" fontId="14" fillId="3" borderId="11" xfId="3" applyNumberFormat="1" applyFont="1" applyFill="1" applyBorder="1" applyAlignment="1">
      <alignment horizontal="center" vertical="center"/>
    </xf>
    <xf numFmtId="164" fontId="10" fillId="0" borderId="14" xfId="3" applyNumberFormat="1" applyFont="1" applyFill="1" applyBorder="1" applyAlignment="1">
      <alignment horizontal="center" vertical="center"/>
    </xf>
    <xf numFmtId="164" fontId="8" fillId="0" borderId="10" xfId="3" applyNumberFormat="1" applyFont="1" applyFill="1" applyBorder="1" applyAlignment="1">
      <alignment horizontal="center" vertical="center"/>
    </xf>
    <xf numFmtId="164" fontId="8" fillId="0" borderId="16" xfId="3" applyNumberFormat="1" applyFont="1" applyFill="1" applyBorder="1" applyAlignment="1">
      <alignment horizontal="center" vertical="center"/>
    </xf>
    <xf numFmtId="164" fontId="1" fillId="0" borderId="16" xfId="0" applyNumberFormat="1" applyFont="1" applyBorder="1" applyAlignment="1">
      <alignment horizontal="center" vertical="center"/>
    </xf>
    <xf numFmtId="164" fontId="8" fillId="0" borderId="16" xfId="2" applyNumberFormat="1" applyFont="1" applyBorder="1" applyAlignment="1">
      <alignment horizontal="center" vertical="center"/>
    </xf>
    <xf numFmtId="164" fontId="8" fillId="2" borderId="8" xfId="2" applyNumberFormat="1" applyFont="1" applyFill="1" applyBorder="1" applyAlignment="1">
      <alignment horizontal="center" vertical="center"/>
    </xf>
    <xf numFmtId="164" fontId="8" fillId="2" borderId="0" xfId="2" applyNumberFormat="1" applyFont="1" applyFill="1" applyAlignment="1">
      <alignment horizontal="center" vertical="center"/>
    </xf>
    <xf numFmtId="164" fontId="8" fillId="2" borderId="10" xfId="2" applyNumberFormat="1" applyFont="1" applyFill="1" applyBorder="1" applyAlignment="1">
      <alignment horizontal="center" vertical="center"/>
    </xf>
    <xf numFmtId="164" fontId="8" fillId="0" borderId="21" xfId="2" applyNumberFormat="1" applyFont="1" applyBorder="1" applyAlignment="1">
      <alignment horizontal="center" vertical="center"/>
    </xf>
    <xf numFmtId="164" fontId="8" fillId="0" borderId="0" xfId="3" applyNumberFormat="1" applyFont="1" applyFill="1" applyBorder="1" applyAlignment="1">
      <alignment horizontal="center" vertical="center"/>
    </xf>
    <xf numFmtId="164" fontId="14" fillId="3" borderId="11" xfId="2" applyNumberFormat="1" applyFont="1" applyFill="1" applyBorder="1" applyAlignment="1">
      <alignment horizontal="center" vertical="center"/>
    </xf>
    <xf numFmtId="0" fontId="8" fillId="0" borderId="4" xfId="2" applyFont="1" applyBorder="1" applyAlignment="1">
      <alignment horizontal="center" vertical="center"/>
    </xf>
    <xf numFmtId="1" fontId="10" fillId="0" borderId="14" xfId="2" applyNumberFormat="1" applyFont="1" applyBorder="1" applyAlignment="1">
      <alignment horizontal="center" vertical="center"/>
    </xf>
    <xf numFmtId="1" fontId="8" fillId="0" borderId="10" xfId="2" applyNumberFormat="1" applyFont="1" applyBorder="1" applyAlignment="1">
      <alignment horizontal="center" vertical="center"/>
    </xf>
    <xf numFmtId="0" fontId="1" fillId="0" borderId="16" xfId="0" applyFont="1" applyBorder="1" applyAlignment="1">
      <alignment horizontal="center" vertical="center"/>
    </xf>
    <xf numFmtId="0" fontId="8" fillId="0" borderId="16" xfId="2" applyFont="1" applyBorder="1" applyAlignment="1">
      <alignment horizontal="center" vertical="center"/>
    </xf>
    <xf numFmtId="0" fontId="8" fillId="0" borderId="21" xfId="2" applyFont="1" applyBorder="1" applyAlignment="1">
      <alignment horizontal="center" vertical="center"/>
    </xf>
    <xf numFmtId="0" fontId="10" fillId="0" borderId="14" xfId="2" applyFont="1" applyBorder="1" applyAlignment="1">
      <alignment horizontal="center" vertical="center"/>
    </xf>
    <xf numFmtId="0" fontId="2" fillId="0" borderId="0" xfId="0" applyFont="1" applyAlignment="1">
      <alignment horizontal="right"/>
    </xf>
    <xf numFmtId="0" fontId="18" fillId="2" borderId="22" xfId="2" applyFont="1" applyFill="1" applyBorder="1" applyAlignment="1">
      <alignment horizontal="center" vertical="center"/>
    </xf>
    <xf numFmtId="1" fontId="18" fillId="2" borderId="4" xfId="2" applyNumberFormat="1" applyFont="1" applyFill="1" applyBorder="1" applyAlignment="1">
      <alignment horizontal="center" vertical="center"/>
    </xf>
    <xf numFmtId="1" fontId="18" fillId="2" borderId="19" xfId="2" applyNumberFormat="1" applyFont="1" applyFill="1" applyBorder="1" applyAlignment="1">
      <alignment horizontal="center" vertical="center"/>
    </xf>
    <xf numFmtId="1" fontId="19" fillId="3" borderId="13" xfId="2" applyNumberFormat="1" applyFont="1" applyFill="1" applyBorder="1" applyAlignment="1">
      <alignment horizontal="center" vertical="center"/>
    </xf>
    <xf numFmtId="1" fontId="18" fillId="2" borderId="22" xfId="2" applyNumberFormat="1" applyFont="1" applyFill="1" applyBorder="1" applyAlignment="1">
      <alignment horizontal="center" vertical="center"/>
    </xf>
    <xf numFmtId="0" fontId="18" fillId="0" borderId="18" xfId="0" applyFont="1" applyBorder="1" applyAlignment="1">
      <alignment horizontal="center" vertical="center"/>
    </xf>
    <xf numFmtId="1" fontId="18" fillId="0" borderId="18" xfId="2" applyNumberFormat="1" applyFont="1" applyBorder="1" applyAlignment="1">
      <alignment horizontal="center" vertical="center"/>
    </xf>
    <xf numFmtId="1" fontId="18" fillId="0" borderId="4" xfId="2" applyNumberFormat="1" applyFont="1" applyBorder="1" applyAlignment="1">
      <alignment horizontal="center" vertical="center"/>
    </xf>
    <xf numFmtId="0" fontId="2" fillId="0" borderId="0" xfId="0" applyFont="1" applyAlignment="1">
      <alignment horizontal="right" vertical="center"/>
    </xf>
    <xf numFmtId="0" fontId="2" fillId="0" borderId="0" xfId="0" applyFont="1" applyAlignment="1" applyProtection="1">
      <alignment horizontal="right"/>
      <protection locked="0"/>
    </xf>
    <xf numFmtId="0" fontId="18" fillId="2" borderId="9" xfId="2" applyFont="1" applyFill="1" applyBorder="1" applyProtection="1"/>
    <xf numFmtId="1" fontId="18" fillId="2" borderId="2" xfId="2" applyNumberFormat="1" applyFont="1" applyFill="1" applyBorder="1" applyProtection="1"/>
    <xf numFmtId="1" fontId="18" fillId="2" borderId="7" xfId="2" applyNumberFormat="1" applyFont="1" applyFill="1" applyBorder="1" applyProtection="1"/>
    <xf numFmtId="1" fontId="19" fillId="3" borderId="13" xfId="2" applyNumberFormat="1" applyFont="1" applyFill="1" applyBorder="1" applyProtection="1"/>
    <xf numFmtId="1" fontId="20" fillId="0" borderId="14" xfId="2" applyNumberFormat="1" applyFont="1" applyBorder="1" applyProtection="1"/>
    <xf numFmtId="1" fontId="18" fillId="0" borderId="10" xfId="2" applyNumberFormat="1" applyFont="1" applyBorder="1" applyProtection="1"/>
    <xf numFmtId="1" fontId="18" fillId="2" borderId="9" xfId="2" applyNumberFormat="1" applyFont="1" applyFill="1" applyBorder="1" applyProtection="1"/>
    <xf numFmtId="0" fontId="18" fillId="0" borderId="18" xfId="0" applyFont="1" applyBorder="1" applyProtection="1"/>
    <xf numFmtId="0" fontId="18" fillId="0" borderId="16" xfId="0" applyFont="1" applyBorder="1" applyProtection="1"/>
    <xf numFmtId="1" fontId="18" fillId="0" borderId="18" xfId="2" applyNumberFormat="1" applyFont="1" applyBorder="1" applyProtection="1"/>
    <xf numFmtId="0" fontId="18" fillId="0" borderId="16" xfId="2" applyFont="1" applyBorder="1" applyProtection="1"/>
    <xf numFmtId="1" fontId="18" fillId="2" borderId="19" xfId="2" applyNumberFormat="1" applyFont="1" applyFill="1" applyBorder="1" applyProtection="1"/>
    <xf numFmtId="0" fontId="18" fillId="0" borderId="21" xfId="2" applyFont="1" applyBorder="1" applyProtection="1"/>
    <xf numFmtId="1" fontId="18" fillId="0" borderId="2" xfId="2" applyNumberFormat="1" applyFont="1" applyBorder="1" applyProtection="1"/>
    <xf numFmtId="0" fontId="8" fillId="2" borderId="23" xfId="2" applyFont="1" applyFill="1" applyBorder="1" applyAlignment="1">
      <alignment horizontal="left" indent="1"/>
    </xf>
    <xf numFmtId="42" fontId="8" fillId="2" borderId="6" xfId="2" applyNumberFormat="1" applyFont="1" applyFill="1" applyBorder="1"/>
    <xf numFmtId="42" fontId="8" fillId="2" borderId="5" xfId="2" applyNumberFormat="1" applyFont="1" applyFill="1" applyBorder="1"/>
    <xf numFmtId="164" fontId="8" fillId="2" borderId="23" xfId="1" applyNumberFormat="1" applyFont="1" applyFill="1" applyBorder="1" applyAlignment="1">
      <alignment horizontal="center" vertical="center"/>
    </xf>
    <xf numFmtId="164" fontId="8" fillId="2" borderId="23" xfId="3" applyNumberFormat="1" applyFont="1" applyFill="1" applyBorder="1" applyAlignment="1">
      <alignment horizontal="center" vertical="center"/>
    </xf>
    <xf numFmtId="1" fontId="18" fillId="2" borderId="6" xfId="2" applyNumberFormat="1" applyFont="1" applyFill="1" applyBorder="1" applyAlignment="1">
      <alignment horizontal="center" vertical="center"/>
    </xf>
    <xf numFmtId="0" fontId="8" fillId="2" borderId="24" xfId="2" applyFont="1" applyFill="1" applyBorder="1" applyAlignment="1">
      <alignment horizontal="left" indent="1"/>
    </xf>
    <xf numFmtId="42" fontId="8" fillId="2" borderId="25" xfId="2" applyNumberFormat="1" applyFont="1" applyFill="1" applyBorder="1"/>
    <xf numFmtId="164" fontId="8" fillId="2" borderId="24" xfId="1" applyNumberFormat="1" applyFont="1" applyFill="1" applyBorder="1" applyAlignment="1">
      <alignment horizontal="center" vertical="center"/>
    </xf>
    <xf numFmtId="164" fontId="8" fillId="2" borderId="24" xfId="3" applyNumberFormat="1" applyFont="1" applyFill="1" applyBorder="1" applyAlignment="1">
      <alignment horizontal="center" vertical="center"/>
    </xf>
    <xf numFmtId="1" fontId="18" fillId="2" borderId="26" xfId="2" applyNumberFormat="1" applyFont="1" applyFill="1" applyBorder="1" applyAlignment="1">
      <alignment horizontal="center" vertical="center"/>
    </xf>
    <xf numFmtId="0" fontId="8" fillId="2" borderId="1" xfId="2" applyFont="1" applyFill="1" applyBorder="1" applyAlignment="1">
      <alignment horizontal="left" indent="1"/>
    </xf>
    <xf numFmtId="164" fontId="8" fillId="2" borderId="1" xfId="1" applyNumberFormat="1" applyFont="1" applyFill="1" applyBorder="1" applyAlignment="1">
      <alignment horizontal="center" vertical="center"/>
    </xf>
    <xf numFmtId="164" fontId="8" fillId="2" borderId="1" xfId="2" applyNumberFormat="1" applyFont="1" applyFill="1" applyBorder="1" applyAlignment="1">
      <alignment horizontal="center" vertical="center"/>
    </xf>
    <xf numFmtId="0" fontId="0" fillId="0" borderId="0" xfId="0" applyAlignment="1">
      <alignment horizontal="right"/>
    </xf>
    <xf numFmtId="0" fontId="0" fillId="0" borderId="10" xfId="0" applyBorder="1"/>
    <xf numFmtId="0" fontId="2" fillId="0" borderId="0" xfId="0" applyFont="1" applyAlignment="1">
      <alignment horizontal="center" vertical="center"/>
    </xf>
    <xf numFmtId="166" fontId="0" fillId="0" borderId="0" xfId="0" applyNumberFormat="1" applyAlignment="1">
      <alignment horizontal="center" vertical="center"/>
    </xf>
    <xf numFmtId="42" fontId="0" fillId="0" borderId="11" xfId="0" applyNumberFormat="1" applyBorder="1"/>
    <xf numFmtId="42" fontId="0" fillId="0" borderId="0" xfId="0" applyNumberFormat="1"/>
    <xf numFmtId="42" fontId="0" fillId="0" borderId="10" xfId="0" applyNumberFormat="1" applyBorder="1"/>
    <xf numFmtId="42" fontId="0" fillId="0" borderId="16" xfId="0" applyNumberFormat="1" applyBorder="1"/>
    <xf numFmtId="42" fontId="0" fillId="0" borderId="27" xfId="0" applyNumberFormat="1" applyBorder="1"/>
    <xf numFmtId="42" fontId="0" fillId="0" borderId="0" xfId="0" applyNumberFormat="1" applyBorder="1"/>
    <xf numFmtId="0" fontId="22" fillId="0" borderId="0" xfId="0" applyFont="1"/>
    <xf numFmtId="0" fontId="21" fillId="0" borderId="0" xfId="0" applyFont="1"/>
    <xf numFmtId="0" fontId="8" fillId="2" borderId="28" xfId="2" applyFont="1" applyFill="1" applyBorder="1" applyAlignment="1" applyProtection="1">
      <alignment horizontal="left" indent="1"/>
    </xf>
    <xf numFmtId="42" fontId="8" fillId="2" borderId="29" xfId="2" applyNumberFormat="1" applyFont="1" applyFill="1" applyBorder="1" applyProtection="1"/>
    <xf numFmtId="42" fontId="8" fillId="2" borderId="31" xfId="2" applyNumberFormat="1" applyFont="1" applyFill="1" applyBorder="1" applyProtection="1"/>
    <xf numFmtId="42" fontId="8" fillId="2" borderId="30" xfId="2" applyNumberFormat="1" applyFont="1" applyFill="1" applyBorder="1" applyProtection="1"/>
    <xf numFmtId="1" fontId="18" fillId="2" borderId="30" xfId="2" applyNumberFormat="1" applyFont="1" applyFill="1" applyBorder="1" applyProtection="1"/>
    <xf numFmtId="0" fontId="23" fillId="0" borderId="0" xfId="0" applyFont="1"/>
    <xf numFmtId="0" fontId="0" fillId="7" borderId="0" xfId="0" applyFill="1" applyAlignment="1">
      <alignment wrapText="1"/>
    </xf>
    <xf numFmtId="0" fontId="0" fillId="7" borderId="0" xfId="0" applyFill="1" applyAlignment="1"/>
    <xf numFmtId="0" fontId="0" fillId="7" borderId="0" xfId="0" applyFill="1"/>
    <xf numFmtId="0" fontId="0" fillId="7" borderId="0" xfId="0" applyFill="1" applyAlignment="1">
      <alignment horizontal="left" vertical="top" wrapText="1" indent="2"/>
    </xf>
    <xf numFmtId="0" fontId="0" fillId="7" borderId="0" xfId="0" applyFill="1" applyAlignment="1">
      <alignment vertical="top" wrapText="1"/>
    </xf>
    <xf numFmtId="0" fontId="11" fillId="0" borderId="0" xfId="4" applyNumberFormat="1" applyFont="1" applyFill="1" applyBorder="1" applyAlignment="1">
      <alignment horizontal="right"/>
    </xf>
    <xf numFmtId="0" fontId="1" fillId="0" borderId="0" xfId="0" applyFont="1" applyAlignment="1">
      <alignment horizontal="center"/>
    </xf>
    <xf numFmtId="42" fontId="11" fillId="0" borderId="32" xfId="5" applyNumberFormat="1" applyFont="1" applyBorder="1" applyAlignment="1">
      <alignment horizontal="center"/>
    </xf>
    <xf numFmtId="42" fontId="2" fillId="0" borderId="32" xfId="0" applyNumberFormat="1" applyFont="1" applyBorder="1" applyAlignment="1">
      <alignment horizontal="center" vertical="center"/>
    </xf>
    <xf numFmtId="164" fontId="11" fillId="0" borderId="32" xfId="1" applyNumberFormat="1" applyFont="1" applyBorder="1" applyAlignment="1">
      <alignment horizontal="center"/>
    </xf>
    <xf numFmtId="0" fontId="2" fillId="0" borderId="0" xfId="0" applyFont="1" applyAlignment="1">
      <alignment horizontal="left" indent="2"/>
    </xf>
    <xf numFmtId="0" fontId="0" fillId="0" borderId="0" xfId="0" applyAlignment="1">
      <alignment horizontal="left" indent="2"/>
    </xf>
    <xf numFmtId="0" fontId="0" fillId="0" borderId="0" xfId="0" applyFill="1" applyAlignment="1">
      <alignment horizontal="left" indent="2"/>
    </xf>
    <xf numFmtId="0" fontId="0" fillId="0" borderId="0" xfId="0" applyAlignment="1">
      <alignment horizontal="left"/>
    </xf>
    <xf numFmtId="164" fontId="8" fillId="2" borderId="8" xfId="1" applyNumberFormat="1" applyFont="1" applyFill="1" applyBorder="1" applyAlignment="1" applyProtection="1">
      <alignment horizontal="center"/>
    </xf>
    <xf numFmtId="164" fontId="8" fillId="2" borderId="0" xfId="1" applyNumberFormat="1" applyFont="1" applyFill="1" applyBorder="1" applyAlignment="1" applyProtection="1">
      <alignment horizontal="center"/>
    </xf>
    <xf numFmtId="164" fontId="8" fillId="2" borderId="10" xfId="1" applyNumberFormat="1" applyFont="1" applyFill="1" applyBorder="1" applyAlignment="1" applyProtection="1">
      <alignment horizontal="center"/>
    </xf>
    <xf numFmtId="164" fontId="14" fillId="3" borderId="11" xfId="1" applyNumberFormat="1" applyFont="1" applyFill="1" applyBorder="1" applyAlignment="1" applyProtection="1">
      <alignment horizontal="center"/>
    </xf>
    <xf numFmtId="164" fontId="10" fillId="0" borderId="14" xfId="1" applyNumberFormat="1" applyFont="1" applyFill="1" applyBorder="1" applyAlignment="1" applyProtection="1">
      <alignment horizontal="center"/>
    </xf>
    <xf numFmtId="164" fontId="8" fillId="0" borderId="10" xfId="1" applyNumberFormat="1" applyFont="1" applyFill="1" applyBorder="1" applyAlignment="1" applyProtection="1">
      <alignment horizontal="center"/>
    </xf>
    <xf numFmtId="164" fontId="8" fillId="2" borderId="28" xfId="1" applyNumberFormat="1" applyFont="1" applyFill="1" applyBorder="1" applyAlignment="1" applyProtection="1">
      <alignment horizontal="center"/>
    </xf>
    <xf numFmtId="164" fontId="8" fillId="0" borderId="16" xfId="1" applyNumberFormat="1" applyFont="1" applyFill="1" applyBorder="1" applyAlignment="1" applyProtection="1">
      <alignment horizontal="center"/>
    </xf>
    <xf numFmtId="164" fontId="1" fillId="0" borderId="16" xfId="1" applyNumberFormat="1" applyFont="1" applyFill="1" applyBorder="1" applyAlignment="1" applyProtection="1">
      <alignment horizontal="center"/>
    </xf>
    <xf numFmtId="164" fontId="8" fillId="0" borderId="0" xfId="1" applyNumberFormat="1" applyFont="1" applyFill="1" applyBorder="1" applyAlignment="1" applyProtection="1">
      <alignment horizontal="center"/>
    </xf>
    <xf numFmtId="164" fontId="8" fillId="0" borderId="20" xfId="1" applyNumberFormat="1" applyFont="1" applyFill="1" applyBorder="1" applyAlignment="1" applyProtection="1">
      <alignment horizontal="center"/>
    </xf>
    <xf numFmtId="164" fontId="8" fillId="0" borderId="21" xfId="1" applyNumberFormat="1" applyFont="1" applyFill="1" applyBorder="1" applyAlignment="1" applyProtection="1">
      <alignment horizontal="center"/>
    </xf>
    <xf numFmtId="0" fontId="0" fillId="0" borderId="0" xfId="0" applyAlignment="1" applyProtection="1">
      <alignment horizontal="center"/>
      <protection locked="0"/>
    </xf>
    <xf numFmtId="164" fontId="8" fillId="2" borderId="15" xfId="1" applyNumberFormat="1" applyFont="1" applyFill="1" applyBorder="1" applyAlignment="1" applyProtection="1">
      <alignment horizontal="center"/>
    </xf>
    <xf numFmtId="164" fontId="10" fillId="0" borderId="14" xfId="2" applyNumberFormat="1" applyFont="1" applyBorder="1" applyAlignment="1" applyProtection="1">
      <alignment horizontal="center"/>
      <protection locked="0"/>
    </xf>
    <xf numFmtId="164" fontId="8" fillId="2" borderId="8" xfId="3" applyNumberFormat="1" applyFont="1" applyFill="1" applyBorder="1" applyAlignment="1" applyProtection="1">
      <alignment horizontal="center"/>
    </xf>
    <xf numFmtId="164" fontId="8" fillId="2" borderId="0" xfId="3" applyNumberFormat="1" applyFont="1" applyFill="1" applyBorder="1" applyAlignment="1" applyProtection="1">
      <alignment horizontal="center"/>
    </xf>
    <xf numFmtId="164" fontId="8" fillId="2" borderId="10" xfId="3" applyNumberFormat="1" applyFont="1" applyFill="1" applyBorder="1" applyAlignment="1" applyProtection="1">
      <alignment horizontal="center"/>
    </xf>
    <xf numFmtId="164" fontId="14" fillId="3" borderId="11" xfId="3" applyNumberFormat="1" applyFont="1" applyFill="1" applyBorder="1" applyAlignment="1" applyProtection="1">
      <alignment horizontal="center"/>
    </xf>
    <xf numFmtId="164" fontId="10" fillId="0" borderId="14" xfId="3" applyNumberFormat="1" applyFont="1" applyFill="1" applyBorder="1" applyAlignment="1" applyProtection="1">
      <alignment horizontal="center"/>
    </xf>
    <xf numFmtId="164" fontId="8" fillId="0" borderId="10" xfId="3" applyNumberFormat="1" applyFont="1" applyFill="1" applyBorder="1" applyAlignment="1" applyProtection="1">
      <alignment horizontal="center"/>
    </xf>
    <xf numFmtId="164" fontId="8" fillId="2" borderId="28" xfId="3" applyNumberFormat="1" applyFont="1" applyFill="1" applyBorder="1" applyAlignment="1" applyProtection="1">
      <alignment horizontal="center"/>
    </xf>
    <xf numFmtId="164" fontId="8" fillId="0" borderId="16" xfId="3" applyNumberFormat="1" applyFont="1" applyFill="1" applyBorder="1" applyAlignment="1" applyProtection="1">
      <alignment horizontal="center"/>
    </xf>
    <xf numFmtId="164" fontId="1" fillId="0" borderId="16" xfId="0" applyNumberFormat="1" applyFont="1" applyBorder="1" applyAlignment="1" applyProtection="1">
      <alignment horizontal="center"/>
    </xf>
    <xf numFmtId="164" fontId="8" fillId="0" borderId="16" xfId="2" applyNumberFormat="1" applyFont="1" applyBorder="1" applyAlignment="1" applyProtection="1">
      <alignment horizontal="center"/>
    </xf>
    <xf numFmtId="164" fontId="8" fillId="2" borderId="8" xfId="2" applyNumberFormat="1" applyFont="1" applyFill="1" applyBorder="1" applyAlignment="1" applyProtection="1">
      <alignment horizontal="center"/>
    </xf>
    <xf numFmtId="164" fontId="8" fillId="2" borderId="0" xfId="2" applyNumberFormat="1" applyFont="1" applyFill="1" applyAlignment="1" applyProtection="1">
      <alignment horizontal="center"/>
    </xf>
    <xf numFmtId="164" fontId="8" fillId="2" borderId="10" xfId="2" applyNumberFormat="1" applyFont="1" applyFill="1" applyBorder="1" applyAlignment="1" applyProtection="1">
      <alignment horizontal="center"/>
    </xf>
    <xf numFmtId="164" fontId="8" fillId="0" borderId="21" xfId="2" applyNumberFormat="1" applyFont="1" applyBorder="1" applyAlignment="1" applyProtection="1">
      <alignment horizontal="center"/>
    </xf>
    <xf numFmtId="164" fontId="8" fillId="0" borderId="0" xfId="3" applyNumberFormat="1" applyFont="1" applyFill="1" applyBorder="1" applyAlignment="1" applyProtection="1">
      <alignment horizontal="center"/>
    </xf>
    <xf numFmtId="164" fontId="14" fillId="3" borderId="11" xfId="2" applyNumberFormat="1" applyFont="1" applyFill="1" applyBorder="1" applyAlignment="1" applyProtection="1">
      <alignment horizontal="center"/>
    </xf>
    <xf numFmtId="0" fontId="0" fillId="4" borderId="0" xfId="0" applyFill="1" applyAlignment="1" applyProtection="1">
      <alignment horizontal="center" vertical="center"/>
      <protection locked="0"/>
    </xf>
    <xf numFmtId="0" fontId="0" fillId="0" borderId="0" xfId="0" applyAlignment="1" applyProtection="1">
      <alignment horizontal="left" vertical="center" indent="1"/>
      <protection locked="0"/>
    </xf>
    <xf numFmtId="0" fontId="21" fillId="0" borderId="0" xfId="0" applyFont="1" applyProtection="1">
      <protection locked="0"/>
    </xf>
    <xf numFmtId="0" fontId="2" fillId="0" borderId="10" xfId="0" applyFont="1" applyBorder="1" applyAlignment="1" applyProtection="1">
      <alignment horizontal="center" vertical="center"/>
      <protection locked="0"/>
    </xf>
    <xf numFmtId="0" fontId="0" fillId="7" borderId="0" xfId="0" applyFill="1" applyAlignment="1">
      <alignment horizontal="left" vertical="top" wrapText="1" indent="2"/>
    </xf>
    <xf numFmtId="42" fontId="8" fillId="0" borderId="16" xfId="2" quotePrefix="1" applyNumberFormat="1" applyFont="1" applyBorder="1"/>
    <xf numFmtId="0" fontId="0" fillId="7" borderId="0" xfId="0" applyFill="1" applyAlignment="1">
      <alignment vertical="center" wrapText="1"/>
    </xf>
    <xf numFmtId="0" fontId="2" fillId="0" borderId="0" xfId="0" applyFont="1" applyAlignment="1">
      <alignment horizontal="left" vertical="top"/>
    </xf>
    <xf numFmtId="0" fontId="8" fillId="2" borderId="1" xfId="2" applyFont="1" applyFill="1" applyBorder="1" applyAlignment="1" applyProtection="1">
      <alignment horizontal="left" indent="1"/>
    </xf>
    <xf numFmtId="42" fontId="8" fillId="2" borderId="6" xfId="2" applyNumberFormat="1" applyFont="1" applyFill="1" applyBorder="1" applyProtection="1"/>
    <xf numFmtId="42" fontId="8" fillId="2" borderId="5" xfId="2" applyNumberFormat="1" applyFont="1" applyFill="1" applyBorder="1" applyProtection="1"/>
    <xf numFmtId="164" fontId="8" fillId="2" borderId="34" xfId="1" applyNumberFormat="1" applyFont="1" applyFill="1" applyBorder="1" applyAlignment="1" applyProtection="1">
      <alignment horizontal="center"/>
    </xf>
    <xf numFmtId="164" fontId="8" fillId="2" borderId="23" xfId="1" applyNumberFormat="1" applyFont="1" applyFill="1" applyBorder="1" applyAlignment="1" applyProtection="1">
      <alignment horizontal="center"/>
    </xf>
    <xf numFmtId="42" fontId="8" fillId="2" borderId="35" xfId="2" applyNumberFormat="1" applyFont="1" applyFill="1" applyBorder="1" applyProtection="1"/>
    <xf numFmtId="164" fontId="8" fillId="2" borderId="23" xfId="2" applyNumberFormat="1" applyFont="1" applyFill="1" applyBorder="1" applyAlignment="1" applyProtection="1">
      <alignment horizontal="center"/>
    </xf>
    <xf numFmtId="1" fontId="18" fillId="2" borderId="6" xfId="2" applyNumberFormat="1" applyFont="1" applyFill="1" applyBorder="1" applyProtection="1"/>
    <xf numFmtId="0" fontId="11" fillId="0" borderId="0" xfId="4" applyNumberFormat="1" applyFont="1" applyFill="1" applyBorder="1" applyAlignment="1">
      <alignment horizontal="left"/>
    </xf>
    <xf numFmtId="42" fontId="11" fillId="0" borderId="36" xfId="5" applyNumberFormat="1" applyFont="1" applyBorder="1" applyAlignment="1">
      <alignment horizontal="center"/>
    </xf>
    <xf numFmtId="42" fontId="2" fillId="0" borderId="33" xfId="5" applyNumberFormat="1" applyFont="1" applyBorder="1" applyAlignment="1">
      <alignment horizontal="center"/>
    </xf>
    <xf numFmtId="42" fontId="11" fillId="0" borderId="8" xfId="5" applyNumberFormat="1" applyFont="1" applyBorder="1" applyAlignment="1">
      <alignment horizontal="center"/>
    </xf>
    <xf numFmtId="42" fontId="2" fillId="0" borderId="8" xfId="5" applyNumberFormat="1" applyFont="1" applyBorder="1" applyAlignment="1">
      <alignment horizontal="center"/>
    </xf>
    <xf numFmtId="164" fontId="2" fillId="0" borderId="33" xfId="1" applyNumberFormat="1" applyFont="1" applyBorder="1" applyAlignment="1">
      <alignment horizontal="center"/>
    </xf>
    <xf numFmtId="42" fontId="2" fillId="0" borderId="33" xfId="0" applyNumberFormat="1" applyFont="1" applyBorder="1" applyAlignment="1">
      <alignment horizontal="center"/>
    </xf>
    <xf numFmtId="42" fontId="11" fillId="0" borderId="37" xfId="5" applyNumberFormat="1" applyFont="1" applyBorder="1" applyAlignment="1">
      <alignment horizontal="center"/>
    </xf>
    <xf numFmtId="42" fontId="25" fillId="0" borderId="0" xfId="0" applyNumberFormat="1" applyFont="1" applyBorder="1" applyAlignment="1">
      <alignment horizontal="left"/>
    </xf>
    <xf numFmtId="0" fontId="25" fillId="0" borderId="0" xfId="6" applyFont="1" applyBorder="1" applyAlignment="1">
      <alignment horizontal="left"/>
    </xf>
    <xf numFmtId="42" fontId="25" fillId="0" borderId="8" xfId="0" applyNumberFormat="1" applyFont="1" applyBorder="1" applyAlignment="1">
      <alignment horizontal="left"/>
    </xf>
    <xf numFmtId="164" fontId="25" fillId="0" borderId="0" xfId="1" applyNumberFormat="1" applyFont="1" applyBorder="1" applyAlignment="1">
      <alignment horizontal="center"/>
    </xf>
    <xf numFmtId="0" fontId="25" fillId="0" borderId="0" xfId="0" applyFont="1" applyBorder="1" applyAlignment="1">
      <alignment horizontal="left"/>
    </xf>
    <xf numFmtId="0" fontId="3" fillId="0" borderId="10" xfId="0" applyFont="1" applyBorder="1" applyAlignment="1">
      <alignment horizontal="center"/>
    </xf>
    <xf numFmtId="0" fontId="0" fillId="7" borderId="0" xfId="0" applyFill="1" applyAlignment="1">
      <alignment horizontal="left" vertical="top" wrapText="1" indent="2"/>
    </xf>
    <xf numFmtId="0" fontId="0" fillId="7" borderId="0" xfId="0" applyFill="1" applyAlignment="1">
      <alignment horizontal="left" vertical="top" wrapText="1" indent="1"/>
    </xf>
    <xf numFmtId="0" fontId="0" fillId="7" borderId="0" xfId="0" applyFill="1" applyAlignment="1">
      <alignment horizontal="left" wrapText="1" indent="1"/>
    </xf>
    <xf numFmtId="0" fontId="2" fillId="7" borderId="0" xfId="0" applyFont="1" applyFill="1" applyAlignment="1">
      <alignment horizontal="left"/>
    </xf>
    <xf numFmtId="0" fontId="2" fillId="7" borderId="0" xfId="0" applyFont="1" applyFill="1" applyAlignment="1">
      <alignment horizontal="left" vertical="center"/>
    </xf>
    <xf numFmtId="0" fontId="0" fillId="7" borderId="0" xfId="0" applyFill="1" applyAlignment="1">
      <alignment horizontal="left" indent="1"/>
    </xf>
    <xf numFmtId="0" fontId="2" fillId="7" borderId="0" xfId="0" applyFont="1" applyFill="1" applyAlignment="1">
      <alignment horizontal="left" vertical="top"/>
    </xf>
    <xf numFmtId="0" fontId="0" fillId="7" borderId="0" xfId="0" applyFill="1" applyAlignment="1">
      <alignment horizontal="left" vertical="center" wrapText="1" indent="2"/>
    </xf>
    <xf numFmtId="0" fontId="0" fillId="7" borderId="0" xfId="0" applyFill="1" applyAlignment="1">
      <alignment horizontal="left" vertical="top" wrapText="1"/>
    </xf>
    <xf numFmtId="0" fontId="0" fillId="7" borderId="0" xfId="0" applyFill="1" applyAlignment="1">
      <alignment horizontal="left" vertical="center" wrapText="1"/>
    </xf>
    <xf numFmtId="0" fontId="0" fillId="7" borderId="0" xfId="0" applyFill="1" applyBorder="1" applyAlignment="1">
      <alignment horizontal="left" wrapText="1" indent="1"/>
    </xf>
    <xf numFmtId="0" fontId="5" fillId="7" borderId="0" xfId="0" applyFont="1" applyFill="1" applyAlignment="1">
      <alignment horizontal="left" indent="1"/>
    </xf>
    <xf numFmtId="0" fontId="0" fillId="7" borderId="0" xfId="0" applyFont="1" applyFill="1" applyAlignment="1">
      <alignment horizontal="left"/>
    </xf>
    <xf numFmtId="0" fontId="2" fillId="7" borderId="0" xfId="0" applyFont="1" applyFill="1" applyAlignment="1">
      <alignment horizontal="left" vertical="top" wrapText="1"/>
    </xf>
    <xf numFmtId="0" fontId="2" fillId="7" borderId="0" xfId="0" applyFont="1" applyFill="1" applyAlignment="1">
      <alignment horizontal="left" wrapText="1"/>
    </xf>
    <xf numFmtId="0" fontId="0" fillId="7" borderId="0" xfId="0" applyFill="1" applyAlignment="1">
      <alignment horizontal="left" vertical="top" wrapText="1" indent="5"/>
    </xf>
    <xf numFmtId="0" fontId="12" fillId="5" borderId="0" xfId="0" applyFont="1" applyFill="1" applyAlignment="1">
      <alignment horizontal="center" vertical="center" wrapText="1"/>
    </xf>
    <xf numFmtId="0" fontId="7" fillId="0" borderId="0" xfId="2" applyFont="1" applyAlignment="1">
      <alignment horizontal="center"/>
    </xf>
    <xf numFmtId="0" fontId="4" fillId="0" borderId="1" xfId="0" applyFont="1" applyBorder="1" applyAlignment="1">
      <alignment horizontal="center"/>
    </xf>
    <xf numFmtId="0" fontId="8" fillId="0" borderId="3" xfId="2" applyFont="1" applyBorder="1" applyAlignment="1">
      <alignment horizontal="center" textRotation="90"/>
    </xf>
    <xf numFmtId="0" fontId="8" fillId="0" borderId="4" xfId="2" applyFont="1" applyBorder="1" applyAlignment="1">
      <alignment horizontal="center" textRotation="90"/>
    </xf>
    <xf numFmtId="0" fontId="8" fillId="0" borderId="6" xfId="2" applyFont="1" applyBorder="1" applyAlignment="1">
      <alignment horizontal="center" textRotation="90"/>
    </xf>
    <xf numFmtId="42" fontId="2" fillId="0" borderId="0" xfId="0" applyNumberFormat="1" applyFont="1" applyAlignment="1">
      <alignment horizontal="center"/>
    </xf>
    <xf numFmtId="42" fontId="1" fillId="0" borderId="0" xfId="0" applyNumberFormat="1" applyFont="1" applyAlignment="1">
      <alignment horizontal="center"/>
    </xf>
    <xf numFmtId="0" fontId="7" fillId="0" borderId="0" xfId="2" applyFont="1" applyAlignment="1" applyProtection="1">
      <alignment horizontal="center"/>
    </xf>
    <xf numFmtId="0" fontId="4" fillId="0" borderId="1" xfId="0" applyFont="1" applyBorder="1" applyAlignment="1" applyProtection="1">
      <alignment horizontal="center"/>
    </xf>
    <xf numFmtId="0" fontId="8" fillId="0" borderId="3" xfId="2" applyFont="1" applyBorder="1" applyAlignment="1" applyProtection="1">
      <alignment horizontal="center" textRotation="90"/>
    </xf>
    <xf numFmtId="0" fontId="8" fillId="0" borderId="4" xfId="2" applyFont="1" applyBorder="1" applyAlignment="1" applyProtection="1">
      <alignment horizontal="center" textRotation="90"/>
    </xf>
    <xf numFmtId="0" fontId="8" fillId="0" borderId="6" xfId="2" applyFont="1" applyBorder="1" applyAlignment="1" applyProtection="1">
      <alignment horizontal="center" textRotation="90"/>
    </xf>
    <xf numFmtId="0" fontId="15" fillId="0" borderId="0" xfId="6" applyAlignment="1">
      <alignment horizontal="center"/>
    </xf>
    <xf numFmtId="0" fontId="15" fillId="0" borderId="8" xfId="6" applyBorder="1" applyAlignment="1">
      <alignment horizontal="left"/>
    </xf>
    <xf numFmtId="0" fontId="15" fillId="0" borderId="0" xfId="6" applyBorder="1" applyAlignment="1">
      <alignment horizontal="left"/>
    </xf>
    <xf numFmtId="42" fontId="25" fillId="0" borderId="32" xfId="0" applyNumberFormat="1" applyFont="1" applyBorder="1" applyAlignment="1">
      <alignment horizontal="left"/>
    </xf>
    <xf numFmtId="42" fontId="25" fillId="0" borderId="39" xfId="0" applyNumberFormat="1" applyFont="1" applyBorder="1" applyAlignment="1">
      <alignment horizontal="left"/>
    </xf>
    <xf numFmtId="42" fontId="25" fillId="0" borderId="38" xfId="0" applyNumberFormat="1" applyFont="1" applyBorder="1" applyAlignment="1">
      <alignment horizontal="left"/>
    </xf>
    <xf numFmtId="42" fontId="25" fillId="0" borderId="33" xfId="0" applyNumberFormat="1" applyFont="1" applyBorder="1" applyAlignment="1">
      <alignment horizontal="left"/>
    </xf>
    <xf numFmtId="0" fontId="25" fillId="0" borderId="42" xfId="6" applyFont="1" applyBorder="1" applyAlignment="1">
      <alignment horizontal="right"/>
    </xf>
    <xf numFmtId="42" fontId="25" fillId="0" borderId="43" xfId="0" applyNumberFormat="1" applyFont="1" applyBorder="1" applyAlignment="1">
      <alignment horizontal="left"/>
    </xf>
    <xf numFmtId="42" fontId="25" fillId="0" borderId="44" xfId="0" applyNumberFormat="1" applyFont="1" applyBorder="1" applyAlignment="1">
      <alignment horizontal="left"/>
    </xf>
    <xf numFmtId="42" fontId="25" fillId="0" borderId="42" xfId="0" applyNumberFormat="1" applyFont="1" applyBorder="1" applyAlignment="1">
      <alignment horizontal="left"/>
    </xf>
    <xf numFmtId="164" fontId="25" fillId="0" borderId="33" xfId="1" applyNumberFormat="1" applyFont="1" applyBorder="1" applyAlignment="1">
      <alignment horizontal="center"/>
    </xf>
    <xf numFmtId="164" fontId="25" fillId="0" borderId="32" xfId="1" applyNumberFormat="1" applyFont="1" applyBorder="1" applyAlignment="1">
      <alignment horizontal="center"/>
    </xf>
    <xf numFmtId="164" fontId="25" fillId="0" borderId="32" xfId="0" applyNumberFormat="1" applyFont="1" applyBorder="1" applyAlignment="1">
      <alignment horizontal="center"/>
    </xf>
    <xf numFmtId="164" fontId="25" fillId="0" borderId="44" xfId="0" applyNumberFormat="1" applyFont="1" applyBorder="1" applyAlignment="1">
      <alignment horizontal="center"/>
    </xf>
    <xf numFmtId="164" fontId="25" fillId="0" borderId="40" xfId="1" applyNumberFormat="1" applyFont="1" applyBorder="1" applyAlignment="1">
      <alignment horizontal="center"/>
    </xf>
    <xf numFmtId="164" fontId="25" fillId="0" borderId="41" xfId="1" applyNumberFormat="1" applyFont="1" applyBorder="1" applyAlignment="1">
      <alignment horizontal="center"/>
    </xf>
    <xf numFmtId="164" fontId="25" fillId="0" borderId="41" xfId="0" applyNumberFormat="1" applyFont="1" applyBorder="1" applyAlignment="1">
      <alignment horizontal="center"/>
    </xf>
    <xf numFmtId="164" fontId="25" fillId="0" borderId="45" xfId="0" applyNumberFormat="1" applyFont="1" applyBorder="1" applyAlignment="1">
      <alignment horizontal="center"/>
    </xf>
    <xf numFmtId="0" fontId="26" fillId="0" borderId="0" xfId="0" applyFont="1"/>
  </cellXfs>
  <cellStyles count="7">
    <cellStyle name="Comma 2" xfId="4" xr:uid="{F1BED3C9-5436-412A-83D3-6A73A752C113}"/>
    <cellStyle name="Hyperlink" xfId="6" builtinId="8"/>
    <cellStyle name="Normal" xfId="0" builtinId="0"/>
    <cellStyle name="Normal 2" xfId="2" xr:uid="{4F8D19D2-8F0B-4982-8DF6-7B5A49D1F798}"/>
    <cellStyle name="Normal 3" xfId="5" xr:uid="{F82DEBF2-F9A3-4D63-89DB-A961B5D3D7C8}"/>
    <cellStyle name="Percent" xfId="1" builtinId="5"/>
    <cellStyle name="Percent 2" xfId="3" xr:uid="{C6B74B23-0882-4ED2-BD39-51E1D7BB21A2}"/>
  </cellStyles>
  <dxfs count="11">
    <dxf>
      <fill>
        <patternFill>
          <bgColor rgb="FFFFC7CE"/>
        </patternFill>
      </fill>
    </dxf>
    <dxf>
      <fill>
        <patternFill>
          <bgColor rgb="FFFFC7CE"/>
        </patternFill>
      </fill>
    </dxf>
    <dxf>
      <fill>
        <patternFill>
          <bgColor rgb="FFFFC7CE"/>
        </patternFill>
      </fill>
    </dxf>
    <dxf>
      <alignment horizontal="center" vertical="bottom" textRotation="0" wrapText="0" indent="0" justifyLastLine="0" shrinkToFit="0" readingOrder="0"/>
    </dxf>
    <dxf>
      <alignment horizontal="left" vertical="bottom" textRotation="0" wrapText="0" relativeIndent="1" justifyLastLine="0" shrinkToFit="0" readingOrder="0"/>
    </dxf>
    <dxf>
      <font>
        <b/>
        <i val="0"/>
        <strike val="0"/>
        <condense val="0"/>
        <extend val="0"/>
        <outline val="0"/>
        <shadow val="0"/>
        <u val="none"/>
        <vertAlign val="baseline"/>
        <sz val="11"/>
        <color theme="1"/>
        <name val="Calibri"/>
        <family val="2"/>
        <scheme val="minor"/>
      </font>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i val="0"/>
        <strike val="0"/>
        <condense val="0"/>
        <extend val="0"/>
        <outline val="0"/>
        <shadow val="0"/>
        <u/>
        <vertAlign val="baseline"/>
        <sz val="11"/>
        <color theme="1"/>
        <name val="Calibri"/>
        <family val="2"/>
        <scheme val="minor"/>
      </font>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ertAlign val="baseline"/>
        <sz val="12"/>
        <color theme="1"/>
        <name val="Calibri"/>
        <family val="2"/>
        <scheme val="minor"/>
      </font>
      <alignment horizontal="left" vertical="bottom" textRotation="0" wrapText="0" indent="0" justifyLastLine="0" shrinkToFit="0" readingOrder="0"/>
    </dxf>
  </dxfs>
  <tableStyles count="0" defaultTableStyle="TableStyleMedium2" defaultPivotStyle="PivotStyleLight16"/>
  <colors>
    <mruColors>
      <color rgb="FFDCCB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601980</xdr:colOff>
          <xdr:row>10</xdr:row>
          <xdr:rowOff>251460</xdr:rowOff>
        </xdr:from>
        <xdr:to>
          <xdr:col>3</xdr:col>
          <xdr:colOff>381000</xdr:colOff>
          <xdr:row>12</xdr:row>
          <xdr:rowOff>57150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Report to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594360</xdr:colOff>
          <xdr:row>2</xdr:row>
          <xdr:rowOff>220980</xdr:rowOff>
        </xdr:from>
        <xdr:to>
          <xdr:col>3</xdr:col>
          <xdr:colOff>371475</xdr:colOff>
          <xdr:row>4</xdr:row>
          <xdr:rowOff>19050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New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251460</xdr:rowOff>
        </xdr:from>
        <xdr:to>
          <xdr:col>3</xdr:col>
          <xdr:colOff>390525</xdr:colOff>
          <xdr:row>8</xdr:row>
          <xdr:rowOff>57150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Reference Sheets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8D683C-E1DC-4434-9A9B-BF31A5277E60}" name="Table2" displayName="Table2" ref="A1:E349" totalsRowShown="0" headerRowDxfId="10">
  <autoFilter ref="A1:E349" xr:uid="{D1EB6663-4705-4869-A367-19C97BD9DB6B}"/>
  <sortState xmlns:xlrd2="http://schemas.microsoft.com/office/spreadsheetml/2017/richdata2" ref="A2:E349">
    <sortCondition ref="A2:A349"/>
    <sortCondition ref="B2:B349"/>
    <sortCondition ref="D2:D349"/>
  </sortState>
  <tableColumns count="5">
    <tableColumn id="1" xr3:uid="{7EFA4BF7-D4B0-475C-9AD9-F0C65E27A31C}" name="Row #" dataDxfId="9"/>
    <tableColumn id="2" xr3:uid="{C32D64FC-6858-4342-824D-78BAA8C7C326}" name="Line Item Account" dataDxfId="8"/>
    <tableColumn id="3" xr3:uid="{78A6070E-9F7F-4D4A-918F-73A34AC4BB39}" name="Account Code"/>
    <tableColumn id="4" xr3:uid="{65032639-92C9-4CE3-AFC3-4D7DD9EB7FE7}" name="Lower" dataDxfId="7"/>
    <tableColumn id="5" xr3:uid="{3EAB66A5-89F7-4A27-AD9F-BB87E4E0B983}" name="Upper" dataDxfId="6"/>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BA1805-A7D4-49A5-A7EE-894D2BB3635E}" name="CLtable" displayName="CLtable" ref="A1:D244" totalsRowShown="0" headerRowDxfId="5">
  <autoFilter ref="A1:D244" xr:uid="{1B85E987-E511-417B-B24E-5BE2D9E0D4B0}">
    <filterColumn colId="0">
      <filters>
        <filter val="CUSG"/>
      </filters>
    </filterColumn>
  </autoFilter>
  <sortState xmlns:xlrd2="http://schemas.microsoft.com/office/spreadsheetml/2017/richdata2" ref="A2:D22">
    <sortCondition ref="A2:A137"/>
    <sortCondition ref="C2:C137"/>
    <sortCondition ref="B2:B137"/>
  </sortState>
  <tableColumns count="4">
    <tableColumn id="1" xr3:uid="{22EBFE6E-2715-4342-9D5A-5C226EC070F7}" name="Cost Center"/>
    <tableColumn id="2" xr3:uid="{955D58A5-F8E4-47B6-ACA0-3117F22491BD}" name="Speedtype"/>
    <tableColumn id="3" xr3:uid="{B185A4A7-E44A-4EDC-BC87-DF8CF3D89623}" name="Consolidate Into" dataDxfId="4"/>
    <tableColumn id="4" xr3:uid="{A757EB18-0836-4B46-9693-B80223644BC6}" name="Fund Balance" dataDxfId="3"/>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D8BB9-F71E-436E-A1B0-3C108C61421E}">
  <sheetPr codeName="Sheet44">
    <tabColor theme="2" tint="-0.249977111117893"/>
  </sheetPr>
  <dimension ref="B1:S58"/>
  <sheetViews>
    <sheetView showGridLines="0" showRowColHeaders="0" workbookViewId="0"/>
  </sheetViews>
  <sheetFormatPr defaultRowHeight="14.4"/>
  <cols>
    <col min="1" max="1" width="2.88671875" customWidth="1"/>
    <col min="2" max="19" width="9.5546875" customWidth="1"/>
  </cols>
  <sheetData>
    <row r="1" spans="2:19" ht="15.6">
      <c r="B1" s="289" t="s">
        <v>627</v>
      </c>
      <c r="C1" s="289"/>
      <c r="D1" s="289"/>
      <c r="E1" s="289"/>
      <c r="F1" s="289"/>
      <c r="G1" s="289"/>
      <c r="H1" s="289"/>
      <c r="I1" s="289"/>
      <c r="J1" s="289"/>
      <c r="K1" s="289"/>
      <c r="L1" s="289"/>
      <c r="M1" s="289"/>
      <c r="N1" s="289"/>
      <c r="O1" s="289"/>
      <c r="P1" s="289"/>
      <c r="Q1" s="289"/>
      <c r="R1" s="289"/>
      <c r="S1" s="289"/>
    </row>
    <row r="2" spans="2:19">
      <c r="B2" s="300" t="s">
        <v>629</v>
      </c>
      <c r="C2" s="300"/>
      <c r="D2" s="300"/>
      <c r="E2" s="300"/>
      <c r="F2" s="300"/>
      <c r="G2" s="300"/>
      <c r="H2" s="300"/>
      <c r="I2" s="300"/>
      <c r="J2" s="300"/>
      <c r="K2" s="295" t="s">
        <v>649</v>
      </c>
      <c r="L2" s="295"/>
      <c r="M2" s="295"/>
      <c r="N2" s="295"/>
      <c r="O2" s="295"/>
      <c r="P2" s="295"/>
      <c r="Q2" s="295"/>
      <c r="R2" s="295"/>
      <c r="S2" s="295"/>
    </row>
    <row r="3" spans="2:19">
      <c r="B3" s="215"/>
      <c r="C3" s="294" t="s">
        <v>630</v>
      </c>
      <c r="D3" s="294"/>
      <c r="E3" s="294"/>
      <c r="F3" s="294"/>
      <c r="G3" s="294"/>
      <c r="H3" s="294"/>
      <c r="I3" s="294"/>
      <c r="J3" s="294"/>
      <c r="K3" s="217"/>
      <c r="L3" s="296" t="s">
        <v>635</v>
      </c>
      <c r="M3" s="296"/>
      <c r="N3" s="296"/>
      <c r="O3" s="296"/>
      <c r="P3" s="296"/>
      <c r="Q3" s="296"/>
      <c r="R3" s="296"/>
      <c r="S3" s="296"/>
    </row>
    <row r="4" spans="2:19" ht="14.4" customHeight="1">
      <c r="B4" s="215"/>
      <c r="C4" s="290" t="s">
        <v>633</v>
      </c>
      <c r="D4" s="290"/>
      <c r="E4" s="290"/>
      <c r="F4" s="290"/>
      <c r="G4" s="290"/>
      <c r="H4" s="290"/>
      <c r="I4" s="290"/>
      <c r="J4" s="290"/>
      <c r="K4" s="217"/>
      <c r="L4" s="290" t="s">
        <v>636</v>
      </c>
      <c r="M4" s="290"/>
      <c r="N4" s="290"/>
      <c r="O4" s="290"/>
      <c r="P4" s="290"/>
      <c r="Q4" s="290"/>
      <c r="R4" s="290"/>
      <c r="S4" s="290"/>
    </row>
    <row r="5" spans="2:19">
      <c r="B5" s="215"/>
      <c r="C5" s="290"/>
      <c r="D5" s="290"/>
      <c r="E5" s="290"/>
      <c r="F5" s="290"/>
      <c r="G5" s="290"/>
      <c r="H5" s="290"/>
      <c r="I5" s="290"/>
      <c r="J5" s="290"/>
      <c r="K5" s="217"/>
      <c r="L5" s="290"/>
      <c r="M5" s="290"/>
      <c r="N5" s="290"/>
      <c r="O5" s="290"/>
      <c r="P5" s="290"/>
      <c r="Q5" s="290"/>
      <c r="R5" s="290"/>
      <c r="S5" s="290"/>
    </row>
    <row r="6" spans="2:19">
      <c r="B6" s="215"/>
      <c r="C6" s="290"/>
      <c r="D6" s="290"/>
      <c r="E6" s="290"/>
      <c r="F6" s="290"/>
      <c r="G6" s="290"/>
      <c r="H6" s="290"/>
      <c r="I6" s="290"/>
      <c r="J6" s="290"/>
      <c r="K6" s="217"/>
      <c r="L6" s="290"/>
      <c r="M6" s="290"/>
      <c r="N6" s="290"/>
      <c r="O6" s="290"/>
      <c r="P6" s="290"/>
      <c r="Q6" s="290"/>
      <c r="R6" s="290"/>
      <c r="S6" s="290"/>
    </row>
    <row r="7" spans="2:19">
      <c r="B7" s="215"/>
      <c r="C7" s="264"/>
      <c r="D7" s="264"/>
      <c r="E7" s="264"/>
      <c r="F7" s="264"/>
      <c r="G7" s="264"/>
      <c r="H7" s="264"/>
      <c r="I7" s="264"/>
      <c r="J7" s="264"/>
      <c r="K7" s="217"/>
      <c r="L7" s="264"/>
      <c r="M7" s="264"/>
      <c r="N7" s="264"/>
      <c r="O7" s="264"/>
      <c r="P7" s="264"/>
      <c r="Q7" s="264"/>
      <c r="R7" s="264"/>
      <c r="S7" s="264"/>
    </row>
    <row r="8" spans="2:19">
      <c r="B8" s="215"/>
      <c r="C8" s="294" t="s">
        <v>639</v>
      </c>
      <c r="D8" s="294"/>
      <c r="E8" s="294"/>
      <c r="F8" s="294"/>
      <c r="G8" s="294"/>
      <c r="H8" s="294"/>
      <c r="I8" s="294"/>
      <c r="J8" s="294"/>
      <c r="K8" s="217"/>
      <c r="L8" s="290" t="s">
        <v>797</v>
      </c>
      <c r="M8" s="290"/>
      <c r="N8" s="290"/>
      <c r="O8" s="290"/>
      <c r="P8" s="290"/>
      <c r="Q8" s="290"/>
      <c r="R8" s="290"/>
      <c r="S8" s="290"/>
    </row>
    <row r="9" spans="2:19">
      <c r="B9" s="216"/>
      <c r="C9" s="297" t="s">
        <v>631</v>
      </c>
      <c r="D9" s="297"/>
      <c r="E9" s="297"/>
      <c r="F9" s="297"/>
      <c r="G9" s="297"/>
      <c r="H9" s="297"/>
      <c r="I9" s="297"/>
      <c r="J9" s="297"/>
      <c r="K9" s="217"/>
      <c r="L9" s="290"/>
      <c r="M9" s="290"/>
      <c r="N9" s="290"/>
      <c r="O9" s="290"/>
      <c r="P9" s="290"/>
      <c r="Q9" s="290"/>
      <c r="R9" s="290"/>
      <c r="S9" s="290"/>
    </row>
    <row r="10" spans="2:19" ht="14.4" customHeight="1">
      <c r="B10" s="216"/>
      <c r="C10" s="297"/>
      <c r="D10" s="297"/>
      <c r="E10" s="297"/>
      <c r="F10" s="297"/>
      <c r="G10" s="297"/>
      <c r="H10" s="297"/>
      <c r="I10" s="297"/>
      <c r="J10" s="297"/>
      <c r="K10" s="217"/>
      <c r="L10" s="290"/>
      <c r="M10" s="290"/>
      <c r="N10" s="290"/>
      <c r="O10" s="290"/>
      <c r="P10" s="290"/>
      <c r="Q10" s="290"/>
      <c r="R10" s="290"/>
      <c r="S10" s="290"/>
    </row>
    <row r="11" spans="2:19">
      <c r="B11" s="215"/>
      <c r="C11" s="297"/>
      <c r="D11" s="297"/>
      <c r="E11" s="297"/>
      <c r="F11" s="297"/>
      <c r="G11" s="297"/>
      <c r="H11" s="297"/>
      <c r="I11" s="297"/>
      <c r="J11" s="297"/>
      <c r="K11" s="217"/>
      <c r="L11" s="290"/>
      <c r="M11" s="290"/>
      <c r="N11" s="290"/>
      <c r="O11" s="290"/>
      <c r="P11" s="290"/>
      <c r="Q11" s="290"/>
      <c r="R11" s="290"/>
      <c r="S11" s="290"/>
    </row>
    <row r="12" spans="2:19">
      <c r="B12" s="215"/>
      <c r="C12" s="266"/>
      <c r="D12" s="266"/>
      <c r="E12" s="266"/>
      <c r="F12" s="266"/>
      <c r="G12" s="266"/>
      <c r="H12" s="266"/>
      <c r="I12" s="266"/>
      <c r="J12" s="266"/>
      <c r="K12" s="217"/>
      <c r="L12" s="290"/>
      <c r="M12" s="290"/>
      <c r="N12" s="290"/>
      <c r="O12" s="290"/>
      <c r="P12" s="290"/>
      <c r="Q12" s="290"/>
      <c r="R12" s="290"/>
      <c r="S12" s="290"/>
    </row>
    <row r="13" spans="2:19">
      <c r="B13" s="215"/>
      <c r="C13" s="294" t="s">
        <v>628</v>
      </c>
      <c r="D13" s="294"/>
      <c r="E13" s="294"/>
      <c r="F13" s="294"/>
      <c r="G13" s="294"/>
      <c r="H13" s="294"/>
      <c r="I13" s="294"/>
      <c r="J13" s="294"/>
      <c r="K13" s="217"/>
      <c r="L13" s="290"/>
      <c r="M13" s="290"/>
      <c r="N13" s="290"/>
      <c r="O13" s="290"/>
      <c r="P13" s="290"/>
      <c r="Q13" s="290"/>
      <c r="R13" s="290"/>
      <c r="S13" s="290"/>
    </row>
    <row r="14" spans="2:19">
      <c r="B14" s="215"/>
      <c r="C14" s="290" t="s">
        <v>632</v>
      </c>
      <c r="D14" s="290"/>
      <c r="E14" s="290"/>
      <c r="F14" s="290"/>
      <c r="G14" s="290"/>
      <c r="H14" s="290"/>
      <c r="I14" s="290"/>
      <c r="J14" s="290"/>
      <c r="K14" s="217"/>
      <c r="L14" s="290"/>
      <c r="M14" s="290"/>
      <c r="N14" s="290"/>
      <c r="O14" s="290"/>
      <c r="P14" s="290"/>
      <c r="Q14" s="290"/>
      <c r="R14" s="290"/>
      <c r="S14" s="290"/>
    </row>
    <row r="15" spans="2:19">
      <c r="B15" s="215"/>
      <c r="C15" s="290"/>
      <c r="D15" s="290"/>
      <c r="E15" s="290"/>
      <c r="F15" s="290"/>
      <c r="G15" s="290"/>
      <c r="H15" s="290"/>
      <c r="I15" s="290"/>
      <c r="J15" s="290"/>
      <c r="K15" s="217"/>
      <c r="L15" s="290"/>
      <c r="M15" s="290"/>
      <c r="N15" s="290"/>
      <c r="O15" s="290"/>
      <c r="P15" s="290"/>
      <c r="Q15" s="290"/>
      <c r="R15" s="290"/>
      <c r="S15" s="290"/>
    </row>
    <row r="16" spans="2:19">
      <c r="B16" s="215"/>
      <c r="C16" s="290"/>
      <c r="D16" s="290"/>
      <c r="E16" s="290"/>
      <c r="F16" s="290"/>
      <c r="G16" s="290"/>
      <c r="H16" s="290"/>
      <c r="I16" s="290"/>
      <c r="J16" s="290"/>
      <c r="K16" s="217"/>
      <c r="L16" s="293" t="s">
        <v>637</v>
      </c>
      <c r="M16" s="293"/>
      <c r="N16" s="293"/>
      <c r="O16" s="293"/>
      <c r="P16" s="293"/>
      <c r="Q16" s="293"/>
      <c r="R16" s="293"/>
      <c r="S16" s="293"/>
    </row>
    <row r="17" spans="2:19">
      <c r="B17" s="215"/>
      <c r="C17" s="290"/>
      <c r="D17" s="290"/>
      <c r="E17" s="290"/>
      <c r="F17" s="290"/>
      <c r="G17" s="290"/>
      <c r="H17" s="290"/>
      <c r="I17" s="290"/>
      <c r="J17" s="290"/>
      <c r="K17" s="217"/>
      <c r="L17" s="290" t="s">
        <v>641</v>
      </c>
      <c r="M17" s="290"/>
      <c r="N17" s="290"/>
      <c r="O17" s="290"/>
      <c r="P17" s="290"/>
      <c r="Q17" s="290"/>
      <c r="R17" s="290"/>
      <c r="S17" s="290"/>
    </row>
    <row r="18" spans="2:19">
      <c r="B18" s="215"/>
      <c r="C18" s="215"/>
      <c r="D18" s="215"/>
      <c r="E18" s="215"/>
      <c r="F18" s="215"/>
      <c r="G18" s="215"/>
      <c r="H18" s="215"/>
      <c r="I18" s="217"/>
      <c r="J18" s="217"/>
      <c r="K18" s="217"/>
      <c r="L18" s="290"/>
      <c r="M18" s="290"/>
      <c r="N18" s="290"/>
      <c r="O18" s="290"/>
      <c r="P18" s="290"/>
      <c r="Q18" s="290"/>
      <c r="R18" s="290"/>
      <c r="S18" s="290"/>
    </row>
    <row r="19" spans="2:19">
      <c r="B19" s="291" t="s">
        <v>640</v>
      </c>
      <c r="C19" s="291"/>
      <c r="D19" s="291"/>
      <c r="E19" s="291"/>
      <c r="F19" s="291"/>
      <c r="G19" s="291"/>
      <c r="H19" s="291"/>
      <c r="I19" s="291"/>
      <c r="J19" s="291"/>
      <c r="K19" s="217"/>
      <c r="L19" s="290"/>
      <c r="M19" s="290"/>
      <c r="N19" s="290"/>
      <c r="O19" s="290"/>
      <c r="P19" s="290"/>
      <c r="Q19" s="290"/>
      <c r="R19" s="290"/>
      <c r="S19" s="290"/>
    </row>
    <row r="20" spans="2:19">
      <c r="B20" s="291"/>
      <c r="C20" s="291"/>
      <c r="D20" s="291"/>
      <c r="E20" s="291"/>
      <c r="F20" s="291"/>
      <c r="G20" s="291"/>
      <c r="H20" s="291"/>
      <c r="I20" s="291"/>
      <c r="J20" s="291"/>
      <c r="K20" s="217"/>
      <c r="L20" s="219"/>
      <c r="M20" s="219"/>
      <c r="N20" s="219"/>
      <c r="O20" s="219"/>
      <c r="P20" s="219"/>
      <c r="Q20" s="219"/>
      <c r="R20" s="219"/>
      <c r="S20" s="219"/>
    </row>
    <row r="21" spans="2:19">
      <c r="B21" s="292" t="s">
        <v>634</v>
      </c>
      <c r="C21" s="292"/>
      <c r="D21" s="292"/>
      <c r="E21" s="292"/>
      <c r="F21" s="292"/>
      <c r="G21" s="292"/>
      <c r="H21" s="292"/>
      <c r="I21" s="292"/>
      <c r="J21" s="292"/>
      <c r="K21" s="217"/>
      <c r="L21" s="290" t="s">
        <v>642</v>
      </c>
      <c r="M21" s="290"/>
      <c r="N21" s="290"/>
      <c r="O21" s="290"/>
      <c r="P21" s="290"/>
      <c r="Q21" s="290"/>
      <c r="R21" s="290"/>
      <c r="S21" s="290"/>
    </row>
    <row r="22" spans="2:19">
      <c r="B22" s="292"/>
      <c r="C22" s="292"/>
      <c r="D22" s="292"/>
      <c r="E22" s="292"/>
      <c r="F22" s="292"/>
      <c r="G22" s="292"/>
      <c r="H22" s="292"/>
      <c r="I22" s="292"/>
      <c r="J22" s="292"/>
      <c r="K22" s="217"/>
      <c r="L22" s="290"/>
      <c r="M22" s="290"/>
      <c r="N22" s="290"/>
      <c r="O22" s="290"/>
      <c r="P22" s="290"/>
      <c r="Q22" s="290"/>
      <c r="R22" s="290"/>
      <c r="S22" s="290"/>
    </row>
    <row r="23" spans="2:19">
      <c r="B23" s="215"/>
      <c r="C23" s="215"/>
      <c r="D23" s="215"/>
      <c r="E23" s="215"/>
      <c r="F23" s="215"/>
      <c r="G23" s="215"/>
      <c r="H23" s="215"/>
      <c r="I23" s="217"/>
      <c r="J23" s="217"/>
      <c r="K23" s="217"/>
      <c r="L23" s="290"/>
      <c r="M23" s="290"/>
      <c r="N23" s="290"/>
      <c r="O23" s="290"/>
      <c r="P23" s="290"/>
      <c r="Q23" s="290"/>
      <c r="R23" s="290"/>
      <c r="S23" s="290"/>
    </row>
    <row r="24" spans="2:19">
      <c r="B24" s="301" t="s">
        <v>645</v>
      </c>
      <c r="C24" s="301"/>
      <c r="D24" s="301"/>
      <c r="E24" s="301"/>
      <c r="F24" s="301"/>
      <c r="G24" s="301"/>
      <c r="H24" s="301"/>
      <c r="I24" s="301"/>
      <c r="J24" s="301"/>
      <c r="K24" s="217"/>
      <c r="L24" s="218"/>
      <c r="M24" s="218"/>
      <c r="N24" s="218"/>
      <c r="O24" s="218"/>
      <c r="P24" s="218"/>
      <c r="Q24" s="218"/>
      <c r="R24" s="218"/>
      <c r="S24" s="218"/>
    </row>
    <row r="25" spans="2:19">
      <c r="B25" s="217"/>
      <c r="C25" s="302" t="s">
        <v>648</v>
      </c>
      <c r="D25" s="302"/>
      <c r="E25" s="302"/>
      <c r="F25" s="302"/>
      <c r="G25" s="302"/>
      <c r="H25" s="302"/>
      <c r="I25" s="302"/>
      <c r="J25" s="215"/>
      <c r="K25" s="217"/>
      <c r="L25" s="290" t="s">
        <v>644</v>
      </c>
      <c r="M25" s="290"/>
      <c r="N25" s="290"/>
      <c r="O25" s="290"/>
      <c r="P25" s="290"/>
      <c r="Q25" s="290"/>
      <c r="R25" s="290"/>
      <c r="S25" s="290"/>
    </row>
    <row r="26" spans="2:19" ht="14.4" customHeight="1">
      <c r="B26" s="215"/>
      <c r="C26" s="219"/>
      <c r="D26" s="219"/>
      <c r="E26" s="219"/>
      <c r="F26" s="219"/>
      <c r="G26" s="219"/>
      <c r="H26" s="219"/>
      <c r="I26" s="219"/>
      <c r="J26" s="219"/>
      <c r="K26" s="217"/>
      <c r="L26" s="290"/>
      <c r="M26" s="290"/>
      <c r="N26" s="290"/>
      <c r="O26" s="290"/>
      <c r="P26" s="290"/>
      <c r="Q26" s="290"/>
      <c r="R26" s="290"/>
      <c r="S26" s="290"/>
    </row>
    <row r="27" spans="2:19">
      <c r="B27" s="215"/>
      <c r="C27" s="303" t="s">
        <v>647</v>
      </c>
      <c r="D27" s="303"/>
      <c r="E27" s="303"/>
      <c r="F27" s="303"/>
      <c r="G27" s="303"/>
      <c r="H27" s="303"/>
      <c r="I27" s="303"/>
      <c r="J27" s="219"/>
      <c r="K27" s="217"/>
      <c r="L27" s="290"/>
      <c r="M27" s="290"/>
      <c r="N27" s="290"/>
      <c r="O27" s="290"/>
      <c r="P27" s="290"/>
      <c r="Q27" s="290"/>
      <c r="R27" s="290"/>
      <c r="S27" s="290"/>
    </row>
    <row r="28" spans="2:19">
      <c r="B28" s="215"/>
      <c r="C28" s="219"/>
      <c r="D28" s="219"/>
      <c r="E28" s="219"/>
      <c r="F28" s="219"/>
      <c r="G28" s="219"/>
      <c r="H28" s="219"/>
      <c r="I28" s="219"/>
      <c r="J28" s="219"/>
      <c r="K28" s="217"/>
      <c r="L28" s="290"/>
      <c r="M28" s="290"/>
      <c r="N28" s="290"/>
      <c r="O28" s="290"/>
      <c r="P28" s="290"/>
      <c r="Q28" s="290"/>
      <c r="R28" s="290"/>
      <c r="S28" s="290"/>
    </row>
    <row r="29" spans="2:19">
      <c r="B29" s="215"/>
      <c r="C29" s="304" t="s">
        <v>646</v>
      </c>
      <c r="D29" s="304"/>
      <c r="E29" s="304"/>
      <c r="F29" s="304"/>
      <c r="G29" s="304"/>
      <c r="H29" s="304"/>
      <c r="I29" s="304"/>
      <c r="J29" s="219"/>
      <c r="K29" s="217"/>
      <c r="L29" s="217"/>
      <c r="M29" s="217"/>
      <c r="N29" s="217"/>
      <c r="O29" s="217"/>
      <c r="P29" s="217"/>
      <c r="Q29" s="217"/>
      <c r="R29" s="217"/>
      <c r="S29" s="217"/>
    </row>
    <row r="30" spans="2:19">
      <c r="B30" s="219"/>
      <c r="C30" s="305"/>
      <c r="D30" s="305"/>
      <c r="E30" s="305"/>
      <c r="F30" s="305"/>
      <c r="G30" s="305"/>
      <c r="H30" s="305"/>
      <c r="I30" s="305"/>
      <c r="J30" s="217"/>
      <c r="K30" s="217"/>
      <c r="L30" s="293" t="s">
        <v>638</v>
      </c>
      <c r="M30" s="293"/>
      <c r="N30" s="293"/>
      <c r="O30" s="293"/>
      <c r="P30" s="293"/>
      <c r="Q30" s="293"/>
      <c r="R30" s="293"/>
      <c r="S30" s="293"/>
    </row>
    <row r="31" spans="2:19" ht="14.4" customHeight="1">
      <c r="B31" s="215"/>
      <c r="C31" s="298" t="s">
        <v>650</v>
      </c>
      <c r="D31" s="298"/>
      <c r="E31" s="298"/>
      <c r="F31" s="298"/>
      <c r="G31" s="298"/>
      <c r="H31" s="298"/>
      <c r="I31" s="298"/>
      <c r="J31" s="298"/>
      <c r="K31" s="217"/>
      <c r="L31" s="299" t="s">
        <v>651</v>
      </c>
      <c r="M31" s="299"/>
      <c r="N31" s="299"/>
      <c r="O31" s="299"/>
      <c r="P31" s="299"/>
      <c r="Q31" s="299"/>
      <c r="R31" s="299"/>
      <c r="S31" s="299"/>
    </row>
    <row r="32" spans="2:19" ht="14.4" customHeight="1">
      <c r="B32" s="215"/>
      <c r="C32" s="298"/>
      <c r="D32" s="298"/>
      <c r="E32" s="298"/>
      <c r="F32" s="298"/>
      <c r="G32" s="298"/>
      <c r="H32" s="298"/>
      <c r="I32" s="298"/>
      <c r="J32" s="298"/>
      <c r="K32" s="217"/>
      <c r="L32" s="299"/>
      <c r="M32" s="299"/>
      <c r="N32" s="299"/>
      <c r="O32" s="299"/>
      <c r="P32" s="299"/>
      <c r="Q32" s="299"/>
      <c r="R32" s="299"/>
      <c r="S32" s="299"/>
    </row>
    <row r="33" spans="2:19">
      <c r="B33" s="215"/>
      <c r="C33" s="298"/>
      <c r="D33" s="298"/>
      <c r="E33" s="298"/>
      <c r="F33" s="298"/>
      <c r="G33" s="298"/>
      <c r="H33" s="298"/>
      <c r="I33" s="298"/>
      <c r="J33" s="298"/>
      <c r="K33" s="217"/>
      <c r="L33" s="299"/>
      <c r="M33" s="299"/>
      <c r="N33" s="299"/>
      <c r="O33" s="299"/>
      <c r="P33" s="299"/>
      <c r="Q33" s="299"/>
      <c r="R33" s="299"/>
      <c r="S33" s="299"/>
    </row>
    <row r="34" spans="2:19">
      <c r="B34" s="215"/>
      <c r="C34" s="298"/>
      <c r="D34" s="298"/>
      <c r="E34" s="298"/>
      <c r="F34" s="298"/>
      <c r="G34" s="298"/>
      <c r="H34" s="298"/>
      <c r="I34" s="298"/>
      <c r="J34" s="298"/>
      <c r="K34" s="217"/>
      <c r="L34" s="299"/>
      <c r="M34" s="299"/>
      <c r="N34" s="299"/>
      <c r="O34" s="299"/>
      <c r="P34" s="299"/>
      <c r="Q34" s="299"/>
      <c r="R34" s="299"/>
      <c r="S34" s="299"/>
    </row>
    <row r="35" spans="2:19">
      <c r="B35" s="215"/>
      <c r="C35" s="298"/>
      <c r="D35" s="298"/>
      <c r="E35" s="298"/>
      <c r="F35" s="298"/>
      <c r="G35" s="298"/>
      <c r="H35" s="298"/>
      <c r="I35" s="298"/>
      <c r="J35" s="298"/>
      <c r="K35" s="217"/>
      <c r="L35" s="217"/>
      <c r="M35" s="217"/>
      <c r="N35" s="217"/>
      <c r="O35" s="217"/>
      <c r="P35" s="217"/>
      <c r="Q35" s="217"/>
      <c r="R35" s="217"/>
      <c r="S35" s="217"/>
    </row>
    <row r="36" spans="2:19">
      <c r="B36" s="215"/>
      <c r="C36" s="298"/>
      <c r="D36" s="298"/>
      <c r="E36" s="298"/>
      <c r="F36" s="298"/>
      <c r="G36" s="298"/>
      <c r="H36" s="298"/>
      <c r="I36" s="298"/>
      <c r="J36" s="298"/>
      <c r="K36" s="217"/>
      <c r="L36" s="217"/>
      <c r="M36" s="217"/>
      <c r="N36" s="217"/>
      <c r="O36" s="217"/>
      <c r="P36" s="217"/>
      <c r="Q36" s="217"/>
      <c r="R36" s="217"/>
      <c r="S36" s="217"/>
    </row>
    <row r="37" spans="2:19">
      <c r="B37" s="217"/>
      <c r="C37" s="217"/>
      <c r="D37" s="217"/>
      <c r="E37" s="217"/>
      <c r="F37" s="217"/>
      <c r="G37" s="217"/>
      <c r="H37" s="217"/>
      <c r="I37" s="217"/>
      <c r="J37" s="217"/>
      <c r="K37" s="217"/>
      <c r="L37" s="217"/>
      <c r="M37" s="217"/>
      <c r="N37" s="217"/>
      <c r="O37" s="217"/>
      <c r="P37" s="217"/>
      <c r="Q37" s="217"/>
      <c r="R37" s="217"/>
      <c r="S37" s="217"/>
    </row>
    <row r="38" spans="2:19">
      <c r="B38" s="217"/>
      <c r="C38" s="298" t="s">
        <v>798</v>
      </c>
      <c r="D38" s="298"/>
      <c r="E38" s="298"/>
      <c r="F38" s="298"/>
      <c r="G38" s="298"/>
      <c r="H38" s="298"/>
      <c r="I38" s="298"/>
      <c r="J38" s="298"/>
      <c r="K38" s="217"/>
      <c r="L38" s="217"/>
      <c r="M38" s="217"/>
      <c r="N38" s="217"/>
      <c r="O38" s="217"/>
      <c r="P38" s="217"/>
      <c r="Q38" s="217"/>
      <c r="R38" s="217"/>
      <c r="S38" s="217"/>
    </row>
    <row r="39" spans="2:19">
      <c r="B39" s="217"/>
      <c r="C39" s="298"/>
      <c r="D39" s="298"/>
      <c r="E39" s="298"/>
      <c r="F39" s="298"/>
      <c r="G39" s="298"/>
      <c r="H39" s="298"/>
      <c r="I39" s="298"/>
      <c r="J39" s="298"/>
      <c r="K39" s="217"/>
      <c r="L39" s="217"/>
      <c r="M39" s="217"/>
      <c r="N39" s="217"/>
      <c r="O39" s="217"/>
      <c r="P39" s="217"/>
      <c r="Q39" s="217"/>
      <c r="R39" s="217"/>
      <c r="S39" s="217"/>
    </row>
    <row r="40" spans="2:19">
      <c r="B40" s="217"/>
      <c r="C40" s="298"/>
      <c r="D40" s="298"/>
      <c r="E40" s="298"/>
      <c r="F40" s="298"/>
      <c r="G40" s="298"/>
      <c r="H40" s="298"/>
      <c r="I40" s="298"/>
      <c r="J40" s="298"/>
      <c r="K40" s="217"/>
      <c r="L40" s="217"/>
      <c r="M40" s="217"/>
      <c r="N40" s="217"/>
      <c r="O40" s="217"/>
      <c r="P40" s="217"/>
      <c r="Q40" s="217"/>
      <c r="R40" s="217"/>
      <c r="S40" s="217"/>
    </row>
    <row r="41" spans="2:19">
      <c r="B41" s="217"/>
      <c r="C41" s="217"/>
      <c r="D41" s="217"/>
      <c r="E41" s="217"/>
      <c r="F41" s="217"/>
      <c r="G41" s="217"/>
      <c r="H41" s="217"/>
      <c r="I41" s="217"/>
      <c r="J41" s="217"/>
      <c r="K41" s="217"/>
      <c r="L41" s="217"/>
      <c r="M41" s="217"/>
      <c r="N41" s="217"/>
      <c r="O41" s="217"/>
      <c r="P41" s="217"/>
      <c r="Q41" s="217"/>
      <c r="R41" s="217"/>
      <c r="S41" s="217"/>
    </row>
    <row r="56" spans="2:10">
      <c r="B56" s="112"/>
      <c r="C56" s="112"/>
      <c r="D56" s="112"/>
      <c r="E56" s="112"/>
      <c r="F56" s="112"/>
      <c r="G56" s="112"/>
      <c r="H56" s="112"/>
      <c r="I56" s="112"/>
    </row>
    <row r="57" spans="2:10">
      <c r="B57" s="112"/>
      <c r="C57" s="112"/>
      <c r="D57" s="112"/>
      <c r="E57" s="112"/>
      <c r="F57" s="112"/>
      <c r="G57" s="112"/>
      <c r="H57" s="112"/>
      <c r="I57" s="112"/>
      <c r="J57" s="112"/>
    </row>
    <row r="58" spans="2:10">
      <c r="J58" s="112"/>
    </row>
  </sheetData>
  <mergeCells count="27">
    <mergeCell ref="C38:J40"/>
    <mergeCell ref="L31:S34"/>
    <mergeCell ref="B2:J2"/>
    <mergeCell ref="C3:J3"/>
    <mergeCell ref="C8:J8"/>
    <mergeCell ref="L30:S30"/>
    <mergeCell ref="L21:S23"/>
    <mergeCell ref="B24:J24"/>
    <mergeCell ref="C25:I25"/>
    <mergeCell ref="C27:I27"/>
    <mergeCell ref="C29:I29"/>
    <mergeCell ref="C30:I30"/>
    <mergeCell ref="L25:S28"/>
    <mergeCell ref="C31:J36"/>
    <mergeCell ref="B1:S1"/>
    <mergeCell ref="C4:J6"/>
    <mergeCell ref="B19:J20"/>
    <mergeCell ref="C14:J17"/>
    <mergeCell ref="B21:J22"/>
    <mergeCell ref="L16:S16"/>
    <mergeCell ref="L17:S19"/>
    <mergeCell ref="L4:S6"/>
    <mergeCell ref="L8:S15"/>
    <mergeCell ref="C13:J13"/>
    <mergeCell ref="K2:S2"/>
    <mergeCell ref="L3:S3"/>
    <mergeCell ref="C9:J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90C58-E58A-4856-B0EC-A5EFE70C376D}">
  <sheetPr codeName="Sheet1">
    <tabColor theme="2" tint="-0.249977111117893"/>
  </sheetPr>
  <dimension ref="A1:N45"/>
  <sheetViews>
    <sheetView showGridLines="0" showRowColHeaders="0" tabSelected="1" workbookViewId="0"/>
  </sheetViews>
  <sheetFormatPr defaultRowHeight="15.6"/>
  <cols>
    <col min="2" max="2" width="12.44140625" bestFit="1" customWidth="1"/>
    <col min="5" max="5" width="14.33203125" style="1" customWidth="1"/>
    <col min="6" max="6" width="9.88671875" style="46" customWidth="1"/>
    <col min="7" max="8" width="2.88671875" customWidth="1"/>
    <col min="9" max="9" width="27.21875" style="261" bestFit="1" customWidth="1"/>
    <col min="10" max="10" width="2.88671875" style="262" customWidth="1"/>
    <col min="11" max="11" width="15" style="52" customWidth="1"/>
    <col min="12" max="12" width="2.88671875" customWidth="1"/>
  </cols>
  <sheetData>
    <row r="1" spans="1:14" ht="17.399999999999999" customHeight="1">
      <c r="B1" t="s">
        <v>643</v>
      </c>
      <c r="N1" t="s">
        <v>643</v>
      </c>
    </row>
    <row r="2" spans="1:14" ht="17.399999999999999" customHeight="1">
      <c r="I2" s="263" t="s">
        <v>626</v>
      </c>
      <c r="K2" s="263" t="s">
        <v>625</v>
      </c>
    </row>
    <row r="3" spans="1:14" ht="23.4" customHeight="1">
      <c r="A3" s="113"/>
      <c r="B3" s="113"/>
      <c r="C3" s="113"/>
      <c r="D3" s="113"/>
      <c r="E3" s="115" t="s">
        <v>0</v>
      </c>
      <c r="F3" s="260" t="s">
        <v>385</v>
      </c>
      <c r="I3" s="261" t="s">
        <v>387</v>
      </c>
      <c r="J3" s="262" t="s">
        <v>611</v>
      </c>
      <c r="K3" s="241" t="s">
        <v>611</v>
      </c>
    </row>
    <row r="4" spans="1:14" ht="23.4" customHeight="1">
      <c r="A4" s="113"/>
      <c r="B4" s="113"/>
      <c r="C4" s="113"/>
      <c r="D4" s="113"/>
      <c r="E4" s="115" t="s">
        <v>1</v>
      </c>
      <c r="F4" s="260">
        <v>3</v>
      </c>
      <c r="I4" s="261" t="s">
        <v>796</v>
      </c>
      <c r="J4" s="262" t="s">
        <v>612</v>
      </c>
      <c r="K4" s="241" t="s">
        <v>612</v>
      </c>
    </row>
    <row r="5" spans="1:14" ht="23.4" customHeight="1">
      <c r="A5" s="113"/>
      <c r="B5" s="113"/>
      <c r="C5" s="113"/>
      <c r="D5" s="113"/>
      <c r="E5" s="115" t="s">
        <v>2</v>
      </c>
      <c r="F5" s="260">
        <v>20</v>
      </c>
      <c r="I5" s="261" t="s">
        <v>409</v>
      </c>
      <c r="J5" s="262" t="s">
        <v>611</v>
      </c>
      <c r="K5" s="241" t="s">
        <v>613</v>
      </c>
    </row>
    <row r="6" spans="1:14" ht="17.399999999999999" customHeight="1">
      <c r="I6" s="261" t="s">
        <v>401</v>
      </c>
      <c r="J6" s="262" t="s">
        <v>611</v>
      </c>
      <c r="K6" s="241"/>
    </row>
    <row r="7" spans="1:14" ht="23.4" customHeight="1">
      <c r="A7" s="114"/>
      <c r="B7" s="114"/>
      <c r="C7" s="114"/>
      <c r="D7" s="114"/>
      <c r="E7" s="306" t="s">
        <v>614</v>
      </c>
      <c r="F7" s="306"/>
      <c r="I7" s="261" t="s">
        <v>411</v>
      </c>
      <c r="J7" s="262" t="s">
        <v>611</v>
      </c>
      <c r="K7" s="241"/>
    </row>
    <row r="8" spans="1:14" ht="23.4" customHeight="1">
      <c r="A8" s="114"/>
      <c r="B8" s="114"/>
      <c r="C8" s="114"/>
      <c r="D8" s="114"/>
      <c r="E8" s="306"/>
      <c r="F8" s="306"/>
      <c r="I8" s="261" t="s">
        <v>405</v>
      </c>
      <c r="J8" s="262" t="s">
        <v>611</v>
      </c>
      <c r="K8" s="241"/>
    </row>
    <row r="9" spans="1:14" ht="23.4" customHeight="1">
      <c r="A9" s="114"/>
      <c r="B9" s="114"/>
      <c r="C9" s="114"/>
      <c r="D9" s="114"/>
      <c r="E9" s="306"/>
      <c r="F9" s="306"/>
      <c r="I9" s="261" t="s">
        <v>390</v>
      </c>
      <c r="J9" s="262" t="s">
        <v>611</v>
      </c>
      <c r="K9" s="241"/>
    </row>
    <row r="10" spans="1:14" ht="17.399999999999999" customHeight="1">
      <c r="I10" s="261" t="s">
        <v>415</v>
      </c>
      <c r="J10" s="262" t="s">
        <v>611</v>
      </c>
      <c r="K10" s="241"/>
    </row>
    <row r="11" spans="1:14" ht="23.4" customHeight="1">
      <c r="A11" s="116"/>
      <c r="B11" s="116"/>
      <c r="C11" s="116"/>
      <c r="D11" s="116"/>
      <c r="E11" s="117"/>
      <c r="F11" s="118"/>
      <c r="I11" s="261" t="s">
        <v>397</v>
      </c>
      <c r="J11" s="262" t="s">
        <v>611</v>
      </c>
      <c r="K11" s="241"/>
    </row>
    <row r="12" spans="1:14" ht="23.4" customHeight="1">
      <c r="A12" s="116"/>
      <c r="B12" s="116"/>
      <c r="C12" s="116"/>
      <c r="D12" s="116"/>
      <c r="E12" s="117"/>
      <c r="F12" s="118"/>
      <c r="I12" s="261" t="s">
        <v>392</v>
      </c>
      <c r="J12" s="262" t="s">
        <v>611</v>
      </c>
      <c r="K12" s="241"/>
    </row>
    <row r="13" spans="1:14" ht="23.4" customHeight="1">
      <c r="A13" s="116"/>
      <c r="B13" s="116"/>
      <c r="C13" s="116"/>
      <c r="D13" s="116"/>
      <c r="E13" s="117"/>
      <c r="F13" s="118"/>
      <c r="I13" s="261" t="s">
        <v>407</v>
      </c>
      <c r="J13" s="262" t="s">
        <v>611</v>
      </c>
      <c r="K13" s="241"/>
    </row>
    <row r="14" spans="1:14">
      <c r="B14" s="108" t="s">
        <v>601</v>
      </c>
      <c r="I14" s="261" t="s">
        <v>403</v>
      </c>
      <c r="J14" s="262" t="s">
        <v>611</v>
      </c>
      <c r="K14" s="241"/>
    </row>
    <row r="15" spans="1:14" ht="15.6" customHeight="1">
      <c r="B15" s="2" t="s">
        <v>597</v>
      </c>
      <c r="C15" t="s">
        <v>598</v>
      </c>
      <c r="I15" s="261" t="s">
        <v>417</v>
      </c>
      <c r="J15" s="262" t="s">
        <v>611</v>
      </c>
      <c r="K15" s="241"/>
    </row>
    <row r="16" spans="1:14">
      <c r="B16" s="2" t="s">
        <v>599</v>
      </c>
      <c r="C16" t="s">
        <v>600</v>
      </c>
      <c r="I16" s="261" t="s">
        <v>413</v>
      </c>
      <c r="J16" s="262" t="s">
        <v>611</v>
      </c>
      <c r="K16" s="241"/>
    </row>
    <row r="17" spans="2:11">
      <c r="B17" s="2" t="s">
        <v>623</v>
      </c>
      <c r="C17" t="s">
        <v>624</v>
      </c>
      <c r="I17" s="261" t="s">
        <v>399</v>
      </c>
      <c r="J17" s="262" t="s">
        <v>611</v>
      </c>
      <c r="K17" s="241"/>
    </row>
    <row r="18" spans="2:11">
      <c r="I18" s="261" t="s">
        <v>394</v>
      </c>
      <c r="J18" s="262" t="s">
        <v>613</v>
      </c>
      <c r="K18" s="241"/>
    </row>
    <row r="19" spans="2:11" ht="15.6" customHeight="1">
      <c r="I19" s="261" t="s">
        <v>604</v>
      </c>
      <c r="J19" s="262" t="s">
        <v>611</v>
      </c>
      <c r="K19" s="241"/>
    </row>
    <row r="20" spans="2:11">
      <c r="I20" s="261" t="s">
        <v>395</v>
      </c>
      <c r="J20" s="262" t="s">
        <v>611</v>
      </c>
      <c r="K20" s="241"/>
    </row>
    <row r="21" spans="2:11">
      <c r="K21" s="241"/>
    </row>
    <row r="22" spans="2:11">
      <c r="K22" s="241"/>
    </row>
    <row r="23" spans="2:11">
      <c r="K23" s="241"/>
    </row>
    <row r="24" spans="2:11">
      <c r="K24" s="241"/>
    </row>
    <row r="25" spans="2:11">
      <c r="K25" s="241"/>
    </row>
    <row r="26" spans="2:11">
      <c r="K26" s="241"/>
    </row>
    <row r="27" spans="2:11" ht="15.6" customHeight="1">
      <c r="K27" s="241"/>
    </row>
    <row r="28" spans="2:11" ht="15.6" customHeight="1">
      <c r="K28" s="241"/>
    </row>
    <row r="29" spans="2:11">
      <c r="K29" s="241"/>
    </row>
    <row r="30" spans="2:11">
      <c r="K30" s="241"/>
    </row>
    <row r="31" spans="2:11">
      <c r="K31" s="241"/>
    </row>
    <row r="32" spans="2:11">
      <c r="K32" s="241"/>
    </row>
    <row r="33" spans="11:11">
      <c r="K33" s="241"/>
    </row>
    <row r="34" spans="11:11">
      <c r="K34" s="241"/>
    </row>
    <row r="35" spans="11:11">
      <c r="K35" s="241"/>
    </row>
    <row r="36" spans="11:11">
      <c r="K36" s="241"/>
    </row>
    <row r="37" spans="11:11" ht="15.6" customHeight="1"/>
    <row r="41" spans="11:11" ht="15.6" customHeight="1"/>
    <row r="45" spans="11:11" ht="15.6" customHeight="1"/>
  </sheetData>
  <sheetProtection sheet="1" objects="1" scenarios="1"/>
  <mergeCells count="1">
    <mergeCell ref="E7:F9"/>
  </mergeCells>
  <dataValidations count="3">
    <dataValidation type="list" showInputMessage="1" showErrorMessage="1" sqref="F3" xr:uid="{992C3FB3-5769-4894-9DC6-F02AD77F529D}">
      <formula1>"CEB,CSI,CUSG,DSB,ECNTR,KVCU,OCHNR,REC,SLS,SOAC,UMC,VRC"</formula1>
    </dataValidation>
    <dataValidation type="list" showInputMessage="1" showErrorMessage="1" sqref="F4" xr:uid="{FC0FFF48-DCA4-40A7-9FC7-D2FEAE56FAD0}">
      <formula1>"1,2,3,4"</formula1>
    </dataValidation>
    <dataValidation type="whole" showInputMessage="1" showErrorMessage="1" sqref="F5" xr:uid="{C8F1A4E1-BEDB-420E-AC26-B1A1F0E01770}">
      <formula1>10</formula1>
      <formula2>35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export">
                <anchor moveWithCells="1">
                  <from>
                    <xdr:col>0</xdr:col>
                    <xdr:colOff>601980</xdr:colOff>
                    <xdr:row>10</xdr:row>
                    <xdr:rowOff>251460</xdr:rowOff>
                  </from>
                  <to>
                    <xdr:col>3</xdr:col>
                    <xdr:colOff>381000</xdr:colOff>
                    <xdr:row>12</xdr:row>
                    <xdr:rowOff>53340</xdr:rowOff>
                  </to>
                </anchor>
              </controlPr>
            </control>
          </mc:Choice>
        </mc:AlternateContent>
        <mc:AlternateContent xmlns:mc="http://schemas.openxmlformats.org/markup-compatibility/2006">
          <mc:Choice Requires="x14">
            <control shapeId="1038" r:id="rId5" name="Button 14">
              <controlPr defaultSize="0" print="0" autoFill="0" autoPict="0" macro="[0]!CreateNewReportClick">
                <anchor moveWithCells="1">
                  <from>
                    <xdr:col>0</xdr:col>
                    <xdr:colOff>594360</xdr:colOff>
                    <xdr:row>2</xdr:row>
                    <xdr:rowOff>220980</xdr:rowOff>
                  </from>
                  <to>
                    <xdr:col>3</xdr:col>
                    <xdr:colOff>373380</xdr:colOff>
                    <xdr:row>4</xdr:row>
                    <xdr:rowOff>22860</xdr:rowOff>
                  </to>
                </anchor>
              </controlPr>
            </control>
          </mc:Choice>
        </mc:AlternateContent>
        <mc:AlternateContent xmlns:mc="http://schemas.openxmlformats.org/markup-compatibility/2006">
          <mc:Choice Requires="x14">
            <control shapeId="1039" r:id="rId6" name="Button 15">
              <controlPr defaultSize="0" print="0" autoFill="0" autoPict="0" macro="[0]!_xludf.unhide">
                <anchor moveWithCells="1">
                  <from>
                    <xdr:col>1</xdr:col>
                    <xdr:colOff>0</xdr:colOff>
                    <xdr:row>6</xdr:row>
                    <xdr:rowOff>251460</xdr:rowOff>
                  </from>
                  <to>
                    <xdr:col>3</xdr:col>
                    <xdr:colOff>388620</xdr:colOff>
                    <xdr:row>8</xdr:row>
                    <xdr:rowOff>53340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FB377-3347-46DE-A5E8-97A96BEA8860}">
  <sheetPr codeName="Sheet9">
    <tabColor theme="4" tint="0.59999389629810485"/>
  </sheetPr>
  <dimension ref="A1:E349"/>
  <sheetViews>
    <sheetView showGridLines="0" showRowColHeaders="0" workbookViewId="0"/>
  </sheetViews>
  <sheetFormatPr defaultRowHeight="14.4"/>
  <cols>
    <col min="2" max="2" width="29.21875" bestFit="1" customWidth="1"/>
    <col min="3" max="3" width="49.21875" bestFit="1" customWidth="1"/>
  </cols>
  <sheetData>
    <row r="1" spans="1:5" ht="15.6">
      <c r="A1" s="47" t="s">
        <v>3</v>
      </c>
      <c r="B1" s="47" t="s">
        <v>4</v>
      </c>
      <c r="C1" s="47" t="s">
        <v>5</v>
      </c>
      <c r="D1" s="47" t="s">
        <v>6</v>
      </c>
      <c r="E1" s="47" t="s">
        <v>7</v>
      </c>
    </row>
    <row r="2" spans="1:5">
      <c r="A2" s="48">
        <v>8</v>
      </c>
      <c r="B2" s="49" t="s">
        <v>8</v>
      </c>
      <c r="C2" s="50" t="s">
        <v>9</v>
      </c>
      <c r="D2" s="46">
        <v>220000</v>
      </c>
      <c r="E2" s="46">
        <v>224999</v>
      </c>
    </row>
    <row r="3" spans="1:5">
      <c r="A3" s="48">
        <v>8</v>
      </c>
      <c r="B3" s="49" t="s">
        <v>8</v>
      </c>
      <c r="C3" s="50" t="s">
        <v>10</v>
      </c>
      <c r="D3" s="51">
        <v>225000</v>
      </c>
      <c r="E3" s="51">
        <v>229996</v>
      </c>
    </row>
    <row r="4" spans="1:5">
      <c r="A4" s="48">
        <v>8</v>
      </c>
      <c r="B4" s="49" t="s">
        <v>8</v>
      </c>
      <c r="C4" s="50" t="s">
        <v>11</v>
      </c>
      <c r="D4" s="51">
        <v>229997</v>
      </c>
      <c r="E4" s="51">
        <v>229997</v>
      </c>
    </row>
    <row r="5" spans="1:5">
      <c r="A5" s="48">
        <v>8</v>
      </c>
      <c r="B5" s="49" t="s">
        <v>8</v>
      </c>
      <c r="C5" s="50" t="s">
        <v>12</v>
      </c>
      <c r="D5" s="51">
        <v>229998</v>
      </c>
      <c r="E5" s="51">
        <v>229998</v>
      </c>
    </row>
    <row r="6" spans="1:5">
      <c r="A6" s="48">
        <v>8</v>
      </c>
      <c r="B6" s="49" t="s">
        <v>8</v>
      </c>
      <c r="C6" s="50" t="s">
        <v>13</v>
      </c>
      <c r="D6" s="51">
        <v>229999</v>
      </c>
      <c r="E6" s="51">
        <v>229999</v>
      </c>
    </row>
    <row r="7" spans="1:5">
      <c r="A7" s="48">
        <v>9</v>
      </c>
      <c r="B7" s="49" t="s">
        <v>14</v>
      </c>
      <c r="C7" s="50" t="s">
        <v>15</v>
      </c>
      <c r="D7" s="51">
        <v>200000</v>
      </c>
      <c r="E7" s="51">
        <v>200000</v>
      </c>
    </row>
    <row r="8" spans="1:5">
      <c r="A8" s="48">
        <v>9</v>
      </c>
      <c r="B8" s="49" t="s">
        <v>14</v>
      </c>
      <c r="C8" s="50" t="s">
        <v>16</v>
      </c>
      <c r="D8" s="51">
        <v>200100</v>
      </c>
      <c r="E8" s="51">
        <v>200999</v>
      </c>
    </row>
    <row r="9" spans="1:5">
      <c r="A9" s="48">
        <v>9</v>
      </c>
      <c r="B9" s="49" t="s">
        <v>14</v>
      </c>
      <c r="C9" s="50" t="s">
        <v>17</v>
      </c>
      <c r="D9" s="51">
        <v>201000</v>
      </c>
      <c r="E9" s="51">
        <v>201997</v>
      </c>
    </row>
    <row r="10" spans="1:5">
      <c r="A10" s="48">
        <v>9</v>
      </c>
      <c r="B10" s="49" t="s">
        <v>14</v>
      </c>
      <c r="C10" s="50" t="s">
        <v>18</v>
      </c>
      <c r="D10" s="51">
        <v>202000</v>
      </c>
      <c r="E10" s="51">
        <v>202000</v>
      </c>
    </row>
    <row r="11" spans="1:5">
      <c r="A11" s="48">
        <v>9</v>
      </c>
      <c r="B11" s="49" t="s">
        <v>14</v>
      </c>
      <c r="C11" s="50" t="s">
        <v>19</v>
      </c>
      <c r="D11" s="51">
        <v>202001</v>
      </c>
      <c r="E11" s="51">
        <v>202001</v>
      </c>
    </row>
    <row r="12" spans="1:5">
      <c r="A12" s="48">
        <v>9</v>
      </c>
      <c r="B12" s="49" t="s">
        <v>14</v>
      </c>
      <c r="C12" s="50" t="s">
        <v>20</v>
      </c>
      <c r="D12" s="51">
        <v>202002</v>
      </c>
      <c r="E12" s="51">
        <v>202002</v>
      </c>
    </row>
    <row r="13" spans="1:5">
      <c r="A13" s="48">
        <v>9</v>
      </c>
      <c r="B13" s="49" t="s">
        <v>14</v>
      </c>
      <c r="C13" s="50" t="s">
        <v>21</v>
      </c>
      <c r="D13" s="51">
        <v>202003</v>
      </c>
      <c r="E13" s="51">
        <v>202003</v>
      </c>
    </row>
    <row r="14" spans="1:5">
      <c r="A14" s="48">
        <v>9</v>
      </c>
      <c r="B14" s="49" t="s">
        <v>14</v>
      </c>
      <c r="C14" s="50" t="s">
        <v>22</v>
      </c>
      <c r="D14" s="51">
        <v>202004</v>
      </c>
      <c r="E14" s="51">
        <v>202004</v>
      </c>
    </row>
    <row r="15" spans="1:5">
      <c r="A15" s="48">
        <v>9</v>
      </c>
      <c r="B15" s="49" t="s">
        <v>14</v>
      </c>
      <c r="C15" s="50" t="s">
        <v>23</v>
      </c>
      <c r="D15" s="51">
        <v>202005</v>
      </c>
      <c r="E15" s="51">
        <v>202005</v>
      </c>
    </row>
    <row r="16" spans="1:5">
      <c r="A16" s="48">
        <v>9</v>
      </c>
      <c r="B16" s="49" t="s">
        <v>14</v>
      </c>
      <c r="C16" s="50" t="s">
        <v>24</v>
      </c>
      <c r="D16" s="51">
        <v>202006</v>
      </c>
      <c r="E16" s="51">
        <v>202006</v>
      </c>
    </row>
    <row r="17" spans="1:5">
      <c r="A17" s="48">
        <v>9</v>
      </c>
      <c r="B17" s="49" t="s">
        <v>14</v>
      </c>
      <c r="C17" s="50" t="s">
        <v>25</v>
      </c>
      <c r="D17" s="51">
        <v>230000</v>
      </c>
      <c r="E17" s="51">
        <v>237999</v>
      </c>
    </row>
    <row r="18" spans="1:5">
      <c r="A18" s="48">
        <v>9</v>
      </c>
      <c r="B18" s="49" t="s">
        <v>14</v>
      </c>
      <c r="C18" s="50" t="s">
        <v>26</v>
      </c>
      <c r="D18" s="51">
        <v>250000</v>
      </c>
      <c r="E18" s="51">
        <v>250099</v>
      </c>
    </row>
    <row r="19" spans="1:5">
      <c r="A19" s="48">
        <v>9</v>
      </c>
      <c r="B19" s="49" t="s">
        <v>14</v>
      </c>
      <c r="C19" s="50" t="s">
        <v>27</v>
      </c>
      <c r="D19" s="51">
        <v>250100</v>
      </c>
      <c r="E19" s="51">
        <v>254999</v>
      </c>
    </row>
    <row r="20" spans="1:5">
      <c r="A20" s="48">
        <v>9</v>
      </c>
      <c r="B20" s="49" t="s">
        <v>14</v>
      </c>
      <c r="C20" s="50" t="s">
        <v>28</v>
      </c>
      <c r="D20" s="51">
        <v>255000</v>
      </c>
      <c r="E20" s="51">
        <v>259997</v>
      </c>
    </row>
    <row r="21" spans="1:5">
      <c r="A21" s="48">
        <v>9</v>
      </c>
      <c r="B21" s="49" t="s">
        <v>14</v>
      </c>
      <c r="C21" s="50" t="s">
        <v>29</v>
      </c>
      <c r="D21" s="51">
        <v>280000</v>
      </c>
      <c r="E21" s="51">
        <v>280099</v>
      </c>
    </row>
    <row r="22" spans="1:5">
      <c r="A22" s="48">
        <v>9</v>
      </c>
      <c r="B22" s="49" t="s">
        <v>14</v>
      </c>
      <c r="C22" s="50" t="s">
        <v>30</v>
      </c>
      <c r="D22" s="51">
        <v>280100</v>
      </c>
      <c r="E22" s="51">
        <v>284999</v>
      </c>
    </row>
    <row r="23" spans="1:5">
      <c r="A23" s="48">
        <v>9</v>
      </c>
      <c r="B23" s="49" t="s">
        <v>14</v>
      </c>
      <c r="C23" s="50" t="s">
        <v>31</v>
      </c>
      <c r="D23" s="51">
        <v>285000</v>
      </c>
      <c r="E23" s="51">
        <v>289997</v>
      </c>
    </row>
    <row r="24" spans="1:5">
      <c r="A24" s="48">
        <v>9</v>
      </c>
      <c r="B24" s="49" t="s">
        <v>14</v>
      </c>
      <c r="C24" s="50" t="s">
        <v>32</v>
      </c>
      <c r="D24" s="51">
        <v>289998</v>
      </c>
      <c r="E24" s="51">
        <v>289998</v>
      </c>
    </row>
    <row r="25" spans="1:5">
      <c r="A25" s="48">
        <v>9</v>
      </c>
      <c r="B25" s="49" t="s">
        <v>14</v>
      </c>
      <c r="C25" s="50" t="s">
        <v>33</v>
      </c>
      <c r="D25" s="51">
        <v>289999</v>
      </c>
      <c r="E25" s="51">
        <v>289999</v>
      </c>
    </row>
    <row r="26" spans="1:5">
      <c r="A26" s="48">
        <v>9</v>
      </c>
      <c r="B26" s="49" t="s">
        <v>14</v>
      </c>
      <c r="C26" s="50" t="s">
        <v>34</v>
      </c>
      <c r="D26" s="51">
        <v>310000</v>
      </c>
      <c r="E26" s="51">
        <v>310099</v>
      </c>
    </row>
    <row r="27" spans="1:5">
      <c r="A27" s="48">
        <v>9</v>
      </c>
      <c r="B27" s="49" t="s">
        <v>14</v>
      </c>
      <c r="C27" s="50" t="s">
        <v>35</v>
      </c>
      <c r="D27" s="51">
        <v>310100</v>
      </c>
      <c r="E27" s="51">
        <v>310999</v>
      </c>
    </row>
    <row r="28" spans="1:5">
      <c r="A28" s="48">
        <v>9</v>
      </c>
      <c r="B28" s="49" t="s">
        <v>14</v>
      </c>
      <c r="C28" s="50" t="s">
        <v>36</v>
      </c>
      <c r="D28" s="51">
        <v>311000</v>
      </c>
      <c r="E28" s="51">
        <v>311999</v>
      </c>
    </row>
    <row r="29" spans="1:5">
      <c r="A29" s="48">
        <v>9</v>
      </c>
      <c r="B29" s="49" t="s">
        <v>14</v>
      </c>
      <c r="C29" s="50" t="s">
        <v>37</v>
      </c>
      <c r="D29" s="51">
        <v>315000</v>
      </c>
      <c r="E29" s="51">
        <v>315099</v>
      </c>
    </row>
    <row r="30" spans="1:5">
      <c r="A30" s="48">
        <v>9</v>
      </c>
      <c r="B30" s="49" t="s">
        <v>14</v>
      </c>
      <c r="C30" s="50" t="s">
        <v>38</v>
      </c>
      <c r="D30" s="51">
        <v>315100</v>
      </c>
      <c r="E30" s="51">
        <v>315199</v>
      </c>
    </row>
    <row r="31" spans="1:5">
      <c r="A31" s="48">
        <v>9</v>
      </c>
      <c r="B31" s="49" t="s">
        <v>14</v>
      </c>
      <c r="C31" s="50" t="s">
        <v>39</v>
      </c>
      <c r="D31" s="51">
        <v>315200</v>
      </c>
      <c r="E31" s="51">
        <v>315299</v>
      </c>
    </row>
    <row r="32" spans="1:5">
      <c r="A32" s="48">
        <v>9</v>
      </c>
      <c r="B32" s="49" t="s">
        <v>14</v>
      </c>
      <c r="C32" s="50" t="s">
        <v>40</v>
      </c>
      <c r="D32" s="51">
        <v>315300</v>
      </c>
      <c r="E32" s="51">
        <v>315399</v>
      </c>
    </row>
    <row r="33" spans="1:5">
      <c r="A33" s="48">
        <v>9</v>
      </c>
      <c r="B33" s="49" t="s">
        <v>14</v>
      </c>
      <c r="C33" s="50" t="s">
        <v>41</v>
      </c>
      <c r="D33" s="51">
        <v>315400</v>
      </c>
      <c r="E33" s="51">
        <v>315499</v>
      </c>
    </row>
    <row r="34" spans="1:5">
      <c r="A34" s="48">
        <v>9</v>
      </c>
      <c r="B34" s="49" t="s">
        <v>14</v>
      </c>
      <c r="C34" s="50" t="s">
        <v>42</v>
      </c>
      <c r="D34" s="51">
        <v>315500</v>
      </c>
      <c r="E34" s="51">
        <v>315599</v>
      </c>
    </row>
    <row r="35" spans="1:5">
      <c r="A35" s="48">
        <v>9</v>
      </c>
      <c r="B35" s="49" t="s">
        <v>14</v>
      </c>
      <c r="C35" s="50" t="s">
        <v>43</v>
      </c>
      <c r="D35" s="51">
        <v>315600</v>
      </c>
      <c r="E35" s="51">
        <v>315699</v>
      </c>
    </row>
    <row r="36" spans="1:5">
      <c r="A36" s="48">
        <v>9</v>
      </c>
      <c r="B36" s="49" t="s">
        <v>14</v>
      </c>
      <c r="C36" s="50" t="s">
        <v>44</v>
      </c>
      <c r="D36" s="51">
        <v>315700</v>
      </c>
      <c r="E36" s="51">
        <v>315799</v>
      </c>
    </row>
    <row r="37" spans="1:5">
      <c r="A37" s="48">
        <v>9</v>
      </c>
      <c r="B37" s="49" t="s">
        <v>14</v>
      </c>
      <c r="C37" s="50" t="s">
        <v>45</v>
      </c>
      <c r="D37" s="51">
        <v>320000</v>
      </c>
      <c r="E37" s="51">
        <v>320099</v>
      </c>
    </row>
    <row r="38" spans="1:5">
      <c r="A38" s="48">
        <v>9</v>
      </c>
      <c r="B38" s="49" t="s">
        <v>14</v>
      </c>
      <c r="C38" s="50" t="s">
        <v>46</v>
      </c>
      <c r="D38" s="51">
        <v>320100</v>
      </c>
      <c r="E38" s="51">
        <v>320999</v>
      </c>
    </row>
    <row r="39" spans="1:5">
      <c r="A39" s="48">
        <v>9</v>
      </c>
      <c r="B39" s="49" t="s">
        <v>14</v>
      </c>
      <c r="C39" s="50" t="s">
        <v>47</v>
      </c>
      <c r="D39" s="51">
        <v>321000</v>
      </c>
      <c r="E39" s="51">
        <v>321997</v>
      </c>
    </row>
    <row r="40" spans="1:5">
      <c r="A40" s="48">
        <v>9</v>
      </c>
      <c r="B40" s="49" t="s">
        <v>14</v>
      </c>
      <c r="C40" s="50" t="s">
        <v>48</v>
      </c>
      <c r="D40" s="51">
        <v>325000</v>
      </c>
      <c r="E40" s="51">
        <v>325099</v>
      </c>
    </row>
    <row r="41" spans="1:5">
      <c r="A41" s="48">
        <v>9</v>
      </c>
      <c r="B41" s="49" t="s">
        <v>14</v>
      </c>
      <c r="C41" s="50" t="s">
        <v>49</v>
      </c>
      <c r="D41" s="51">
        <v>325100</v>
      </c>
      <c r="E41" s="51">
        <v>332999</v>
      </c>
    </row>
    <row r="42" spans="1:5">
      <c r="A42" s="48">
        <v>9</v>
      </c>
      <c r="B42" s="49" t="s">
        <v>14</v>
      </c>
      <c r="C42" s="50" t="s">
        <v>50</v>
      </c>
      <c r="D42" s="51">
        <v>333000</v>
      </c>
      <c r="E42" s="51">
        <v>334996</v>
      </c>
    </row>
    <row r="43" spans="1:5">
      <c r="A43" s="48">
        <v>9</v>
      </c>
      <c r="B43" s="49" t="s">
        <v>14</v>
      </c>
      <c r="C43" s="50" t="s">
        <v>51</v>
      </c>
      <c r="D43" s="51">
        <v>334997</v>
      </c>
      <c r="E43" s="51">
        <v>334997</v>
      </c>
    </row>
    <row r="44" spans="1:5">
      <c r="A44" s="48">
        <v>9</v>
      </c>
      <c r="B44" s="49" t="s">
        <v>14</v>
      </c>
      <c r="C44" s="50" t="s">
        <v>52</v>
      </c>
      <c r="D44" s="51">
        <v>355000</v>
      </c>
      <c r="E44" s="51">
        <v>355099</v>
      </c>
    </row>
    <row r="45" spans="1:5">
      <c r="A45" s="48">
        <v>9</v>
      </c>
      <c r="B45" s="49" t="s">
        <v>14</v>
      </c>
      <c r="C45" s="50" t="s">
        <v>53</v>
      </c>
      <c r="D45" s="51">
        <v>355100</v>
      </c>
      <c r="E45" s="51">
        <v>355199</v>
      </c>
    </row>
    <row r="46" spans="1:5">
      <c r="A46" s="48">
        <v>9</v>
      </c>
      <c r="B46" s="49" t="s">
        <v>14</v>
      </c>
      <c r="C46" s="50" t="s">
        <v>54</v>
      </c>
      <c r="D46" s="51">
        <v>355200</v>
      </c>
      <c r="E46" s="51">
        <v>355299</v>
      </c>
    </row>
    <row r="47" spans="1:5">
      <c r="A47" s="48">
        <v>9</v>
      </c>
      <c r="B47" s="49" t="s">
        <v>14</v>
      </c>
      <c r="C47" s="50" t="s">
        <v>55</v>
      </c>
      <c r="D47" s="51">
        <v>355300</v>
      </c>
      <c r="E47" s="51">
        <v>355399</v>
      </c>
    </row>
    <row r="48" spans="1:5">
      <c r="A48" s="48">
        <v>9</v>
      </c>
      <c r="B48" s="49" t="s">
        <v>14</v>
      </c>
      <c r="C48" s="50" t="s">
        <v>56</v>
      </c>
      <c r="D48" s="51">
        <v>355400</v>
      </c>
      <c r="E48" s="51">
        <v>355499</v>
      </c>
    </row>
    <row r="49" spans="1:5">
      <c r="A49" s="48">
        <v>9</v>
      </c>
      <c r="B49" s="49" t="s">
        <v>14</v>
      </c>
      <c r="C49" s="50" t="s">
        <v>57</v>
      </c>
      <c r="D49" s="51">
        <v>355500</v>
      </c>
      <c r="E49" s="51">
        <v>355599</v>
      </c>
    </row>
    <row r="50" spans="1:5">
      <c r="A50" s="48">
        <v>9</v>
      </c>
      <c r="B50" s="49" t="s">
        <v>14</v>
      </c>
      <c r="C50" s="50" t="s">
        <v>58</v>
      </c>
      <c r="D50" s="51">
        <v>355700</v>
      </c>
      <c r="E50" s="51">
        <v>355799</v>
      </c>
    </row>
    <row r="51" spans="1:5">
      <c r="A51" s="48">
        <v>9</v>
      </c>
      <c r="B51" s="49" t="s">
        <v>14</v>
      </c>
      <c r="C51" s="50" t="s">
        <v>59</v>
      </c>
      <c r="D51" s="51">
        <v>380000</v>
      </c>
      <c r="E51" s="51">
        <v>380099</v>
      </c>
    </row>
    <row r="52" spans="1:5">
      <c r="A52" s="48">
        <v>9</v>
      </c>
      <c r="B52" s="49" t="s">
        <v>14</v>
      </c>
      <c r="C52" s="50" t="s">
        <v>60</v>
      </c>
      <c r="D52" s="51">
        <v>380100</v>
      </c>
      <c r="E52" s="51">
        <v>384999</v>
      </c>
    </row>
    <row r="53" spans="1:5">
      <c r="A53" s="48">
        <v>9</v>
      </c>
      <c r="B53" s="49" t="s">
        <v>14</v>
      </c>
      <c r="C53" s="50" t="s">
        <v>61</v>
      </c>
      <c r="D53" s="51">
        <v>385000</v>
      </c>
      <c r="E53" s="51">
        <v>389999</v>
      </c>
    </row>
    <row r="54" spans="1:5">
      <c r="A54" s="48">
        <v>9</v>
      </c>
      <c r="B54" s="49" t="s">
        <v>14</v>
      </c>
      <c r="C54" s="50" t="s">
        <v>62</v>
      </c>
      <c r="D54" s="51">
        <v>390000</v>
      </c>
      <c r="E54" s="51">
        <v>390000</v>
      </c>
    </row>
    <row r="55" spans="1:5">
      <c r="A55" s="48">
        <v>9</v>
      </c>
      <c r="B55" s="49" t="s">
        <v>14</v>
      </c>
      <c r="C55" s="50" t="s">
        <v>63</v>
      </c>
      <c r="D55" s="51">
        <v>390001</v>
      </c>
      <c r="E55" s="51">
        <v>390001</v>
      </c>
    </row>
    <row r="56" spans="1:5">
      <c r="A56" s="48">
        <v>9</v>
      </c>
      <c r="B56" s="49" t="s">
        <v>14</v>
      </c>
      <c r="C56" s="50" t="s">
        <v>64</v>
      </c>
      <c r="D56" s="51">
        <v>390002</v>
      </c>
      <c r="E56" s="51">
        <v>390002</v>
      </c>
    </row>
    <row r="57" spans="1:5">
      <c r="A57" s="48">
        <v>9</v>
      </c>
      <c r="B57" s="49" t="s">
        <v>14</v>
      </c>
      <c r="C57" s="50" t="s">
        <v>65</v>
      </c>
      <c r="D57" s="51">
        <v>390003</v>
      </c>
      <c r="E57" s="51">
        <v>390003</v>
      </c>
    </row>
    <row r="58" spans="1:5">
      <c r="A58" s="48">
        <v>9</v>
      </c>
      <c r="B58" s="49" t="s">
        <v>14</v>
      </c>
      <c r="C58" s="50" t="s">
        <v>66</v>
      </c>
      <c r="D58" s="51">
        <v>390004</v>
      </c>
      <c r="E58" s="51">
        <v>390004</v>
      </c>
    </row>
    <row r="59" spans="1:5">
      <c r="A59" s="48">
        <v>9</v>
      </c>
      <c r="B59" s="49" t="s">
        <v>14</v>
      </c>
      <c r="C59" s="50" t="s">
        <v>67</v>
      </c>
      <c r="D59" s="51">
        <v>390005</v>
      </c>
      <c r="E59" s="51">
        <v>390005</v>
      </c>
    </row>
    <row r="60" spans="1:5">
      <c r="A60" s="48">
        <v>9</v>
      </c>
      <c r="B60" s="49" t="s">
        <v>14</v>
      </c>
      <c r="C60" s="50" t="s">
        <v>68</v>
      </c>
      <c r="D60" s="51">
        <v>390006</v>
      </c>
      <c r="E60" s="51">
        <v>390006</v>
      </c>
    </row>
    <row r="61" spans="1:5">
      <c r="A61" s="48">
        <v>9</v>
      </c>
      <c r="B61" s="49" t="s">
        <v>14</v>
      </c>
      <c r="C61" s="50" t="s">
        <v>69</v>
      </c>
      <c r="D61" s="51">
        <v>390007</v>
      </c>
      <c r="E61" s="51">
        <v>390007</v>
      </c>
    </row>
    <row r="62" spans="1:5">
      <c r="A62" s="48">
        <v>9</v>
      </c>
      <c r="B62" s="49" t="s">
        <v>14</v>
      </c>
      <c r="C62" s="50" t="s">
        <v>70</v>
      </c>
      <c r="D62" s="51">
        <v>390008</v>
      </c>
      <c r="E62" s="51">
        <v>390008</v>
      </c>
    </row>
    <row r="63" spans="1:5">
      <c r="A63" s="48">
        <v>9</v>
      </c>
      <c r="B63" s="49" t="s">
        <v>14</v>
      </c>
      <c r="C63" s="50" t="s">
        <v>71</v>
      </c>
      <c r="D63" s="51">
        <v>390009</v>
      </c>
      <c r="E63" s="51">
        <v>390009</v>
      </c>
    </row>
    <row r="64" spans="1:5">
      <c r="A64" s="48">
        <v>9</v>
      </c>
      <c r="B64" s="49" t="s">
        <v>14</v>
      </c>
      <c r="C64" s="50" t="s">
        <v>72</v>
      </c>
      <c r="D64" s="51">
        <v>390010</v>
      </c>
      <c r="E64" s="51">
        <v>390010</v>
      </c>
    </row>
    <row r="65" spans="1:5">
      <c r="A65" s="48">
        <v>9</v>
      </c>
      <c r="B65" s="49" t="s">
        <v>14</v>
      </c>
      <c r="C65" s="50" t="s">
        <v>73</v>
      </c>
      <c r="D65" s="51">
        <v>390011</v>
      </c>
      <c r="E65" s="51">
        <v>390011</v>
      </c>
    </row>
    <row r="66" spans="1:5">
      <c r="A66" s="48">
        <v>9</v>
      </c>
      <c r="B66" s="49" t="s">
        <v>14</v>
      </c>
      <c r="C66" s="50" t="s">
        <v>74</v>
      </c>
      <c r="D66" s="51">
        <v>390012</v>
      </c>
      <c r="E66" s="51">
        <v>390012</v>
      </c>
    </row>
    <row r="67" spans="1:5">
      <c r="A67" s="48">
        <v>9</v>
      </c>
      <c r="B67" s="49" t="s">
        <v>14</v>
      </c>
      <c r="C67" s="50" t="s">
        <v>75</v>
      </c>
      <c r="D67" s="51">
        <v>390013</v>
      </c>
      <c r="E67" s="51">
        <v>390013</v>
      </c>
    </row>
    <row r="68" spans="1:5">
      <c r="A68" s="48">
        <v>9</v>
      </c>
      <c r="B68" s="49" t="s">
        <v>14</v>
      </c>
      <c r="C68" s="50" t="s">
        <v>76</v>
      </c>
      <c r="D68" s="51">
        <v>390014</v>
      </c>
      <c r="E68" s="51">
        <v>390014</v>
      </c>
    </row>
    <row r="69" spans="1:5">
      <c r="A69" s="48">
        <v>9</v>
      </c>
      <c r="B69" s="49" t="s">
        <v>14</v>
      </c>
      <c r="C69" s="50" t="s">
        <v>77</v>
      </c>
      <c r="D69" s="51">
        <v>390015</v>
      </c>
      <c r="E69" s="51">
        <v>390015</v>
      </c>
    </row>
    <row r="70" spans="1:5">
      <c r="A70" s="48">
        <v>9</v>
      </c>
      <c r="B70" s="49" t="s">
        <v>14</v>
      </c>
      <c r="C70" s="50" t="s">
        <v>78</v>
      </c>
      <c r="D70" s="51">
        <v>390016</v>
      </c>
      <c r="E70" s="51">
        <v>390016</v>
      </c>
    </row>
    <row r="71" spans="1:5">
      <c r="A71" s="48">
        <v>9</v>
      </c>
      <c r="B71" s="49" t="s">
        <v>14</v>
      </c>
      <c r="C71" s="50" t="s">
        <v>79</v>
      </c>
      <c r="D71" s="51">
        <v>390017</v>
      </c>
      <c r="E71" s="51">
        <v>390017</v>
      </c>
    </row>
    <row r="72" spans="1:5">
      <c r="A72" s="48">
        <v>9</v>
      </c>
      <c r="B72" s="49" t="s">
        <v>14</v>
      </c>
      <c r="C72" s="50" t="s">
        <v>80</v>
      </c>
      <c r="D72" s="51">
        <v>390018</v>
      </c>
      <c r="E72" s="51">
        <v>390018</v>
      </c>
    </row>
    <row r="73" spans="1:5">
      <c r="A73" s="48">
        <v>9</v>
      </c>
      <c r="B73" s="49" t="s">
        <v>14</v>
      </c>
      <c r="C73" s="50" t="s">
        <v>81</v>
      </c>
      <c r="D73" s="51">
        <v>390019</v>
      </c>
      <c r="E73" s="51">
        <v>390019</v>
      </c>
    </row>
    <row r="74" spans="1:5">
      <c r="A74" s="48">
        <v>9</v>
      </c>
      <c r="B74" s="49" t="s">
        <v>14</v>
      </c>
      <c r="C74" s="50" t="s">
        <v>82</v>
      </c>
      <c r="D74" s="51">
        <v>390020</v>
      </c>
      <c r="E74" s="51">
        <v>390020</v>
      </c>
    </row>
    <row r="75" spans="1:5">
      <c r="A75" s="48">
        <v>9</v>
      </c>
      <c r="B75" s="49" t="s">
        <v>14</v>
      </c>
      <c r="C75" s="50" t="s">
        <v>83</v>
      </c>
      <c r="D75" s="51">
        <v>390021</v>
      </c>
      <c r="E75" s="51">
        <v>390021</v>
      </c>
    </row>
    <row r="76" spans="1:5">
      <c r="A76" s="48">
        <v>9</v>
      </c>
      <c r="B76" s="49" t="s">
        <v>14</v>
      </c>
      <c r="C76" s="50" t="s">
        <v>84</v>
      </c>
      <c r="D76" s="51">
        <v>390022</v>
      </c>
      <c r="E76" s="51">
        <v>390022</v>
      </c>
    </row>
    <row r="77" spans="1:5">
      <c r="A77" s="48">
        <v>9</v>
      </c>
      <c r="B77" s="49" t="s">
        <v>14</v>
      </c>
      <c r="C77" s="50" t="s">
        <v>85</v>
      </c>
      <c r="D77" s="51">
        <v>390023</v>
      </c>
      <c r="E77" s="51">
        <v>390023</v>
      </c>
    </row>
    <row r="78" spans="1:5">
      <c r="A78" s="48">
        <v>9</v>
      </c>
      <c r="B78" s="49" t="s">
        <v>14</v>
      </c>
      <c r="C78" s="50" t="s">
        <v>86</v>
      </c>
      <c r="D78" s="51">
        <v>390024</v>
      </c>
      <c r="E78" s="51">
        <v>390024</v>
      </c>
    </row>
    <row r="79" spans="1:5">
      <c r="A79" s="48">
        <v>9</v>
      </c>
      <c r="B79" s="49" t="s">
        <v>14</v>
      </c>
      <c r="C79" s="50" t="s">
        <v>87</v>
      </c>
      <c r="D79" s="51">
        <v>390025</v>
      </c>
      <c r="E79" s="51">
        <v>390025</v>
      </c>
    </row>
    <row r="80" spans="1:5">
      <c r="A80" s="48">
        <v>9</v>
      </c>
      <c r="B80" s="49" t="s">
        <v>14</v>
      </c>
      <c r="C80" s="50" t="s">
        <v>88</v>
      </c>
      <c r="D80" s="51">
        <v>390026</v>
      </c>
      <c r="E80" s="51">
        <v>390026</v>
      </c>
    </row>
    <row r="81" spans="1:5">
      <c r="A81" s="48">
        <v>9</v>
      </c>
      <c r="B81" s="49" t="s">
        <v>14</v>
      </c>
      <c r="C81" s="50" t="s">
        <v>89</v>
      </c>
      <c r="D81" s="51">
        <v>390027</v>
      </c>
      <c r="E81" s="51">
        <v>390027</v>
      </c>
    </row>
    <row r="82" spans="1:5">
      <c r="A82" s="48">
        <v>9</v>
      </c>
      <c r="B82" s="49" t="s">
        <v>14</v>
      </c>
      <c r="C82" s="50" t="s">
        <v>90</v>
      </c>
      <c r="D82" s="51">
        <v>390029</v>
      </c>
      <c r="E82" s="51">
        <v>390029</v>
      </c>
    </row>
    <row r="83" spans="1:5">
      <c r="A83" s="48">
        <v>9</v>
      </c>
      <c r="B83" s="49" t="s">
        <v>14</v>
      </c>
      <c r="C83" s="50" t="s">
        <v>91</v>
      </c>
      <c r="D83" s="51">
        <v>390030</v>
      </c>
      <c r="E83" s="51">
        <v>390030</v>
      </c>
    </row>
    <row r="84" spans="1:5">
      <c r="A84" s="48">
        <v>9</v>
      </c>
      <c r="B84" s="49" t="s">
        <v>14</v>
      </c>
      <c r="C84" s="50" t="s">
        <v>92</v>
      </c>
      <c r="D84" s="51">
        <v>390031</v>
      </c>
      <c r="E84" s="51">
        <v>390031</v>
      </c>
    </row>
    <row r="85" spans="1:5">
      <c r="A85" s="48">
        <v>9</v>
      </c>
      <c r="B85" s="49" t="s">
        <v>14</v>
      </c>
      <c r="C85" s="50" t="s">
        <v>93</v>
      </c>
      <c r="D85" s="51">
        <v>390032</v>
      </c>
      <c r="E85" s="51">
        <v>390032</v>
      </c>
    </row>
    <row r="86" spans="1:5">
      <c r="A86" s="48">
        <v>9</v>
      </c>
      <c r="B86" s="49" t="s">
        <v>14</v>
      </c>
      <c r="C86" s="50" t="s">
        <v>94</v>
      </c>
      <c r="D86" s="51">
        <v>390049</v>
      </c>
      <c r="E86" s="51">
        <v>390049</v>
      </c>
    </row>
    <row r="87" spans="1:5">
      <c r="A87" s="48">
        <v>9</v>
      </c>
      <c r="B87" s="49" t="s">
        <v>14</v>
      </c>
      <c r="C87" s="50" t="s">
        <v>95</v>
      </c>
      <c r="D87" s="51">
        <v>390050</v>
      </c>
      <c r="E87" s="51">
        <v>390050</v>
      </c>
    </row>
    <row r="88" spans="1:5">
      <c r="A88" s="48">
        <v>9</v>
      </c>
      <c r="B88" s="49" t="s">
        <v>14</v>
      </c>
      <c r="C88" s="50" t="s">
        <v>96</v>
      </c>
      <c r="D88" s="51">
        <v>390051</v>
      </c>
      <c r="E88" s="51">
        <v>390051</v>
      </c>
    </row>
    <row r="89" spans="1:5">
      <c r="A89" s="48">
        <v>9</v>
      </c>
      <c r="B89" s="49" t="s">
        <v>14</v>
      </c>
      <c r="C89" s="50" t="s">
        <v>97</v>
      </c>
      <c r="D89" s="51">
        <v>390052</v>
      </c>
      <c r="E89" s="51">
        <v>390052</v>
      </c>
    </row>
    <row r="90" spans="1:5">
      <c r="A90" s="48">
        <v>9</v>
      </c>
      <c r="B90" s="49" t="s">
        <v>14</v>
      </c>
      <c r="C90" s="50" t="s">
        <v>98</v>
      </c>
      <c r="D90" s="51">
        <v>390053</v>
      </c>
      <c r="E90" s="51">
        <v>390053</v>
      </c>
    </row>
    <row r="91" spans="1:5">
      <c r="A91" s="48">
        <v>9</v>
      </c>
      <c r="B91" s="49" t="s">
        <v>14</v>
      </c>
      <c r="C91" s="50" t="s">
        <v>99</v>
      </c>
      <c r="D91" s="51">
        <v>390054</v>
      </c>
      <c r="E91" s="51">
        <v>390054</v>
      </c>
    </row>
    <row r="92" spans="1:5">
      <c r="A92" s="48">
        <v>9</v>
      </c>
      <c r="B92" s="49" t="s">
        <v>14</v>
      </c>
      <c r="C92" s="50" t="s">
        <v>100</v>
      </c>
      <c r="D92" s="51">
        <v>390055</v>
      </c>
      <c r="E92" s="51">
        <v>390055</v>
      </c>
    </row>
    <row r="93" spans="1:5">
      <c r="A93" s="48">
        <v>9</v>
      </c>
      <c r="B93" s="49" t="s">
        <v>14</v>
      </c>
      <c r="C93" s="50" t="s">
        <v>101</v>
      </c>
      <c r="D93" s="51">
        <v>390056</v>
      </c>
      <c r="E93" s="51">
        <v>390056</v>
      </c>
    </row>
    <row r="94" spans="1:5">
      <c r="A94" s="48">
        <v>9</v>
      </c>
      <c r="B94" s="49" t="s">
        <v>14</v>
      </c>
      <c r="C94" s="50" t="s">
        <v>102</v>
      </c>
      <c r="D94" s="51">
        <v>390057</v>
      </c>
      <c r="E94" s="51">
        <v>390057</v>
      </c>
    </row>
    <row r="95" spans="1:5">
      <c r="A95" s="48">
        <v>9</v>
      </c>
      <c r="B95" s="49" t="s">
        <v>14</v>
      </c>
      <c r="C95" s="50" t="s">
        <v>103</v>
      </c>
      <c r="D95" s="51">
        <v>390058</v>
      </c>
      <c r="E95" s="51">
        <v>390058</v>
      </c>
    </row>
    <row r="96" spans="1:5">
      <c r="A96" s="48">
        <v>9</v>
      </c>
      <c r="B96" s="49" t="s">
        <v>14</v>
      </c>
      <c r="C96" s="50" t="s">
        <v>104</v>
      </c>
      <c r="D96" s="51">
        <v>390059</v>
      </c>
      <c r="E96" s="51">
        <v>390059</v>
      </c>
    </row>
    <row r="97" spans="1:5">
      <c r="A97" s="48">
        <v>9</v>
      </c>
      <c r="B97" s="49" t="s">
        <v>14</v>
      </c>
      <c r="C97" s="50" t="s">
        <v>105</v>
      </c>
      <c r="D97" s="51">
        <v>390060</v>
      </c>
      <c r="E97" s="51">
        <v>390060</v>
      </c>
    </row>
    <row r="98" spans="1:5">
      <c r="A98" s="48">
        <v>9</v>
      </c>
      <c r="B98" s="49" t="s">
        <v>14</v>
      </c>
      <c r="C98" s="50" t="s">
        <v>106</v>
      </c>
      <c r="D98" s="51">
        <v>390061</v>
      </c>
      <c r="E98" s="51">
        <v>390061</v>
      </c>
    </row>
    <row r="99" spans="1:5">
      <c r="A99" s="48">
        <v>9</v>
      </c>
      <c r="B99" s="49" t="s">
        <v>14</v>
      </c>
      <c r="C99" s="50" t="s">
        <v>107</v>
      </c>
      <c r="D99" s="51">
        <v>390062</v>
      </c>
      <c r="E99" s="51">
        <v>390062</v>
      </c>
    </row>
    <row r="100" spans="1:5">
      <c r="A100" s="48">
        <v>9</v>
      </c>
      <c r="B100" s="49" t="s">
        <v>14</v>
      </c>
      <c r="C100" s="50" t="s">
        <v>108</v>
      </c>
      <c r="D100" s="51">
        <v>390063</v>
      </c>
      <c r="E100" s="51">
        <v>390063</v>
      </c>
    </row>
    <row r="101" spans="1:5">
      <c r="A101" s="48">
        <v>9</v>
      </c>
      <c r="B101" s="49" t="s">
        <v>14</v>
      </c>
      <c r="C101" s="50" t="s">
        <v>109</v>
      </c>
      <c r="D101" s="51">
        <v>390064</v>
      </c>
      <c r="E101" s="51">
        <v>390064</v>
      </c>
    </row>
    <row r="102" spans="1:5">
      <c r="A102" s="48">
        <v>9</v>
      </c>
      <c r="B102" s="49" t="s">
        <v>14</v>
      </c>
      <c r="C102" s="50" t="s">
        <v>110</v>
      </c>
      <c r="D102" s="51">
        <v>390065</v>
      </c>
      <c r="E102" s="51">
        <v>390065</v>
      </c>
    </row>
    <row r="103" spans="1:5">
      <c r="A103" s="48">
        <v>9</v>
      </c>
      <c r="B103" s="49" t="s">
        <v>14</v>
      </c>
      <c r="C103" s="50" t="s">
        <v>111</v>
      </c>
      <c r="D103" s="51">
        <v>390066</v>
      </c>
      <c r="E103" s="51">
        <v>390066</v>
      </c>
    </row>
    <row r="104" spans="1:5">
      <c r="A104" s="48">
        <v>9</v>
      </c>
      <c r="B104" s="49" t="s">
        <v>14</v>
      </c>
      <c r="C104" s="50" t="s">
        <v>112</v>
      </c>
      <c r="D104" s="51">
        <v>390067</v>
      </c>
      <c r="E104" s="51">
        <v>390067</v>
      </c>
    </row>
    <row r="105" spans="1:5">
      <c r="A105" s="48">
        <v>9</v>
      </c>
      <c r="B105" s="49" t="s">
        <v>14</v>
      </c>
      <c r="C105" s="50" t="s">
        <v>113</v>
      </c>
      <c r="D105" s="51">
        <v>390069</v>
      </c>
      <c r="E105" s="51">
        <v>390069</v>
      </c>
    </row>
    <row r="106" spans="1:5">
      <c r="A106" s="48">
        <v>9</v>
      </c>
      <c r="B106" s="49" t="s">
        <v>14</v>
      </c>
      <c r="C106" s="50" t="s">
        <v>114</v>
      </c>
      <c r="D106" s="51">
        <v>390070</v>
      </c>
      <c r="E106" s="51">
        <v>390070</v>
      </c>
    </row>
    <row r="107" spans="1:5">
      <c r="A107" s="48">
        <v>9</v>
      </c>
      <c r="B107" s="49" t="s">
        <v>14</v>
      </c>
      <c r="C107" s="50" t="s">
        <v>115</v>
      </c>
      <c r="D107" s="51">
        <v>390071</v>
      </c>
      <c r="E107" s="51">
        <v>390071</v>
      </c>
    </row>
    <row r="108" spans="1:5">
      <c r="A108" s="48">
        <v>9</v>
      </c>
      <c r="B108" s="49" t="s">
        <v>14</v>
      </c>
      <c r="C108" s="50" t="s">
        <v>116</v>
      </c>
      <c r="D108" s="51">
        <v>390072</v>
      </c>
      <c r="E108" s="51">
        <v>390072</v>
      </c>
    </row>
    <row r="109" spans="1:5">
      <c r="A109" s="48">
        <v>9</v>
      </c>
      <c r="B109" s="49" t="s">
        <v>14</v>
      </c>
      <c r="C109" s="50" t="s">
        <v>117</v>
      </c>
      <c r="D109" s="51">
        <v>390073</v>
      </c>
      <c r="E109" s="51">
        <v>390073</v>
      </c>
    </row>
    <row r="110" spans="1:5">
      <c r="A110" s="48">
        <v>9</v>
      </c>
      <c r="B110" s="49" t="s">
        <v>14</v>
      </c>
      <c r="C110" s="50" t="s">
        <v>118</v>
      </c>
      <c r="D110" s="51">
        <v>390074</v>
      </c>
      <c r="E110" s="51">
        <v>390074</v>
      </c>
    </row>
    <row r="111" spans="1:5">
      <c r="A111" s="48">
        <v>9</v>
      </c>
      <c r="B111" s="49" t="s">
        <v>14</v>
      </c>
      <c r="C111" s="50" t="s">
        <v>119</v>
      </c>
      <c r="D111" s="51">
        <v>390075</v>
      </c>
      <c r="E111" s="51">
        <v>390075</v>
      </c>
    </row>
    <row r="112" spans="1:5">
      <c r="A112" s="48">
        <v>9</v>
      </c>
      <c r="B112" s="49" t="s">
        <v>14</v>
      </c>
      <c r="C112" s="50" t="s">
        <v>120</v>
      </c>
      <c r="D112" s="51">
        <v>390076</v>
      </c>
      <c r="E112" s="51">
        <v>390076</v>
      </c>
    </row>
    <row r="113" spans="1:5">
      <c r="A113" s="48">
        <v>9</v>
      </c>
      <c r="B113" s="49" t="s">
        <v>14</v>
      </c>
      <c r="C113" s="50" t="s">
        <v>121</v>
      </c>
      <c r="D113" s="51">
        <v>390077</v>
      </c>
      <c r="E113" s="51">
        <v>390077</v>
      </c>
    </row>
    <row r="114" spans="1:5">
      <c r="A114" s="48">
        <v>9</v>
      </c>
      <c r="B114" s="49" t="s">
        <v>14</v>
      </c>
      <c r="C114" s="50" t="s">
        <v>122</v>
      </c>
      <c r="D114" s="51">
        <v>390078</v>
      </c>
      <c r="E114" s="51">
        <v>390078</v>
      </c>
    </row>
    <row r="115" spans="1:5">
      <c r="A115" s="48">
        <v>9</v>
      </c>
      <c r="B115" s="49" t="s">
        <v>14</v>
      </c>
      <c r="C115" s="50" t="s">
        <v>123</v>
      </c>
      <c r="D115" s="51">
        <v>390079</v>
      </c>
      <c r="E115" s="51">
        <v>390079</v>
      </c>
    </row>
    <row r="116" spans="1:5">
      <c r="A116" s="48">
        <v>9</v>
      </c>
      <c r="B116" s="49" t="s">
        <v>14</v>
      </c>
      <c r="C116" s="50" t="s">
        <v>124</v>
      </c>
      <c r="D116" s="51">
        <v>390080</v>
      </c>
      <c r="E116" s="51">
        <v>390080</v>
      </c>
    </row>
    <row r="117" spans="1:5">
      <c r="A117" s="48">
        <v>9</v>
      </c>
      <c r="B117" s="49" t="s">
        <v>14</v>
      </c>
      <c r="C117" s="50" t="s">
        <v>125</v>
      </c>
      <c r="D117" s="51">
        <v>390081</v>
      </c>
      <c r="E117" s="51">
        <v>390081</v>
      </c>
    </row>
    <row r="118" spans="1:5">
      <c r="A118" s="48">
        <v>9</v>
      </c>
      <c r="B118" s="49" t="s">
        <v>14</v>
      </c>
      <c r="C118" s="50" t="s">
        <v>126</v>
      </c>
      <c r="D118" s="51">
        <v>390083</v>
      </c>
      <c r="E118" s="51">
        <v>390083</v>
      </c>
    </row>
    <row r="119" spans="1:5">
      <c r="A119" s="48">
        <v>9</v>
      </c>
      <c r="B119" s="49" t="s">
        <v>14</v>
      </c>
      <c r="C119" s="50" t="s">
        <v>127</v>
      </c>
      <c r="D119" s="51">
        <v>390084</v>
      </c>
      <c r="E119" s="51">
        <v>390084</v>
      </c>
    </row>
    <row r="120" spans="1:5">
      <c r="A120" s="48">
        <v>9</v>
      </c>
      <c r="B120" s="49" t="s">
        <v>14</v>
      </c>
      <c r="C120" s="50" t="s">
        <v>128</v>
      </c>
      <c r="D120" s="51">
        <v>390085</v>
      </c>
      <c r="E120" s="51">
        <v>390085</v>
      </c>
    </row>
    <row r="121" spans="1:5">
      <c r="A121" s="48">
        <v>9</v>
      </c>
      <c r="B121" s="49" t="s">
        <v>14</v>
      </c>
      <c r="C121" s="50" t="s">
        <v>129</v>
      </c>
      <c r="D121" s="51">
        <v>390086</v>
      </c>
      <c r="E121" s="51">
        <v>390086</v>
      </c>
    </row>
    <row r="122" spans="1:5">
      <c r="A122" s="48">
        <v>9</v>
      </c>
      <c r="B122" s="49" t="s">
        <v>14</v>
      </c>
      <c r="C122" s="50" t="s">
        <v>130</v>
      </c>
      <c r="D122" s="51">
        <v>390087</v>
      </c>
      <c r="E122" s="51">
        <v>390087</v>
      </c>
    </row>
    <row r="123" spans="1:5">
      <c r="A123" s="48">
        <v>9</v>
      </c>
      <c r="B123" s="49" t="s">
        <v>14</v>
      </c>
      <c r="C123" s="50" t="s">
        <v>131</v>
      </c>
      <c r="D123" s="51">
        <v>390088</v>
      </c>
      <c r="E123" s="51">
        <v>390088</v>
      </c>
    </row>
    <row r="124" spans="1:5">
      <c r="A124" s="48">
        <v>9</v>
      </c>
      <c r="B124" s="49" t="s">
        <v>14</v>
      </c>
      <c r="C124" s="50" t="s">
        <v>132</v>
      </c>
      <c r="D124" s="51">
        <v>390089</v>
      </c>
      <c r="E124" s="51">
        <v>390089</v>
      </c>
    </row>
    <row r="125" spans="1:5">
      <c r="A125" s="48">
        <v>9</v>
      </c>
      <c r="B125" s="49" t="s">
        <v>14</v>
      </c>
      <c r="C125" s="50" t="s">
        <v>133</v>
      </c>
      <c r="D125" s="51">
        <v>390090</v>
      </c>
      <c r="E125" s="51">
        <v>390090</v>
      </c>
    </row>
    <row r="126" spans="1:5">
      <c r="A126" s="48">
        <v>9</v>
      </c>
      <c r="B126" s="49" t="s">
        <v>14</v>
      </c>
      <c r="C126" s="50" t="s">
        <v>134</v>
      </c>
      <c r="D126" s="51">
        <v>390091</v>
      </c>
      <c r="E126" s="51">
        <v>390091</v>
      </c>
    </row>
    <row r="127" spans="1:5">
      <c r="A127" s="48">
        <v>9</v>
      </c>
      <c r="B127" s="49" t="s">
        <v>14</v>
      </c>
      <c r="C127" s="50" t="s">
        <v>135</v>
      </c>
      <c r="D127" s="51">
        <v>390092</v>
      </c>
      <c r="E127" s="51">
        <v>390092</v>
      </c>
    </row>
    <row r="128" spans="1:5">
      <c r="A128" s="48">
        <v>9</v>
      </c>
      <c r="B128" s="49" t="s">
        <v>14</v>
      </c>
      <c r="C128" s="50" t="s">
        <v>136</v>
      </c>
      <c r="D128" s="51">
        <v>390093</v>
      </c>
      <c r="E128" s="51">
        <v>390093</v>
      </c>
    </row>
    <row r="129" spans="1:5">
      <c r="A129" s="48">
        <v>9</v>
      </c>
      <c r="B129" s="49" t="s">
        <v>14</v>
      </c>
      <c r="C129" s="50" t="s">
        <v>137</v>
      </c>
      <c r="D129" s="51">
        <v>390094</v>
      </c>
      <c r="E129" s="51">
        <v>390094</v>
      </c>
    </row>
    <row r="130" spans="1:5">
      <c r="A130" s="48">
        <v>9</v>
      </c>
      <c r="B130" s="49" t="s">
        <v>14</v>
      </c>
      <c r="C130" s="50" t="s">
        <v>138</v>
      </c>
      <c r="D130" s="51">
        <v>390095</v>
      </c>
      <c r="E130" s="51">
        <v>390095</v>
      </c>
    </row>
    <row r="131" spans="1:5">
      <c r="A131" s="48">
        <v>9</v>
      </c>
      <c r="B131" s="49" t="s">
        <v>14</v>
      </c>
      <c r="C131" s="50" t="s">
        <v>139</v>
      </c>
      <c r="D131" s="51">
        <v>390096</v>
      </c>
      <c r="E131" s="51">
        <v>390096</v>
      </c>
    </row>
    <row r="132" spans="1:5">
      <c r="A132" s="48">
        <v>9</v>
      </c>
      <c r="B132" s="49" t="s">
        <v>14</v>
      </c>
      <c r="C132" s="50" t="s">
        <v>140</v>
      </c>
      <c r="D132" s="51">
        <v>390098</v>
      </c>
      <c r="E132" s="51">
        <v>390098</v>
      </c>
    </row>
    <row r="133" spans="1:5">
      <c r="A133" s="48">
        <v>9</v>
      </c>
      <c r="B133" s="49" t="s">
        <v>14</v>
      </c>
      <c r="C133" s="50" t="s">
        <v>141</v>
      </c>
      <c r="D133" s="51">
        <v>390100</v>
      </c>
      <c r="E133" s="51">
        <v>390100</v>
      </c>
    </row>
    <row r="134" spans="1:5">
      <c r="A134" s="48">
        <v>9</v>
      </c>
      <c r="B134" s="49" t="s">
        <v>14</v>
      </c>
      <c r="C134" s="50" t="s">
        <v>142</v>
      </c>
      <c r="D134" s="51">
        <v>390101</v>
      </c>
      <c r="E134" s="51">
        <v>390101</v>
      </c>
    </row>
    <row r="135" spans="1:5">
      <c r="A135" s="48">
        <v>9</v>
      </c>
      <c r="B135" s="49" t="s">
        <v>14</v>
      </c>
      <c r="C135" s="50" t="s">
        <v>143</v>
      </c>
      <c r="D135" s="51">
        <v>390102</v>
      </c>
      <c r="E135" s="51">
        <v>390102</v>
      </c>
    </row>
    <row r="136" spans="1:5">
      <c r="A136" s="48">
        <v>9</v>
      </c>
      <c r="B136" s="49" t="s">
        <v>14</v>
      </c>
      <c r="C136" s="50" t="s">
        <v>144</v>
      </c>
      <c r="D136" s="51">
        <v>390103</v>
      </c>
      <c r="E136" s="51">
        <v>390103</v>
      </c>
    </row>
    <row r="137" spans="1:5">
      <c r="A137" s="48">
        <v>9</v>
      </c>
      <c r="B137" s="49" t="s">
        <v>14</v>
      </c>
      <c r="C137" s="50" t="s">
        <v>145</v>
      </c>
      <c r="D137" s="51">
        <v>390104</v>
      </c>
      <c r="E137" s="51">
        <v>390104</v>
      </c>
    </row>
    <row r="138" spans="1:5">
      <c r="A138" s="48">
        <v>9</v>
      </c>
      <c r="B138" s="49" t="s">
        <v>14</v>
      </c>
      <c r="C138" s="50" t="s">
        <v>146</v>
      </c>
      <c r="D138" s="51">
        <v>390105</v>
      </c>
      <c r="E138" s="51">
        <v>390105</v>
      </c>
    </row>
    <row r="139" spans="1:5">
      <c r="A139" s="48">
        <v>9</v>
      </c>
      <c r="B139" s="49" t="s">
        <v>14</v>
      </c>
      <c r="C139" s="50" t="s">
        <v>147</v>
      </c>
      <c r="D139" s="51">
        <v>390106</v>
      </c>
      <c r="E139" s="51">
        <v>390106</v>
      </c>
    </row>
    <row r="140" spans="1:5">
      <c r="A140" s="48">
        <v>9</v>
      </c>
      <c r="B140" s="49" t="s">
        <v>14</v>
      </c>
      <c r="C140" s="50" t="s">
        <v>148</v>
      </c>
      <c r="D140" s="51">
        <v>390107</v>
      </c>
      <c r="E140" s="51">
        <v>390107</v>
      </c>
    </row>
    <row r="141" spans="1:5">
      <c r="A141" s="48">
        <v>9</v>
      </c>
      <c r="B141" s="49" t="s">
        <v>14</v>
      </c>
      <c r="C141" s="50" t="s">
        <v>149</v>
      </c>
      <c r="D141" s="51">
        <v>390108</v>
      </c>
      <c r="E141" s="51">
        <v>390108</v>
      </c>
    </row>
    <row r="142" spans="1:5">
      <c r="A142" s="48">
        <v>9</v>
      </c>
      <c r="B142" s="49" t="s">
        <v>14</v>
      </c>
      <c r="C142" s="50" t="s">
        <v>150</v>
      </c>
      <c r="D142" s="51">
        <v>390109</v>
      </c>
      <c r="E142" s="51">
        <v>390109</v>
      </c>
    </row>
    <row r="143" spans="1:5">
      <c r="A143" s="48">
        <v>9</v>
      </c>
      <c r="B143" s="49" t="s">
        <v>14</v>
      </c>
      <c r="C143" s="50" t="s">
        <v>151</v>
      </c>
      <c r="D143" s="51">
        <v>390110</v>
      </c>
      <c r="E143" s="51">
        <v>390110</v>
      </c>
    </row>
    <row r="144" spans="1:5">
      <c r="A144" s="48">
        <v>9</v>
      </c>
      <c r="B144" s="49" t="s">
        <v>14</v>
      </c>
      <c r="C144" s="50" t="s">
        <v>152</v>
      </c>
      <c r="D144" s="51">
        <v>390111</v>
      </c>
      <c r="E144" s="51">
        <v>390111</v>
      </c>
    </row>
    <row r="145" spans="1:5">
      <c r="A145" s="48">
        <v>9</v>
      </c>
      <c r="B145" s="49" t="s">
        <v>14</v>
      </c>
      <c r="C145" s="50" t="s">
        <v>153</v>
      </c>
      <c r="D145" s="51">
        <v>390112</v>
      </c>
      <c r="E145" s="51">
        <v>390112</v>
      </c>
    </row>
    <row r="146" spans="1:5">
      <c r="A146" s="48">
        <v>9</v>
      </c>
      <c r="B146" s="49" t="s">
        <v>14</v>
      </c>
      <c r="C146" s="50" t="s">
        <v>154</v>
      </c>
      <c r="D146" s="51">
        <v>390113</v>
      </c>
      <c r="E146" s="51">
        <v>390113</v>
      </c>
    </row>
    <row r="147" spans="1:5">
      <c r="A147" s="48">
        <v>9</v>
      </c>
      <c r="B147" s="49" t="s">
        <v>14</v>
      </c>
      <c r="C147" s="50" t="s">
        <v>155</v>
      </c>
      <c r="D147" s="51">
        <v>390114</v>
      </c>
      <c r="E147" s="51">
        <v>390114</v>
      </c>
    </row>
    <row r="148" spans="1:5">
      <c r="A148" s="48">
        <v>9</v>
      </c>
      <c r="B148" s="49" t="s">
        <v>14</v>
      </c>
      <c r="C148" s="50" t="s">
        <v>156</v>
      </c>
      <c r="D148" s="51">
        <v>390115</v>
      </c>
      <c r="E148" s="51">
        <v>390115</v>
      </c>
    </row>
    <row r="149" spans="1:5">
      <c r="A149" s="48">
        <v>9</v>
      </c>
      <c r="B149" s="49" t="s">
        <v>14</v>
      </c>
      <c r="C149" s="50" t="s">
        <v>157</v>
      </c>
      <c r="D149" s="51">
        <v>390116</v>
      </c>
      <c r="E149" s="51">
        <v>390116</v>
      </c>
    </row>
    <row r="150" spans="1:5">
      <c r="A150" s="48">
        <v>9</v>
      </c>
      <c r="B150" s="49" t="s">
        <v>14</v>
      </c>
      <c r="C150" s="50" t="s">
        <v>158</v>
      </c>
      <c r="D150" s="51">
        <v>390117</v>
      </c>
      <c r="E150" s="51">
        <v>390117</v>
      </c>
    </row>
    <row r="151" spans="1:5">
      <c r="A151" s="48">
        <v>9</v>
      </c>
      <c r="B151" s="49" t="s">
        <v>14</v>
      </c>
      <c r="C151" s="50" t="s">
        <v>159</v>
      </c>
      <c r="D151" s="51">
        <v>390118</v>
      </c>
      <c r="E151" s="51">
        <v>390118</v>
      </c>
    </row>
    <row r="152" spans="1:5">
      <c r="A152" s="48">
        <v>9</v>
      </c>
      <c r="B152" s="49" t="s">
        <v>14</v>
      </c>
      <c r="C152" s="50" t="s">
        <v>160</v>
      </c>
      <c r="D152" s="51">
        <v>390119</v>
      </c>
      <c r="E152" s="51">
        <v>390119</v>
      </c>
    </row>
    <row r="153" spans="1:5">
      <c r="A153" s="48">
        <v>9</v>
      </c>
      <c r="B153" s="49" t="s">
        <v>14</v>
      </c>
      <c r="C153" s="50" t="s">
        <v>161</v>
      </c>
      <c r="D153" s="51">
        <v>390120</v>
      </c>
      <c r="E153" s="51">
        <v>390120</v>
      </c>
    </row>
    <row r="154" spans="1:5">
      <c r="A154" s="48">
        <v>9</v>
      </c>
      <c r="B154" s="49" t="s">
        <v>14</v>
      </c>
      <c r="C154" s="50" t="s">
        <v>162</v>
      </c>
      <c r="D154" s="51">
        <v>390121</v>
      </c>
      <c r="E154" s="51">
        <v>390121</v>
      </c>
    </row>
    <row r="155" spans="1:5">
      <c r="A155" s="48">
        <v>9</v>
      </c>
      <c r="B155" s="49" t="s">
        <v>14</v>
      </c>
      <c r="C155" s="50" t="s">
        <v>163</v>
      </c>
      <c r="D155" s="51">
        <v>390122</v>
      </c>
      <c r="E155" s="51">
        <v>390122</v>
      </c>
    </row>
    <row r="156" spans="1:5">
      <c r="A156" s="48">
        <v>9</v>
      </c>
      <c r="B156" s="49" t="s">
        <v>14</v>
      </c>
      <c r="C156" s="50" t="s">
        <v>164</v>
      </c>
      <c r="D156" s="51">
        <v>390123</v>
      </c>
      <c r="E156" s="51">
        <v>390123</v>
      </c>
    </row>
    <row r="157" spans="1:5">
      <c r="A157" s="48">
        <v>9</v>
      </c>
      <c r="B157" s="49" t="s">
        <v>14</v>
      </c>
      <c r="C157" s="50" t="s">
        <v>165</v>
      </c>
      <c r="D157" s="51">
        <v>390124</v>
      </c>
      <c r="E157" s="51">
        <v>390124</v>
      </c>
    </row>
    <row r="158" spans="1:5">
      <c r="A158" s="48">
        <v>9</v>
      </c>
      <c r="B158" s="49" t="s">
        <v>14</v>
      </c>
      <c r="C158" s="50" t="s">
        <v>166</v>
      </c>
      <c r="D158" s="51">
        <v>390125</v>
      </c>
      <c r="E158" s="51">
        <v>390125</v>
      </c>
    </row>
    <row r="159" spans="1:5">
      <c r="A159" s="48">
        <v>9</v>
      </c>
      <c r="B159" s="49" t="s">
        <v>14</v>
      </c>
      <c r="C159" s="50" t="s">
        <v>167</v>
      </c>
      <c r="D159" s="51">
        <v>390126</v>
      </c>
      <c r="E159" s="51">
        <v>390126</v>
      </c>
    </row>
    <row r="160" spans="1:5">
      <c r="A160" s="48">
        <v>10</v>
      </c>
      <c r="B160" s="49" t="s">
        <v>168</v>
      </c>
      <c r="C160" s="50" t="s">
        <v>169</v>
      </c>
      <c r="D160" s="51">
        <v>235000</v>
      </c>
      <c r="E160" s="51">
        <v>235099</v>
      </c>
    </row>
    <row r="161" spans="1:5">
      <c r="A161" s="48">
        <v>10</v>
      </c>
      <c r="B161" s="49" t="s">
        <v>168</v>
      </c>
      <c r="C161" s="50" t="s">
        <v>170</v>
      </c>
      <c r="D161" s="51">
        <v>235100</v>
      </c>
      <c r="E161" s="51">
        <v>235399</v>
      </c>
    </row>
    <row r="162" spans="1:5">
      <c r="A162" s="48">
        <v>10</v>
      </c>
      <c r="B162" s="49" t="s">
        <v>168</v>
      </c>
      <c r="C162" s="50" t="s">
        <v>171</v>
      </c>
      <c r="D162" s="51">
        <v>235400</v>
      </c>
      <c r="E162" s="51">
        <v>236499</v>
      </c>
    </row>
    <row r="163" spans="1:5">
      <c r="A163" s="48">
        <v>10</v>
      </c>
      <c r="B163" s="49" t="s">
        <v>168</v>
      </c>
      <c r="C163" s="50" t="s">
        <v>172</v>
      </c>
      <c r="D163" s="51">
        <v>236500</v>
      </c>
      <c r="E163" s="51">
        <v>236999</v>
      </c>
    </row>
    <row r="164" spans="1:5">
      <c r="A164" s="48">
        <v>10</v>
      </c>
      <c r="B164" s="49" t="s">
        <v>168</v>
      </c>
      <c r="C164" s="50" t="s">
        <v>173</v>
      </c>
      <c r="D164" s="51">
        <v>237000</v>
      </c>
      <c r="E164" s="51">
        <v>237499</v>
      </c>
    </row>
    <row r="165" spans="1:5">
      <c r="A165" s="48">
        <v>10</v>
      </c>
      <c r="B165" s="49" t="s">
        <v>168</v>
      </c>
      <c r="C165" s="50" t="s">
        <v>174</v>
      </c>
      <c r="D165" s="51">
        <v>240000</v>
      </c>
      <c r="E165" s="51">
        <v>240997</v>
      </c>
    </row>
    <row r="166" spans="1:5">
      <c r="A166" s="48">
        <v>10</v>
      </c>
      <c r="B166" s="49" t="s">
        <v>168</v>
      </c>
      <c r="C166" s="50" t="s">
        <v>175</v>
      </c>
      <c r="D166" s="51">
        <v>390028</v>
      </c>
      <c r="E166" s="51">
        <v>390028</v>
      </c>
    </row>
    <row r="167" spans="1:5">
      <c r="A167" s="48">
        <v>10</v>
      </c>
      <c r="B167" s="49" t="s">
        <v>168</v>
      </c>
      <c r="C167" s="50" t="s">
        <v>176</v>
      </c>
      <c r="D167" s="51">
        <v>390097</v>
      </c>
      <c r="E167" s="51">
        <v>390097</v>
      </c>
    </row>
    <row r="168" spans="1:5">
      <c r="A168" s="48">
        <v>10</v>
      </c>
      <c r="B168" s="49" t="s">
        <v>168</v>
      </c>
      <c r="C168" s="50" t="s">
        <v>177</v>
      </c>
      <c r="D168" s="51">
        <v>971101</v>
      </c>
      <c r="E168" s="51">
        <v>971101</v>
      </c>
    </row>
    <row r="169" spans="1:5">
      <c r="A169" s="48">
        <v>11</v>
      </c>
      <c r="B169" s="49" t="s">
        <v>178</v>
      </c>
      <c r="C169" s="50" t="s">
        <v>179</v>
      </c>
      <c r="D169" s="51">
        <v>995000</v>
      </c>
      <c r="E169" s="51">
        <v>996999</v>
      </c>
    </row>
    <row r="170" spans="1:5">
      <c r="A170" s="48">
        <v>15</v>
      </c>
      <c r="B170" s="49" t="s">
        <v>180</v>
      </c>
      <c r="C170" s="50" t="s">
        <v>181</v>
      </c>
      <c r="D170" s="51">
        <v>400000</v>
      </c>
      <c r="E170" s="51">
        <v>400189</v>
      </c>
    </row>
    <row r="171" spans="1:5">
      <c r="A171" s="48">
        <v>15</v>
      </c>
      <c r="B171" s="49" t="s">
        <v>180</v>
      </c>
      <c r="C171" s="50" t="s">
        <v>182</v>
      </c>
      <c r="D171" s="51">
        <v>400190</v>
      </c>
      <c r="E171" s="51">
        <v>400289</v>
      </c>
    </row>
    <row r="172" spans="1:5">
      <c r="A172" s="48">
        <v>15</v>
      </c>
      <c r="B172" s="49" t="s">
        <v>180</v>
      </c>
      <c r="C172" s="50" t="s">
        <v>183</v>
      </c>
      <c r="D172" s="51">
        <v>400290</v>
      </c>
      <c r="E172" s="51">
        <v>400389</v>
      </c>
    </row>
    <row r="173" spans="1:5">
      <c r="A173" s="48">
        <v>15</v>
      </c>
      <c r="B173" s="49" t="s">
        <v>180</v>
      </c>
      <c r="C173" s="50" t="s">
        <v>184</v>
      </c>
      <c r="D173" s="51">
        <v>400390</v>
      </c>
      <c r="E173" s="51">
        <v>400549</v>
      </c>
    </row>
    <row r="174" spans="1:5">
      <c r="A174" s="48">
        <v>15</v>
      </c>
      <c r="B174" s="49" t="s">
        <v>180</v>
      </c>
      <c r="C174" s="50" t="s">
        <v>185</v>
      </c>
      <c r="D174" s="51">
        <v>400550</v>
      </c>
      <c r="E174" s="51">
        <v>400689</v>
      </c>
    </row>
    <row r="175" spans="1:5">
      <c r="A175" s="48">
        <v>15</v>
      </c>
      <c r="B175" s="49" t="s">
        <v>180</v>
      </c>
      <c r="C175" s="50" t="s">
        <v>186</v>
      </c>
      <c r="D175" s="51">
        <v>400690</v>
      </c>
      <c r="E175" s="51">
        <v>400789</v>
      </c>
    </row>
    <row r="176" spans="1:5">
      <c r="A176" s="48">
        <v>15</v>
      </c>
      <c r="B176" s="49" t="s">
        <v>180</v>
      </c>
      <c r="C176" s="50" t="s">
        <v>187</v>
      </c>
      <c r="D176" s="51">
        <v>400790</v>
      </c>
      <c r="E176" s="51">
        <v>400889</v>
      </c>
    </row>
    <row r="177" spans="1:5">
      <c r="A177" s="48">
        <v>15</v>
      </c>
      <c r="B177" s="49" t="s">
        <v>180</v>
      </c>
      <c r="C177" s="50" t="s">
        <v>188</v>
      </c>
      <c r="D177" s="51">
        <v>400890</v>
      </c>
      <c r="E177" s="51">
        <v>400999</v>
      </c>
    </row>
    <row r="178" spans="1:5">
      <c r="A178" s="48">
        <v>15</v>
      </c>
      <c r="B178" s="49" t="s">
        <v>180</v>
      </c>
      <c r="C178" s="50" t="s">
        <v>189</v>
      </c>
      <c r="D178" s="51">
        <v>401000</v>
      </c>
      <c r="E178" s="51">
        <v>401099</v>
      </c>
    </row>
    <row r="179" spans="1:5">
      <c r="A179" s="48">
        <v>15</v>
      </c>
      <c r="B179" s="49" t="s">
        <v>180</v>
      </c>
      <c r="C179" s="50" t="s">
        <v>190</v>
      </c>
      <c r="D179" s="51">
        <v>401100</v>
      </c>
      <c r="E179" s="51">
        <v>401199</v>
      </c>
    </row>
    <row r="180" spans="1:5">
      <c r="A180" s="48">
        <v>15</v>
      </c>
      <c r="B180" s="49" t="s">
        <v>180</v>
      </c>
      <c r="C180" s="50" t="s">
        <v>191</v>
      </c>
      <c r="D180" s="51">
        <v>401200</v>
      </c>
      <c r="E180" s="51">
        <v>401449</v>
      </c>
    </row>
    <row r="181" spans="1:5">
      <c r="A181" s="48">
        <v>15</v>
      </c>
      <c r="B181" s="49" t="s">
        <v>180</v>
      </c>
      <c r="C181" s="50" t="s">
        <v>192</v>
      </c>
      <c r="D181" s="51">
        <v>401450</v>
      </c>
      <c r="E181" s="51">
        <v>401649</v>
      </c>
    </row>
    <row r="182" spans="1:5">
      <c r="A182" s="48">
        <v>15</v>
      </c>
      <c r="B182" s="49" t="s">
        <v>180</v>
      </c>
      <c r="C182" s="50" t="s">
        <v>193</v>
      </c>
      <c r="D182" s="51">
        <v>401750</v>
      </c>
      <c r="E182" s="51">
        <v>401849</v>
      </c>
    </row>
    <row r="183" spans="1:5">
      <c r="A183" s="48">
        <v>15</v>
      </c>
      <c r="B183" s="49" t="s">
        <v>180</v>
      </c>
      <c r="C183" s="50" t="s">
        <v>194</v>
      </c>
      <c r="D183" s="51">
        <v>401850</v>
      </c>
      <c r="E183" s="51">
        <v>402099</v>
      </c>
    </row>
    <row r="184" spans="1:5">
      <c r="A184" s="48">
        <v>15</v>
      </c>
      <c r="B184" s="49" t="s">
        <v>180</v>
      </c>
      <c r="C184" s="50" t="s">
        <v>195</v>
      </c>
      <c r="D184" s="51">
        <v>402200</v>
      </c>
      <c r="E184" s="51">
        <v>402249</v>
      </c>
    </row>
    <row r="185" spans="1:5">
      <c r="A185" s="48">
        <v>15</v>
      </c>
      <c r="B185" s="49" t="s">
        <v>180</v>
      </c>
      <c r="C185" s="50" t="s">
        <v>196</v>
      </c>
      <c r="D185" s="51">
        <v>402250</v>
      </c>
      <c r="E185" s="51">
        <v>402299</v>
      </c>
    </row>
    <row r="186" spans="1:5">
      <c r="A186" s="48">
        <v>15</v>
      </c>
      <c r="B186" s="49" t="s">
        <v>180</v>
      </c>
      <c r="C186" s="50" t="s">
        <v>197</v>
      </c>
      <c r="D186" s="51">
        <v>402300</v>
      </c>
      <c r="E186" s="51">
        <v>402349</v>
      </c>
    </row>
    <row r="187" spans="1:5">
      <c r="A187" s="48">
        <v>15</v>
      </c>
      <c r="B187" s="49" t="s">
        <v>180</v>
      </c>
      <c r="C187" s="50" t="s">
        <v>198</v>
      </c>
      <c r="D187" s="51">
        <v>402350</v>
      </c>
      <c r="E187" s="51">
        <v>402399</v>
      </c>
    </row>
    <row r="188" spans="1:5">
      <c r="A188" s="48">
        <v>15</v>
      </c>
      <c r="B188" s="49" t="s">
        <v>180</v>
      </c>
      <c r="C188" s="50" t="s">
        <v>199</v>
      </c>
      <c r="D188" s="51">
        <v>402400</v>
      </c>
      <c r="E188" s="51">
        <v>402499</v>
      </c>
    </row>
    <row r="189" spans="1:5">
      <c r="A189" s="48">
        <v>15</v>
      </c>
      <c r="B189" s="49" t="s">
        <v>180</v>
      </c>
      <c r="C189" s="50" t="s">
        <v>200</v>
      </c>
      <c r="D189" s="51">
        <v>402500</v>
      </c>
      <c r="E189" s="51">
        <v>403099</v>
      </c>
    </row>
    <row r="190" spans="1:5">
      <c r="A190" s="48">
        <v>15</v>
      </c>
      <c r="B190" s="49" t="s">
        <v>180</v>
      </c>
      <c r="C190" s="50" t="s">
        <v>201</v>
      </c>
      <c r="D190" s="51">
        <v>403100</v>
      </c>
      <c r="E190" s="51">
        <v>404999</v>
      </c>
    </row>
    <row r="191" spans="1:5">
      <c r="A191" s="48">
        <v>16</v>
      </c>
      <c r="B191" s="49" t="s">
        <v>202</v>
      </c>
      <c r="C191" s="50" t="s">
        <v>203</v>
      </c>
      <c r="D191" s="51">
        <v>405000</v>
      </c>
      <c r="E191" s="51">
        <v>405149</v>
      </c>
    </row>
    <row r="192" spans="1:5">
      <c r="A192" s="48">
        <v>16</v>
      </c>
      <c r="B192" s="49" t="s">
        <v>202</v>
      </c>
      <c r="C192" s="50" t="s">
        <v>204</v>
      </c>
      <c r="D192" s="51">
        <v>405150</v>
      </c>
      <c r="E192" s="51">
        <v>405249</v>
      </c>
    </row>
    <row r="193" spans="1:5">
      <c r="A193" s="48">
        <v>16</v>
      </c>
      <c r="B193" s="49" t="s">
        <v>202</v>
      </c>
      <c r="C193" s="50" t="s">
        <v>205</v>
      </c>
      <c r="D193" s="51">
        <v>405250</v>
      </c>
      <c r="E193" s="51">
        <v>405349</v>
      </c>
    </row>
    <row r="194" spans="1:5">
      <c r="A194" s="48">
        <v>16</v>
      </c>
      <c r="B194" s="49" t="s">
        <v>202</v>
      </c>
      <c r="C194" s="50" t="s">
        <v>206</v>
      </c>
      <c r="D194" s="51">
        <v>405350</v>
      </c>
      <c r="E194" s="51">
        <v>405449</v>
      </c>
    </row>
    <row r="195" spans="1:5">
      <c r="A195" s="48">
        <v>16</v>
      </c>
      <c r="B195" s="49" t="s">
        <v>202</v>
      </c>
      <c r="C195" s="50" t="s">
        <v>207</v>
      </c>
      <c r="D195" s="51">
        <v>405450</v>
      </c>
      <c r="E195" s="51">
        <v>405999</v>
      </c>
    </row>
    <row r="196" spans="1:5">
      <c r="A196" s="48">
        <v>16</v>
      </c>
      <c r="B196" s="49" t="s">
        <v>202</v>
      </c>
      <c r="C196" s="50" t="s">
        <v>208</v>
      </c>
      <c r="D196" s="51">
        <v>406000</v>
      </c>
      <c r="E196" s="51">
        <v>407499</v>
      </c>
    </row>
    <row r="197" spans="1:5">
      <c r="A197" s="48">
        <v>17</v>
      </c>
      <c r="B197" s="49" t="s">
        <v>209</v>
      </c>
      <c r="C197" s="50" t="s">
        <v>210</v>
      </c>
      <c r="D197" s="51">
        <v>407500</v>
      </c>
      <c r="E197" s="51">
        <v>407699</v>
      </c>
    </row>
    <row r="198" spans="1:5">
      <c r="A198" s="48">
        <v>17</v>
      </c>
      <c r="B198" s="49" t="s">
        <v>209</v>
      </c>
      <c r="C198" s="50" t="s">
        <v>211</v>
      </c>
      <c r="D198" s="51">
        <v>407700</v>
      </c>
      <c r="E198" s="51">
        <v>407799</v>
      </c>
    </row>
    <row r="199" spans="1:5">
      <c r="A199" s="48">
        <v>17</v>
      </c>
      <c r="B199" s="49" t="s">
        <v>209</v>
      </c>
      <c r="C199" s="50" t="s">
        <v>212</v>
      </c>
      <c r="D199" s="51">
        <v>407800</v>
      </c>
      <c r="E199" s="51">
        <v>407899</v>
      </c>
    </row>
    <row r="200" spans="1:5">
      <c r="A200" s="48">
        <v>17</v>
      </c>
      <c r="B200" s="49" t="s">
        <v>209</v>
      </c>
      <c r="C200" s="50" t="s">
        <v>213</v>
      </c>
      <c r="D200" s="51">
        <v>407900</v>
      </c>
      <c r="E200" s="51">
        <v>407999</v>
      </c>
    </row>
    <row r="201" spans="1:5">
      <c r="A201" s="48">
        <v>17</v>
      </c>
      <c r="B201" s="49" t="s">
        <v>209</v>
      </c>
      <c r="C201" s="50" t="s">
        <v>214</v>
      </c>
      <c r="D201" s="51">
        <v>408100</v>
      </c>
      <c r="E201" s="51">
        <v>408199</v>
      </c>
    </row>
    <row r="202" spans="1:5">
      <c r="A202" s="48">
        <v>17</v>
      </c>
      <c r="B202" s="49" t="s">
        <v>209</v>
      </c>
      <c r="C202" s="50" t="s">
        <v>215</v>
      </c>
      <c r="D202" s="51">
        <v>408200</v>
      </c>
      <c r="E202" s="51">
        <v>408299</v>
      </c>
    </row>
    <row r="203" spans="1:5">
      <c r="A203" s="48">
        <v>18</v>
      </c>
      <c r="B203" s="49" t="s">
        <v>216</v>
      </c>
      <c r="C203" s="50" t="s">
        <v>217</v>
      </c>
      <c r="D203" s="51">
        <v>418400</v>
      </c>
      <c r="E203" s="51">
        <v>418499</v>
      </c>
    </row>
    <row r="204" spans="1:5">
      <c r="A204" s="48">
        <v>18</v>
      </c>
      <c r="B204" s="49" t="s">
        <v>216</v>
      </c>
      <c r="C204" s="50" t="s">
        <v>218</v>
      </c>
      <c r="D204" s="51">
        <v>418500</v>
      </c>
      <c r="E204" s="51">
        <v>418599</v>
      </c>
    </row>
    <row r="205" spans="1:5">
      <c r="A205" s="48">
        <v>18</v>
      </c>
      <c r="B205" s="49" t="s">
        <v>216</v>
      </c>
      <c r="C205" s="50" t="s">
        <v>219</v>
      </c>
      <c r="D205" s="51">
        <v>418600</v>
      </c>
      <c r="E205" s="51">
        <v>418699</v>
      </c>
    </row>
    <row r="206" spans="1:5">
      <c r="A206" s="48">
        <v>18</v>
      </c>
      <c r="B206" s="49" t="s">
        <v>216</v>
      </c>
      <c r="C206" s="50" t="s">
        <v>220</v>
      </c>
      <c r="D206" s="51">
        <v>418700</v>
      </c>
      <c r="E206" s="51">
        <v>418799</v>
      </c>
    </row>
    <row r="207" spans="1:5">
      <c r="A207" s="48">
        <v>18</v>
      </c>
      <c r="B207" s="49" t="s">
        <v>216</v>
      </c>
      <c r="C207" s="50" t="s">
        <v>221</v>
      </c>
      <c r="D207" s="51">
        <v>418800</v>
      </c>
      <c r="E207" s="51">
        <v>418899</v>
      </c>
    </row>
    <row r="208" spans="1:5">
      <c r="A208" s="48">
        <v>18</v>
      </c>
      <c r="B208" s="49" t="s">
        <v>216</v>
      </c>
      <c r="C208" s="50" t="s">
        <v>222</v>
      </c>
      <c r="D208" s="51">
        <v>418900</v>
      </c>
      <c r="E208" s="51">
        <v>418999</v>
      </c>
    </row>
    <row r="209" spans="1:5">
      <c r="A209" s="48">
        <v>18</v>
      </c>
      <c r="B209" s="49" t="s">
        <v>216</v>
      </c>
      <c r="C209" s="50" t="s">
        <v>223</v>
      </c>
      <c r="D209" s="51">
        <v>419000</v>
      </c>
      <c r="E209" s="51">
        <v>419089</v>
      </c>
    </row>
    <row r="210" spans="1:5">
      <c r="A210" s="48">
        <v>18</v>
      </c>
      <c r="B210" s="49" t="s">
        <v>216</v>
      </c>
      <c r="C210" s="50" t="s">
        <v>224</v>
      </c>
      <c r="D210" s="51">
        <v>419090</v>
      </c>
      <c r="E210" s="51">
        <v>419899</v>
      </c>
    </row>
    <row r="211" spans="1:5">
      <c r="A211" s="48">
        <v>18</v>
      </c>
      <c r="B211" s="49" t="s">
        <v>216</v>
      </c>
      <c r="C211" s="50" t="s">
        <v>225</v>
      </c>
      <c r="D211" s="51">
        <v>419900</v>
      </c>
      <c r="E211" s="51">
        <v>420499</v>
      </c>
    </row>
    <row r="212" spans="1:5">
      <c r="A212" s="48">
        <v>18</v>
      </c>
      <c r="B212" s="49" t="s">
        <v>216</v>
      </c>
      <c r="C212" s="50" t="s">
        <v>226</v>
      </c>
      <c r="D212" s="51">
        <v>420500</v>
      </c>
      <c r="E212" s="51">
        <v>420999</v>
      </c>
    </row>
    <row r="213" spans="1:5">
      <c r="A213" s="48">
        <v>18</v>
      </c>
      <c r="B213" s="49" t="s">
        <v>216</v>
      </c>
      <c r="C213" s="50" t="s">
        <v>227</v>
      </c>
      <c r="D213" s="51">
        <v>421000</v>
      </c>
      <c r="E213" s="51">
        <v>421199</v>
      </c>
    </row>
    <row r="214" spans="1:5">
      <c r="A214" s="48">
        <v>18</v>
      </c>
      <c r="B214" s="49" t="s">
        <v>216</v>
      </c>
      <c r="C214" s="50" t="s">
        <v>228</v>
      </c>
      <c r="D214" s="51">
        <v>421200</v>
      </c>
      <c r="E214" s="51">
        <v>421399</v>
      </c>
    </row>
    <row r="215" spans="1:5">
      <c r="A215" s="48">
        <v>18</v>
      </c>
      <c r="B215" s="49" t="s">
        <v>216</v>
      </c>
      <c r="C215" s="50" t="s">
        <v>229</v>
      </c>
      <c r="D215" s="51">
        <v>421400</v>
      </c>
      <c r="E215" s="51">
        <v>421599</v>
      </c>
    </row>
    <row r="216" spans="1:5">
      <c r="A216" s="48">
        <v>18</v>
      </c>
      <c r="B216" s="49" t="s">
        <v>216</v>
      </c>
      <c r="C216" s="50" t="s">
        <v>230</v>
      </c>
      <c r="D216" s="51">
        <v>421600</v>
      </c>
      <c r="E216" s="51">
        <v>421799</v>
      </c>
    </row>
    <row r="217" spans="1:5">
      <c r="A217" s="48">
        <v>18</v>
      </c>
      <c r="B217" s="49" t="s">
        <v>216</v>
      </c>
      <c r="C217" s="50" t="s">
        <v>231</v>
      </c>
      <c r="D217" s="51">
        <v>421800</v>
      </c>
      <c r="E217" s="51">
        <v>421999</v>
      </c>
    </row>
    <row r="218" spans="1:5">
      <c r="A218" s="48">
        <v>18</v>
      </c>
      <c r="B218" s="49" t="s">
        <v>216</v>
      </c>
      <c r="C218" s="50" t="s">
        <v>232</v>
      </c>
      <c r="D218" s="51">
        <v>422000</v>
      </c>
      <c r="E218" s="51">
        <v>422099</v>
      </c>
    </row>
    <row r="219" spans="1:5">
      <c r="A219" s="48">
        <v>18</v>
      </c>
      <c r="B219" s="49" t="s">
        <v>216</v>
      </c>
      <c r="C219" s="50" t="s">
        <v>233</v>
      </c>
      <c r="D219" s="51">
        <v>422100</v>
      </c>
      <c r="E219" s="51">
        <v>422204</v>
      </c>
    </row>
    <row r="220" spans="1:5">
      <c r="A220" s="48">
        <v>18</v>
      </c>
      <c r="B220" s="49" t="s">
        <v>216</v>
      </c>
      <c r="C220" s="50" t="s">
        <v>234</v>
      </c>
      <c r="D220" s="51">
        <v>422210</v>
      </c>
      <c r="E220" s="51">
        <v>422259</v>
      </c>
    </row>
    <row r="221" spans="1:5">
      <c r="A221" s="48">
        <v>18</v>
      </c>
      <c r="B221" s="49" t="s">
        <v>216</v>
      </c>
      <c r="C221" s="50" t="s">
        <v>235</v>
      </c>
      <c r="D221" s="51">
        <v>422260</v>
      </c>
      <c r="E221" s="51">
        <v>422299</v>
      </c>
    </row>
    <row r="222" spans="1:5">
      <c r="A222" s="48">
        <v>18</v>
      </c>
      <c r="B222" s="49" t="s">
        <v>216</v>
      </c>
      <c r="C222" s="50" t="s">
        <v>236</v>
      </c>
      <c r="D222" s="51">
        <v>422300</v>
      </c>
      <c r="E222" s="51">
        <v>422359</v>
      </c>
    </row>
    <row r="223" spans="1:5">
      <c r="A223" s="48">
        <v>18</v>
      </c>
      <c r="B223" s="49" t="s">
        <v>216</v>
      </c>
      <c r="C223" s="50" t="s">
        <v>237</v>
      </c>
      <c r="D223" s="51">
        <v>422360</v>
      </c>
      <c r="E223" s="51">
        <v>422399</v>
      </c>
    </row>
    <row r="224" spans="1:5">
      <c r="A224" s="48">
        <v>18</v>
      </c>
      <c r="B224" s="49" t="s">
        <v>216</v>
      </c>
      <c r="C224" s="50" t="s">
        <v>238</v>
      </c>
      <c r="D224" s="51">
        <v>422400</v>
      </c>
      <c r="E224" s="51">
        <v>422409</v>
      </c>
    </row>
    <row r="225" spans="1:5">
      <c r="A225" s="48">
        <v>18</v>
      </c>
      <c r="B225" s="49" t="s">
        <v>216</v>
      </c>
      <c r="C225" s="50" t="s">
        <v>239</v>
      </c>
      <c r="D225" s="51">
        <v>422410</v>
      </c>
      <c r="E225" s="51">
        <v>422439</v>
      </c>
    </row>
    <row r="226" spans="1:5">
      <c r="A226" s="48">
        <v>18</v>
      </c>
      <c r="B226" s="49" t="s">
        <v>216</v>
      </c>
      <c r="C226" s="50" t="s">
        <v>240</v>
      </c>
      <c r="D226" s="51">
        <v>422440</v>
      </c>
      <c r="E226" s="51">
        <v>422499</v>
      </c>
    </row>
    <row r="227" spans="1:5">
      <c r="A227" s="48">
        <v>18</v>
      </c>
      <c r="B227" s="49" t="s">
        <v>216</v>
      </c>
      <c r="C227" s="50" t="s">
        <v>241</v>
      </c>
      <c r="D227" s="51">
        <v>422500</v>
      </c>
      <c r="E227" s="51">
        <v>422799</v>
      </c>
    </row>
    <row r="228" spans="1:5">
      <c r="A228" s="48">
        <v>18</v>
      </c>
      <c r="B228" s="49" t="s">
        <v>216</v>
      </c>
      <c r="C228" s="50" t="s">
        <v>242</v>
      </c>
      <c r="D228" s="51">
        <v>422800</v>
      </c>
      <c r="E228" s="51">
        <v>422899</v>
      </c>
    </row>
    <row r="229" spans="1:5">
      <c r="A229" s="48">
        <v>18</v>
      </c>
      <c r="B229" s="49" t="s">
        <v>216</v>
      </c>
      <c r="C229" s="50" t="s">
        <v>243</v>
      </c>
      <c r="D229" s="51">
        <v>422900</v>
      </c>
      <c r="E229" s="51">
        <v>424999</v>
      </c>
    </row>
    <row r="230" spans="1:5">
      <c r="A230" s="48">
        <v>19</v>
      </c>
      <c r="B230" s="49" t="s">
        <v>244</v>
      </c>
      <c r="C230" s="50" t="s">
        <v>245</v>
      </c>
      <c r="D230" s="51">
        <v>425000</v>
      </c>
      <c r="E230" s="51">
        <v>425099</v>
      </c>
    </row>
    <row r="231" spans="1:5">
      <c r="A231" s="48">
        <v>19</v>
      </c>
      <c r="B231" s="49" t="s">
        <v>244</v>
      </c>
      <c r="C231" s="50" t="s">
        <v>246</v>
      </c>
      <c r="D231" s="51">
        <v>425100</v>
      </c>
      <c r="E231" s="51">
        <v>425199</v>
      </c>
    </row>
    <row r="232" spans="1:5">
      <c r="A232" s="48">
        <v>19</v>
      </c>
      <c r="B232" s="49" t="s">
        <v>244</v>
      </c>
      <c r="C232" s="50" t="s">
        <v>247</v>
      </c>
      <c r="D232" s="51">
        <v>425200</v>
      </c>
      <c r="E232" s="51">
        <v>425299</v>
      </c>
    </row>
    <row r="233" spans="1:5">
      <c r="A233" s="48">
        <v>19</v>
      </c>
      <c r="B233" s="49" t="s">
        <v>244</v>
      </c>
      <c r="C233" s="50" t="s">
        <v>248</v>
      </c>
      <c r="D233" s="51">
        <v>425300</v>
      </c>
      <c r="E233" s="51">
        <v>425399</v>
      </c>
    </row>
    <row r="234" spans="1:5">
      <c r="A234" s="48">
        <v>19</v>
      </c>
      <c r="B234" s="49" t="s">
        <v>244</v>
      </c>
      <c r="C234" s="50" t="s">
        <v>249</v>
      </c>
      <c r="D234" s="51">
        <v>425400</v>
      </c>
      <c r="E234" s="51">
        <v>426399</v>
      </c>
    </row>
    <row r="235" spans="1:5">
      <c r="A235" s="48">
        <v>19</v>
      </c>
      <c r="B235" s="49" t="s">
        <v>244</v>
      </c>
      <c r="C235" s="50" t="s">
        <v>250</v>
      </c>
      <c r="D235" s="51">
        <v>426400</v>
      </c>
      <c r="E235" s="51">
        <v>427499</v>
      </c>
    </row>
    <row r="236" spans="1:5">
      <c r="A236" s="48">
        <v>20</v>
      </c>
      <c r="B236" s="49" t="s">
        <v>251</v>
      </c>
      <c r="C236" s="50" t="s">
        <v>252</v>
      </c>
      <c r="D236" s="51">
        <v>427500</v>
      </c>
      <c r="E236" s="51">
        <v>428259</v>
      </c>
    </row>
    <row r="237" spans="1:5">
      <c r="A237" s="48">
        <v>20</v>
      </c>
      <c r="B237" s="49" t="s">
        <v>251</v>
      </c>
      <c r="C237" s="50" t="s">
        <v>253</v>
      </c>
      <c r="D237" s="51">
        <v>428260</v>
      </c>
      <c r="E237" s="51">
        <v>428289</v>
      </c>
    </row>
    <row r="238" spans="1:5">
      <c r="A238" s="48">
        <v>20</v>
      </c>
      <c r="B238" s="49" t="s">
        <v>251</v>
      </c>
      <c r="C238" s="50" t="s">
        <v>254</v>
      </c>
      <c r="D238" s="51">
        <v>428290</v>
      </c>
      <c r="E238" s="51">
        <v>429199</v>
      </c>
    </row>
    <row r="239" spans="1:5">
      <c r="A239" s="48">
        <v>20</v>
      </c>
      <c r="B239" s="49" t="s">
        <v>251</v>
      </c>
      <c r="C239" s="50" t="s">
        <v>255</v>
      </c>
      <c r="D239" s="51">
        <v>429200</v>
      </c>
      <c r="E239" s="51">
        <v>429999</v>
      </c>
    </row>
    <row r="240" spans="1:5">
      <c r="A240" s="48">
        <v>20</v>
      </c>
      <c r="B240" s="49" t="s">
        <v>251</v>
      </c>
      <c r="C240" s="50" t="s">
        <v>256</v>
      </c>
      <c r="D240" s="51">
        <v>430000</v>
      </c>
      <c r="E240" s="51">
        <v>430199</v>
      </c>
    </row>
    <row r="241" spans="1:5">
      <c r="A241" s="48">
        <v>20</v>
      </c>
      <c r="B241" s="49" t="s">
        <v>251</v>
      </c>
      <c r="C241" s="50" t="s">
        <v>257</v>
      </c>
      <c r="D241" s="51">
        <v>430200</v>
      </c>
      <c r="E241" s="51">
        <v>430899</v>
      </c>
    </row>
    <row r="242" spans="1:5">
      <c r="A242" s="48">
        <v>20</v>
      </c>
      <c r="B242" s="49" t="s">
        <v>251</v>
      </c>
      <c r="C242" s="50" t="s">
        <v>258</v>
      </c>
      <c r="D242" s="51">
        <v>430900</v>
      </c>
      <c r="E242" s="51">
        <v>430999</v>
      </c>
    </row>
    <row r="243" spans="1:5">
      <c r="A243" s="48">
        <v>20</v>
      </c>
      <c r="B243" s="49" t="s">
        <v>251</v>
      </c>
      <c r="C243" s="50" t="s">
        <v>259</v>
      </c>
      <c r="D243" s="51">
        <v>431000</v>
      </c>
      <c r="E243" s="51">
        <v>431000</v>
      </c>
    </row>
    <row r="244" spans="1:5">
      <c r="A244" s="48">
        <v>20</v>
      </c>
      <c r="B244" s="49" t="s">
        <v>251</v>
      </c>
      <c r="C244" s="50" t="s">
        <v>260</v>
      </c>
      <c r="D244" s="51">
        <v>431001</v>
      </c>
      <c r="E244" s="51">
        <v>439999</v>
      </c>
    </row>
    <row r="245" spans="1:5">
      <c r="A245" s="48">
        <v>23</v>
      </c>
      <c r="B245" s="49" t="s">
        <v>261</v>
      </c>
      <c r="C245" s="50" t="s">
        <v>262</v>
      </c>
      <c r="D245" s="51">
        <v>460000</v>
      </c>
      <c r="E245" s="51">
        <v>479999</v>
      </c>
    </row>
    <row r="246" spans="1:5">
      <c r="A246" s="48">
        <v>24</v>
      </c>
      <c r="B246" s="49" t="s">
        <v>263</v>
      </c>
      <c r="C246" s="50" t="s">
        <v>264</v>
      </c>
      <c r="D246" s="51">
        <v>440100</v>
      </c>
      <c r="E246" s="51">
        <v>450199</v>
      </c>
    </row>
    <row r="247" spans="1:5">
      <c r="A247" s="48">
        <v>24</v>
      </c>
      <c r="B247" s="49" t="s">
        <v>263</v>
      </c>
      <c r="C247" s="50" t="s">
        <v>265</v>
      </c>
      <c r="D247" s="51">
        <v>450200</v>
      </c>
      <c r="E247" s="51">
        <v>450299</v>
      </c>
    </row>
    <row r="248" spans="1:5">
      <c r="A248" s="48">
        <v>24</v>
      </c>
      <c r="B248" s="49" t="s">
        <v>263</v>
      </c>
      <c r="C248" s="50" t="s">
        <v>266</v>
      </c>
      <c r="D248" s="51">
        <v>450300</v>
      </c>
      <c r="E248" s="51">
        <v>450399</v>
      </c>
    </row>
    <row r="249" spans="1:5">
      <c r="A249" s="48">
        <v>24</v>
      </c>
      <c r="B249" s="49" t="s">
        <v>263</v>
      </c>
      <c r="C249" s="50" t="s">
        <v>267</v>
      </c>
      <c r="D249" s="51">
        <v>450400</v>
      </c>
      <c r="E249" s="51">
        <v>450499</v>
      </c>
    </row>
    <row r="250" spans="1:5">
      <c r="A250" s="48">
        <v>24</v>
      </c>
      <c r="B250" s="49" t="s">
        <v>263</v>
      </c>
      <c r="C250" s="50" t="s">
        <v>268</v>
      </c>
      <c r="D250" s="51">
        <v>450500</v>
      </c>
      <c r="E250" s="51">
        <v>450599</v>
      </c>
    </row>
    <row r="251" spans="1:5">
      <c r="A251" s="48">
        <v>24</v>
      </c>
      <c r="B251" s="49" t="s">
        <v>263</v>
      </c>
      <c r="C251" s="50" t="s">
        <v>269</v>
      </c>
      <c r="D251" s="51">
        <v>450600</v>
      </c>
      <c r="E251" s="51">
        <v>459999</v>
      </c>
    </row>
    <row r="252" spans="1:5">
      <c r="A252" s="48">
        <v>25</v>
      </c>
      <c r="B252" s="49" t="s">
        <v>270</v>
      </c>
      <c r="C252" s="50" t="s">
        <v>271</v>
      </c>
      <c r="D252" s="51">
        <v>480000</v>
      </c>
      <c r="E252" s="51">
        <v>482499</v>
      </c>
    </row>
    <row r="253" spans="1:5">
      <c r="A253" s="48">
        <v>25</v>
      </c>
      <c r="B253" s="49" t="s">
        <v>270</v>
      </c>
      <c r="C253" s="50" t="s">
        <v>272</v>
      </c>
      <c r="D253" s="51">
        <v>482500</v>
      </c>
      <c r="E253" s="51">
        <v>484999</v>
      </c>
    </row>
    <row r="254" spans="1:5">
      <c r="A254" s="48">
        <v>25</v>
      </c>
      <c r="B254" s="49" t="s">
        <v>270</v>
      </c>
      <c r="C254" s="50" t="s">
        <v>273</v>
      </c>
      <c r="D254" s="51">
        <v>485000</v>
      </c>
      <c r="E254" s="51">
        <v>487499</v>
      </c>
    </row>
    <row r="255" spans="1:5">
      <c r="A255" s="48">
        <v>25</v>
      </c>
      <c r="B255" s="49" t="s">
        <v>270</v>
      </c>
      <c r="C255" s="50" t="s">
        <v>274</v>
      </c>
      <c r="D255" s="51">
        <v>500000</v>
      </c>
      <c r="E255" s="51">
        <v>502499</v>
      </c>
    </row>
    <row r="256" spans="1:5">
      <c r="A256" s="48">
        <v>25</v>
      </c>
      <c r="B256" s="49" t="s">
        <v>270</v>
      </c>
      <c r="C256" s="50" t="s">
        <v>275</v>
      </c>
      <c r="D256" s="51">
        <v>512500</v>
      </c>
      <c r="E256" s="51">
        <v>514999</v>
      </c>
    </row>
    <row r="257" spans="1:5">
      <c r="A257" s="48">
        <v>25</v>
      </c>
      <c r="B257" s="49" t="s">
        <v>270</v>
      </c>
      <c r="C257" s="50" t="s">
        <v>276</v>
      </c>
      <c r="D257" s="51">
        <v>517500</v>
      </c>
      <c r="E257" s="51">
        <v>519999</v>
      </c>
    </row>
    <row r="258" spans="1:5">
      <c r="A258" s="48">
        <v>25</v>
      </c>
      <c r="B258" s="49" t="s">
        <v>270</v>
      </c>
      <c r="C258" s="50" t="s">
        <v>277</v>
      </c>
      <c r="D258" s="51">
        <v>527500</v>
      </c>
      <c r="E258" s="51">
        <v>529999</v>
      </c>
    </row>
    <row r="259" spans="1:5">
      <c r="A259" s="48">
        <v>25</v>
      </c>
      <c r="B259" s="49" t="s">
        <v>270</v>
      </c>
      <c r="C259" s="50" t="s">
        <v>278</v>
      </c>
      <c r="D259" s="51">
        <v>530000</v>
      </c>
      <c r="E259" s="51">
        <v>532499</v>
      </c>
    </row>
    <row r="260" spans="1:5">
      <c r="A260" s="48">
        <v>25</v>
      </c>
      <c r="B260" s="49" t="s">
        <v>270</v>
      </c>
      <c r="C260" s="50" t="s">
        <v>279</v>
      </c>
      <c r="D260" s="51">
        <v>540000</v>
      </c>
      <c r="E260" s="51">
        <v>542499</v>
      </c>
    </row>
    <row r="261" spans="1:5">
      <c r="A261" s="48">
        <v>25</v>
      </c>
      <c r="B261" s="49" t="s">
        <v>270</v>
      </c>
      <c r="C261" s="50" t="s">
        <v>280</v>
      </c>
      <c r="D261" s="51">
        <v>790000</v>
      </c>
      <c r="E261" s="51">
        <v>790099</v>
      </c>
    </row>
    <row r="262" spans="1:5">
      <c r="A262" s="48">
        <v>25</v>
      </c>
      <c r="B262" s="49" t="s">
        <v>270</v>
      </c>
      <c r="C262" s="50" t="s">
        <v>281</v>
      </c>
      <c r="D262" s="51">
        <v>790100</v>
      </c>
      <c r="E262" s="51">
        <v>790109</v>
      </c>
    </row>
    <row r="263" spans="1:5">
      <c r="A263" s="48">
        <v>25</v>
      </c>
      <c r="B263" s="49" t="s">
        <v>270</v>
      </c>
      <c r="C263" s="50" t="s">
        <v>282</v>
      </c>
      <c r="D263" s="51">
        <v>790110</v>
      </c>
      <c r="E263" s="51">
        <v>790275</v>
      </c>
    </row>
    <row r="264" spans="1:5">
      <c r="A264" s="48">
        <v>26</v>
      </c>
      <c r="B264" s="49" t="s">
        <v>283</v>
      </c>
      <c r="C264" s="50" t="s">
        <v>284</v>
      </c>
      <c r="D264" s="51">
        <v>522500</v>
      </c>
      <c r="E264" s="51">
        <v>524999</v>
      </c>
    </row>
    <row r="265" spans="1:5">
      <c r="A265" s="48">
        <v>26</v>
      </c>
      <c r="B265" s="49" t="s">
        <v>283</v>
      </c>
      <c r="C265" s="50" t="s">
        <v>285</v>
      </c>
      <c r="D265" s="51">
        <v>550000</v>
      </c>
      <c r="E265" s="51">
        <v>552499</v>
      </c>
    </row>
    <row r="266" spans="1:5">
      <c r="A266" s="48">
        <v>27</v>
      </c>
      <c r="B266" s="49" t="s">
        <v>286</v>
      </c>
      <c r="C266" s="50" t="s">
        <v>287</v>
      </c>
      <c r="D266" s="51">
        <v>502500</v>
      </c>
      <c r="E266" s="51">
        <v>504999</v>
      </c>
    </row>
    <row r="267" spans="1:5">
      <c r="A267" s="48">
        <v>28</v>
      </c>
      <c r="B267" s="49" t="s">
        <v>288</v>
      </c>
      <c r="C267" s="50" t="s">
        <v>289</v>
      </c>
      <c r="D267" s="51">
        <v>487500</v>
      </c>
      <c r="E267" s="51">
        <v>489999</v>
      </c>
    </row>
    <row r="268" spans="1:5">
      <c r="A268" s="48">
        <v>28</v>
      </c>
      <c r="B268" s="49" t="s">
        <v>288</v>
      </c>
      <c r="C268" s="50" t="s">
        <v>290</v>
      </c>
      <c r="D268" s="51">
        <v>490000</v>
      </c>
      <c r="E268" s="51">
        <v>492499</v>
      </c>
    </row>
    <row r="269" spans="1:5">
      <c r="A269" s="48">
        <v>28</v>
      </c>
      <c r="B269" s="49" t="s">
        <v>288</v>
      </c>
      <c r="C269" s="50" t="s">
        <v>291</v>
      </c>
      <c r="D269" s="51">
        <v>507500</v>
      </c>
      <c r="E269" s="51">
        <v>509999</v>
      </c>
    </row>
    <row r="270" spans="1:5">
      <c r="A270" s="48">
        <v>29</v>
      </c>
      <c r="B270" s="49" t="s">
        <v>292</v>
      </c>
      <c r="C270" s="50" t="s">
        <v>293</v>
      </c>
      <c r="D270" s="51">
        <v>492500</v>
      </c>
      <c r="E270" s="51">
        <v>494999</v>
      </c>
    </row>
    <row r="271" spans="1:5">
      <c r="A271" s="48">
        <v>29</v>
      </c>
      <c r="B271" s="49" t="s">
        <v>292</v>
      </c>
      <c r="C271" s="50" t="s">
        <v>294</v>
      </c>
      <c r="D271" s="51">
        <v>495000</v>
      </c>
      <c r="E271" s="51">
        <v>497499</v>
      </c>
    </row>
    <row r="272" spans="1:5">
      <c r="A272" s="48">
        <v>29</v>
      </c>
      <c r="B272" s="49" t="s">
        <v>292</v>
      </c>
      <c r="C272" s="50" t="s">
        <v>295</v>
      </c>
      <c r="D272" s="51">
        <v>497500</v>
      </c>
      <c r="E272" s="51">
        <v>499999</v>
      </c>
    </row>
    <row r="273" spans="1:5">
      <c r="A273" s="48">
        <v>29</v>
      </c>
      <c r="B273" s="49" t="s">
        <v>292</v>
      </c>
      <c r="C273" s="50" t="s">
        <v>296</v>
      </c>
      <c r="D273" s="51">
        <v>510000</v>
      </c>
      <c r="E273" s="51">
        <v>512499</v>
      </c>
    </row>
    <row r="274" spans="1:5">
      <c r="A274" s="48">
        <v>29</v>
      </c>
      <c r="B274" s="49" t="s">
        <v>292</v>
      </c>
      <c r="C274" s="50" t="s">
        <v>297</v>
      </c>
      <c r="D274" s="51">
        <v>515000</v>
      </c>
      <c r="E274" s="51">
        <v>517499</v>
      </c>
    </row>
    <row r="275" spans="1:5">
      <c r="A275" s="48">
        <v>29</v>
      </c>
      <c r="B275" s="49" t="s">
        <v>292</v>
      </c>
      <c r="C275" s="50" t="s">
        <v>298</v>
      </c>
      <c r="D275" s="51">
        <v>520000</v>
      </c>
      <c r="E275" s="51">
        <v>522499</v>
      </c>
    </row>
    <row r="276" spans="1:5">
      <c r="A276" s="48">
        <v>29</v>
      </c>
      <c r="B276" s="49" t="s">
        <v>292</v>
      </c>
      <c r="C276" s="50" t="s">
        <v>299</v>
      </c>
      <c r="D276" s="51">
        <v>532500</v>
      </c>
      <c r="E276" s="51">
        <v>534999</v>
      </c>
    </row>
    <row r="277" spans="1:5">
      <c r="A277" s="48">
        <v>29</v>
      </c>
      <c r="B277" s="49" t="s">
        <v>292</v>
      </c>
      <c r="C277" s="50" t="s">
        <v>300</v>
      </c>
      <c r="D277" s="51">
        <v>535000</v>
      </c>
      <c r="E277" s="51">
        <v>537499</v>
      </c>
    </row>
    <row r="278" spans="1:5">
      <c r="A278" s="48">
        <v>29</v>
      </c>
      <c r="B278" s="49" t="s">
        <v>292</v>
      </c>
      <c r="C278" s="50" t="s">
        <v>301</v>
      </c>
      <c r="D278" s="51">
        <v>537500</v>
      </c>
      <c r="E278" s="51">
        <v>539999</v>
      </c>
    </row>
    <row r="279" spans="1:5">
      <c r="A279" s="48">
        <v>29</v>
      </c>
      <c r="B279" s="49" t="s">
        <v>292</v>
      </c>
      <c r="C279" s="50" t="s">
        <v>302</v>
      </c>
      <c r="D279" s="51">
        <v>547500</v>
      </c>
      <c r="E279" s="51">
        <v>549999</v>
      </c>
    </row>
    <row r="280" spans="1:5">
      <c r="A280" s="48">
        <v>29</v>
      </c>
      <c r="B280" s="49" t="s">
        <v>292</v>
      </c>
      <c r="C280" s="50" t="s">
        <v>303</v>
      </c>
      <c r="D280" s="51">
        <v>552500</v>
      </c>
      <c r="E280" s="51">
        <v>557499</v>
      </c>
    </row>
    <row r="281" spans="1:5">
      <c r="A281" s="48">
        <v>29</v>
      </c>
      <c r="B281" s="49" t="s">
        <v>292</v>
      </c>
      <c r="C281" s="50" t="s">
        <v>304</v>
      </c>
      <c r="D281" s="51">
        <v>557500</v>
      </c>
      <c r="E281" s="51">
        <v>699999</v>
      </c>
    </row>
    <row r="282" spans="1:5">
      <c r="A282" s="48">
        <v>29</v>
      </c>
      <c r="B282" s="49" t="s">
        <v>292</v>
      </c>
      <c r="C282" s="50" t="s">
        <v>305</v>
      </c>
      <c r="D282" s="51">
        <v>950700</v>
      </c>
      <c r="E282" s="51">
        <v>950799</v>
      </c>
    </row>
    <row r="283" spans="1:5">
      <c r="A283" s="48">
        <v>32</v>
      </c>
      <c r="B283" s="49" t="s">
        <v>306</v>
      </c>
      <c r="C283" s="50" t="s">
        <v>307</v>
      </c>
      <c r="D283" s="51">
        <v>700000</v>
      </c>
      <c r="E283" s="51">
        <v>700099</v>
      </c>
    </row>
    <row r="284" spans="1:5">
      <c r="A284" s="48">
        <v>32</v>
      </c>
      <c r="B284" s="49" t="s">
        <v>306</v>
      </c>
      <c r="C284" s="50" t="s">
        <v>308</v>
      </c>
      <c r="D284" s="51">
        <v>700100</v>
      </c>
      <c r="E284" s="51">
        <v>701999</v>
      </c>
    </row>
    <row r="285" spans="1:5">
      <c r="A285" s="48">
        <v>33</v>
      </c>
      <c r="B285" s="49" t="s">
        <v>309</v>
      </c>
      <c r="C285" s="50" t="s">
        <v>310</v>
      </c>
      <c r="D285" s="51">
        <v>702000</v>
      </c>
      <c r="E285" s="51">
        <v>703999</v>
      </c>
    </row>
    <row r="286" spans="1:5">
      <c r="A286" s="48">
        <v>36</v>
      </c>
      <c r="B286" s="49" t="s">
        <v>311</v>
      </c>
      <c r="C286" s="50" t="s">
        <v>312</v>
      </c>
      <c r="D286" s="51">
        <v>545000</v>
      </c>
      <c r="E286" s="51">
        <v>545499</v>
      </c>
    </row>
    <row r="287" spans="1:5">
      <c r="A287" s="48">
        <v>37</v>
      </c>
      <c r="B287" s="49" t="s">
        <v>313</v>
      </c>
      <c r="C287" s="50" t="s">
        <v>314</v>
      </c>
      <c r="D287" s="51">
        <v>750000</v>
      </c>
      <c r="E287" s="51">
        <v>750099</v>
      </c>
    </row>
    <row r="288" spans="1:5">
      <c r="A288" s="48">
        <v>37</v>
      </c>
      <c r="B288" s="49" t="s">
        <v>313</v>
      </c>
      <c r="C288" s="50" t="s">
        <v>315</v>
      </c>
      <c r="D288" s="51">
        <v>750100</v>
      </c>
      <c r="E288" s="51">
        <v>750199</v>
      </c>
    </row>
    <row r="289" spans="1:5">
      <c r="A289" s="48">
        <v>37</v>
      </c>
      <c r="B289" s="49" t="s">
        <v>313</v>
      </c>
      <c r="C289" s="50" t="s">
        <v>316</v>
      </c>
      <c r="D289" s="51">
        <v>750200</v>
      </c>
      <c r="E289" s="51">
        <v>750299</v>
      </c>
    </row>
    <row r="290" spans="1:5">
      <c r="A290" s="48">
        <v>37</v>
      </c>
      <c r="B290" s="49" t="s">
        <v>313</v>
      </c>
      <c r="C290" s="50" t="s">
        <v>317</v>
      </c>
      <c r="D290" s="51">
        <v>750300</v>
      </c>
      <c r="E290" s="51">
        <v>750399</v>
      </c>
    </row>
    <row r="291" spans="1:5">
      <c r="A291" s="48">
        <v>37</v>
      </c>
      <c r="B291" s="49" t="s">
        <v>313</v>
      </c>
      <c r="C291" s="50" t="s">
        <v>318</v>
      </c>
      <c r="D291" s="51">
        <v>750400</v>
      </c>
      <c r="E291" s="51">
        <v>750499</v>
      </c>
    </row>
    <row r="292" spans="1:5">
      <c r="A292" s="48">
        <v>37</v>
      </c>
      <c r="B292" s="49" t="s">
        <v>313</v>
      </c>
      <c r="C292" s="50" t="s">
        <v>319</v>
      </c>
      <c r="D292" s="51">
        <v>750500</v>
      </c>
      <c r="E292" s="51">
        <v>750599</v>
      </c>
    </row>
    <row r="293" spans="1:5">
      <c r="A293" s="48">
        <v>37</v>
      </c>
      <c r="B293" s="49" t="s">
        <v>313</v>
      </c>
      <c r="C293" s="50" t="s">
        <v>320</v>
      </c>
      <c r="D293" s="51">
        <v>750600</v>
      </c>
      <c r="E293" s="51">
        <v>750699</v>
      </c>
    </row>
    <row r="294" spans="1:5">
      <c r="A294" s="48">
        <v>37</v>
      </c>
      <c r="B294" s="49" t="s">
        <v>313</v>
      </c>
      <c r="C294" s="50" t="s">
        <v>321</v>
      </c>
      <c r="D294" s="51">
        <v>750700</v>
      </c>
      <c r="E294" s="51">
        <v>750799</v>
      </c>
    </row>
    <row r="295" spans="1:5">
      <c r="A295" s="48">
        <v>37</v>
      </c>
      <c r="B295" s="49" t="s">
        <v>313</v>
      </c>
      <c r="C295" s="50" t="s">
        <v>322</v>
      </c>
      <c r="D295" s="51">
        <v>750800</v>
      </c>
      <c r="E295" s="51">
        <v>750899</v>
      </c>
    </row>
    <row r="296" spans="1:5">
      <c r="A296" s="48">
        <v>37</v>
      </c>
      <c r="B296" s="49" t="s">
        <v>313</v>
      </c>
      <c r="C296" s="50" t="s">
        <v>323</v>
      </c>
      <c r="D296" s="51">
        <v>750900</v>
      </c>
      <c r="E296" s="51">
        <v>750999</v>
      </c>
    </row>
    <row r="297" spans="1:5">
      <c r="A297" s="48">
        <v>37</v>
      </c>
      <c r="B297" s="49" t="s">
        <v>313</v>
      </c>
      <c r="C297" s="50" t="s">
        <v>324</v>
      </c>
      <c r="D297" s="51">
        <v>751000</v>
      </c>
      <c r="E297" s="51">
        <v>751099</v>
      </c>
    </row>
    <row r="298" spans="1:5">
      <c r="A298" s="48">
        <v>37</v>
      </c>
      <c r="B298" s="49" t="s">
        <v>313</v>
      </c>
      <c r="C298" s="50" t="s">
        <v>325</v>
      </c>
      <c r="D298" s="51">
        <v>751100</v>
      </c>
      <c r="E298" s="51">
        <v>751199</v>
      </c>
    </row>
    <row r="299" spans="1:5">
      <c r="A299" s="48">
        <v>37</v>
      </c>
      <c r="B299" s="49" t="s">
        <v>313</v>
      </c>
      <c r="C299" s="50" t="s">
        <v>326</v>
      </c>
      <c r="D299" s="51">
        <v>752492</v>
      </c>
      <c r="E299" s="51">
        <v>752492</v>
      </c>
    </row>
    <row r="300" spans="1:5">
      <c r="A300" s="48">
        <v>37</v>
      </c>
      <c r="B300" s="49" t="s">
        <v>313</v>
      </c>
      <c r="C300" s="50" t="s">
        <v>327</v>
      </c>
      <c r="D300" s="51">
        <v>752493</v>
      </c>
      <c r="E300" s="51">
        <v>752493</v>
      </c>
    </row>
    <row r="301" spans="1:5">
      <c r="A301" s="48">
        <v>37</v>
      </c>
      <c r="B301" s="49" t="s">
        <v>313</v>
      </c>
      <c r="C301" s="50" t="s">
        <v>328</v>
      </c>
      <c r="D301" s="51">
        <v>752494</v>
      </c>
      <c r="E301" s="51">
        <v>752494</v>
      </c>
    </row>
    <row r="302" spans="1:5">
      <c r="A302" s="48">
        <v>37</v>
      </c>
      <c r="B302" s="49" t="s">
        <v>313</v>
      </c>
      <c r="C302" s="50" t="s">
        <v>329</v>
      </c>
      <c r="D302" s="51">
        <v>752495</v>
      </c>
      <c r="E302" s="51">
        <v>752495</v>
      </c>
    </row>
    <row r="303" spans="1:5">
      <c r="A303" s="48">
        <v>37</v>
      </c>
      <c r="B303" s="49" t="s">
        <v>313</v>
      </c>
      <c r="C303" s="50" t="s">
        <v>330</v>
      </c>
      <c r="D303" s="51">
        <v>752496</v>
      </c>
      <c r="E303" s="51">
        <v>752496</v>
      </c>
    </row>
    <row r="304" spans="1:5">
      <c r="A304" s="48">
        <v>38</v>
      </c>
      <c r="B304" s="49" t="s">
        <v>331</v>
      </c>
      <c r="C304" s="50" t="s">
        <v>332</v>
      </c>
      <c r="D304" s="51">
        <v>762500</v>
      </c>
      <c r="E304" s="51">
        <v>792500</v>
      </c>
    </row>
    <row r="305" spans="1:5">
      <c r="A305" s="48">
        <v>38</v>
      </c>
      <c r="B305" s="49" t="s">
        <v>331</v>
      </c>
      <c r="C305" s="50" t="s">
        <v>333</v>
      </c>
      <c r="D305" s="51">
        <v>792501</v>
      </c>
      <c r="E305" s="51">
        <v>792501</v>
      </c>
    </row>
    <row r="306" spans="1:5">
      <c r="A306" s="48">
        <v>38</v>
      </c>
      <c r="B306" s="49" t="s">
        <v>331</v>
      </c>
      <c r="C306" s="50" t="s">
        <v>334</v>
      </c>
      <c r="D306" s="51">
        <v>810000</v>
      </c>
      <c r="E306" s="51">
        <v>810099</v>
      </c>
    </row>
    <row r="307" spans="1:5">
      <c r="A307" s="48">
        <v>38</v>
      </c>
      <c r="B307" s="49" t="s">
        <v>331</v>
      </c>
      <c r="C307" s="50" t="s">
        <v>335</v>
      </c>
      <c r="D307" s="51">
        <v>810100</v>
      </c>
      <c r="E307" s="51">
        <v>810199</v>
      </c>
    </row>
    <row r="308" spans="1:5">
      <c r="A308" s="48">
        <v>38</v>
      </c>
      <c r="B308" s="49" t="s">
        <v>331</v>
      </c>
      <c r="C308" s="50" t="s">
        <v>336</v>
      </c>
      <c r="D308" s="51">
        <v>810200</v>
      </c>
      <c r="E308" s="51">
        <v>810299</v>
      </c>
    </row>
    <row r="309" spans="1:5">
      <c r="A309" s="48">
        <v>38</v>
      </c>
      <c r="B309" s="49" t="s">
        <v>331</v>
      </c>
      <c r="C309" s="50" t="s">
        <v>337</v>
      </c>
      <c r="D309" s="51">
        <v>810300</v>
      </c>
      <c r="E309" s="51">
        <v>810349</v>
      </c>
    </row>
    <row r="310" spans="1:5">
      <c r="A310" s="48">
        <v>38</v>
      </c>
      <c r="B310" s="49" t="s">
        <v>331</v>
      </c>
      <c r="C310" s="50" t="s">
        <v>338</v>
      </c>
      <c r="D310" s="51">
        <v>810350</v>
      </c>
      <c r="E310" s="51">
        <v>810399</v>
      </c>
    </row>
    <row r="311" spans="1:5">
      <c r="A311" s="48">
        <v>38</v>
      </c>
      <c r="B311" s="49" t="s">
        <v>331</v>
      </c>
      <c r="C311" s="50" t="s">
        <v>339</v>
      </c>
      <c r="D311" s="51">
        <v>810400</v>
      </c>
      <c r="E311" s="51">
        <v>810499</v>
      </c>
    </row>
    <row r="312" spans="1:5">
      <c r="A312" s="48">
        <v>38</v>
      </c>
      <c r="B312" s="49" t="s">
        <v>331</v>
      </c>
      <c r="C312" s="50" t="s">
        <v>340</v>
      </c>
      <c r="D312" s="51">
        <v>810500</v>
      </c>
      <c r="E312" s="51">
        <v>810599</v>
      </c>
    </row>
    <row r="313" spans="1:5">
      <c r="A313" s="48">
        <v>38</v>
      </c>
      <c r="B313" s="49" t="s">
        <v>331</v>
      </c>
      <c r="C313" s="50" t="s">
        <v>341</v>
      </c>
      <c r="D313" s="51">
        <v>810600</v>
      </c>
      <c r="E313" s="51">
        <v>810699</v>
      </c>
    </row>
    <row r="314" spans="1:5">
      <c r="A314" s="48">
        <v>38</v>
      </c>
      <c r="B314" s="49" t="s">
        <v>331</v>
      </c>
      <c r="C314" s="50" t="s">
        <v>342</v>
      </c>
      <c r="D314" s="51">
        <v>810700</v>
      </c>
      <c r="E314" s="51">
        <v>810799</v>
      </c>
    </row>
    <row r="315" spans="1:5">
      <c r="A315" s="48">
        <v>38</v>
      </c>
      <c r="B315" s="49" t="s">
        <v>331</v>
      </c>
      <c r="C315" s="50" t="s">
        <v>343</v>
      </c>
      <c r="D315" s="51">
        <v>810800</v>
      </c>
      <c r="E315" s="51">
        <v>810899</v>
      </c>
    </row>
    <row r="316" spans="1:5">
      <c r="A316" s="48">
        <v>38</v>
      </c>
      <c r="B316" s="49" t="s">
        <v>331</v>
      </c>
      <c r="C316" s="50" t="s">
        <v>344</v>
      </c>
      <c r="D316" s="51">
        <v>810900</v>
      </c>
      <c r="E316" s="51">
        <v>810999</v>
      </c>
    </row>
    <row r="317" spans="1:5">
      <c r="A317" s="48">
        <v>38</v>
      </c>
      <c r="B317" s="49" t="s">
        <v>331</v>
      </c>
      <c r="C317" s="50" t="s">
        <v>345</v>
      </c>
      <c r="D317" s="51">
        <v>811000</v>
      </c>
      <c r="E317" s="51">
        <v>811099</v>
      </c>
    </row>
    <row r="318" spans="1:5">
      <c r="A318" s="48">
        <v>38</v>
      </c>
      <c r="B318" s="49" t="s">
        <v>331</v>
      </c>
      <c r="C318" s="50" t="s">
        <v>346</v>
      </c>
      <c r="D318" s="51">
        <v>811100</v>
      </c>
      <c r="E318" s="51">
        <v>811199</v>
      </c>
    </row>
    <row r="319" spans="1:5">
      <c r="A319" s="48">
        <v>38</v>
      </c>
      <c r="B319" s="49" t="s">
        <v>331</v>
      </c>
      <c r="C319" s="50" t="s">
        <v>347</v>
      </c>
      <c r="D319" s="51">
        <v>811200</v>
      </c>
      <c r="E319" s="51">
        <v>811299</v>
      </c>
    </row>
    <row r="320" spans="1:5">
      <c r="A320" s="48">
        <v>38</v>
      </c>
      <c r="B320" s="49" t="s">
        <v>331</v>
      </c>
      <c r="C320" s="50" t="s">
        <v>348</v>
      </c>
      <c r="D320" s="51">
        <v>811300</v>
      </c>
      <c r="E320" s="51">
        <v>811399</v>
      </c>
    </row>
    <row r="321" spans="1:5">
      <c r="A321" s="48">
        <v>38</v>
      </c>
      <c r="B321" s="49" t="s">
        <v>331</v>
      </c>
      <c r="C321" s="50" t="s">
        <v>349</v>
      </c>
      <c r="D321" s="51">
        <v>970100</v>
      </c>
      <c r="E321" s="51">
        <v>970199</v>
      </c>
    </row>
    <row r="322" spans="1:5">
      <c r="A322" s="48">
        <v>38</v>
      </c>
      <c r="B322" s="49" t="s">
        <v>331</v>
      </c>
      <c r="C322" s="50" t="s">
        <v>350</v>
      </c>
      <c r="D322" s="51">
        <v>970200</v>
      </c>
      <c r="E322" s="51">
        <v>970299</v>
      </c>
    </row>
    <row r="323" spans="1:5">
      <c r="A323" s="48">
        <v>39</v>
      </c>
      <c r="B323" s="49" t="s">
        <v>351</v>
      </c>
      <c r="C323" s="50" t="s">
        <v>352</v>
      </c>
      <c r="D323" s="51">
        <v>950000</v>
      </c>
      <c r="E323" s="51">
        <v>950099</v>
      </c>
    </row>
    <row r="324" spans="1:5">
      <c r="A324" s="48">
        <v>39</v>
      </c>
      <c r="B324" s="49" t="s">
        <v>351</v>
      </c>
      <c r="C324" s="50" t="s">
        <v>353</v>
      </c>
      <c r="D324" s="51">
        <v>950100</v>
      </c>
      <c r="E324" s="51">
        <v>950199</v>
      </c>
    </row>
    <row r="325" spans="1:5">
      <c r="A325" s="48">
        <v>39</v>
      </c>
      <c r="B325" s="49" t="s">
        <v>351</v>
      </c>
      <c r="C325" s="50" t="s">
        <v>354</v>
      </c>
      <c r="D325" s="51">
        <v>950200</v>
      </c>
      <c r="E325" s="51">
        <v>950299</v>
      </c>
    </row>
    <row r="326" spans="1:5">
      <c r="A326" s="48">
        <v>39</v>
      </c>
      <c r="B326" s="49" t="s">
        <v>351</v>
      </c>
      <c r="C326" s="50" t="s">
        <v>355</v>
      </c>
      <c r="D326" s="51">
        <v>950300</v>
      </c>
      <c r="E326" s="51">
        <v>950399</v>
      </c>
    </row>
    <row r="327" spans="1:5">
      <c r="A327" s="48">
        <v>39</v>
      </c>
      <c r="B327" s="49" t="s">
        <v>351</v>
      </c>
      <c r="C327" s="50" t="s">
        <v>356</v>
      </c>
      <c r="D327" s="51">
        <v>950400</v>
      </c>
      <c r="E327" s="51">
        <v>950499</v>
      </c>
    </row>
    <row r="328" spans="1:5">
      <c r="A328" s="48">
        <v>39</v>
      </c>
      <c r="B328" s="49" t="s">
        <v>351</v>
      </c>
      <c r="C328" s="50" t="s">
        <v>357</v>
      </c>
      <c r="D328" s="51">
        <v>950500</v>
      </c>
      <c r="E328" s="51">
        <v>950599</v>
      </c>
    </row>
    <row r="329" spans="1:5">
      <c r="A329" s="48">
        <v>39</v>
      </c>
      <c r="B329" s="49" t="s">
        <v>351</v>
      </c>
      <c r="C329" s="50" t="s">
        <v>358</v>
      </c>
      <c r="D329" s="51">
        <v>950600</v>
      </c>
      <c r="E329" s="51">
        <v>950699</v>
      </c>
    </row>
    <row r="330" spans="1:5">
      <c r="A330" s="48">
        <v>40</v>
      </c>
      <c r="B330" s="49" t="s">
        <v>359</v>
      </c>
      <c r="C330" s="50" t="s">
        <v>360</v>
      </c>
      <c r="D330" s="51">
        <v>790276</v>
      </c>
      <c r="E330" s="51">
        <v>790399</v>
      </c>
    </row>
    <row r="331" spans="1:5">
      <c r="A331" s="48">
        <v>40</v>
      </c>
      <c r="B331" s="49" t="s">
        <v>359</v>
      </c>
      <c r="C331" s="50" t="s">
        <v>361</v>
      </c>
      <c r="D331" s="51">
        <v>960000</v>
      </c>
      <c r="E331" s="51">
        <v>960199</v>
      </c>
    </row>
    <row r="332" spans="1:5">
      <c r="A332" s="48">
        <v>40</v>
      </c>
      <c r="B332" s="49" t="s">
        <v>359</v>
      </c>
      <c r="C332" s="50" t="s">
        <v>362</v>
      </c>
      <c r="D332" s="51">
        <v>960400</v>
      </c>
      <c r="E332" s="51">
        <v>960499</v>
      </c>
    </row>
    <row r="333" spans="1:5">
      <c r="A333" s="48">
        <v>41</v>
      </c>
      <c r="B333" s="49" t="s">
        <v>363</v>
      </c>
      <c r="C333" s="50" t="s">
        <v>364</v>
      </c>
      <c r="D333" s="51">
        <v>960200</v>
      </c>
      <c r="E333" s="51">
        <v>960299</v>
      </c>
    </row>
    <row r="334" spans="1:5">
      <c r="A334" s="48">
        <v>45</v>
      </c>
      <c r="B334" s="49" t="s">
        <v>365</v>
      </c>
      <c r="C334" s="50" t="s">
        <v>366</v>
      </c>
      <c r="D334" s="51">
        <v>997000</v>
      </c>
      <c r="E334" s="51">
        <v>999997</v>
      </c>
    </row>
    <row r="335" spans="1:5">
      <c r="A335" s="48">
        <v>46</v>
      </c>
      <c r="B335" s="49" t="s">
        <v>367</v>
      </c>
      <c r="C335" s="50" t="s">
        <v>368</v>
      </c>
      <c r="D335" s="51">
        <v>542500</v>
      </c>
      <c r="E335" s="51">
        <v>544999</v>
      </c>
    </row>
    <row r="336" spans="1:5">
      <c r="A336" s="48">
        <v>46</v>
      </c>
      <c r="B336" s="49" t="s">
        <v>367</v>
      </c>
      <c r="C336" s="50" t="s">
        <v>369</v>
      </c>
      <c r="D336" s="51">
        <v>811400</v>
      </c>
      <c r="E336" s="51">
        <v>812399</v>
      </c>
    </row>
    <row r="337" spans="1:5">
      <c r="A337" s="48">
        <v>46</v>
      </c>
      <c r="B337" s="49" t="s">
        <v>367</v>
      </c>
      <c r="C337" s="50" t="s">
        <v>370</v>
      </c>
      <c r="D337" s="51">
        <v>970000</v>
      </c>
      <c r="E337" s="51">
        <v>970099</v>
      </c>
    </row>
    <row r="338" spans="1:5">
      <c r="A338" s="48">
        <v>46</v>
      </c>
      <c r="B338" s="49" t="s">
        <v>367</v>
      </c>
      <c r="C338" s="50" t="s">
        <v>371</v>
      </c>
      <c r="D338" s="51">
        <v>970300</v>
      </c>
      <c r="E338" s="51">
        <v>970399</v>
      </c>
    </row>
    <row r="339" spans="1:5">
      <c r="A339" s="48">
        <v>46</v>
      </c>
      <c r="B339" s="49" t="s">
        <v>367</v>
      </c>
      <c r="C339" s="50" t="s">
        <v>372</v>
      </c>
      <c r="D339" s="51">
        <v>970400</v>
      </c>
      <c r="E339" s="51">
        <v>970499</v>
      </c>
    </row>
    <row r="340" spans="1:5">
      <c r="A340" s="48">
        <v>46</v>
      </c>
      <c r="B340" s="49" t="s">
        <v>367</v>
      </c>
      <c r="C340" s="50" t="s">
        <v>373</v>
      </c>
      <c r="D340" s="51">
        <v>970500</v>
      </c>
      <c r="E340" s="51">
        <v>970599</v>
      </c>
    </row>
    <row r="341" spans="1:5">
      <c r="A341" s="48">
        <v>46</v>
      </c>
      <c r="B341" s="49" t="s">
        <v>367</v>
      </c>
      <c r="C341" s="50" t="s">
        <v>374</v>
      </c>
      <c r="D341" s="51">
        <v>970600</v>
      </c>
      <c r="E341" s="51">
        <v>970699</v>
      </c>
    </row>
    <row r="342" spans="1:5">
      <c r="A342" s="48">
        <v>46</v>
      </c>
      <c r="B342" s="49" t="s">
        <v>367</v>
      </c>
      <c r="C342" s="50" t="s">
        <v>375</v>
      </c>
      <c r="D342" s="51">
        <v>970700</v>
      </c>
      <c r="E342" s="51">
        <v>970799</v>
      </c>
    </row>
    <row r="343" spans="1:5">
      <c r="A343" s="48">
        <v>46</v>
      </c>
      <c r="B343" s="49" t="s">
        <v>367</v>
      </c>
      <c r="C343" s="50" t="s">
        <v>376</v>
      </c>
      <c r="D343" s="51">
        <v>970800</v>
      </c>
      <c r="E343" s="51">
        <v>970899</v>
      </c>
    </row>
    <row r="344" spans="1:5">
      <c r="A344" s="48">
        <v>46</v>
      </c>
      <c r="B344" s="49" t="s">
        <v>367</v>
      </c>
      <c r="C344" s="50" t="s">
        <v>377</v>
      </c>
      <c r="D344" s="51">
        <v>970900</v>
      </c>
      <c r="E344" s="51">
        <v>970999</v>
      </c>
    </row>
    <row r="345" spans="1:5">
      <c r="A345" s="48">
        <v>46</v>
      </c>
      <c r="B345" s="49" t="s">
        <v>367</v>
      </c>
      <c r="C345" s="50" t="s">
        <v>378</v>
      </c>
      <c r="D345" s="51">
        <v>971000</v>
      </c>
      <c r="E345" s="51">
        <v>971099</v>
      </c>
    </row>
    <row r="346" spans="1:5">
      <c r="A346" s="48">
        <v>46</v>
      </c>
      <c r="B346" s="49" t="s">
        <v>367</v>
      </c>
      <c r="C346" s="50" t="s">
        <v>379</v>
      </c>
      <c r="D346" s="51">
        <v>971100</v>
      </c>
      <c r="E346" s="51">
        <v>971199</v>
      </c>
    </row>
    <row r="347" spans="1:5">
      <c r="A347" s="48">
        <v>46</v>
      </c>
      <c r="B347" s="49" t="s">
        <v>367</v>
      </c>
      <c r="C347" s="50" t="s">
        <v>380</v>
      </c>
      <c r="D347" s="51">
        <v>971200</v>
      </c>
      <c r="E347" s="51">
        <v>971299</v>
      </c>
    </row>
    <row r="348" spans="1:5">
      <c r="A348" s="48">
        <v>46</v>
      </c>
      <c r="B348" s="49" t="s">
        <v>367</v>
      </c>
      <c r="C348" s="50" t="s">
        <v>381</v>
      </c>
      <c r="D348" s="51">
        <v>971300</v>
      </c>
      <c r="E348" s="51">
        <v>971399</v>
      </c>
    </row>
    <row r="349" spans="1:5">
      <c r="A349" s="48">
        <v>46</v>
      </c>
      <c r="B349" s="49" t="s">
        <v>367</v>
      </c>
      <c r="C349" s="50" t="s">
        <v>382</v>
      </c>
      <c r="D349" s="51">
        <v>972000</v>
      </c>
      <c r="E349" s="51">
        <v>994999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D6A4-E96B-4F2C-A684-CFC52DD0ED07}">
  <sheetPr codeName="Sheet10">
    <tabColor theme="4" tint="0.59999389629810485"/>
  </sheetPr>
  <dimension ref="A1:G244"/>
  <sheetViews>
    <sheetView showGridLines="0" showRowColHeaders="0" zoomScaleNormal="100" workbookViewId="0"/>
  </sheetViews>
  <sheetFormatPr defaultRowHeight="14.4"/>
  <cols>
    <col min="1" max="1" width="13.21875" bestFit="1" customWidth="1"/>
    <col min="2" max="2" width="42.77734375" bestFit="1" customWidth="1"/>
    <col min="3" max="3" width="32.21875" style="226" bestFit="1" customWidth="1"/>
    <col min="4" max="4" width="14.44140625" style="228" bestFit="1" customWidth="1"/>
  </cols>
  <sheetData>
    <row r="1" spans="1:7">
      <c r="A1" s="2" t="s">
        <v>0</v>
      </c>
      <c r="B1" s="2" t="s">
        <v>383</v>
      </c>
      <c r="C1" s="225" t="s">
        <v>384</v>
      </c>
      <c r="D1" s="111" t="s">
        <v>610</v>
      </c>
      <c r="G1" s="208"/>
    </row>
    <row r="2" spans="1:7">
      <c r="A2" t="s">
        <v>385</v>
      </c>
      <c r="B2" t="s">
        <v>386</v>
      </c>
      <c r="C2" s="226" t="s">
        <v>387</v>
      </c>
      <c r="D2" s="46" t="s">
        <v>611</v>
      </c>
    </row>
    <row r="3" spans="1:7">
      <c r="A3" t="s">
        <v>385</v>
      </c>
      <c r="B3" t="s">
        <v>388</v>
      </c>
      <c r="C3" s="226" t="s">
        <v>796</v>
      </c>
      <c r="D3" s="46" t="s">
        <v>612</v>
      </c>
    </row>
    <row r="4" spans="1:7">
      <c r="A4" t="s">
        <v>385</v>
      </c>
      <c r="B4" t="s">
        <v>420</v>
      </c>
      <c r="C4" s="226" t="s">
        <v>796</v>
      </c>
      <c r="D4" s="46" t="s">
        <v>612</v>
      </c>
    </row>
    <row r="5" spans="1:7">
      <c r="A5" t="s">
        <v>385</v>
      </c>
      <c r="B5" t="s">
        <v>408</v>
      </c>
      <c r="C5" s="226" t="s">
        <v>409</v>
      </c>
      <c r="D5" s="46" t="s">
        <v>611</v>
      </c>
    </row>
    <row r="6" spans="1:7">
      <c r="A6" t="s">
        <v>385</v>
      </c>
      <c r="B6" t="s">
        <v>400</v>
      </c>
      <c r="C6" s="226" t="s">
        <v>401</v>
      </c>
      <c r="D6" s="46" t="s">
        <v>611</v>
      </c>
    </row>
    <row r="7" spans="1:7">
      <c r="A7" t="s">
        <v>385</v>
      </c>
      <c r="B7" t="s">
        <v>410</v>
      </c>
      <c r="C7" s="226" t="s">
        <v>411</v>
      </c>
      <c r="D7" s="46" t="s">
        <v>611</v>
      </c>
    </row>
    <row r="8" spans="1:7">
      <c r="A8" t="s">
        <v>385</v>
      </c>
      <c r="B8" t="s">
        <v>404</v>
      </c>
      <c r="C8" s="226" t="s">
        <v>405</v>
      </c>
      <c r="D8" s="46" t="s">
        <v>611</v>
      </c>
    </row>
    <row r="9" spans="1:7">
      <c r="A9" t="s">
        <v>385</v>
      </c>
      <c r="B9" t="s">
        <v>389</v>
      </c>
      <c r="C9" s="226" t="s">
        <v>390</v>
      </c>
      <c r="D9" s="46" t="s">
        <v>611</v>
      </c>
    </row>
    <row r="10" spans="1:7">
      <c r="A10" t="s">
        <v>385</v>
      </c>
      <c r="B10" t="s">
        <v>414</v>
      </c>
      <c r="C10" s="226" t="s">
        <v>415</v>
      </c>
      <c r="D10" s="46" t="s">
        <v>611</v>
      </c>
    </row>
    <row r="11" spans="1:7">
      <c r="A11" t="s">
        <v>385</v>
      </c>
      <c r="B11" s="112" t="s">
        <v>396</v>
      </c>
      <c r="C11" s="227" t="s">
        <v>397</v>
      </c>
      <c r="D11" s="46" t="s">
        <v>611</v>
      </c>
    </row>
    <row r="12" spans="1:7">
      <c r="A12" t="s">
        <v>385</v>
      </c>
      <c r="B12" s="112" t="s">
        <v>391</v>
      </c>
      <c r="C12" s="227" t="s">
        <v>392</v>
      </c>
      <c r="D12" s="46" t="s">
        <v>611</v>
      </c>
    </row>
    <row r="13" spans="1:7">
      <c r="A13" t="s">
        <v>385</v>
      </c>
      <c r="B13" t="s">
        <v>406</v>
      </c>
      <c r="C13" s="226" t="s">
        <v>407</v>
      </c>
      <c r="D13" s="46" t="s">
        <v>611</v>
      </c>
    </row>
    <row r="14" spans="1:7">
      <c r="A14" t="s">
        <v>385</v>
      </c>
      <c r="B14" t="s">
        <v>402</v>
      </c>
      <c r="C14" s="226" t="s">
        <v>403</v>
      </c>
      <c r="D14" s="46" t="s">
        <v>611</v>
      </c>
    </row>
    <row r="15" spans="1:7">
      <c r="A15" t="s">
        <v>385</v>
      </c>
      <c r="B15" t="s">
        <v>418</v>
      </c>
      <c r="C15" s="226" t="s">
        <v>403</v>
      </c>
      <c r="D15" s="46" t="s">
        <v>611</v>
      </c>
    </row>
    <row r="16" spans="1:7">
      <c r="A16" t="s">
        <v>385</v>
      </c>
      <c r="B16" t="s">
        <v>416</v>
      </c>
      <c r="C16" s="226" t="s">
        <v>417</v>
      </c>
      <c r="D16" s="46" t="s">
        <v>611</v>
      </c>
    </row>
    <row r="17" spans="1:4">
      <c r="A17" t="s">
        <v>385</v>
      </c>
      <c r="B17" t="s">
        <v>412</v>
      </c>
      <c r="C17" s="226" t="s">
        <v>413</v>
      </c>
      <c r="D17" s="46" t="s">
        <v>611</v>
      </c>
    </row>
    <row r="18" spans="1:4">
      <c r="A18" t="s">
        <v>385</v>
      </c>
      <c r="B18" t="s">
        <v>398</v>
      </c>
      <c r="C18" s="226" t="s">
        <v>399</v>
      </c>
      <c r="D18" s="46" t="s">
        <v>611</v>
      </c>
    </row>
    <row r="19" spans="1:4">
      <c r="A19" t="s">
        <v>385</v>
      </c>
      <c r="B19" t="s">
        <v>419</v>
      </c>
      <c r="C19" s="226" t="s">
        <v>394</v>
      </c>
      <c r="D19" s="46" t="s">
        <v>613</v>
      </c>
    </row>
    <row r="20" spans="1:4">
      <c r="A20" t="s">
        <v>385</v>
      </c>
      <c r="B20" t="s">
        <v>393</v>
      </c>
      <c r="C20" s="226" t="s">
        <v>394</v>
      </c>
      <c r="D20" s="46" t="s">
        <v>613</v>
      </c>
    </row>
    <row r="21" spans="1:4">
      <c r="A21" t="s">
        <v>385</v>
      </c>
      <c r="B21" t="s">
        <v>603</v>
      </c>
      <c r="C21" s="226" t="s">
        <v>604</v>
      </c>
      <c r="D21" s="46" t="s">
        <v>611</v>
      </c>
    </row>
    <row r="22" spans="1:4">
      <c r="A22" t="s">
        <v>385</v>
      </c>
      <c r="B22" t="s">
        <v>602</v>
      </c>
      <c r="C22" s="226" t="s">
        <v>395</v>
      </c>
      <c r="D22" s="46" t="s">
        <v>611</v>
      </c>
    </row>
    <row r="23" spans="1:4" hidden="1">
      <c r="A23" t="s">
        <v>421</v>
      </c>
      <c r="B23" t="s">
        <v>513</v>
      </c>
      <c r="C23" s="226" t="s">
        <v>754</v>
      </c>
      <c r="D23" s="46" t="s">
        <v>611</v>
      </c>
    </row>
    <row r="24" spans="1:4" hidden="1">
      <c r="A24" t="s">
        <v>421</v>
      </c>
      <c r="B24" t="s">
        <v>422</v>
      </c>
      <c r="C24" s="226" t="s">
        <v>754</v>
      </c>
      <c r="D24" s="46" t="s">
        <v>611</v>
      </c>
    </row>
    <row r="25" spans="1:4" hidden="1">
      <c r="A25" t="s">
        <v>421</v>
      </c>
      <c r="B25" t="s">
        <v>427</v>
      </c>
      <c r="C25" s="226" t="s">
        <v>754</v>
      </c>
      <c r="D25" s="46" t="s">
        <v>611</v>
      </c>
    </row>
    <row r="26" spans="1:4" hidden="1">
      <c r="A26" t="s">
        <v>421</v>
      </c>
      <c r="B26" t="s">
        <v>457</v>
      </c>
      <c r="C26" s="226" t="s">
        <v>754</v>
      </c>
      <c r="D26" s="46" t="s">
        <v>611</v>
      </c>
    </row>
    <row r="27" spans="1:4" hidden="1">
      <c r="A27" t="s">
        <v>421</v>
      </c>
      <c r="B27" t="s">
        <v>442</v>
      </c>
      <c r="C27" s="226" t="s">
        <v>754</v>
      </c>
      <c r="D27" s="46" t="s">
        <v>611</v>
      </c>
    </row>
    <row r="28" spans="1:4" hidden="1">
      <c r="A28" t="s">
        <v>421</v>
      </c>
      <c r="B28" t="s">
        <v>428</v>
      </c>
      <c r="C28" s="226" t="s">
        <v>754</v>
      </c>
      <c r="D28" s="46" t="s">
        <v>611</v>
      </c>
    </row>
    <row r="29" spans="1:4" hidden="1">
      <c r="A29" t="s">
        <v>421</v>
      </c>
      <c r="B29" t="s">
        <v>510</v>
      </c>
      <c r="C29" s="226" t="s">
        <v>754</v>
      </c>
      <c r="D29" s="46" t="s">
        <v>611</v>
      </c>
    </row>
    <row r="30" spans="1:4" hidden="1">
      <c r="A30" t="s">
        <v>421</v>
      </c>
      <c r="B30" t="s">
        <v>435</v>
      </c>
      <c r="C30" s="226" t="s">
        <v>779</v>
      </c>
      <c r="D30" s="46" t="s">
        <v>611</v>
      </c>
    </row>
    <row r="31" spans="1:4" hidden="1">
      <c r="A31" t="s">
        <v>421</v>
      </c>
      <c r="B31" t="s">
        <v>433</v>
      </c>
      <c r="C31" s="226" t="s">
        <v>779</v>
      </c>
      <c r="D31" s="46" t="s">
        <v>611</v>
      </c>
    </row>
    <row r="32" spans="1:4" hidden="1">
      <c r="A32" t="s">
        <v>421</v>
      </c>
      <c r="B32" t="s">
        <v>438</v>
      </c>
      <c r="C32" s="226" t="s">
        <v>779</v>
      </c>
      <c r="D32" s="46" t="s">
        <v>611</v>
      </c>
    </row>
    <row r="33" spans="1:4" hidden="1">
      <c r="A33" t="s">
        <v>421</v>
      </c>
      <c r="B33" t="s">
        <v>455</v>
      </c>
      <c r="C33" s="226" t="s">
        <v>331</v>
      </c>
      <c r="D33" s="46" t="s">
        <v>611</v>
      </c>
    </row>
    <row r="34" spans="1:4" hidden="1">
      <c r="A34" t="s">
        <v>421</v>
      </c>
      <c r="B34" t="s">
        <v>506</v>
      </c>
      <c r="C34" s="226" t="s">
        <v>331</v>
      </c>
      <c r="D34" s="46" t="s">
        <v>611</v>
      </c>
    </row>
    <row r="35" spans="1:4" hidden="1">
      <c r="A35" t="s">
        <v>421</v>
      </c>
      <c r="B35" t="s">
        <v>458</v>
      </c>
      <c r="C35" s="226" t="s">
        <v>780</v>
      </c>
      <c r="D35" s="46" t="s">
        <v>611</v>
      </c>
    </row>
    <row r="36" spans="1:4" hidden="1">
      <c r="A36" t="s">
        <v>421</v>
      </c>
      <c r="B36" t="s">
        <v>512</v>
      </c>
      <c r="C36" s="226" t="s">
        <v>780</v>
      </c>
      <c r="D36" s="46" t="s">
        <v>611</v>
      </c>
    </row>
    <row r="37" spans="1:4" hidden="1">
      <c r="A37" t="s">
        <v>421</v>
      </c>
      <c r="B37" t="s">
        <v>449</v>
      </c>
      <c r="C37" s="226" t="s">
        <v>781</v>
      </c>
      <c r="D37" s="46" t="s">
        <v>656</v>
      </c>
    </row>
    <row r="38" spans="1:4" hidden="1">
      <c r="A38" t="s">
        <v>421</v>
      </c>
      <c r="B38" t="s">
        <v>430</v>
      </c>
      <c r="C38" s="226" t="s">
        <v>653</v>
      </c>
      <c r="D38" s="46" t="s">
        <v>611</v>
      </c>
    </row>
    <row r="39" spans="1:4" hidden="1">
      <c r="A39" t="s">
        <v>421</v>
      </c>
      <c r="B39" t="s">
        <v>445</v>
      </c>
      <c r="C39" s="226" t="s">
        <v>653</v>
      </c>
      <c r="D39" s="46" t="s">
        <v>611</v>
      </c>
    </row>
    <row r="40" spans="1:4" hidden="1">
      <c r="A40" t="s">
        <v>421</v>
      </c>
      <c r="B40" t="s">
        <v>426</v>
      </c>
      <c r="C40" s="226" t="s">
        <v>653</v>
      </c>
      <c r="D40" s="46" t="s">
        <v>611</v>
      </c>
    </row>
    <row r="41" spans="1:4" hidden="1">
      <c r="A41" t="s">
        <v>421</v>
      </c>
      <c r="B41" t="s">
        <v>423</v>
      </c>
      <c r="C41" s="226" t="s">
        <v>653</v>
      </c>
      <c r="D41" s="46" t="s">
        <v>611</v>
      </c>
    </row>
    <row r="42" spans="1:4" hidden="1">
      <c r="A42" t="s">
        <v>421</v>
      </c>
      <c r="B42" t="s">
        <v>432</v>
      </c>
      <c r="C42" s="226" t="s">
        <v>659</v>
      </c>
      <c r="D42" s="46" t="s">
        <v>611</v>
      </c>
    </row>
    <row r="43" spans="1:4" hidden="1">
      <c r="A43" t="s">
        <v>421</v>
      </c>
      <c r="B43" t="s">
        <v>460</v>
      </c>
      <c r="C43" s="226" t="s">
        <v>782</v>
      </c>
      <c r="D43" s="46" t="s">
        <v>611</v>
      </c>
    </row>
    <row r="44" spans="1:4" hidden="1">
      <c r="A44" t="s">
        <v>421</v>
      </c>
      <c r="B44" t="s">
        <v>501</v>
      </c>
      <c r="C44" s="226" t="s">
        <v>782</v>
      </c>
      <c r="D44" s="46" t="s">
        <v>611</v>
      </c>
    </row>
    <row r="45" spans="1:4" hidden="1">
      <c r="A45" t="s">
        <v>421</v>
      </c>
      <c r="B45" t="s">
        <v>500</v>
      </c>
      <c r="C45" s="226" t="s">
        <v>652</v>
      </c>
      <c r="D45" s="46" t="s">
        <v>611</v>
      </c>
    </row>
    <row r="46" spans="1:4" hidden="1">
      <c r="A46" t="s">
        <v>421</v>
      </c>
      <c r="B46" t="s">
        <v>444</v>
      </c>
      <c r="C46" s="226" t="s">
        <v>783</v>
      </c>
      <c r="D46" s="46" t="s">
        <v>611</v>
      </c>
    </row>
    <row r="47" spans="1:4" hidden="1">
      <c r="A47" t="s">
        <v>421</v>
      </c>
      <c r="B47" t="s">
        <v>446</v>
      </c>
      <c r="C47" s="226" t="s">
        <v>784</v>
      </c>
      <c r="D47" s="46" t="s">
        <v>611</v>
      </c>
    </row>
    <row r="48" spans="1:4" hidden="1">
      <c r="A48" t="s">
        <v>421</v>
      </c>
      <c r="B48" t="s">
        <v>498</v>
      </c>
      <c r="C48" s="226" t="s">
        <v>657</v>
      </c>
      <c r="D48" s="46" t="s">
        <v>611</v>
      </c>
    </row>
    <row r="49" spans="1:4" hidden="1">
      <c r="A49" t="s">
        <v>421</v>
      </c>
      <c r="B49" t="s">
        <v>499</v>
      </c>
      <c r="C49" s="226" t="s">
        <v>657</v>
      </c>
      <c r="D49" s="46" t="s">
        <v>611</v>
      </c>
    </row>
    <row r="50" spans="1:4" hidden="1">
      <c r="A50" t="s">
        <v>421</v>
      </c>
      <c r="B50" t="s">
        <v>515</v>
      </c>
      <c r="C50" s="226" t="s">
        <v>657</v>
      </c>
      <c r="D50" s="46" t="s">
        <v>611</v>
      </c>
    </row>
    <row r="51" spans="1:4" hidden="1">
      <c r="A51" t="s">
        <v>421</v>
      </c>
      <c r="B51" t="s">
        <v>502</v>
      </c>
      <c r="C51" s="226" t="s">
        <v>658</v>
      </c>
      <c r="D51" s="46" t="s">
        <v>611</v>
      </c>
    </row>
    <row r="52" spans="1:4" hidden="1">
      <c r="A52" t="s">
        <v>421</v>
      </c>
      <c r="B52" t="s">
        <v>448</v>
      </c>
      <c r="C52" s="226" t="s">
        <v>658</v>
      </c>
      <c r="D52" s="46" t="s">
        <v>611</v>
      </c>
    </row>
    <row r="53" spans="1:4" hidden="1">
      <c r="A53" t="s">
        <v>421</v>
      </c>
      <c r="B53" t="s">
        <v>494</v>
      </c>
      <c r="C53" s="226" t="s">
        <v>785</v>
      </c>
      <c r="D53" s="46" t="s">
        <v>611</v>
      </c>
    </row>
    <row r="54" spans="1:4" hidden="1">
      <c r="A54" t="s">
        <v>421</v>
      </c>
      <c r="B54" t="s">
        <v>447</v>
      </c>
      <c r="C54" s="226" t="s">
        <v>785</v>
      </c>
      <c r="D54" s="46" t="s">
        <v>611</v>
      </c>
    </row>
    <row r="55" spans="1:4" hidden="1">
      <c r="A55" t="s">
        <v>421</v>
      </c>
      <c r="B55" t="s">
        <v>437</v>
      </c>
      <c r="C55" s="226" t="s">
        <v>785</v>
      </c>
      <c r="D55" s="46" t="s">
        <v>611</v>
      </c>
    </row>
    <row r="56" spans="1:4" hidden="1">
      <c r="A56" t="s">
        <v>421</v>
      </c>
      <c r="B56" t="s">
        <v>452</v>
      </c>
      <c r="C56" s="226" t="s">
        <v>785</v>
      </c>
      <c r="D56" s="46" t="s">
        <v>611</v>
      </c>
    </row>
    <row r="57" spans="1:4" hidden="1">
      <c r="A57" t="s">
        <v>421</v>
      </c>
      <c r="B57" t="s">
        <v>509</v>
      </c>
      <c r="C57" s="226" t="s">
        <v>785</v>
      </c>
      <c r="D57" s="46" t="s">
        <v>611</v>
      </c>
    </row>
    <row r="58" spans="1:4" hidden="1">
      <c r="A58" t="s">
        <v>421</v>
      </c>
      <c r="B58" t="s">
        <v>439</v>
      </c>
      <c r="C58" s="226" t="s">
        <v>785</v>
      </c>
      <c r="D58" s="46" t="s">
        <v>611</v>
      </c>
    </row>
    <row r="59" spans="1:4" hidden="1">
      <c r="A59" t="s">
        <v>421</v>
      </c>
      <c r="B59" t="s">
        <v>440</v>
      </c>
      <c r="C59" s="226" t="s">
        <v>785</v>
      </c>
      <c r="D59" s="46" t="s">
        <v>611</v>
      </c>
    </row>
    <row r="60" spans="1:4" hidden="1">
      <c r="A60" t="s">
        <v>421</v>
      </c>
      <c r="B60" t="s">
        <v>431</v>
      </c>
      <c r="C60" s="226" t="s">
        <v>786</v>
      </c>
      <c r="D60" s="46" t="s">
        <v>611</v>
      </c>
    </row>
    <row r="61" spans="1:4" hidden="1">
      <c r="A61" t="s">
        <v>421</v>
      </c>
      <c r="B61" t="s">
        <v>424</v>
      </c>
      <c r="C61" s="226" t="s">
        <v>786</v>
      </c>
      <c r="D61" s="46" t="s">
        <v>611</v>
      </c>
    </row>
    <row r="62" spans="1:4" hidden="1">
      <c r="A62" t="s">
        <v>421</v>
      </c>
      <c r="B62" t="s">
        <v>434</v>
      </c>
      <c r="C62" s="226" t="s">
        <v>786</v>
      </c>
      <c r="D62" s="46" t="s">
        <v>611</v>
      </c>
    </row>
    <row r="63" spans="1:4" hidden="1">
      <c r="A63" t="s">
        <v>421</v>
      </c>
      <c r="B63" t="s">
        <v>425</v>
      </c>
      <c r="C63" s="226" t="s">
        <v>655</v>
      </c>
      <c r="D63" s="46" t="s">
        <v>611</v>
      </c>
    </row>
    <row r="64" spans="1:4" hidden="1">
      <c r="A64" t="s">
        <v>421</v>
      </c>
      <c r="B64" t="s">
        <v>533</v>
      </c>
      <c r="C64" s="226" t="s">
        <v>787</v>
      </c>
      <c r="D64" s="46" t="s">
        <v>611</v>
      </c>
    </row>
    <row r="65" spans="1:4" hidden="1">
      <c r="A65" t="s">
        <v>421</v>
      </c>
      <c r="B65" t="s">
        <v>547</v>
      </c>
      <c r="C65" s="226" t="s">
        <v>787</v>
      </c>
      <c r="D65" s="46" t="s">
        <v>611</v>
      </c>
    </row>
    <row r="66" spans="1:4" hidden="1">
      <c r="A66" t="s">
        <v>421</v>
      </c>
      <c r="B66" t="s">
        <v>463</v>
      </c>
      <c r="C66" s="226" t="s">
        <v>787</v>
      </c>
      <c r="D66" s="46" t="s">
        <v>611</v>
      </c>
    </row>
    <row r="67" spans="1:4" hidden="1">
      <c r="A67" t="s">
        <v>421</v>
      </c>
      <c r="B67" t="s">
        <v>453</v>
      </c>
      <c r="C67" s="226" t="s">
        <v>787</v>
      </c>
      <c r="D67" s="46" t="s">
        <v>611</v>
      </c>
    </row>
    <row r="68" spans="1:4" hidden="1">
      <c r="A68" t="s">
        <v>421</v>
      </c>
      <c r="B68" t="s">
        <v>504</v>
      </c>
      <c r="C68" s="226" t="s">
        <v>787</v>
      </c>
      <c r="D68" s="46" t="s">
        <v>611</v>
      </c>
    </row>
    <row r="69" spans="1:4" hidden="1">
      <c r="A69" t="s">
        <v>421</v>
      </c>
      <c r="B69" t="s">
        <v>429</v>
      </c>
      <c r="C69" s="226" t="s">
        <v>787</v>
      </c>
      <c r="D69" s="46" t="s">
        <v>611</v>
      </c>
    </row>
    <row r="70" spans="1:4" hidden="1">
      <c r="A70" t="s">
        <v>421</v>
      </c>
      <c r="B70" t="s">
        <v>514</v>
      </c>
      <c r="C70" s="226" t="s">
        <v>787</v>
      </c>
      <c r="D70" s="46" t="s">
        <v>611</v>
      </c>
    </row>
    <row r="71" spans="1:4" hidden="1">
      <c r="A71" t="s">
        <v>421</v>
      </c>
      <c r="B71" t="s">
        <v>441</v>
      </c>
      <c r="C71" s="226" t="s">
        <v>787</v>
      </c>
      <c r="D71" s="46" t="s">
        <v>611</v>
      </c>
    </row>
    <row r="72" spans="1:4" hidden="1">
      <c r="A72" t="s">
        <v>421</v>
      </c>
      <c r="B72" t="s">
        <v>496</v>
      </c>
      <c r="C72" s="226" t="s">
        <v>788</v>
      </c>
      <c r="D72" s="46" t="s">
        <v>611</v>
      </c>
    </row>
    <row r="73" spans="1:4" hidden="1">
      <c r="A73" t="s">
        <v>421</v>
      </c>
      <c r="B73" t="s">
        <v>486</v>
      </c>
      <c r="C73" s="226" t="s">
        <v>788</v>
      </c>
      <c r="D73" s="46" t="s">
        <v>611</v>
      </c>
    </row>
    <row r="74" spans="1:4" hidden="1">
      <c r="A74" t="s">
        <v>421</v>
      </c>
      <c r="B74" t="s">
        <v>511</v>
      </c>
      <c r="C74" s="226" t="s">
        <v>788</v>
      </c>
      <c r="D74" s="46" t="s">
        <v>611</v>
      </c>
    </row>
    <row r="75" spans="1:4" hidden="1">
      <c r="A75" t="s">
        <v>421</v>
      </c>
      <c r="B75" t="s">
        <v>505</v>
      </c>
      <c r="C75" s="226" t="s">
        <v>788</v>
      </c>
      <c r="D75" s="46" t="s">
        <v>611</v>
      </c>
    </row>
    <row r="76" spans="1:4" hidden="1">
      <c r="A76" t="s">
        <v>421</v>
      </c>
      <c r="B76" t="s">
        <v>527</v>
      </c>
      <c r="C76" s="226" t="s">
        <v>788</v>
      </c>
      <c r="D76" s="46" t="s">
        <v>611</v>
      </c>
    </row>
    <row r="77" spans="1:4" hidden="1">
      <c r="A77" t="s">
        <v>421</v>
      </c>
      <c r="B77" t="s">
        <v>523</v>
      </c>
      <c r="C77" s="226" t="s">
        <v>788</v>
      </c>
      <c r="D77" s="46" t="s">
        <v>611</v>
      </c>
    </row>
    <row r="78" spans="1:4" hidden="1">
      <c r="A78" t="s">
        <v>421</v>
      </c>
      <c r="B78" t="s">
        <v>516</v>
      </c>
      <c r="C78" s="226" t="s">
        <v>788</v>
      </c>
      <c r="D78" s="46" t="s">
        <v>611</v>
      </c>
    </row>
    <row r="79" spans="1:4" hidden="1">
      <c r="A79" t="s">
        <v>421</v>
      </c>
      <c r="B79" t="s">
        <v>528</v>
      </c>
      <c r="C79" s="226" t="s">
        <v>788</v>
      </c>
      <c r="D79" s="46" t="s">
        <v>611</v>
      </c>
    </row>
    <row r="80" spans="1:4" hidden="1">
      <c r="A80" t="s">
        <v>421</v>
      </c>
      <c r="B80" t="s">
        <v>548</v>
      </c>
      <c r="C80" s="226" t="s">
        <v>788</v>
      </c>
      <c r="D80" s="46" t="s">
        <v>611</v>
      </c>
    </row>
    <row r="81" spans="1:4" hidden="1">
      <c r="A81" t="s">
        <v>421</v>
      </c>
      <c r="B81" t="s">
        <v>508</v>
      </c>
      <c r="C81" s="226" t="s">
        <v>788</v>
      </c>
      <c r="D81" s="46" t="s">
        <v>611</v>
      </c>
    </row>
    <row r="82" spans="1:4" hidden="1">
      <c r="A82" t="s">
        <v>421</v>
      </c>
      <c r="B82" t="s">
        <v>518</v>
      </c>
      <c r="C82" s="226" t="s">
        <v>788</v>
      </c>
      <c r="D82" s="46" t="s">
        <v>611</v>
      </c>
    </row>
    <row r="83" spans="1:4" hidden="1">
      <c r="A83" t="s">
        <v>421</v>
      </c>
      <c r="B83" t="s">
        <v>524</v>
      </c>
      <c r="C83" s="226" t="s">
        <v>788</v>
      </c>
      <c r="D83" s="46" t="s">
        <v>611</v>
      </c>
    </row>
    <row r="84" spans="1:4" hidden="1">
      <c r="A84" t="s">
        <v>421</v>
      </c>
      <c r="B84" t="s">
        <v>545</v>
      </c>
      <c r="C84" s="226" t="s">
        <v>788</v>
      </c>
      <c r="D84" s="46" t="s">
        <v>611</v>
      </c>
    </row>
    <row r="85" spans="1:4" hidden="1">
      <c r="A85" t="s">
        <v>421</v>
      </c>
      <c r="B85" t="s">
        <v>544</v>
      </c>
      <c r="C85" s="226" t="s">
        <v>788</v>
      </c>
      <c r="D85" s="46" t="s">
        <v>611</v>
      </c>
    </row>
    <row r="86" spans="1:4" hidden="1">
      <c r="A86" t="s">
        <v>421</v>
      </c>
      <c r="B86" t="s">
        <v>536</v>
      </c>
      <c r="C86" s="226" t="s">
        <v>788</v>
      </c>
      <c r="D86" s="46" t="s">
        <v>611</v>
      </c>
    </row>
    <row r="87" spans="1:4" hidden="1">
      <c r="A87" t="s">
        <v>421</v>
      </c>
      <c r="B87" t="s">
        <v>521</v>
      </c>
      <c r="C87" s="226" t="s">
        <v>788</v>
      </c>
      <c r="D87" s="46" t="s">
        <v>611</v>
      </c>
    </row>
    <row r="88" spans="1:4" hidden="1">
      <c r="A88" t="s">
        <v>421</v>
      </c>
      <c r="B88" t="s">
        <v>537</v>
      </c>
      <c r="C88" s="226" t="s">
        <v>788</v>
      </c>
      <c r="D88" s="46" t="s">
        <v>611</v>
      </c>
    </row>
    <row r="89" spans="1:4" hidden="1">
      <c r="A89" t="s">
        <v>421</v>
      </c>
      <c r="B89" t="s">
        <v>529</v>
      </c>
      <c r="C89" s="226" t="s">
        <v>788</v>
      </c>
      <c r="D89" s="46" t="s">
        <v>611</v>
      </c>
    </row>
    <row r="90" spans="1:4" hidden="1">
      <c r="A90" t="s">
        <v>421</v>
      </c>
      <c r="B90" t="s">
        <v>534</v>
      </c>
      <c r="C90" s="226" t="s">
        <v>788</v>
      </c>
      <c r="D90" s="46" t="s">
        <v>611</v>
      </c>
    </row>
    <row r="91" spans="1:4" hidden="1">
      <c r="A91" t="s">
        <v>421</v>
      </c>
      <c r="B91" t="s">
        <v>522</v>
      </c>
      <c r="C91" s="226" t="s">
        <v>788</v>
      </c>
      <c r="D91" s="46" t="s">
        <v>611</v>
      </c>
    </row>
    <row r="92" spans="1:4" hidden="1">
      <c r="A92" t="s">
        <v>421</v>
      </c>
      <c r="B92" t="s">
        <v>539</v>
      </c>
      <c r="C92" s="226" t="s">
        <v>788</v>
      </c>
      <c r="D92" s="46" t="s">
        <v>611</v>
      </c>
    </row>
    <row r="93" spans="1:4" hidden="1">
      <c r="A93" t="s">
        <v>421</v>
      </c>
      <c r="B93" t="s">
        <v>525</v>
      </c>
      <c r="C93" s="226" t="s">
        <v>788</v>
      </c>
      <c r="D93" s="46" t="s">
        <v>611</v>
      </c>
    </row>
    <row r="94" spans="1:4" hidden="1">
      <c r="A94" t="s">
        <v>421</v>
      </c>
      <c r="B94" t="s">
        <v>538</v>
      </c>
      <c r="C94" s="226" t="s">
        <v>788</v>
      </c>
      <c r="D94" s="46" t="s">
        <v>611</v>
      </c>
    </row>
    <row r="95" spans="1:4" hidden="1">
      <c r="A95" t="s">
        <v>421</v>
      </c>
      <c r="B95" t="s">
        <v>540</v>
      </c>
      <c r="C95" s="226" t="s">
        <v>788</v>
      </c>
      <c r="D95" s="46" t="s">
        <v>611</v>
      </c>
    </row>
    <row r="96" spans="1:4" hidden="1">
      <c r="A96" t="s">
        <v>421</v>
      </c>
      <c r="B96" t="s">
        <v>517</v>
      </c>
      <c r="C96" s="226" t="s">
        <v>788</v>
      </c>
      <c r="D96" s="46" t="s">
        <v>611</v>
      </c>
    </row>
    <row r="97" spans="1:4" hidden="1">
      <c r="A97" t="s">
        <v>421</v>
      </c>
      <c r="B97" t="s">
        <v>541</v>
      </c>
      <c r="C97" s="226" t="s">
        <v>788</v>
      </c>
      <c r="D97" s="46" t="s">
        <v>611</v>
      </c>
    </row>
    <row r="98" spans="1:4" hidden="1">
      <c r="A98" t="s">
        <v>421</v>
      </c>
      <c r="B98" t="s">
        <v>530</v>
      </c>
      <c r="C98" s="226" t="s">
        <v>788</v>
      </c>
      <c r="D98" s="46" t="s">
        <v>611</v>
      </c>
    </row>
    <row r="99" spans="1:4" hidden="1">
      <c r="A99" t="s">
        <v>421</v>
      </c>
      <c r="B99" t="s">
        <v>507</v>
      </c>
      <c r="C99" s="226" t="s">
        <v>788</v>
      </c>
      <c r="D99" s="46" t="s">
        <v>611</v>
      </c>
    </row>
    <row r="100" spans="1:4" hidden="1">
      <c r="A100" t="s">
        <v>421</v>
      </c>
      <c r="B100" t="s">
        <v>542</v>
      </c>
      <c r="C100" s="226" t="s">
        <v>788</v>
      </c>
      <c r="D100" s="46" t="s">
        <v>611</v>
      </c>
    </row>
    <row r="101" spans="1:4" hidden="1">
      <c r="A101" t="s">
        <v>421</v>
      </c>
      <c r="B101" t="s">
        <v>526</v>
      </c>
      <c r="C101" s="226" t="s">
        <v>788</v>
      </c>
      <c r="D101" s="46" t="s">
        <v>611</v>
      </c>
    </row>
    <row r="102" spans="1:4" hidden="1">
      <c r="A102" t="s">
        <v>421</v>
      </c>
      <c r="B102" t="s">
        <v>531</v>
      </c>
      <c r="C102" s="226" t="s">
        <v>788</v>
      </c>
      <c r="D102" s="46" t="s">
        <v>611</v>
      </c>
    </row>
    <row r="103" spans="1:4" hidden="1">
      <c r="A103" t="s">
        <v>421</v>
      </c>
      <c r="B103" t="s">
        <v>532</v>
      </c>
      <c r="C103" s="226" t="s">
        <v>788</v>
      </c>
      <c r="D103" s="46" t="s">
        <v>611</v>
      </c>
    </row>
    <row r="104" spans="1:4" hidden="1">
      <c r="A104" t="s">
        <v>421</v>
      </c>
      <c r="B104" t="s">
        <v>543</v>
      </c>
      <c r="C104" s="226" t="s">
        <v>788</v>
      </c>
      <c r="D104" s="46" t="s">
        <v>611</v>
      </c>
    </row>
    <row r="105" spans="1:4" hidden="1">
      <c r="A105" t="s">
        <v>421</v>
      </c>
      <c r="B105" t="s">
        <v>535</v>
      </c>
      <c r="C105" s="226" t="s">
        <v>788</v>
      </c>
      <c r="D105" s="46" t="s">
        <v>611</v>
      </c>
    </row>
    <row r="106" spans="1:4" hidden="1">
      <c r="A106" t="s">
        <v>421</v>
      </c>
      <c r="B106" t="s">
        <v>519</v>
      </c>
      <c r="C106" s="226" t="s">
        <v>788</v>
      </c>
      <c r="D106" s="46" t="s">
        <v>611</v>
      </c>
    </row>
    <row r="107" spans="1:4" hidden="1">
      <c r="A107" t="s">
        <v>421</v>
      </c>
      <c r="B107" t="s">
        <v>461</v>
      </c>
      <c r="C107" s="226" t="s">
        <v>788</v>
      </c>
      <c r="D107" s="46" t="s">
        <v>611</v>
      </c>
    </row>
    <row r="108" spans="1:4" hidden="1">
      <c r="A108" t="s">
        <v>421</v>
      </c>
      <c r="B108" t="s">
        <v>520</v>
      </c>
      <c r="C108" s="226" t="s">
        <v>788</v>
      </c>
      <c r="D108" s="46" t="s">
        <v>611</v>
      </c>
    </row>
    <row r="109" spans="1:4" hidden="1">
      <c r="A109" t="s">
        <v>421</v>
      </c>
      <c r="B109" t="s">
        <v>503</v>
      </c>
      <c r="C109" s="226" t="s">
        <v>788</v>
      </c>
      <c r="D109" s="46" t="s">
        <v>611</v>
      </c>
    </row>
    <row r="110" spans="1:4" hidden="1">
      <c r="A110" t="s">
        <v>421</v>
      </c>
      <c r="B110" t="s">
        <v>464</v>
      </c>
      <c r="C110" s="226" t="s">
        <v>788</v>
      </c>
      <c r="D110" s="46" t="s">
        <v>611</v>
      </c>
    </row>
    <row r="111" spans="1:4" hidden="1">
      <c r="A111" t="s">
        <v>421</v>
      </c>
      <c r="B111" t="s">
        <v>476</v>
      </c>
      <c r="C111" s="226" t="s">
        <v>788</v>
      </c>
      <c r="D111" s="46" t="s">
        <v>611</v>
      </c>
    </row>
    <row r="112" spans="1:4" hidden="1">
      <c r="A112" t="s">
        <v>421</v>
      </c>
      <c r="B112" t="s">
        <v>487</v>
      </c>
      <c r="C112" s="226" t="s">
        <v>788</v>
      </c>
      <c r="D112" s="46" t="s">
        <v>611</v>
      </c>
    </row>
    <row r="113" spans="1:4" hidden="1">
      <c r="A113" t="s">
        <v>421</v>
      </c>
      <c r="B113" t="s">
        <v>472</v>
      </c>
      <c r="C113" s="226" t="s">
        <v>788</v>
      </c>
      <c r="D113" s="46" t="s">
        <v>611</v>
      </c>
    </row>
    <row r="114" spans="1:4" hidden="1">
      <c r="A114" t="s">
        <v>421</v>
      </c>
      <c r="B114" t="s">
        <v>473</v>
      </c>
      <c r="C114" s="226" t="s">
        <v>788</v>
      </c>
      <c r="D114" s="46" t="s">
        <v>611</v>
      </c>
    </row>
    <row r="115" spans="1:4" hidden="1">
      <c r="A115" t="s">
        <v>421</v>
      </c>
      <c r="B115" t="s">
        <v>550</v>
      </c>
      <c r="C115" s="226" t="s">
        <v>788</v>
      </c>
      <c r="D115" s="46" t="s">
        <v>611</v>
      </c>
    </row>
    <row r="116" spans="1:4" hidden="1">
      <c r="A116" t="s">
        <v>421</v>
      </c>
      <c r="B116" t="s">
        <v>462</v>
      </c>
      <c r="C116" s="226" t="s">
        <v>788</v>
      </c>
      <c r="D116" s="46" t="s">
        <v>611</v>
      </c>
    </row>
    <row r="117" spans="1:4" hidden="1">
      <c r="A117" t="s">
        <v>421</v>
      </c>
      <c r="B117" t="s">
        <v>491</v>
      </c>
      <c r="C117" s="226" t="s">
        <v>788</v>
      </c>
      <c r="D117" s="46" t="s">
        <v>611</v>
      </c>
    </row>
    <row r="118" spans="1:4" hidden="1">
      <c r="A118" t="s">
        <v>421</v>
      </c>
      <c r="B118" t="s">
        <v>465</v>
      </c>
      <c r="C118" s="226" t="s">
        <v>788</v>
      </c>
      <c r="D118" s="46" t="s">
        <v>611</v>
      </c>
    </row>
    <row r="119" spans="1:4" hidden="1">
      <c r="A119" t="s">
        <v>421</v>
      </c>
      <c r="B119" t="s">
        <v>484</v>
      </c>
      <c r="C119" s="226" t="s">
        <v>788</v>
      </c>
      <c r="D119" s="46" t="s">
        <v>611</v>
      </c>
    </row>
    <row r="120" spans="1:4" hidden="1">
      <c r="A120" t="s">
        <v>421</v>
      </c>
      <c r="B120" t="s">
        <v>488</v>
      </c>
      <c r="C120" s="226" t="s">
        <v>788</v>
      </c>
      <c r="D120" s="46" t="s">
        <v>611</v>
      </c>
    </row>
    <row r="121" spans="1:4" hidden="1">
      <c r="A121" t="s">
        <v>421</v>
      </c>
      <c r="B121" t="s">
        <v>477</v>
      </c>
      <c r="C121" s="226" t="s">
        <v>788</v>
      </c>
      <c r="D121" s="46" t="s">
        <v>611</v>
      </c>
    </row>
    <row r="122" spans="1:4" hidden="1">
      <c r="A122" t="s">
        <v>421</v>
      </c>
      <c r="B122" t="s">
        <v>492</v>
      </c>
      <c r="C122" s="226" t="s">
        <v>788</v>
      </c>
      <c r="D122" s="46" t="s">
        <v>611</v>
      </c>
    </row>
    <row r="123" spans="1:4" hidden="1">
      <c r="A123" t="s">
        <v>421</v>
      </c>
      <c r="B123" t="s">
        <v>467</v>
      </c>
      <c r="C123" s="226" t="s">
        <v>788</v>
      </c>
      <c r="D123" s="46" t="s">
        <v>611</v>
      </c>
    </row>
    <row r="124" spans="1:4" hidden="1">
      <c r="A124" t="s">
        <v>421</v>
      </c>
      <c r="B124" t="s">
        <v>549</v>
      </c>
      <c r="C124" s="226" t="s">
        <v>788</v>
      </c>
      <c r="D124" s="46" t="s">
        <v>611</v>
      </c>
    </row>
    <row r="125" spans="1:4" hidden="1">
      <c r="A125" t="s">
        <v>421</v>
      </c>
      <c r="B125" t="s">
        <v>490</v>
      </c>
      <c r="C125" s="226" t="s">
        <v>788</v>
      </c>
      <c r="D125" s="46" t="s">
        <v>611</v>
      </c>
    </row>
    <row r="126" spans="1:4" hidden="1">
      <c r="A126" t="s">
        <v>421</v>
      </c>
      <c r="B126" t="s">
        <v>485</v>
      </c>
      <c r="C126" s="226" t="s">
        <v>788</v>
      </c>
      <c r="D126" s="46" t="s">
        <v>611</v>
      </c>
    </row>
    <row r="127" spans="1:4" hidden="1">
      <c r="A127" t="s">
        <v>421</v>
      </c>
      <c r="B127" t="s">
        <v>483</v>
      </c>
      <c r="C127" s="226" t="s">
        <v>788</v>
      </c>
      <c r="D127" s="46" t="s">
        <v>611</v>
      </c>
    </row>
    <row r="128" spans="1:4" hidden="1">
      <c r="A128" t="s">
        <v>421</v>
      </c>
      <c r="B128" t="s">
        <v>468</v>
      </c>
      <c r="C128" s="226" t="s">
        <v>788</v>
      </c>
      <c r="D128" s="46" t="s">
        <v>611</v>
      </c>
    </row>
    <row r="129" spans="1:4" hidden="1">
      <c r="A129" t="s">
        <v>421</v>
      </c>
      <c r="B129" t="s">
        <v>478</v>
      </c>
      <c r="C129" s="226" t="s">
        <v>788</v>
      </c>
      <c r="D129" s="46" t="s">
        <v>611</v>
      </c>
    </row>
    <row r="130" spans="1:4" hidden="1">
      <c r="A130" t="s">
        <v>421</v>
      </c>
      <c r="B130" t="s">
        <v>479</v>
      </c>
      <c r="C130" s="226" t="s">
        <v>788</v>
      </c>
      <c r="D130" s="46" t="s">
        <v>611</v>
      </c>
    </row>
    <row r="131" spans="1:4" hidden="1">
      <c r="A131" t="s">
        <v>421</v>
      </c>
      <c r="B131" t="s">
        <v>495</v>
      </c>
      <c r="C131" s="226" t="s">
        <v>788</v>
      </c>
      <c r="D131" s="46" t="s">
        <v>611</v>
      </c>
    </row>
    <row r="132" spans="1:4" hidden="1">
      <c r="A132" t="s">
        <v>421</v>
      </c>
      <c r="B132" t="s">
        <v>493</v>
      </c>
      <c r="C132" s="226" t="s">
        <v>788</v>
      </c>
      <c r="D132" s="46" t="s">
        <v>611</v>
      </c>
    </row>
    <row r="133" spans="1:4" hidden="1">
      <c r="A133" t="s">
        <v>421</v>
      </c>
      <c r="B133" t="s">
        <v>469</v>
      </c>
      <c r="C133" s="226" t="s">
        <v>788</v>
      </c>
      <c r="D133" s="46" t="s">
        <v>611</v>
      </c>
    </row>
    <row r="134" spans="1:4" hidden="1">
      <c r="A134" t="s">
        <v>421</v>
      </c>
      <c r="B134" t="s">
        <v>480</v>
      </c>
      <c r="C134" s="226" t="s">
        <v>788</v>
      </c>
      <c r="D134" s="46" t="s">
        <v>611</v>
      </c>
    </row>
    <row r="135" spans="1:4" hidden="1">
      <c r="A135" t="s">
        <v>421</v>
      </c>
      <c r="B135" t="s">
        <v>481</v>
      </c>
      <c r="C135" s="226" t="s">
        <v>788</v>
      </c>
      <c r="D135" s="46" t="s">
        <v>611</v>
      </c>
    </row>
    <row r="136" spans="1:4" hidden="1">
      <c r="A136" t="s">
        <v>421</v>
      </c>
      <c r="B136" t="s">
        <v>470</v>
      </c>
      <c r="C136" s="226" t="s">
        <v>788</v>
      </c>
      <c r="D136" s="46" t="s">
        <v>611</v>
      </c>
    </row>
    <row r="137" spans="1:4" hidden="1">
      <c r="A137" t="s">
        <v>421</v>
      </c>
      <c r="B137" t="s">
        <v>475</v>
      </c>
      <c r="C137" s="226" t="s">
        <v>788</v>
      </c>
      <c r="D137" s="46" t="s">
        <v>611</v>
      </c>
    </row>
    <row r="138" spans="1:4" hidden="1">
      <c r="A138" t="s">
        <v>421</v>
      </c>
      <c r="B138" t="s">
        <v>471</v>
      </c>
      <c r="C138" s="226" t="s">
        <v>788</v>
      </c>
      <c r="D138" s="46" t="s">
        <v>611</v>
      </c>
    </row>
    <row r="139" spans="1:4" hidden="1">
      <c r="A139" t="s">
        <v>421</v>
      </c>
      <c r="B139" t="s">
        <v>482</v>
      </c>
      <c r="C139" s="226" t="s">
        <v>788</v>
      </c>
      <c r="D139" s="46" t="s">
        <v>611</v>
      </c>
    </row>
    <row r="140" spans="1:4" hidden="1">
      <c r="A140" t="s">
        <v>421</v>
      </c>
      <c r="B140" t="s">
        <v>466</v>
      </c>
      <c r="C140" s="226" t="s">
        <v>788</v>
      </c>
      <c r="D140" s="46" t="s">
        <v>611</v>
      </c>
    </row>
    <row r="141" spans="1:4" hidden="1">
      <c r="A141" t="s">
        <v>421</v>
      </c>
      <c r="B141" t="s">
        <v>489</v>
      </c>
      <c r="C141" s="226" t="s">
        <v>788</v>
      </c>
      <c r="D141" s="46" t="s">
        <v>611</v>
      </c>
    </row>
    <row r="142" spans="1:4" hidden="1">
      <c r="A142" t="s">
        <v>421</v>
      </c>
      <c r="B142" t="s">
        <v>474</v>
      </c>
      <c r="C142" s="226" t="s">
        <v>788</v>
      </c>
      <c r="D142" s="46" t="s">
        <v>611</v>
      </c>
    </row>
    <row r="143" spans="1:4" hidden="1">
      <c r="A143" t="s">
        <v>421</v>
      </c>
      <c r="B143" t="s">
        <v>546</v>
      </c>
      <c r="C143" s="226" t="s">
        <v>789</v>
      </c>
      <c r="D143" s="46" t="s">
        <v>611</v>
      </c>
    </row>
    <row r="144" spans="1:4" hidden="1">
      <c r="A144" t="s">
        <v>421</v>
      </c>
      <c r="B144" t="s">
        <v>459</v>
      </c>
      <c r="C144" s="226" t="s">
        <v>789</v>
      </c>
      <c r="D144" s="46" t="s">
        <v>611</v>
      </c>
    </row>
    <row r="145" spans="1:4" hidden="1">
      <c r="A145" t="s">
        <v>421</v>
      </c>
      <c r="B145" t="s">
        <v>436</v>
      </c>
      <c r="C145" s="226" t="s">
        <v>793</v>
      </c>
      <c r="D145" s="46" t="s">
        <v>611</v>
      </c>
    </row>
    <row r="146" spans="1:4" hidden="1">
      <c r="A146" t="s">
        <v>421</v>
      </c>
      <c r="B146" t="s">
        <v>443</v>
      </c>
      <c r="C146" s="226" t="s">
        <v>793</v>
      </c>
      <c r="D146" s="46" t="s">
        <v>611</v>
      </c>
    </row>
    <row r="147" spans="1:4" hidden="1">
      <c r="A147" t="s">
        <v>421</v>
      </c>
      <c r="B147" t="s">
        <v>456</v>
      </c>
      <c r="C147" s="226" t="s">
        <v>790</v>
      </c>
      <c r="D147" s="46" t="s">
        <v>611</v>
      </c>
    </row>
    <row r="148" spans="1:4" hidden="1">
      <c r="A148" t="s">
        <v>421</v>
      </c>
      <c r="B148" t="s">
        <v>451</v>
      </c>
      <c r="C148" s="226" t="s">
        <v>790</v>
      </c>
      <c r="D148" s="46" t="s">
        <v>611</v>
      </c>
    </row>
    <row r="149" spans="1:4" hidden="1">
      <c r="A149" t="s">
        <v>421</v>
      </c>
      <c r="B149" t="s">
        <v>450</v>
      </c>
      <c r="C149" s="226" t="s">
        <v>791</v>
      </c>
      <c r="D149" s="46" t="s">
        <v>611</v>
      </c>
    </row>
    <row r="150" spans="1:4" hidden="1">
      <c r="A150" t="s">
        <v>421</v>
      </c>
      <c r="B150" t="s">
        <v>454</v>
      </c>
      <c r="C150" s="226" t="s">
        <v>792</v>
      </c>
      <c r="D150" s="46" t="s">
        <v>611</v>
      </c>
    </row>
    <row r="151" spans="1:4" hidden="1">
      <c r="A151" t="s">
        <v>421</v>
      </c>
      <c r="B151" t="s">
        <v>497</v>
      </c>
      <c r="C151" s="226" t="s">
        <v>792</v>
      </c>
      <c r="D151" s="46" t="s">
        <v>611</v>
      </c>
    </row>
    <row r="152" spans="1:4" hidden="1">
      <c r="A152" t="s">
        <v>753</v>
      </c>
      <c r="B152" s="228" t="s">
        <v>735</v>
      </c>
      <c r="C152" s="226" t="s">
        <v>773</v>
      </c>
      <c r="D152" s="46" t="s">
        <v>611</v>
      </c>
    </row>
    <row r="153" spans="1:4" hidden="1">
      <c r="A153" t="s">
        <v>753</v>
      </c>
      <c r="B153" s="228" t="s">
        <v>743</v>
      </c>
      <c r="C153" s="226" t="s">
        <v>773</v>
      </c>
      <c r="D153" s="46" t="s">
        <v>611</v>
      </c>
    </row>
    <row r="154" spans="1:4" hidden="1">
      <c r="A154" t="s">
        <v>753</v>
      </c>
      <c r="B154" s="228" t="s">
        <v>694</v>
      </c>
      <c r="C154" s="226" t="s">
        <v>773</v>
      </c>
      <c r="D154" s="46" t="s">
        <v>611</v>
      </c>
    </row>
    <row r="155" spans="1:4" hidden="1">
      <c r="A155" t="s">
        <v>753</v>
      </c>
      <c r="B155" s="228" t="s">
        <v>697</v>
      </c>
      <c r="C155" s="226" t="s">
        <v>773</v>
      </c>
      <c r="D155" s="46" t="s">
        <v>611</v>
      </c>
    </row>
    <row r="156" spans="1:4" hidden="1">
      <c r="A156" t="s">
        <v>753</v>
      </c>
      <c r="B156" s="228" t="s">
        <v>699</v>
      </c>
      <c r="C156" s="226" t="s">
        <v>773</v>
      </c>
      <c r="D156" s="46" t="s">
        <v>611</v>
      </c>
    </row>
    <row r="157" spans="1:4" hidden="1">
      <c r="A157" t="s">
        <v>753</v>
      </c>
      <c r="B157" s="228" t="s">
        <v>703</v>
      </c>
      <c r="C157" s="226" t="s">
        <v>773</v>
      </c>
      <c r="D157" s="46" t="s">
        <v>611</v>
      </c>
    </row>
    <row r="158" spans="1:4" hidden="1">
      <c r="A158" t="s">
        <v>753</v>
      </c>
      <c r="B158" s="228" t="s">
        <v>708</v>
      </c>
      <c r="C158" s="226" t="s">
        <v>773</v>
      </c>
      <c r="D158" s="46" t="s">
        <v>611</v>
      </c>
    </row>
    <row r="159" spans="1:4" hidden="1">
      <c r="A159" t="s">
        <v>753</v>
      </c>
      <c r="B159" s="228" t="s">
        <v>739</v>
      </c>
      <c r="C159" s="226" t="s">
        <v>773</v>
      </c>
      <c r="D159" s="46" t="s">
        <v>611</v>
      </c>
    </row>
    <row r="160" spans="1:4" hidden="1">
      <c r="A160" t="s">
        <v>753</v>
      </c>
      <c r="B160" s="228" t="s">
        <v>663</v>
      </c>
      <c r="C160" s="226" t="s">
        <v>754</v>
      </c>
      <c r="D160" s="46" t="s">
        <v>611</v>
      </c>
    </row>
    <row r="161" spans="1:4" hidden="1">
      <c r="A161" t="s">
        <v>753</v>
      </c>
      <c r="B161" s="228" t="s">
        <v>693</v>
      </c>
      <c r="C161" s="226" t="s">
        <v>774</v>
      </c>
      <c r="D161" s="46" t="s">
        <v>611</v>
      </c>
    </row>
    <row r="162" spans="1:4" hidden="1">
      <c r="A162" t="s">
        <v>753</v>
      </c>
      <c r="B162" s="228" t="s">
        <v>671</v>
      </c>
      <c r="C162" s="226" t="s">
        <v>768</v>
      </c>
      <c r="D162" s="46" t="s">
        <v>611</v>
      </c>
    </row>
    <row r="163" spans="1:4" hidden="1">
      <c r="A163" t="s">
        <v>753</v>
      </c>
      <c r="B163" s="228" t="s">
        <v>738</v>
      </c>
      <c r="C163" s="226" t="s">
        <v>760</v>
      </c>
      <c r="D163" s="46" t="s">
        <v>611</v>
      </c>
    </row>
    <row r="164" spans="1:4" hidden="1">
      <c r="A164" t="s">
        <v>753</v>
      </c>
      <c r="B164" s="228" t="s">
        <v>742</v>
      </c>
      <c r="C164" s="226" t="s">
        <v>761</v>
      </c>
      <c r="D164" s="46" t="s">
        <v>611</v>
      </c>
    </row>
    <row r="165" spans="1:4" hidden="1">
      <c r="A165" t="s">
        <v>753</v>
      </c>
      <c r="B165" s="228" t="s">
        <v>688</v>
      </c>
      <c r="C165" s="226" t="s">
        <v>761</v>
      </c>
      <c r="D165" s="46" t="s">
        <v>611</v>
      </c>
    </row>
    <row r="166" spans="1:4" hidden="1">
      <c r="A166" t="s">
        <v>753</v>
      </c>
      <c r="B166" s="228" t="s">
        <v>695</v>
      </c>
      <c r="C166" s="226" t="s">
        <v>761</v>
      </c>
      <c r="D166" s="46" t="s">
        <v>611</v>
      </c>
    </row>
    <row r="167" spans="1:4" hidden="1">
      <c r="A167" t="s">
        <v>753</v>
      </c>
      <c r="B167" s="228" t="s">
        <v>696</v>
      </c>
      <c r="C167" s="226" t="s">
        <v>761</v>
      </c>
      <c r="D167" s="46" t="s">
        <v>611</v>
      </c>
    </row>
    <row r="168" spans="1:4" hidden="1">
      <c r="A168" t="s">
        <v>753</v>
      </c>
      <c r="B168" s="228" t="s">
        <v>705</v>
      </c>
      <c r="C168" s="226" t="s">
        <v>761</v>
      </c>
      <c r="D168" s="46" t="s">
        <v>611</v>
      </c>
    </row>
    <row r="169" spans="1:4" hidden="1">
      <c r="A169" t="s">
        <v>753</v>
      </c>
      <c r="B169" s="228" t="s">
        <v>707</v>
      </c>
      <c r="C169" s="226" t="s">
        <v>761</v>
      </c>
      <c r="D169" s="46" t="s">
        <v>611</v>
      </c>
    </row>
    <row r="170" spans="1:4" hidden="1">
      <c r="A170" t="s">
        <v>753</v>
      </c>
      <c r="B170" s="228" t="s">
        <v>706</v>
      </c>
      <c r="C170" s="226" t="s">
        <v>761</v>
      </c>
      <c r="D170" s="46" t="s">
        <v>611</v>
      </c>
    </row>
    <row r="171" spans="1:4" hidden="1">
      <c r="A171" t="s">
        <v>753</v>
      </c>
      <c r="B171" s="228" t="s">
        <v>714</v>
      </c>
      <c r="C171" s="226" t="s">
        <v>761</v>
      </c>
      <c r="D171" s="46" t="s">
        <v>611</v>
      </c>
    </row>
    <row r="172" spans="1:4" hidden="1">
      <c r="A172" t="s">
        <v>753</v>
      </c>
      <c r="B172" s="228" t="s">
        <v>721</v>
      </c>
      <c r="C172" s="226" t="s">
        <v>761</v>
      </c>
      <c r="D172" s="46" t="s">
        <v>611</v>
      </c>
    </row>
    <row r="173" spans="1:4" hidden="1">
      <c r="A173" t="s">
        <v>753</v>
      </c>
      <c r="B173" s="228" t="s">
        <v>660</v>
      </c>
      <c r="C173" s="226" t="s">
        <v>761</v>
      </c>
      <c r="D173" s="46" t="s">
        <v>611</v>
      </c>
    </row>
    <row r="174" spans="1:4" hidden="1">
      <c r="A174" t="s">
        <v>753</v>
      </c>
      <c r="B174" s="228" t="s">
        <v>685</v>
      </c>
      <c r="C174" s="226" t="s">
        <v>761</v>
      </c>
      <c r="D174" s="46" t="s">
        <v>611</v>
      </c>
    </row>
    <row r="175" spans="1:4" hidden="1">
      <c r="A175" t="s">
        <v>753</v>
      </c>
      <c r="B175" s="228" t="s">
        <v>750</v>
      </c>
      <c r="C175" s="226" t="s">
        <v>761</v>
      </c>
      <c r="D175" s="46" t="s">
        <v>611</v>
      </c>
    </row>
    <row r="176" spans="1:4" hidden="1">
      <c r="A176" t="s">
        <v>753</v>
      </c>
      <c r="B176" s="228" t="s">
        <v>684</v>
      </c>
      <c r="C176" s="226" t="s">
        <v>761</v>
      </c>
      <c r="D176" s="46" t="s">
        <v>611</v>
      </c>
    </row>
    <row r="177" spans="1:4" hidden="1">
      <c r="A177" t="s">
        <v>753</v>
      </c>
      <c r="B177" s="228" t="s">
        <v>723</v>
      </c>
      <c r="C177" s="226" t="s">
        <v>761</v>
      </c>
      <c r="D177" s="46" t="s">
        <v>611</v>
      </c>
    </row>
    <row r="178" spans="1:4" hidden="1">
      <c r="A178" t="s">
        <v>753</v>
      </c>
      <c r="B178" s="228" t="s">
        <v>672</v>
      </c>
      <c r="C178" s="226" t="s">
        <v>761</v>
      </c>
      <c r="D178" s="46" t="s">
        <v>611</v>
      </c>
    </row>
    <row r="179" spans="1:4" hidden="1">
      <c r="A179" t="s">
        <v>753</v>
      </c>
      <c r="B179" s="228" t="s">
        <v>662</v>
      </c>
      <c r="C179" s="226" t="s">
        <v>761</v>
      </c>
      <c r="D179" s="46" t="s">
        <v>611</v>
      </c>
    </row>
    <row r="180" spans="1:4" hidden="1">
      <c r="A180" t="s">
        <v>753</v>
      </c>
      <c r="B180" s="228" t="s">
        <v>727</v>
      </c>
      <c r="C180" s="226" t="s">
        <v>761</v>
      </c>
      <c r="D180" s="46" t="s">
        <v>611</v>
      </c>
    </row>
    <row r="181" spans="1:4" hidden="1">
      <c r="A181" t="s">
        <v>753</v>
      </c>
      <c r="B181" s="228" t="s">
        <v>731</v>
      </c>
      <c r="C181" s="226" t="s">
        <v>761</v>
      </c>
      <c r="D181" s="46" t="s">
        <v>611</v>
      </c>
    </row>
    <row r="182" spans="1:4" hidden="1">
      <c r="A182" t="s">
        <v>753</v>
      </c>
      <c r="B182" s="228" t="s">
        <v>724</v>
      </c>
      <c r="C182" s="226" t="s">
        <v>756</v>
      </c>
      <c r="D182" s="46" t="s">
        <v>611</v>
      </c>
    </row>
    <row r="183" spans="1:4" hidden="1">
      <c r="A183" t="s">
        <v>753</v>
      </c>
      <c r="B183" s="228" t="s">
        <v>737</v>
      </c>
      <c r="C183" s="226" t="s">
        <v>759</v>
      </c>
      <c r="D183" s="46" t="s">
        <v>611</v>
      </c>
    </row>
    <row r="184" spans="1:4" hidden="1">
      <c r="A184" t="s">
        <v>753</v>
      </c>
      <c r="B184" s="228" t="s">
        <v>752</v>
      </c>
      <c r="C184" s="226" t="s">
        <v>759</v>
      </c>
      <c r="D184" s="46" t="s">
        <v>611</v>
      </c>
    </row>
    <row r="185" spans="1:4" hidden="1">
      <c r="A185" t="s">
        <v>753</v>
      </c>
      <c r="B185" s="228" t="s">
        <v>736</v>
      </c>
      <c r="C185" s="226" t="s">
        <v>759</v>
      </c>
      <c r="D185" s="46" t="s">
        <v>611</v>
      </c>
    </row>
    <row r="186" spans="1:4" hidden="1">
      <c r="A186" t="s">
        <v>753</v>
      </c>
      <c r="B186" s="228" t="s">
        <v>700</v>
      </c>
      <c r="C186" s="226" t="s">
        <v>759</v>
      </c>
      <c r="D186" s="46" t="s">
        <v>611</v>
      </c>
    </row>
    <row r="187" spans="1:4" hidden="1">
      <c r="A187" t="s">
        <v>753</v>
      </c>
      <c r="B187" s="228" t="s">
        <v>702</v>
      </c>
      <c r="C187" s="226" t="s">
        <v>759</v>
      </c>
      <c r="D187" s="46" t="s">
        <v>611</v>
      </c>
    </row>
    <row r="188" spans="1:4" hidden="1">
      <c r="A188" t="s">
        <v>753</v>
      </c>
      <c r="B188" s="228" t="s">
        <v>704</v>
      </c>
      <c r="C188" s="226" t="s">
        <v>759</v>
      </c>
      <c r="D188" s="46" t="s">
        <v>611</v>
      </c>
    </row>
    <row r="189" spans="1:4" hidden="1">
      <c r="A189" t="s">
        <v>753</v>
      </c>
      <c r="B189" s="228" t="s">
        <v>709</v>
      </c>
      <c r="C189" s="226" t="s">
        <v>759</v>
      </c>
      <c r="D189" s="46" t="s">
        <v>611</v>
      </c>
    </row>
    <row r="190" spans="1:4" hidden="1">
      <c r="A190" t="s">
        <v>753</v>
      </c>
      <c r="B190" s="228" t="s">
        <v>711</v>
      </c>
      <c r="C190" s="226" t="s">
        <v>759</v>
      </c>
      <c r="D190" s="46" t="s">
        <v>611</v>
      </c>
    </row>
    <row r="191" spans="1:4" hidden="1">
      <c r="A191" t="s">
        <v>753</v>
      </c>
      <c r="B191" s="228" t="s">
        <v>715</v>
      </c>
      <c r="C191" s="226" t="s">
        <v>759</v>
      </c>
      <c r="D191" s="46" t="s">
        <v>611</v>
      </c>
    </row>
    <row r="192" spans="1:4" hidden="1">
      <c r="A192" t="s">
        <v>753</v>
      </c>
      <c r="B192" s="228" t="s">
        <v>712</v>
      </c>
      <c r="C192" s="226" t="s">
        <v>759</v>
      </c>
      <c r="D192" s="46" t="s">
        <v>611</v>
      </c>
    </row>
    <row r="193" spans="1:4" hidden="1">
      <c r="A193" t="s">
        <v>753</v>
      </c>
      <c r="B193" s="228" t="s">
        <v>716</v>
      </c>
      <c r="C193" s="226" t="s">
        <v>759</v>
      </c>
      <c r="D193" s="46" t="s">
        <v>611</v>
      </c>
    </row>
    <row r="194" spans="1:4" hidden="1">
      <c r="A194" t="s">
        <v>753</v>
      </c>
      <c r="B194" s="228" t="s">
        <v>717</v>
      </c>
      <c r="C194" s="226" t="s">
        <v>759</v>
      </c>
      <c r="D194" s="46" t="s">
        <v>611</v>
      </c>
    </row>
    <row r="195" spans="1:4" hidden="1">
      <c r="A195" t="s">
        <v>753</v>
      </c>
      <c r="B195" s="228" t="s">
        <v>718</v>
      </c>
      <c r="C195" s="226" t="s">
        <v>759</v>
      </c>
      <c r="D195" s="46" t="s">
        <v>611</v>
      </c>
    </row>
    <row r="196" spans="1:4" hidden="1">
      <c r="A196" t="s">
        <v>753</v>
      </c>
      <c r="B196" s="228" t="s">
        <v>719</v>
      </c>
      <c r="C196" s="226" t="s">
        <v>759</v>
      </c>
      <c r="D196" s="46" t="s">
        <v>611</v>
      </c>
    </row>
    <row r="197" spans="1:4" hidden="1">
      <c r="A197" t="s">
        <v>753</v>
      </c>
      <c r="B197" s="228" t="s">
        <v>728</v>
      </c>
      <c r="C197" s="226" t="s">
        <v>759</v>
      </c>
      <c r="D197" s="46" t="s">
        <v>611</v>
      </c>
    </row>
    <row r="198" spans="1:4" hidden="1">
      <c r="A198" t="s">
        <v>753</v>
      </c>
      <c r="B198" s="228" t="s">
        <v>747</v>
      </c>
      <c r="C198" s="226" t="s">
        <v>759</v>
      </c>
      <c r="D198" s="46" t="s">
        <v>611</v>
      </c>
    </row>
    <row r="199" spans="1:4" hidden="1">
      <c r="A199" t="s">
        <v>753</v>
      </c>
      <c r="B199" s="228" t="s">
        <v>745</v>
      </c>
      <c r="C199" s="226" t="s">
        <v>759</v>
      </c>
      <c r="D199" s="46" t="s">
        <v>611</v>
      </c>
    </row>
    <row r="200" spans="1:4" hidden="1">
      <c r="A200" t="s">
        <v>753</v>
      </c>
      <c r="B200" s="228" t="s">
        <v>744</v>
      </c>
      <c r="C200" s="226" t="s">
        <v>759</v>
      </c>
      <c r="D200" s="46" t="s">
        <v>611</v>
      </c>
    </row>
    <row r="201" spans="1:4" hidden="1">
      <c r="A201" t="s">
        <v>753</v>
      </c>
      <c r="B201" s="228" t="s">
        <v>748</v>
      </c>
      <c r="C201" s="226" t="s">
        <v>759</v>
      </c>
      <c r="D201" s="46" t="s">
        <v>611</v>
      </c>
    </row>
    <row r="202" spans="1:4" hidden="1">
      <c r="A202" t="s">
        <v>753</v>
      </c>
      <c r="B202" s="228" t="s">
        <v>675</v>
      </c>
      <c r="C202" s="226" t="s">
        <v>767</v>
      </c>
      <c r="D202" s="46" t="s">
        <v>611</v>
      </c>
    </row>
    <row r="203" spans="1:4" hidden="1">
      <c r="A203" t="s">
        <v>753</v>
      </c>
      <c r="B203" s="228" t="s">
        <v>713</v>
      </c>
      <c r="C203" s="226" t="s">
        <v>767</v>
      </c>
      <c r="D203" s="46" t="s">
        <v>611</v>
      </c>
    </row>
    <row r="204" spans="1:4" hidden="1">
      <c r="A204" t="s">
        <v>753</v>
      </c>
      <c r="B204" s="228" t="s">
        <v>674</v>
      </c>
      <c r="C204" s="226" t="s">
        <v>767</v>
      </c>
      <c r="D204" s="46" t="s">
        <v>611</v>
      </c>
    </row>
    <row r="205" spans="1:4" hidden="1">
      <c r="A205" t="s">
        <v>753</v>
      </c>
      <c r="B205" s="228" t="s">
        <v>677</v>
      </c>
      <c r="C205" s="226" t="s">
        <v>767</v>
      </c>
      <c r="D205" s="46" t="s">
        <v>611</v>
      </c>
    </row>
    <row r="206" spans="1:4" hidden="1">
      <c r="A206" t="s">
        <v>753</v>
      </c>
      <c r="B206" s="228" t="s">
        <v>676</v>
      </c>
      <c r="C206" s="226" t="s">
        <v>767</v>
      </c>
      <c r="D206" s="46" t="s">
        <v>611</v>
      </c>
    </row>
    <row r="207" spans="1:4" hidden="1">
      <c r="A207" t="s">
        <v>753</v>
      </c>
      <c r="B207" s="228" t="s">
        <v>667</v>
      </c>
      <c r="C207" s="226" t="s">
        <v>767</v>
      </c>
      <c r="D207" s="46" t="s">
        <v>611</v>
      </c>
    </row>
    <row r="208" spans="1:4" hidden="1">
      <c r="A208" t="s">
        <v>753</v>
      </c>
      <c r="B208" s="228" t="s">
        <v>668</v>
      </c>
      <c r="C208" s="226" t="s">
        <v>767</v>
      </c>
      <c r="D208" s="46" t="s">
        <v>611</v>
      </c>
    </row>
    <row r="209" spans="1:4" hidden="1">
      <c r="A209" t="s">
        <v>753</v>
      </c>
      <c r="B209" s="228" t="s">
        <v>678</v>
      </c>
      <c r="C209" s="226" t="s">
        <v>767</v>
      </c>
      <c r="D209" s="46" t="s">
        <v>611</v>
      </c>
    </row>
    <row r="210" spans="1:4" hidden="1">
      <c r="A210" t="s">
        <v>753</v>
      </c>
      <c r="B210" s="228" t="s">
        <v>701</v>
      </c>
      <c r="C210" s="226" t="s">
        <v>775</v>
      </c>
      <c r="D210" s="46" t="s">
        <v>611</v>
      </c>
    </row>
    <row r="211" spans="1:4" hidden="1">
      <c r="A211" t="s">
        <v>753</v>
      </c>
      <c r="B211" s="228" t="s">
        <v>749</v>
      </c>
      <c r="C211" s="226" t="s">
        <v>775</v>
      </c>
      <c r="D211" s="46" t="s">
        <v>611</v>
      </c>
    </row>
    <row r="212" spans="1:4" hidden="1">
      <c r="A212" t="s">
        <v>753</v>
      </c>
      <c r="B212" s="228" t="s">
        <v>720</v>
      </c>
      <c r="C212" s="226" t="s">
        <v>755</v>
      </c>
      <c r="D212" s="46" t="s">
        <v>611</v>
      </c>
    </row>
    <row r="213" spans="1:4" hidden="1">
      <c r="A213" t="s">
        <v>753</v>
      </c>
      <c r="B213" s="228" t="s">
        <v>690</v>
      </c>
      <c r="C213" s="226" t="s">
        <v>794</v>
      </c>
      <c r="D213" s="46" t="s">
        <v>611</v>
      </c>
    </row>
    <row r="214" spans="1:4" hidden="1">
      <c r="A214" t="s">
        <v>753</v>
      </c>
      <c r="B214" s="228" t="s">
        <v>681</v>
      </c>
      <c r="C214" s="226" t="s">
        <v>795</v>
      </c>
      <c r="D214" s="46" t="s">
        <v>611</v>
      </c>
    </row>
    <row r="215" spans="1:4" hidden="1">
      <c r="A215" t="s">
        <v>753</v>
      </c>
      <c r="B215" s="228" t="s">
        <v>734</v>
      </c>
      <c r="C215" s="226" t="s">
        <v>762</v>
      </c>
      <c r="D215" s="46" t="s">
        <v>611</v>
      </c>
    </row>
    <row r="216" spans="1:4" hidden="1">
      <c r="A216" t="s">
        <v>753</v>
      </c>
      <c r="B216" s="228" t="s">
        <v>710</v>
      </c>
      <c r="C216" s="226" t="s">
        <v>776</v>
      </c>
      <c r="D216" s="46" t="s">
        <v>611</v>
      </c>
    </row>
    <row r="217" spans="1:4" hidden="1">
      <c r="A217" t="s">
        <v>753</v>
      </c>
      <c r="B217" s="228" t="s">
        <v>741</v>
      </c>
      <c r="C217" s="226" t="s">
        <v>766</v>
      </c>
      <c r="D217" s="46" t="s">
        <v>611</v>
      </c>
    </row>
    <row r="218" spans="1:4" hidden="1">
      <c r="A218" t="s">
        <v>753</v>
      </c>
      <c r="B218" s="228" t="s">
        <v>689</v>
      </c>
      <c r="C218" s="226" t="s">
        <v>766</v>
      </c>
      <c r="D218" s="46" t="s">
        <v>611</v>
      </c>
    </row>
    <row r="219" spans="1:4" hidden="1">
      <c r="A219" t="s">
        <v>753</v>
      </c>
      <c r="B219" s="228" t="s">
        <v>683</v>
      </c>
      <c r="C219" s="226" t="s">
        <v>766</v>
      </c>
      <c r="D219" s="46" t="s">
        <v>611</v>
      </c>
    </row>
    <row r="220" spans="1:4" hidden="1">
      <c r="A220" t="s">
        <v>753</v>
      </c>
      <c r="B220" s="228" t="s">
        <v>670</v>
      </c>
      <c r="C220" s="226" t="s">
        <v>766</v>
      </c>
      <c r="D220" s="46" t="s">
        <v>611</v>
      </c>
    </row>
    <row r="221" spans="1:4" hidden="1">
      <c r="A221" t="s">
        <v>753</v>
      </c>
      <c r="B221" s="228" t="s">
        <v>666</v>
      </c>
      <c r="C221" s="226" t="s">
        <v>766</v>
      </c>
      <c r="D221" s="46" t="s">
        <v>611</v>
      </c>
    </row>
    <row r="222" spans="1:4" hidden="1">
      <c r="A222" t="s">
        <v>753</v>
      </c>
      <c r="B222" s="228" t="s">
        <v>669</v>
      </c>
      <c r="C222" s="226" t="s">
        <v>766</v>
      </c>
      <c r="D222" s="46" t="s">
        <v>611</v>
      </c>
    </row>
    <row r="223" spans="1:4" hidden="1">
      <c r="A223" t="s">
        <v>753</v>
      </c>
      <c r="B223" s="228" t="s">
        <v>673</v>
      </c>
      <c r="C223" s="226" t="s">
        <v>766</v>
      </c>
      <c r="D223" s="46" t="s">
        <v>611</v>
      </c>
    </row>
    <row r="224" spans="1:4" hidden="1">
      <c r="A224" t="s">
        <v>753</v>
      </c>
      <c r="B224" s="228" t="s">
        <v>746</v>
      </c>
      <c r="C224" s="226" t="s">
        <v>771</v>
      </c>
      <c r="D224" s="46" t="s">
        <v>611</v>
      </c>
    </row>
    <row r="225" spans="1:4" hidden="1">
      <c r="A225" t="s">
        <v>753</v>
      </c>
      <c r="B225" s="228" t="s">
        <v>682</v>
      </c>
      <c r="C225" s="226" t="s">
        <v>771</v>
      </c>
      <c r="D225" s="46" t="s">
        <v>611</v>
      </c>
    </row>
    <row r="226" spans="1:4" hidden="1">
      <c r="A226" t="s">
        <v>753</v>
      </c>
      <c r="B226" s="228" t="s">
        <v>664</v>
      </c>
      <c r="C226" s="226" t="s">
        <v>658</v>
      </c>
      <c r="D226" s="46" t="s">
        <v>611</v>
      </c>
    </row>
    <row r="227" spans="1:4" hidden="1">
      <c r="A227" t="s">
        <v>753</v>
      </c>
      <c r="B227" s="228" t="s">
        <v>732</v>
      </c>
      <c r="C227" s="226" t="s">
        <v>763</v>
      </c>
      <c r="D227" s="46" t="s">
        <v>611</v>
      </c>
    </row>
    <row r="228" spans="1:4" hidden="1">
      <c r="A228" t="s">
        <v>753</v>
      </c>
      <c r="B228" s="228" t="s">
        <v>729</v>
      </c>
      <c r="C228" s="226" t="s">
        <v>777</v>
      </c>
      <c r="D228" s="46" t="s">
        <v>611</v>
      </c>
    </row>
    <row r="229" spans="1:4" hidden="1">
      <c r="A229" t="s">
        <v>753</v>
      </c>
      <c r="B229" s="228" t="s">
        <v>725</v>
      </c>
      <c r="C229" s="226" t="s">
        <v>757</v>
      </c>
      <c r="D229" s="46" t="s">
        <v>611</v>
      </c>
    </row>
    <row r="230" spans="1:4" hidden="1">
      <c r="A230" t="s">
        <v>753</v>
      </c>
      <c r="B230" s="228" t="s">
        <v>726</v>
      </c>
      <c r="C230" s="226" t="s">
        <v>758</v>
      </c>
      <c r="D230" s="46" t="s">
        <v>611</v>
      </c>
    </row>
    <row r="231" spans="1:4" hidden="1">
      <c r="A231" t="s">
        <v>753</v>
      </c>
      <c r="B231" s="228" t="s">
        <v>686</v>
      </c>
      <c r="C231" s="226" t="s">
        <v>772</v>
      </c>
      <c r="D231" s="46" t="s">
        <v>611</v>
      </c>
    </row>
    <row r="232" spans="1:4" hidden="1">
      <c r="A232" t="s">
        <v>753</v>
      </c>
      <c r="B232" s="228" t="s">
        <v>751</v>
      </c>
      <c r="C232" s="226" t="s">
        <v>654</v>
      </c>
      <c r="D232" s="46" t="s">
        <v>611</v>
      </c>
    </row>
    <row r="233" spans="1:4" hidden="1">
      <c r="A233" t="s">
        <v>753</v>
      </c>
      <c r="B233" s="228" t="s">
        <v>722</v>
      </c>
      <c r="C233" s="226" t="s">
        <v>654</v>
      </c>
      <c r="D233" s="46" t="s">
        <v>611</v>
      </c>
    </row>
    <row r="234" spans="1:4" hidden="1">
      <c r="A234" t="s">
        <v>753</v>
      </c>
      <c r="B234" s="228" t="s">
        <v>698</v>
      </c>
      <c r="C234" s="226" t="s">
        <v>764</v>
      </c>
      <c r="D234" s="46" t="s">
        <v>611</v>
      </c>
    </row>
    <row r="235" spans="1:4" hidden="1">
      <c r="A235" t="s">
        <v>753</v>
      </c>
      <c r="B235" s="228" t="s">
        <v>661</v>
      </c>
      <c r="C235" s="226" t="s">
        <v>764</v>
      </c>
      <c r="D235" s="46" t="s">
        <v>611</v>
      </c>
    </row>
    <row r="236" spans="1:4" hidden="1">
      <c r="A236" t="s">
        <v>753</v>
      </c>
      <c r="B236" s="228" t="s">
        <v>665</v>
      </c>
      <c r="C236" s="226" t="s">
        <v>765</v>
      </c>
      <c r="D236" s="46" t="s">
        <v>611</v>
      </c>
    </row>
    <row r="237" spans="1:4" hidden="1">
      <c r="A237" t="s">
        <v>753</v>
      </c>
      <c r="B237" s="228" t="s">
        <v>730</v>
      </c>
      <c r="C237" s="226" t="s">
        <v>778</v>
      </c>
      <c r="D237" s="46" t="s">
        <v>611</v>
      </c>
    </row>
    <row r="238" spans="1:4" hidden="1">
      <c r="A238" t="s">
        <v>753</v>
      </c>
      <c r="B238" s="228" t="s">
        <v>733</v>
      </c>
      <c r="C238" s="226" t="s">
        <v>778</v>
      </c>
      <c r="D238" s="46" t="s">
        <v>611</v>
      </c>
    </row>
    <row r="239" spans="1:4" hidden="1">
      <c r="A239" t="s">
        <v>753</v>
      </c>
      <c r="B239" s="228" t="s">
        <v>740</v>
      </c>
      <c r="C239" s="226" t="s">
        <v>778</v>
      </c>
      <c r="D239" s="46" t="s">
        <v>611</v>
      </c>
    </row>
    <row r="240" spans="1:4" hidden="1">
      <c r="A240" t="s">
        <v>753</v>
      </c>
      <c r="B240" s="228" t="s">
        <v>680</v>
      </c>
      <c r="C240" s="226" t="s">
        <v>770</v>
      </c>
      <c r="D240" s="46" t="s">
        <v>611</v>
      </c>
    </row>
    <row r="241" spans="1:4" hidden="1">
      <c r="A241" t="s">
        <v>753</v>
      </c>
      <c r="B241" s="228" t="s">
        <v>687</v>
      </c>
      <c r="C241" s="226" t="s">
        <v>769</v>
      </c>
      <c r="D241" s="46" t="s">
        <v>611</v>
      </c>
    </row>
    <row r="242" spans="1:4" hidden="1">
      <c r="A242" t="s">
        <v>753</v>
      </c>
      <c r="B242" s="228" t="s">
        <v>691</v>
      </c>
      <c r="C242" s="226" t="s">
        <v>769</v>
      </c>
      <c r="D242" s="46" t="s">
        <v>611</v>
      </c>
    </row>
    <row r="243" spans="1:4" hidden="1">
      <c r="A243" t="s">
        <v>753</v>
      </c>
      <c r="B243" s="228" t="s">
        <v>679</v>
      </c>
      <c r="C243" s="226" t="s">
        <v>769</v>
      </c>
      <c r="D243" s="46" t="s">
        <v>611</v>
      </c>
    </row>
    <row r="244" spans="1:4" hidden="1">
      <c r="A244" t="s">
        <v>753</v>
      </c>
      <c r="B244" s="228" t="s">
        <v>692</v>
      </c>
      <c r="C244" s="226" t="s">
        <v>769</v>
      </c>
      <c r="D244" s="46" t="s">
        <v>611</v>
      </c>
    </row>
  </sheetData>
  <dataConsolidate link="1"/>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E0569-CE1E-4197-8918-70136156B01E}">
  <sheetPr codeName="Sheet11">
    <tabColor theme="4" tint="0.59999389629810485"/>
  </sheetPr>
  <dimension ref="A1:K61"/>
  <sheetViews>
    <sheetView showGridLines="0" showRowColHeaders="0" workbookViewId="0">
      <pane ySplit="6" topLeftCell="A37" activePane="bottomLeft" state="frozen"/>
      <selection activeCell="B1" sqref="B1:J1"/>
      <selection pane="bottomLeft"/>
    </sheetView>
  </sheetViews>
  <sheetFormatPr defaultRowHeight="14.4"/>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1" ht="15.6">
      <c r="A1" s="103" t="str" cm="1">
        <f t="array" ref="A1">IdentifyQuarter(rngQ,rngFY)</f>
        <v>31-Mar-20</v>
      </c>
      <c r="B1" s="307" t="str" cm="1">
        <f t="array" ref="B1">CCName(rngCC)</f>
        <v>CU Student Government - Proper</v>
      </c>
      <c r="C1" s="307"/>
      <c r="D1" s="307"/>
      <c r="E1" s="307"/>
      <c r="F1" s="307"/>
      <c r="G1" s="307"/>
      <c r="H1" s="307"/>
      <c r="I1" s="307"/>
      <c r="J1" s="307"/>
    </row>
    <row r="2" spans="1:11" ht="15.6">
      <c r="A2"/>
      <c r="B2" s="308" t="s">
        <v>551</v>
      </c>
      <c r="C2" s="308"/>
      <c r="D2" s="308"/>
      <c r="E2" s="308"/>
      <c r="F2" s="308"/>
      <c r="G2" s="308"/>
      <c r="H2" s="308"/>
      <c r="I2" s="308"/>
      <c r="J2" s="308"/>
    </row>
    <row r="3" spans="1:11">
      <c r="A3"/>
      <c r="B3" s="3" t="s">
        <v>552</v>
      </c>
      <c r="C3" s="3" t="s">
        <v>553</v>
      </c>
      <c r="D3" s="119" t="s">
        <v>554</v>
      </c>
      <c r="E3" s="3" t="s">
        <v>555</v>
      </c>
      <c r="F3" s="3" t="s">
        <v>556</v>
      </c>
      <c r="G3" s="119" t="s">
        <v>557</v>
      </c>
      <c r="H3" s="3" t="s">
        <v>558</v>
      </c>
      <c r="I3" s="119" t="s">
        <v>559</v>
      </c>
      <c r="J3" s="309" t="s">
        <v>560</v>
      </c>
      <c r="K3" s="4"/>
    </row>
    <row r="4" spans="1:11">
      <c r="A4" s="5"/>
      <c r="B4" s="105"/>
      <c r="C4" s="105" t="s">
        <v>561</v>
      </c>
      <c r="D4" s="120"/>
      <c r="E4" s="105"/>
      <c r="F4" s="105" t="s">
        <v>562</v>
      </c>
      <c r="G4" s="120" t="s">
        <v>562</v>
      </c>
      <c r="H4" s="105" t="s">
        <v>563</v>
      </c>
      <c r="I4" s="120" t="s">
        <v>564</v>
      </c>
      <c r="J4" s="310"/>
      <c r="K4" s="4"/>
    </row>
    <row r="5" spans="1:11">
      <c r="A5" s="6"/>
      <c r="B5" s="105" t="s">
        <v>565</v>
      </c>
      <c r="C5" s="105" t="s">
        <v>566</v>
      </c>
      <c r="D5" s="120" t="s">
        <v>567</v>
      </c>
      <c r="E5" s="105" t="s">
        <v>568</v>
      </c>
      <c r="F5" s="105" t="s">
        <v>569</v>
      </c>
      <c r="G5" s="120" t="s">
        <v>570</v>
      </c>
      <c r="H5" s="105" t="s">
        <v>568</v>
      </c>
      <c r="I5" s="120" t="s">
        <v>570</v>
      </c>
      <c r="J5" s="310"/>
      <c r="K5" s="4"/>
    </row>
    <row r="6" spans="1:11">
      <c r="A6" s="7"/>
      <c r="B6" s="8"/>
      <c r="C6" s="8" t="s">
        <v>571</v>
      </c>
      <c r="D6" s="121" t="s">
        <v>572</v>
      </c>
      <c r="E6" s="9"/>
      <c r="F6" s="9" t="s">
        <v>573</v>
      </c>
      <c r="G6" s="121" t="s">
        <v>574</v>
      </c>
      <c r="H6" s="9"/>
      <c r="I6" s="121" t="s">
        <v>575</v>
      </c>
      <c r="J6" s="311"/>
      <c r="K6" s="4"/>
    </row>
    <row r="7" spans="1:11">
      <c r="A7" s="10" t="s">
        <v>576</v>
      </c>
      <c r="B7" s="11"/>
      <c r="C7" s="12"/>
      <c r="D7" s="119"/>
      <c r="E7" s="13"/>
      <c r="F7" s="13"/>
      <c r="G7" s="119"/>
      <c r="H7" s="13"/>
      <c r="I7" s="119"/>
      <c r="J7" s="151"/>
      <c r="K7" s="4"/>
    </row>
    <row r="8" spans="1:11">
      <c r="A8" s="14" t="s">
        <v>577</v>
      </c>
      <c r="B8" s="15">
        <v>0</v>
      </c>
      <c r="C8" s="15">
        <v>0</v>
      </c>
      <c r="D8" s="122" t="str" cm="1">
        <f t="array" ref="D8">SeasonalBudPct(B8,C8)</f>
        <v/>
      </c>
      <c r="E8" s="15">
        <v>0</v>
      </c>
      <c r="F8" s="15" t="str" cm="1">
        <f t="array" ref="F8">BudgetDolVariance(C8,E8)</f>
        <v/>
      </c>
      <c r="G8" s="122" t="str" cm="1">
        <f t="array" ref="G8">BudgetPctVariance(C8,E8)</f>
        <v/>
      </c>
      <c r="H8" s="15">
        <v>0</v>
      </c>
      <c r="I8" s="136" t="str" cm="1">
        <f t="array" ref="I8">BudgetPctVariance(H8,E8)</f>
        <v/>
      </c>
      <c r="J8" s="159"/>
      <c r="K8" s="4"/>
    </row>
    <row r="9" spans="1:1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c r="K9" s="4"/>
    </row>
    <row r="10" spans="1:1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c r="K10" s="4"/>
    </row>
    <row r="11" spans="1:11" ht="15.6">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c r="K11" s="22"/>
    </row>
    <row r="12" spans="1:11" ht="16.2" thickBot="1">
      <c r="A12" s="23" t="s">
        <v>579</v>
      </c>
      <c r="B12" s="24">
        <f>SUM(B8:B11)</f>
        <v>0</v>
      </c>
      <c r="C12" s="24">
        <f>SUM(C8:C11)</f>
        <v>0</v>
      </c>
      <c r="D12" s="125" t="str" cm="1">
        <f t="array" ref="D12">SeasonalBudPct(B12,C12)</f>
        <v/>
      </c>
      <c r="E12" s="24">
        <f>SUM(E8:E11)</f>
        <v>0</v>
      </c>
      <c r="F12" s="24" t="str" cm="1">
        <f t="array" ref="F12">BudgetDolVariance(C12,E12)</f>
        <v/>
      </c>
      <c r="G12" s="125" t="str" cm="1">
        <f t="array" ref="G12">BudgetPctVariance(C12,E12)</f>
        <v/>
      </c>
      <c r="H12" s="24">
        <f>SUM(H8:H11)</f>
        <v>0</v>
      </c>
      <c r="I12" s="139" t="str" cm="1">
        <f t="array" ref="I12">BudgetPctVariance(H12,E12)</f>
        <v/>
      </c>
      <c r="J12" s="162"/>
    </row>
    <row r="13" spans="1:11" ht="15" thickTop="1">
      <c r="A13" s="25"/>
      <c r="B13" s="26"/>
      <c r="C13" s="27"/>
      <c r="D13" s="126"/>
      <c r="E13" s="26"/>
      <c r="F13" s="27"/>
      <c r="G13" s="126"/>
      <c r="H13" s="27"/>
      <c r="I13" s="140"/>
      <c r="J13" s="152"/>
      <c r="K13" s="28"/>
    </row>
    <row r="14" spans="1:11">
      <c r="A14" s="10" t="s">
        <v>580</v>
      </c>
      <c r="B14" s="29"/>
      <c r="C14" s="30"/>
      <c r="D14" s="127"/>
      <c r="E14" s="29"/>
      <c r="F14" s="30"/>
      <c r="G14" s="127"/>
      <c r="H14" s="30"/>
      <c r="I14" s="141"/>
      <c r="J14" s="153"/>
      <c r="K14" s="28"/>
    </row>
    <row r="15" spans="1:1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c r="K15" s="31"/>
    </row>
    <row r="16" spans="1:1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c r="K16" s="31"/>
    </row>
    <row r="17" spans="1:1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c r="K17" s="31"/>
    </row>
    <row r="18" spans="1:1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c r="K18" s="31"/>
    </row>
    <row r="19" spans="1:1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c r="K19" s="31"/>
    </row>
    <row r="20" spans="1:1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c r="K20" s="31"/>
    </row>
    <row r="21" spans="1:11">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c r="K21" s="28"/>
    </row>
    <row r="22" spans="1:11">
      <c r="A22" s="35" t="s">
        <v>582</v>
      </c>
      <c r="B22" s="36"/>
      <c r="C22" s="36"/>
      <c r="D22" s="130"/>
      <c r="E22" s="36"/>
      <c r="F22" s="36"/>
      <c r="G22" s="130"/>
      <c r="H22" s="36"/>
      <c r="I22" s="143"/>
      <c r="J22" s="154"/>
      <c r="K22" s="28"/>
    </row>
    <row r="23" spans="1:11">
      <c r="A23" s="189" t="s">
        <v>261</v>
      </c>
      <c r="B23" s="190">
        <v>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c r="K23" s="31"/>
    </row>
    <row r="24" spans="1:1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c r="K24" s="31"/>
    </row>
    <row r="25" spans="1:1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c r="K25" s="31"/>
    </row>
    <row r="26" spans="1:1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c r="K26" s="31"/>
    </row>
    <row r="27" spans="1:1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c r="K27" s="31"/>
    </row>
    <row r="28" spans="1:1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c r="K28" s="31"/>
    </row>
    <row r="29" spans="1:11">
      <c r="A29" s="19" t="s">
        <v>292</v>
      </c>
      <c r="B29" s="20">
        <v>0</v>
      </c>
      <c r="C29" s="20">
        <v>0</v>
      </c>
      <c r="D29" s="124" t="str" cm="1">
        <f t="array" ref="D29">SeasonalBudPct($B$23,C29)</f>
        <v/>
      </c>
      <c r="E29" s="20">
        <v>0</v>
      </c>
      <c r="F29" s="20" t="str" cm="1">
        <f t="array" ref="F29">BudgetDolVariance(C29,E29)</f>
        <v/>
      </c>
      <c r="G29" s="124" t="str" cm="1">
        <f t="array" ref="G29">BudgetPctVariance(C29,E29)</f>
        <v/>
      </c>
      <c r="H29" s="20">
        <v>0</v>
      </c>
      <c r="I29" s="138" t="str" cm="1">
        <f t="array" ref="I29">BudgetPctVariance(H29,E29)</f>
        <v/>
      </c>
      <c r="J29" s="161"/>
      <c r="K29" s="31"/>
    </row>
    <row r="30" spans="1:11">
      <c r="A30" s="32" t="s">
        <v>583</v>
      </c>
      <c r="B30" s="33">
        <f>SUM(B23:B29)</f>
        <v>0</v>
      </c>
      <c r="C30" s="34">
        <f>SUM(C23:C29)</f>
        <v>0</v>
      </c>
      <c r="D30" s="129" t="str" cm="1">
        <f t="array" ref="D30">SeasonalBudPct(B30,C30)</f>
        <v/>
      </c>
      <c r="E30" s="39">
        <f>SUM(E23:E29)</f>
        <v>0</v>
      </c>
      <c r="F30" s="33" t="str" cm="1">
        <f t="array" ref="F30">BudgetDolVariance(C30,E30)</f>
        <v/>
      </c>
      <c r="G30" s="129" t="str" cm="1">
        <f t="array" ref="G30">BudgetPctVariance(C30,E30)</f>
        <v/>
      </c>
      <c r="H30" s="33">
        <f>SUM(H23:H29)</f>
        <v>0</v>
      </c>
      <c r="I30" s="142" t="str" cm="1">
        <f t="array" ref="I30">BudgetPctVariance(H30,E30)</f>
        <v/>
      </c>
      <c r="J30" s="165"/>
      <c r="K30" s="28"/>
    </row>
    <row r="31" spans="1:11">
      <c r="A31" s="35" t="s">
        <v>395</v>
      </c>
      <c r="B31" s="30"/>
      <c r="C31" s="37"/>
      <c r="D31" s="129"/>
      <c r="E31" s="37"/>
      <c r="F31" s="30"/>
      <c r="G31" s="129"/>
      <c r="H31" s="30"/>
      <c r="I31" s="119"/>
      <c r="J31" s="155"/>
      <c r="K31" s="28"/>
    </row>
    <row r="32" spans="1:1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c r="K32" s="31"/>
    </row>
    <row r="33" spans="1:1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c r="K33" s="31"/>
    </row>
    <row r="34" spans="1:11">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c r="K34" s="28"/>
    </row>
    <row r="35" spans="1:11">
      <c r="A35" s="35" t="s">
        <v>585</v>
      </c>
      <c r="B35" s="37"/>
      <c r="C35" s="30"/>
      <c r="D35" s="131"/>
      <c r="E35" s="37"/>
      <c r="F35" s="30"/>
      <c r="G35" s="131"/>
      <c r="H35" s="37"/>
      <c r="I35" s="144"/>
      <c r="J35" s="155"/>
      <c r="K35" s="28"/>
    </row>
    <row r="36" spans="1:1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c r="K36" s="31"/>
    </row>
    <row r="37" spans="1:1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c r="K37" s="31"/>
    </row>
    <row r="38" spans="1:1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c r="K38" s="31"/>
    </row>
    <row r="39" spans="1:1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c r="K39" s="31"/>
    </row>
    <row r="40" spans="1:11">
      <c r="A40" s="16" t="s">
        <v>359</v>
      </c>
      <c r="B40" s="17">
        <v>0</v>
      </c>
      <c r="C40" s="17">
        <v>0</v>
      </c>
      <c r="D40" s="123" t="str" cm="1">
        <f t="array" ref="D40">SeasonalBudPct(B40,C40)</f>
        <v/>
      </c>
      <c r="E40" s="17">
        <v>0</v>
      </c>
      <c r="F40" s="17" t="str" cm="1">
        <f t="array" ref="F40">BudgetDolVariance(C40,E40)</f>
        <v/>
      </c>
      <c r="G40" s="123" t="str" cm="1">
        <f t="array" ref="G40">BudgetPctVariance(C40,E40)</f>
        <v/>
      </c>
      <c r="H40" s="17">
        <v>0</v>
      </c>
      <c r="I40" s="146" t="str" cm="1">
        <f t="array" ref="I40">BudgetPctVariance(H40,E40)</f>
        <v/>
      </c>
      <c r="J40" s="160"/>
      <c r="K40" s="31"/>
    </row>
    <row r="41" spans="1:11">
      <c r="A41" s="19" t="s">
        <v>363</v>
      </c>
      <c r="B41" s="20">
        <v>0</v>
      </c>
      <c r="C41" s="20">
        <v>0</v>
      </c>
      <c r="D41" s="124" t="str" cm="1">
        <f t="array" ref="D41">SeasonalBudPct(B41,C41)</f>
        <v/>
      </c>
      <c r="E41" s="20">
        <v>0</v>
      </c>
      <c r="F41" s="20" t="str" cm="1">
        <f t="array" ref="F41">BudgetDolVariance(C41,E41)</f>
        <v/>
      </c>
      <c r="G41" s="124" t="str" cm="1">
        <f t="array" ref="G41">BudgetPctVariance(C41,E41)</f>
        <v/>
      </c>
      <c r="H41" s="20">
        <v>0</v>
      </c>
      <c r="I41" s="147" t="str" cm="1">
        <f t="array" ref="I41">BudgetPctVariance(H41,E41)</f>
        <v/>
      </c>
      <c r="J41" s="161"/>
      <c r="K41" s="28"/>
    </row>
    <row r="42" spans="1:11" ht="15.6">
      <c r="A42" s="38" t="s">
        <v>586</v>
      </c>
      <c r="B42" s="39">
        <f>SUM(B36:B41)</f>
        <v>0</v>
      </c>
      <c r="C42" s="265">
        <f>SUM(C36:C41)</f>
        <v>0</v>
      </c>
      <c r="D42" s="129" t="str" cm="1">
        <f t="array" ref="D42">SeasonalBudPct(B42,C42)</f>
        <v/>
      </c>
      <c r="E42" s="39">
        <f>SUM(E36:E41)</f>
        <v>0</v>
      </c>
      <c r="F42" s="33" t="str" cm="1">
        <f t="array" ref="F42">BudgetDolVariance(C42,E42)</f>
        <v/>
      </c>
      <c r="G42" s="135" t="str" cm="1">
        <f t="array" ref="G42">BudgetPctVariance(C42,E42)</f>
        <v/>
      </c>
      <c r="H42" s="30">
        <f>SUM(H36:H41)</f>
        <v>0</v>
      </c>
      <c r="I42" s="142" t="str" cm="1">
        <f t="array" ref="I42">BudgetPctVariance(H42,E42)</f>
        <v/>
      </c>
      <c r="J42" s="165"/>
      <c r="K42" s="40"/>
    </row>
    <row r="43" spans="1:11" ht="16.2" thickBot="1">
      <c r="A43" s="23" t="s">
        <v>587</v>
      </c>
      <c r="B43" s="24">
        <f>SUM(B21,B30,B34,B42)</f>
        <v>0</v>
      </c>
      <c r="C43" s="24">
        <f>SUM(C21,C30,C34,C42)</f>
        <v>0</v>
      </c>
      <c r="D43" s="125" t="str" cm="1">
        <f t="array" ref="D43">SeasonalBudPct(B43,C43)</f>
        <v/>
      </c>
      <c r="E43" s="24">
        <f>SUM(E21,E30,E34,E42)</f>
        <v>0</v>
      </c>
      <c r="F43" s="24" t="str" cm="1">
        <f t="array" ref="F43">BudgetDolVariance(C43,E43)</f>
        <v/>
      </c>
      <c r="G43" s="125" t="str" cm="1">
        <f t="array" ref="G43">BudgetPctVariance(C43,E43)</f>
        <v/>
      </c>
      <c r="H43" s="24">
        <f>SUM(H21,H30,H34,H42)</f>
        <v>0</v>
      </c>
      <c r="I43" s="125" t="str" cm="1">
        <f t="array" ref="I43">BudgetPctVariance(H43,E43)</f>
        <v/>
      </c>
      <c r="J43" s="162"/>
      <c r="K43" s="28"/>
    </row>
    <row r="44" spans="1:11" ht="15" thickTop="1">
      <c r="A44" s="41" t="s">
        <v>588</v>
      </c>
      <c r="B44" s="42"/>
      <c r="C44" s="42"/>
      <c r="D44" s="132"/>
      <c r="E44" s="42"/>
      <c r="F44" s="42"/>
      <c r="G44" s="132"/>
      <c r="H44" s="42"/>
      <c r="I44" s="148"/>
      <c r="J44" s="156"/>
      <c r="K44" s="28"/>
    </row>
    <row r="45" spans="1:1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c r="K45" s="31"/>
    </row>
    <row r="46" spans="1:1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c r="K46" s="31"/>
    </row>
    <row r="47" spans="1:11" ht="15.6">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c r="K47" s="22"/>
    </row>
    <row r="48" spans="1:11" ht="16.2" thickBot="1">
      <c r="A48" s="23" t="s">
        <v>590</v>
      </c>
      <c r="B48" s="24">
        <f>SUM(B12,B43,B47)</f>
        <v>0</v>
      </c>
      <c r="C48" s="24">
        <f>SUM(C12,C43,C47)</f>
        <v>0</v>
      </c>
      <c r="D48" s="125" t="str" cm="1">
        <f t="array" ref="D48">SeasonalBudPct(B48,C48)</f>
        <v/>
      </c>
      <c r="E48" s="24">
        <f>SUM(E12,E43,E47)</f>
        <v>0</v>
      </c>
      <c r="F48" s="24" t="str" cm="1">
        <f t="array" ref="F48">BudgetDolVariance(C48,E48)</f>
        <v/>
      </c>
      <c r="G48" s="125" t="str" cm="1">
        <f t="array" ref="G48">BudgetPctVariance(C48,E48)</f>
        <v/>
      </c>
      <c r="H48" s="24">
        <f>SUM(H12,H43,H47)</f>
        <v>0</v>
      </c>
      <c r="I48" s="150" t="str" cm="1">
        <f t="array" ref="I48">BudgetPctVariance(H48,E48)</f>
        <v/>
      </c>
      <c r="J48" s="162"/>
    </row>
    <row r="49" spans="1:10" ht="15" thickTop="1">
      <c r="A49" s="45"/>
      <c r="B49" s="26"/>
      <c r="C49" s="26"/>
      <c r="D49" s="133"/>
      <c r="E49" s="26"/>
      <c r="H49" s="26"/>
      <c r="J49" s="157"/>
    </row>
    <row r="50" spans="1:10">
      <c r="A50"/>
      <c r="B50"/>
    </row>
    <row r="51" spans="1:10">
      <c r="A51" s="158" t="s">
        <v>615</v>
      </c>
      <c r="B51" s="267"/>
    </row>
    <row r="52" spans="1:10">
      <c r="B52" s="267"/>
    </row>
    <row r="53" spans="1:10">
      <c r="B53" s="267"/>
    </row>
    <row r="54" spans="1:10">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pageMargins left="0.7" right="0.7" top="0.75" bottom="0.75" header="0.3" footer="0.3"/>
  <ignoredErrors>
    <ignoredError sqref="D22 D35 D31 D13:D14 D12 D15:D21 D32:D34 D36:D42 D23:D30 D44 D43 D45:D49"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58A66-4188-439D-A498-43D89D592357}">
  <sheetPr codeName="Sheet2">
    <tabColor rgb="FFDCCBA0"/>
  </sheetPr>
  <dimension ref="A1:H583"/>
  <sheetViews>
    <sheetView showGridLines="0" showRowColHeaders="0" workbookViewId="0">
      <pane ySplit="4" topLeftCell="A5" activePane="bottomLeft" state="frozen"/>
      <selection activeCell="K16" sqref="K16"/>
      <selection pane="bottomLeft"/>
    </sheetView>
  </sheetViews>
  <sheetFormatPr defaultRowHeight="14.4"/>
  <cols>
    <col min="1" max="1" width="5.109375" customWidth="1"/>
    <col min="2" max="3" width="19" customWidth="1"/>
    <col min="4" max="4" width="14.21875" style="202" customWidth="1"/>
    <col min="5" max="5" width="5.44140625" style="202" customWidth="1"/>
    <col min="6" max="6" width="14.21875" style="202" customWidth="1"/>
    <col min="7" max="7" width="5.44140625" style="202" customWidth="1"/>
    <col min="8" max="8" width="14.21875" style="202" customWidth="1"/>
  </cols>
  <sheetData>
    <row r="1" spans="1:8">
      <c r="A1" s="2" t="str" cm="1">
        <f t="array" ref="A1">CCName(rngCC)</f>
        <v>CU Student Government - Proper</v>
      </c>
      <c r="D1"/>
      <c r="E1"/>
      <c r="F1"/>
      <c r="G1"/>
      <c r="H1"/>
    </row>
    <row r="2" spans="1:8">
      <c r="A2" s="2" t="str" cm="1">
        <f t="array" ref="A2">IdentifyQuarter(rngQ,rngFY)</f>
        <v>31-Mar-20</v>
      </c>
      <c r="D2"/>
      <c r="E2"/>
      <c r="F2"/>
      <c r="G2"/>
      <c r="H2"/>
    </row>
    <row r="3" spans="1:8">
      <c r="A3" s="2"/>
      <c r="D3" s="199" t="s">
        <v>565</v>
      </c>
      <c r="E3"/>
      <c r="F3" s="199" t="s">
        <v>620</v>
      </c>
      <c r="G3"/>
      <c r="H3" s="199" t="s">
        <v>621</v>
      </c>
    </row>
    <row r="4" spans="1:8">
      <c r="D4" s="200">
        <f>DATE(rngFY-1,7,1)</f>
        <v>7122</v>
      </c>
      <c r="E4"/>
      <c r="F4" s="200" t="str" cm="1">
        <f t="array" ref="F4">IdentifyQuarter(rngQ,rngFY)</f>
        <v>31-Mar-20</v>
      </c>
      <c r="G4"/>
      <c r="H4" s="200">
        <f>DATE(rngFY,6,30)</f>
        <v>7487</v>
      </c>
    </row>
    <row r="5" spans="1:8" ht="18">
      <c r="A5" s="207" t="s">
        <v>611</v>
      </c>
      <c r="D5"/>
      <c r="E5"/>
      <c r="F5"/>
      <c r="G5"/>
      <c r="H5"/>
    </row>
    <row r="7" spans="1:8" ht="15" thickBot="1">
      <c r="A7" s="2" t="s">
        <v>616</v>
      </c>
      <c r="D7" s="201">
        <v>0</v>
      </c>
      <c r="F7" s="201">
        <f>D7</f>
        <v>0</v>
      </c>
      <c r="H7" s="201">
        <f>D7</f>
        <v>0</v>
      </c>
    </row>
    <row r="8" spans="1:8" ht="15" thickTop="1"/>
    <row r="9" spans="1:8">
      <c r="A9" s="2" t="s">
        <v>595</v>
      </c>
      <c r="D9" s="203">
        <v>-584631</v>
      </c>
      <c r="F9" s="203">
        <v>-584771</v>
      </c>
      <c r="H9" s="203">
        <f>F9</f>
        <v>-584771</v>
      </c>
    </row>
    <row r="11" spans="1:8">
      <c r="A11" s="2" t="s">
        <v>596</v>
      </c>
      <c r="D11" s="203">
        <v>584631</v>
      </c>
      <c r="F11" s="203">
        <v>386233.5</v>
      </c>
      <c r="H11" s="203">
        <v>0</v>
      </c>
    </row>
    <row r="13" spans="1:8">
      <c r="A13" s="2" t="s">
        <v>617</v>
      </c>
    </row>
    <row r="14" spans="1:8">
      <c r="A14" s="2" t="s">
        <v>808</v>
      </c>
      <c r="B14" t="s">
        <v>403</v>
      </c>
      <c r="D14" s="202">
        <v>0</v>
      </c>
      <c r="F14" s="202">
        <v>50248</v>
      </c>
    </row>
    <row r="15" spans="1:8">
      <c r="A15" s="197"/>
      <c r="D15" s="203"/>
    </row>
    <row r="16" spans="1:8">
      <c r="A16" s="197"/>
      <c r="D16" s="204">
        <f>SUM(D13:D15)</f>
        <v>0</v>
      </c>
      <c r="F16" s="204">
        <f>SUM(F13:F15)</f>
        <v>50248</v>
      </c>
      <c r="H16" s="204">
        <f>SUM(H13:H15)</f>
        <v>0</v>
      </c>
    </row>
    <row r="18" spans="1:8" ht="15" thickBot="1">
      <c r="A18" s="2" t="s">
        <v>619</v>
      </c>
      <c r="D18" s="205">
        <f>SUM(D7,D9,D11,D16)</f>
        <v>0</v>
      </c>
      <c r="E18" s="206"/>
      <c r="F18" s="205">
        <f>SUM(F7,F9,F11,F16)</f>
        <v>-148289.5</v>
      </c>
      <c r="G18" s="206"/>
      <c r="H18" s="205">
        <f>SUM(H7,H9,H11,H16)</f>
        <v>-584771</v>
      </c>
    </row>
    <row r="19" spans="1:8" ht="15" thickTop="1"/>
    <row r="20" spans="1:8">
      <c r="A20" s="2" t="s">
        <v>618</v>
      </c>
    </row>
    <row r="21" spans="1:8">
      <c r="A21" s="338" t="s">
        <v>828</v>
      </c>
      <c r="B21" t="s">
        <v>829</v>
      </c>
      <c r="D21" s="202">
        <v>1023</v>
      </c>
    </row>
    <row r="22" spans="1:8">
      <c r="A22" s="338" t="s">
        <v>826</v>
      </c>
      <c r="B22" t="s">
        <v>827</v>
      </c>
      <c r="D22" s="202">
        <v>2550</v>
      </c>
    </row>
    <row r="23" spans="1:8">
      <c r="A23" s="338" t="s">
        <v>824</v>
      </c>
      <c r="B23" t="s">
        <v>825</v>
      </c>
      <c r="D23" s="202">
        <v>2646</v>
      </c>
    </row>
    <row r="24" spans="1:8">
      <c r="A24" s="338" t="s">
        <v>822</v>
      </c>
      <c r="B24" t="s">
        <v>823</v>
      </c>
      <c r="D24" s="202">
        <v>3055</v>
      </c>
    </row>
    <row r="25" spans="1:8">
      <c r="A25" s="338" t="s">
        <v>820</v>
      </c>
      <c r="B25" t="s">
        <v>821</v>
      </c>
      <c r="D25" s="202">
        <v>3204</v>
      </c>
    </row>
    <row r="26" spans="1:8">
      <c r="A26" s="338" t="s">
        <v>818</v>
      </c>
      <c r="B26" t="s">
        <v>819</v>
      </c>
      <c r="D26" s="202">
        <v>6310</v>
      </c>
    </row>
    <row r="27" spans="1:8">
      <c r="A27" s="338" t="s">
        <v>816</v>
      </c>
      <c r="B27" t="s">
        <v>817</v>
      </c>
      <c r="D27" s="202">
        <v>9281</v>
      </c>
    </row>
    <row r="28" spans="1:8">
      <c r="A28" s="338" t="s">
        <v>814</v>
      </c>
      <c r="B28" t="s">
        <v>815</v>
      </c>
      <c r="D28" s="202">
        <v>9281</v>
      </c>
    </row>
    <row r="29" spans="1:8">
      <c r="A29" s="338" t="s">
        <v>812</v>
      </c>
      <c r="B29" t="s">
        <v>813</v>
      </c>
      <c r="D29" s="202">
        <v>10785</v>
      </c>
    </row>
    <row r="30" spans="1:8">
      <c r="A30" s="338" t="s">
        <v>810</v>
      </c>
      <c r="B30" t="s">
        <v>811</v>
      </c>
      <c r="D30" s="202">
        <v>15250</v>
      </c>
    </row>
    <row r="31" spans="1:8">
      <c r="A31" s="214"/>
      <c r="D31" s="203"/>
    </row>
    <row r="32" spans="1:8">
      <c r="D32" s="204">
        <f>SUM(D20:D31)</f>
        <v>63385</v>
      </c>
      <c r="F32" s="204">
        <f>SUM(F20:F31)</f>
        <v>0</v>
      </c>
      <c r="H32" s="204">
        <f>SUM(H20:H31)</f>
        <v>0</v>
      </c>
    </row>
    <row r="34" spans="1:8" ht="15" thickBot="1">
      <c r="A34" s="2" t="s">
        <v>622</v>
      </c>
      <c r="D34" s="201">
        <f>D18+D32</f>
        <v>63385</v>
      </c>
      <c r="E34" s="206"/>
      <c r="F34" s="201">
        <f>F18+F32</f>
        <v>-148289.5</v>
      </c>
      <c r="G34" s="206"/>
      <c r="H34" s="201">
        <f>H18+H32</f>
        <v>-584771</v>
      </c>
    </row>
    <row r="35" spans="1:8" ht="15" thickTop="1">
      <c r="A35" s="198"/>
      <c r="B35" s="198"/>
      <c r="C35" s="198"/>
      <c r="D35" s="203"/>
      <c r="E35" s="203"/>
      <c r="F35" s="203"/>
      <c r="G35" s="203"/>
      <c r="H35" s="203"/>
    </row>
    <row r="36" spans="1:8" ht="18">
      <c r="A36" s="207" t="s">
        <v>612</v>
      </c>
      <c r="D36"/>
      <c r="E36"/>
      <c r="F36"/>
      <c r="G36"/>
      <c r="H36"/>
    </row>
    <row r="38" spans="1:8" ht="15" thickBot="1">
      <c r="A38" s="2" t="s">
        <v>616</v>
      </c>
      <c r="D38" s="201">
        <v>0</v>
      </c>
      <c r="F38" s="201">
        <f>D38</f>
        <v>0</v>
      </c>
      <c r="H38" s="201">
        <f>D38</f>
        <v>0</v>
      </c>
    </row>
    <row r="39" spans="1:8" ht="15" thickTop="1"/>
    <row r="40" spans="1:8">
      <c r="A40" s="2" t="s">
        <v>595</v>
      </c>
      <c r="D40" s="203">
        <v>-36700</v>
      </c>
      <c r="F40" s="203">
        <v>-36700</v>
      </c>
      <c r="H40" s="203">
        <f>F40</f>
        <v>-36700</v>
      </c>
    </row>
    <row r="42" spans="1:8">
      <c r="A42" s="2" t="s">
        <v>596</v>
      </c>
      <c r="D42" s="203">
        <v>0</v>
      </c>
      <c r="F42" s="203">
        <v>0</v>
      </c>
      <c r="H42" s="203">
        <v>0</v>
      </c>
    </row>
    <row r="44" spans="1:8">
      <c r="A44" s="2" t="s">
        <v>617</v>
      </c>
    </row>
    <row r="45" spans="1:8">
      <c r="A45" s="2" t="s">
        <v>809</v>
      </c>
      <c r="B45" t="s">
        <v>796</v>
      </c>
      <c r="D45" s="202">
        <v>0</v>
      </c>
      <c r="F45" s="202">
        <v>-1578</v>
      </c>
    </row>
    <row r="46" spans="1:8">
      <c r="A46" s="2" t="s">
        <v>808</v>
      </c>
      <c r="B46" t="s">
        <v>796</v>
      </c>
      <c r="D46" s="202">
        <v>36700</v>
      </c>
      <c r="F46" s="202">
        <v>36916.53</v>
      </c>
    </row>
    <row r="47" spans="1:8">
      <c r="A47" s="197"/>
      <c r="D47" s="203"/>
    </row>
    <row r="48" spans="1:8">
      <c r="A48" s="197"/>
      <c r="D48" s="204">
        <f>SUM(D44:D47)</f>
        <v>36700</v>
      </c>
      <c r="F48" s="204">
        <f>SUM(F44:F47)</f>
        <v>35338.53</v>
      </c>
      <c r="H48" s="204">
        <f>SUM(H44:H47)</f>
        <v>0</v>
      </c>
    </row>
    <row r="50" spans="1:8" ht="15" thickBot="1">
      <c r="A50" s="2" t="s">
        <v>619</v>
      </c>
      <c r="D50" s="205">
        <f>SUM(D38,D40,D42,D48)</f>
        <v>0</v>
      </c>
      <c r="E50" s="206"/>
      <c r="F50" s="205">
        <f>SUM(F38,F40,F42,F48)</f>
        <v>-1361.4700000000012</v>
      </c>
      <c r="G50" s="206"/>
      <c r="H50" s="205">
        <f>SUM(H38,H40,H42,H48)</f>
        <v>-36700</v>
      </c>
    </row>
    <row r="51" spans="1:8" ht="15" thickTop="1"/>
    <row r="52" spans="1:8">
      <c r="A52" s="2" t="s">
        <v>618</v>
      </c>
    </row>
    <row r="53" spans="1:8">
      <c r="A53" s="214"/>
      <c r="D53" s="203"/>
    </row>
    <row r="54" spans="1:8">
      <c r="D54" s="204">
        <f>SUM(D52:D53)</f>
        <v>0</v>
      </c>
      <c r="F54" s="204">
        <f>SUM(F52:F53)</f>
        <v>0</v>
      </c>
      <c r="H54" s="204">
        <f>SUM(H52:H53)</f>
        <v>0</v>
      </c>
    </row>
    <row r="56" spans="1:8" ht="15" thickBot="1">
      <c r="A56" s="2" t="s">
        <v>622</v>
      </c>
      <c r="D56" s="201">
        <f>D50+D54</f>
        <v>0</v>
      </c>
      <c r="E56" s="206"/>
      <c r="F56" s="201">
        <f>F50+F54</f>
        <v>-1361.4700000000012</v>
      </c>
      <c r="G56" s="206"/>
      <c r="H56" s="201">
        <f>H50+H54</f>
        <v>-36700</v>
      </c>
    </row>
    <row r="57" spans="1:8" ht="15" thickTop="1">
      <c r="A57" s="198"/>
      <c r="B57" s="198"/>
      <c r="C57" s="198"/>
      <c r="D57" s="203"/>
      <c r="E57" s="203"/>
      <c r="F57" s="203"/>
      <c r="G57" s="203"/>
      <c r="H57" s="203"/>
    </row>
    <row r="58" spans="1:8" ht="18">
      <c r="A58" s="207" t="s">
        <v>613</v>
      </c>
      <c r="D58"/>
      <c r="E58"/>
      <c r="F58"/>
      <c r="G58"/>
      <c r="H58"/>
    </row>
    <row r="60" spans="1:8" ht="15" thickBot="1">
      <c r="A60" s="2" t="s">
        <v>616</v>
      </c>
      <c r="D60" s="201">
        <v>0</v>
      </c>
      <c r="F60" s="201">
        <f>D60</f>
        <v>0</v>
      </c>
      <c r="H60" s="201">
        <f>D60</f>
        <v>0</v>
      </c>
    </row>
    <row r="61" spans="1:8" ht="15" thickTop="1"/>
    <row r="62" spans="1:8">
      <c r="A62" s="2" t="s">
        <v>595</v>
      </c>
      <c r="D62" s="203">
        <v>-36700</v>
      </c>
      <c r="F62" s="203">
        <v>-36700</v>
      </c>
      <c r="H62" s="203">
        <f>F62</f>
        <v>-36700</v>
      </c>
    </row>
    <row r="64" spans="1:8">
      <c r="A64" s="2" t="s">
        <v>596</v>
      </c>
      <c r="D64" s="203">
        <v>0</v>
      </c>
      <c r="F64" s="203">
        <v>40.49</v>
      </c>
      <c r="H64" s="203">
        <v>0</v>
      </c>
    </row>
    <row r="66" spans="1:8">
      <c r="A66" s="2" t="s">
        <v>617</v>
      </c>
    </row>
    <row r="67" spans="1:8">
      <c r="A67" s="2" t="s">
        <v>809</v>
      </c>
      <c r="B67" t="s">
        <v>394</v>
      </c>
      <c r="D67" s="202">
        <v>0</v>
      </c>
      <c r="F67" s="202">
        <v>-18738.580000000002</v>
      </c>
    </row>
    <row r="68" spans="1:8">
      <c r="A68" s="2" t="s">
        <v>808</v>
      </c>
      <c r="B68" t="s">
        <v>394</v>
      </c>
      <c r="D68" s="202">
        <v>36700</v>
      </c>
      <c r="F68" s="202">
        <v>63000.76</v>
      </c>
    </row>
    <row r="69" spans="1:8">
      <c r="A69" s="197"/>
      <c r="D69" s="203"/>
    </row>
    <row r="70" spans="1:8">
      <c r="A70" s="197"/>
      <c r="D70" s="204">
        <f>SUM(D66:D69)</f>
        <v>36700</v>
      </c>
      <c r="F70" s="204">
        <f>SUM(F66:F69)</f>
        <v>44262.18</v>
      </c>
      <c r="H70" s="204">
        <f>SUM(H66:H69)</f>
        <v>0</v>
      </c>
    </row>
    <row r="72" spans="1:8" ht="15" thickBot="1">
      <c r="A72" s="2" t="s">
        <v>619</v>
      </c>
      <c r="D72" s="205">
        <f>SUM(D60,D62,D64,D70)</f>
        <v>0</v>
      </c>
      <c r="E72" s="206"/>
      <c r="F72" s="205">
        <f>SUM(F60,F62,F64,F70)</f>
        <v>7602.6699999999983</v>
      </c>
      <c r="G72" s="206"/>
      <c r="H72" s="205">
        <f>SUM(H60,H62,H64,H70)</f>
        <v>-36700</v>
      </c>
    </row>
    <row r="73" spans="1:8" ht="15" thickTop="1"/>
    <row r="74" spans="1:8">
      <c r="A74" s="2" t="s">
        <v>618</v>
      </c>
    </row>
    <row r="75" spans="1:8">
      <c r="A75" s="214"/>
      <c r="D75" s="203"/>
    </row>
    <row r="76" spans="1:8">
      <c r="D76" s="204">
        <f>SUM(D74:D75)</f>
        <v>0</v>
      </c>
      <c r="F76" s="204">
        <f>SUM(F74:F75)</f>
        <v>0</v>
      </c>
      <c r="H76" s="204">
        <f>SUM(H74:H75)</f>
        <v>0</v>
      </c>
    </row>
    <row r="78" spans="1:8" ht="15" thickBot="1">
      <c r="A78" s="2" t="s">
        <v>622</v>
      </c>
      <c r="D78" s="201">
        <f>D72+D76</f>
        <v>0</v>
      </c>
      <c r="E78" s="206"/>
      <c r="F78" s="201">
        <f>F72+F76</f>
        <v>7602.6699999999983</v>
      </c>
      <c r="G78" s="206"/>
      <c r="H78" s="201">
        <f>H72+H76</f>
        <v>-36700</v>
      </c>
    </row>
    <row r="79" spans="1:8" ht="15" thickTop="1">
      <c r="A79" s="198"/>
      <c r="B79" s="198"/>
      <c r="C79" s="198"/>
      <c r="D79" s="203"/>
      <c r="E79" s="203"/>
      <c r="F79" s="203"/>
      <c r="G79" s="203"/>
      <c r="H79" s="203"/>
    </row>
    <row r="80" spans="1:8">
      <c r="D80"/>
      <c r="E80"/>
      <c r="F80"/>
      <c r="G80"/>
      <c r="H80"/>
    </row>
    <row r="81" spans="4:8">
      <c r="D81"/>
      <c r="E81"/>
      <c r="F81"/>
      <c r="G81"/>
      <c r="H81"/>
    </row>
    <row r="82" spans="4:8">
      <c r="D82"/>
      <c r="E82"/>
      <c r="F82"/>
      <c r="G82"/>
      <c r="H82"/>
    </row>
    <row r="83" spans="4:8">
      <c r="D83"/>
      <c r="E83"/>
      <c r="F83"/>
      <c r="G83"/>
      <c r="H83"/>
    </row>
    <row r="84" spans="4:8">
      <c r="D84"/>
      <c r="E84"/>
      <c r="F84"/>
      <c r="G84"/>
      <c r="H84"/>
    </row>
    <row r="85" spans="4:8">
      <c r="D85"/>
      <c r="E85"/>
      <c r="F85"/>
      <c r="G85"/>
      <c r="H85"/>
    </row>
    <row r="86" spans="4:8">
      <c r="D86"/>
      <c r="E86"/>
      <c r="F86"/>
      <c r="G86"/>
      <c r="H86"/>
    </row>
    <row r="87" spans="4:8">
      <c r="D87"/>
      <c r="E87"/>
      <c r="F87"/>
      <c r="G87"/>
      <c r="H87"/>
    </row>
    <row r="88" spans="4:8">
      <c r="D88"/>
      <c r="E88"/>
      <c r="F88"/>
      <c r="G88"/>
      <c r="H88"/>
    </row>
    <row r="89" spans="4:8">
      <c r="D89"/>
      <c r="E89"/>
      <c r="F89"/>
      <c r="G89"/>
      <c r="H89"/>
    </row>
    <row r="90" spans="4:8">
      <c r="D90"/>
      <c r="E90"/>
      <c r="F90"/>
      <c r="G90"/>
      <c r="H90"/>
    </row>
    <row r="91" spans="4:8">
      <c r="D91"/>
      <c r="E91"/>
      <c r="F91"/>
      <c r="G91"/>
      <c r="H91"/>
    </row>
    <row r="92" spans="4:8">
      <c r="D92"/>
      <c r="E92"/>
      <c r="F92"/>
      <c r="G92"/>
      <c r="H92"/>
    </row>
    <row r="93" spans="4:8">
      <c r="D93"/>
      <c r="E93"/>
      <c r="F93"/>
      <c r="G93"/>
      <c r="H93"/>
    </row>
    <row r="94" spans="4:8">
      <c r="D94"/>
      <c r="E94"/>
      <c r="F94"/>
      <c r="G94"/>
      <c r="H94"/>
    </row>
    <row r="95" spans="4:8">
      <c r="D95"/>
      <c r="E95"/>
      <c r="F95"/>
      <c r="G95"/>
      <c r="H95"/>
    </row>
    <row r="96" spans="4:8">
      <c r="D96"/>
      <c r="E96"/>
      <c r="F96"/>
      <c r="G96"/>
      <c r="H96"/>
    </row>
    <row r="97" spans="4:8">
      <c r="D97"/>
      <c r="E97"/>
      <c r="F97"/>
      <c r="G97"/>
      <c r="H97"/>
    </row>
    <row r="98" spans="4:8">
      <c r="D98"/>
      <c r="E98"/>
      <c r="F98"/>
      <c r="G98"/>
      <c r="H98"/>
    </row>
    <row r="99" spans="4:8">
      <c r="D99"/>
      <c r="E99"/>
      <c r="F99"/>
      <c r="G99"/>
      <c r="H99"/>
    </row>
    <row r="100" spans="4:8">
      <c r="D100"/>
      <c r="E100"/>
      <c r="F100"/>
      <c r="G100"/>
      <c r="H100"/>
    </row>
    <row r="101" spans="4:8">
      <c r="D101"/>
      <c r="E101"/>
      <c r="F101"/>
      <c r="G101"/>
      <c r="H101"/>
    </row>
    <row r="102" spans="4:8">
      <c r="D102"/>
      <c r="E102"/>
      <c r="F102"/>
      <c r="G102"/>
      <c r="H102"/>
    </row>
    <row r="103" spans="4:8">
      <c r="D103"/>
      <c r="E103"/>
      <c r="F103"/>
      <c r="G103"/>
      <c r="H103"/>
    </row>
    <row r="104" spans="4:8">
      <c r="D104"/>
      <c r="E104"/>
      <c r="F104"/>
      <c r="G104"/>
      <c r="H104"/>
    </row>
    <row r="105" spans="4:8">
      <c r="D105"/>
      <c r="E105"/>
      <c r="F105"/>
      <c r="G105"/>
      <c r="H105"/>
    </row>
    <row r="106" spans="4:8">
      <c r="D106"/>
      <c r="E106"/>
      <c r="F106"/>
      <c r="G106"/>
      <c r="H106"/>
    </row>
    <row r="107" spans="4:8">
      <c r="D107"/>
      <c r="E107"/>
      <c r="F107"/>
      <c r="G107"/>
      <c r="H107"/>
    </row>
    <row r="108" spans="4:8">
      <c r="D108"/>
      <c r="E108"/>
      <c r="F108"/>
      <c r="G108"/>
      <c r="H108"/>
    </row>
    <row r="109" spans="4:8">
      <c r="D109"/>
      <c r="E109"/>
      <c r="F109"/>
      <c r="G109"/>
      <c r="H109"/>
    </row>
    <row r="110" spans="4:8">
      <c r="D110"/>
      <c r="E110"/>
      <c r="F110"/>
      <c r="G110"/>
      <c r="H110"/>
    </row>
    <row r="111" spans="4:8">
      <c r="D111"/>
      <c r="E111"/>
      <c r="F111"/>
      <c r="G111"/>
      <c r="H111"/>
    </row>
    <row r="112" spans="4:8">
      <c r="D112"/>
      <c r="E112"/>
      <c r="F112"/>
      <c r="G112"/>
      <c r="H112"/>
    </row>
    <row r="113" spans="4:8">
      <c r="D113"/>
      <c r="E113"/>
      <c r="F113"/>
      <c r="G113"/>
      <c r="H113"/>
    </row>
    <row r="114" spans="4:8">
      <c r="D114"/>
      <c r="E114"/>
      <c r="F114"/>
      <c r="G114"/>
      <c r="H114"/>
    </row>
    <row r="115" spans="4:8">
      <c r="D115"/>
      <c r="E115"/>
      <c r="F115"/>
      <c r="G115"/>
      <c r="H115"/>
    </row>
    <row r="116" spans="4:8">
      <c r="D116"/>
      <c r="E116"/>
      <c r="F116"/>
      <c r="G116"/>
      <c r="H116"/>
    </row>
    <row r="117" spans="4:8">
      <c r="D117"/>
      <c r="E117"/>
      <c r="F117"/>
      <c r="G117"/>
      <c r="H117"/>
    </row>
    <row r="118" spans="4:8">
      <c r="D118"/>
      <c r="E118"/>
      <c r="F118"/>
      <c r="G118"/>
      <c r="H118"/>
    </row>
    <row r="119" spans="4:8">
      <c r="D119"/>
      <c r="E119"/>
      <c r="F119"/>
      <c r="G119"/>
      <c r="H119"/>
    </row>
    <row r="120" spans="4:8">
      <c r="D120"/>
      <c r="E120"/>
      <c r="F120"/>
      <c r="G120"/>
      <c r="H120"/>
    </row>
    <row r="121" spans="4:8">
      <c r="D121"/>
      <c r="E121"/>
      <c r="F121"/>
      <c r="G121"/>
      <c r="H121"/>
    </row>
    <row r="122" spans="4:8">
      <c r="D122"/>
      <c r="E122"/>
      <c r="F122"/>
      <c r="G122"/>
      <c r="H122"/>
    </row>
    <row r="123" spans="4:8">
      <c r="D123"/>
      <c r="E123"/>
      <c r="F123"/>
      <c r="G123"/>
      <c r="H123"/>
    </row>
    <row r="124" spans="4:8">
      <c r="D124"/>
      <c r="E124"/>
      <c r="F124"/>
      <c r="G124"/>
      <c r="H124"/>
    </row>
    <row r="125" spans="4:8">
      <c r="D125"/>
      <c r="E125"/>
      <c r="F125"/>
      <c r="G125"/>
      <c r="H125"/>
    </row>
    <row r="126" spans="4:8">
      <c r="D126"/>
      <c r="E126"/>
      <c r="F126"/>
      <c r="G126"/>
      <c r="H126"/>
    </row>
    <row r="127" spans="4:8">
      <c r="D127"/>
      <c r="E127"/>
      <c r="F127"/>
      <c r="G127"/>
      <c r="H127"/>
    </row>
    <row r="128" spans="4:8">
      <c r="D128"/>
      <c r="E128"/>
      <c r="F128"/>
      <c r="G128"/>
      <c r="H128"/>
    </row>
    <row r="129" spans="4:8">
      <c r="D129"/>
      <c r="E129"/>
      <c r="F129"/>
      <c r="G129"/>
      <c r="H129"/>
    </row>
    <row r="130" spans="4:8">
      <c r="D130"/>
      <c r="E130"/>
      <c r="F130"/>
      <c r="G130"/>
      <c r="H130"/>
    </row>
    <row r="131" spans="4:8">
      <c r="D131"/>
      <c r="E131"/>
      <c r="F131"/>
      <c r="G131"/>
      <c r="H131"/>
    </row>
    <row r="132" spans="4:8">
      <c r="D132"/>
      <c r="E132"/>
      <c r="F132"/>
      <c r="G132"/>
      <c r="H132"/>
    </row>
    <row r="133" spans="4:8">
      <c r="D133"/>
      <c r="E133"/>
      <c r="F133"/>
      <c r="G133"/>
      <c r="H133"/>
    </row>
    <row r="134" spans="4:8">
      <c r="D134"/>
      <c r="E134"/>
      <c r="F134"/>
      <c r="G134"/>
      <c r="H134"/>
    </row>
    <row r="135" spans="4:8">
      <c r="D135"/>
      <c r="E135"/>
      <c r="F135"/>
      <c r="G135"/>
      <c r="H135"/>
    </row>
    <row r="136" spans="4:8">
      <c r="D136"/>
      <c r="E136"/>
      <c r="F136"/>
      <c r="G136"/>
      <c r="H136"/>
    </row>
    <row r="137" spans="4:8">
      <c r="D137"/>
      <c r="E137"/>
      <c r="F137"/>
      <c r="G137"/>
      <c r="H137"/>
    </row>
    <row r="138" spans="4:8">
      <c r="D138"/>
      <c r="E138"/>
      <c r="F138"/>
      <c r="G138"/>
      <c r="H138"/>
    </row>
    <row r="139" spans="4:8">
      <c r="D139"/>
      <c r="E139"/>
      <c r="F139"/>
      <c r="G139"/>
      <c r="H139"/>
    </row>
    <row r="140" spans="4:8">
      <c r="D140"/>
      <c r="E140"/>
      <c r="F140"/>
      <c r="G140"/>
      <c r="H140"/>
    </row>
    <row r="141" spans="4:8">
      <c r="D141"/>
      <c r="E141"/>
      <c r="F141"/>
      <c r="G141"/>
      <c r="H141"/>
    </row>
    <row r="142" spans="4:8">
      <c r="D142"/>
      <c r="E142"/>
      <c r="F142"/>
      <c r="G142"/>
      <c r="H142"/>
    </row>
    <row r="143" spans="4:8">
      <c r="D143"/>
      <c r="E143"/>
      <c r="F143"/>
      <c r="G143"/>
      <c r="H143"/>
    </row>
    <row r="144" spans="4:8">
      <c r="D144"/>
      <c r="E144"/>
      <c r="F144"/>
      <c r="G144"/>
      <c r="H144"/>
    </row>
    <row r="145" spans="4:8">
      <c r="D145"/>
      <c r="E145"/>
      <c r="F145"/>
      <c r="G145"/>
      <c r="H145"/>
    </row>
    <row r="146" spans="4:8">
      <c r="D146"/>
      <c r="E146"/>
      <c r="F146"/>
      <c r="G146"/>
      <c r="H146"/>
    </row>
    <row r="147" spans="4:8">
      <c r="D147"/>
      <c r="E147"/>
      <c r="F147"/>
      <c r="G147"/>
      <c r="H147"/>
    </row>
    <row r="148" spans="4:8">
      <c r="D148"/>
      <c r="E148"/>
      <c r="F148"/>
      <c r="G148"/>
      <c r="H148"/>
    </row>
    <row r="149" spans="4:8">
      <c r="D149"/>
      <c r="E149"/>
      <c r="F149"/>
      <c r="G149"/>
      <c r="H149"/>
    </row>
    <row r="150" spans="4:8">
      <c r="D150"/>
      <c r="E150"/>
      <c r="F150"/>
      <c r="G150"/>
      <c r="H150"/>
    </row>
    <row r="151" spans="4:8">
      <c r="D151"/>
      <c r="E151"/>
      <c r="F151"/>
      <c r="G151"/>
      <c r="H151"/>
    </row>
    <row r="152" spans="4:8">
      <c r="D152"/>
      <c r="E152"/>
      <c r="F152"/>
      <c r="G152"/>
      <c r="H152"/>
    </row>
    <row r="153" spans="4:8">
      <c r="D153"/>
      <c r="E153"/>
      <c r="F153"/>
      <c r="G153"/>
      <c r="H153"/>
    </row>
    <row r="154" spans="4:8">
      <c r="D154"/>
      <c r="E154"/>
      <c r="F154"/>
      <c r="G154"/>
      <c r="H154"/>
    </row>
    <row r="155" spans="4:8">
      <c r="D155"/>
      <c r="E155"/>
      <c r="F155"/>
      <c r="G155"/>
      <c r="H155"/>
    </row>
    <row r="156" spans="4:8">
      <c r="D156"/>
      <c r="E156"/>
      <c r="F156"/>
      <c r="G156"/>
      <c r="H156"/>
    </row>
    <row r="157" spans="4:8">
      <c r="D157"/>
      <c r="E157"/>
      <c r="F157"/>
      <c r="G157"/>
      <c r="H157"/>
    </row>
    <row r="158" spans="4:8">
      <c r="D158"/>
      <c r="E158"/>
      <c r="F158"/>
      <c r="G158"/>
      <c r="H158"/>
    </row>
    <row r="159" spans="4:8">
      <c r="D159"/>
      <c r="E159"/>
      <c r="F159"/>
      <c r="G159"/>
      <c r="H159"/>
    </row>
    <row r="160" spans="4:8">
      <c r="D160"/>
      <c r="E160"/>
      <c r="F160"/>
      <c r="G160"/>
      <c r="H160"/>
    </row>
    <row r="161" spans="4:8">
      <c r="D161"/>
      <c r="E161"/>
      <c r="F161"/>
      <c r="G161"/>
      <c r="H161"/>
    </row>
    <row r="162" spans="4:8">
      <c r="D162"/>
      <c r="E162"/>
      <c r="F162"/>
      <c r="G162"/>
      <c r="H162"/>
    </row>
    <row r="163" spans="4:8">
      <c r="D163"/>
      <c r="E163"/>
      <c r="F163"/>
      <c r="G163"/>
      <c r="H163"/>
    </row>
    <row r="164" spans="4:8">
      <c r="D164"/>
      <c r="E164"/>
      <c r="F164"/>
      <c r="G164"/>
      <c r="H164"/>
    </row>
    <row r="165" spans="4:8">
      <c r="D165"/>
      <c r="E165"/>
      <c r="F165"/>
      <c r="G165"/>
      <c r="H165"/>
    </row>
    <row r="166" spans="4:8">
      <c r="D166"/>
      <c r="E166"/>
      <c r="F166"/>
      <c r="G166"/>
      <c r="H166"/>
    </row>
    <row r="167" spans="4:8">
      <c r="D167"/>
      <c r="E167"/>
      <c r="F167"/>
      <c r="G167"/>
      <c r="H167"/>
    </row>
    <row r="168" spans="4:8">
      <c r="D168"/>
      <c r="E168"/>
      <c r="F168"/>
      <c r="G168"/>
      <c r="H168"/>
    </row>
    <row r="169" spans="4:8">
      <c r="D169"/>
      <c r="E169"/>
      <c r="F169"/>
      <c r="G169"/>
      <c r="H169"/>
    </row>
    <row r="170" spans="4:8">
      <c r="D170"/>
      <c r="E170"/>
      <c r="F170"/>
      <c r="G170"/>
      <c r="H170"/>
    </row>
    <row r="171" spans="4:8">
      <c r="D171"/>
      <c r="E171"/>
      <c r="F171"/>
      <c r="G171"/>
      <c r="H171"/>
    </row>
    <row r="172" spans="4:8">
      <c r="D172"/>
      <c r="E172"/>
      <c r="F172"/>
      <c r="G172"/>
      <c r="H172"/>
    </row>
    <row r="173" spans="4:8">
      <c r="D173"/>
      <c r="E173"/>
      <c r="F173"/>
      <c r="G173"/>
      <c r="H173"/>
    </row>
    <row r="174" spans="4:8">
      <c r="D174"/>
      <c r="E174"/>
      <c r="F174"/>
      <c r="G174"/>
      <c r="H174"/>
    </row>
    <row r="175" spans="4:8">
      <c r="D175"/>
      <c r="E175"/>
      <c r="F175"/>
      <c r="G175"/>
      <c r="H175"/>
    </row>
    <row r="176" spans="4:8">
      <c r="D176"/>
      <c r="E176"/>
      <c r="F176"/>
      <c r="G176"/>
      <c r="H176"/>
    </row>
    <row r="177" spans="4:8">
      <c r="D177"/>
      <c r="E177"/>
      <c r="F177"/>
      <c r="G177"/>
      <c r="H177"/>
    </row>
    <row r="178" spans="4:8">
      <c r="D178"/>
      <c r="E178"/>
      <c r="F178"/>
      <c r="G178"/>
      <c r="H178"/>
    </row>
    <row r="179" spans="4:8">
      <c r="D179"/>
      <c r="E179"/>
      <c r="F179"/>
      <c r="G179"/>
      <c r="H179"/>
    </row>
    <row r="180" spans="4:8">
      <c r="D180"/>
      <c r="E180"/>
      <c r="F180"/>
      <c r="G180"/>
      <c r="H180"/>
    </row>
    <row r="181" spans="4:8">
      <c r="D181"/>
      <c r="E181"/>
      <c r="F181"/>
      <c r="G181"/>
      <c r="H181"/>
    </row>
    <row r="182" spans="4:8">
      <c r="D182"/>
      <c r="E182"/>
      <c r="F182"/>
      <c r="G182"/>
      <c r="H182"/>
    </row>
    <row r="183" spans="4:8">
      <c r="D183"/>
      <c r="E183"/>
      <c r="F183"/>
      <c r="G183"/>
      <c r="H183"/>
    </row>
    <row r="184" spans="4:8">
      <c r="D184"/>
      <c r="E184"/>
      <c r="F184"/>
      <c r="G184"/>
      <c r="H184"/>
    </row>
    <row r="185" spans="4:8">
      <c r="D185"/>
      <c r="E185"/>
      <c r="F185"/>
      <c r="G185"/>
      <c r="H185"/>
    </row>
    <row r="186" spans="4:8">
      <c r="D186"/>
      <c r="E186"/>
      <c r="F186"/>
      <c r="G186"/>
      <c r="H186"/>
    </row>
    <row r="187" spans="4:8">
      <c r="D187"/>
      <c r="E187"/>
      <c r="F187"/>
      <c r="G187"/>
      <c r="H187"/>
    </row>
    <row r="188" spans="4:8">
      <c r="D188"/>
      <c r="E188"/>
      <c r="F188"/>
      <c r="G188"/>
      <c r="H188"/>
    </row>
    <row r="189" spans="4:8">
      <c r="D189"/>
      <c r="E189"/>
      <c r="F189"/>
      <c r="G189"/>
      <c r="H189"/>
    </row>
    <row r="190" spans="4:8">
      <c r="D190"/>
      <c r="E190"/>
      <c r="F190"/>
      <c r="G190"/>
      <c r="H190"/>
    </row>
    <row r="191" spans="4:8">
      <c r="D191"/>
      <c r="E191"/>
      <c r="F191"/>
      <c r="G191"/>
      <c r="H191"/>
    </row>
    <row r="192" spans="4:8">
      <c r="D192"/>
      <c r="E192"/>
      <c r="F192"/>
      <c r="G192"/>
      <c r="H192"/>
    </row>
    <row r="193" spans="4:8">
      <c r="D193"/>
      <c r="E193"/>
      <c r="F193"/>
      <c r="G193"/>
      <c r="H193"/>
    </row>
    <row r="194" spans="4:8">
      <c r="D194"/>
      <c r="E194"/>
      <c r="F194"/>
      <c r="G194"/>
      <c r="H194"/>
    </row>
    <row r="195" spans="4:8">
      <c r="D195"/>
      <c r="E195"/>
      <c r="F195"/>
      <c r="G195"/>
      <c r="H195"/>
    </row>
    <row r="196" spans="4:8">
      <c r="D196"/>
      <c r="E196"/>
      <c r="F196"/>
      <c r="G196"/>
      <c r="H196"/>
    </row>
    <row r="197" spans="4:8">
      <c r="D197"/>
      <c r="E197"/>
      <c r="F197"/>
      <c r="G197"/>
      <c r="H197"/>
    </row>
    <row r="198" spans="4:8">
      <c r="D198"/>
      <c r="E198"/>
      <c r="F198"/>
      <c r="G198"/>
      <c r="H198"/>
    </row>
    <row r="199" spans="4:8">
      <c r="D199"/>
      <c r="E199"/>
      <c r="F199"/>
      <c r="G199"/>
      <c r="H199"/>
    </row>
    <row r="200" spans="4:8">
      <c r="D200"/>
      <c r="E200"/>
      <c r="F200"/>
      <c r="G200"/>
      <c r="H200"/>
    </row>
    <row r="201" spans="4:8">
      <c r="D201"/>
      <c r="E201"/>
      <c r="F201"/>
      <c r="G201"/>
      <c r="H201"/>
    </row>
    <row r="202" spans="4:8">
      <c r="D202"/>
      <c r="E202"/>
      <c r="F202"/>
      <c r="G202"/>
      <c r="H202"/>
    </row>
    <row r="203" spans="4:8">
      <c r="D203"/>
      <c r="E203"/>
      <c r="F203"/>
      <c r="G203"/>
      <c r="H203"/>
    </row>
    <row r="204" spans="4:8">
      <c r="D204"/>
      <c r="E204"/>
      <c r="F204"/>
      <c r="G204"/>
      <c r="H204"/>
    </row>
    <row r="205" spans="4:8">
      <c r="D205"/>
      <c r="E205"/>
      <c r="F205"/>
      <c r="G205"/>
      <c r="H205"/>
    </row>
    <row r="206" spans="4:8">
      <c r="D206"/>
      <c r="E206"/>
      <c r="F206"/>
      <c r="G206"/>
      <c r="H206"/>
    </row>
    <row r="207" spans="4:8">
      <c r="D207"/>
      <c r="E207"/>
      <c r="F207"/>
      <c r="G207"/>
      <c r="H207"/>
    </row>
    <row r="208" spans="4:8">
      <c r="D208"/>
      <c r="E208"/>
      <c r="F208"/>
      <c r="G208"/>
      <c r="H208"/>
    </row>
    <row r="209" spans="4:8">
      <c r="D209"/>
      <c r="E209"/>
      <c r="F209"/>
      <c r="G209"/>
      <c r="H209"/>
    </row>
    <row r="210" spans="4:8">
      <c r="D210"/>
      <c r="E210"/>
      <c r="F210"/>
      <c r="G210"/>
      <c r="H210"/>
    </row>
    <row r="211" spans="4:8">
      <c r="D211"/>
      <c r="E211"/>
      <c r="F211"/>
      <c r="G211"/>
      <c r="H211"/>
    </row>
    <row r="212" spans="4:8">
      <c r="D212"/>
      <c r="E212"/>
      <c r="F212"/>
      <c r="G212"/>
      <c r="H212"/>
    </row>
    <row r="213" spans="4:8">
      <c r="D213"/>
      <c r="E213"/>
      <c r="F213"/>
      <c r="G213"/>
      <c r="H213"/>
    </row>
    <row r="214" spans="4:8">
      <c r="D214"/>
      <c r="E214"/>
      <c r="F214"/>
      <c r="G214"/>
      <c r="H214"/>
    </row>
    <row r="215" spans="4:8">
      <c r="D215"/>
      <c r="E215"/>
      <c r="F215"/>
      <c r="G215"/>
      <c r="H215"/>
    </row>
    <row r="216" spans="4:8">
      <c r="D216"/>
      <c r="E216"/>
      <c r="F216"/>
      <c r="G216"/>
      <c r="H216"/>
    </row>
    <row r="217" spans="4:8">
      <c r="D217"/>
      <c r="E217"/>
      <c r="F217"/>
      <c r="G217"/>
      <c r="H217"/>
    </row>
    <row r="218" spans="4:8">
      <c r="D218"/>
      <c r="E218"/>
      <c r="F218"/>
      <c r="G218"/>
      <c r="H218"/>
    </row>
    <row r="219" spans="4:8">
      <c r="D219"/>
      <c r="E219"/>
      <c r="F219"/>
      <c r="G219"/>
      <c r="H219"/>
    </row>
    <row r="220" spans="4:8">
      <c r="D220"/>
      <c r="E220"/>
      <c r="F220"/>
      <c r="G220"/>
      <c r="H220"/>
    </row>
    <row r="221" spans="4:8">
      <c r="D221"/>
      <c r="E221"/>
      <c r="F221"/>
      <c r="G221"/>
      <c r="H221"/>
    </row>
    <row r="222" spans="4:8">
      <c r="D222"/>
      <c r="E222"/>
      <c r="F222"/>
      <c r="G222"/>
      <c r="H222"/>
    </row>
    <row r="223" spans="4:8">
      <c r="D223"/>
      <c r="E223"/>
      <c r="F223"/>
      <c r="G223"/>
      <c r="H223"/>
    </row>
    <row r="224" spans="4:8">
      <c r="D224"/>
      <c r="E224"/>
      <c r="F224"/>
      <c r="G224"/>
      <c r="H224"/>
    </row>
    <row r="225" spans="4:8">
      <c r="D225"/>
      <c r="E225"/>
      <c r="F225"/>
      <c r="G225"/>
      <c r="H225"/>
    </row>
    <row r="226" spans="4:8">
      <c r="D226"/>
      <c r="E226"/>
      <c r="F226"/>
      <c r="G226"/>
      <c r="H226"/>
    </row>
    <row r="227" spans="4:8">
      <c r="D227"/>
      <c r="E227"/>
      <c r="F227"/>
      <c r="G227"/>
      <c r="H227"/>
    </row>
    <row r="228" spans="4:8">
      <c r="D228"/>
      <c r="E228"/>
      <c r="F228"/>
      <c r="G228"/>
      <c r="H228"/>
    </row>
    <row r="229" spans="4:8">
      <c r="D229"/>
      <c r="E229"/>
      <c r="F229"/>
      <c r="G229"/>
      <c r="H229"/>
    </row>
    <row r="230" spans="4:8">
      <c r="D230"/>
      <c r="E230"/>
      <c r="F230"/>
      <c r="G230"/>
      <c r="H230"/>
    </row>
    <row r="231" spans="4:8">
      <c r="D231"/>
      <c r="E231"/>
      <c r="F231"/>
      <c r="G231"/>
      <c r="H231"/>
    </row>
    <row r="232" spans="4:8">
      <c r="D232"/>
      <c r="E232"/>
      <c r="F232"/>
      <c r="G232"/>
      <c r="H232"/>
    </row>
    <row r="233" spans="4:8">
      <c r="D233"/>
      <c r="E233"/>
      <c r="F233"/>
      <c r="G233"/>
      <c r="H233"/>
    </row>
    <row r="234" spans="4:8">
      <c r="D234"/>
      <c r="E234"/>
      <c r="F234"/>
      <c r="G234"/>
      <c r="H234"/>
    </row>
    <row r="235" spans="4:8">
      <c r="D235"/>
      <c r="E235"/>
      <c r="F235"/>
      <c r="G235"/>
      <c r="H235"/>
    </row>
    <row r="236" spans="4:8">
      <c r="D236"/>
      <c r="E236"/>
      <c r="F236"/>
      <c r="G236"/>
      <c r="H236"/>
    </row>
    <row r="237" spans="4:8">
      <c r="D237"/>
      <c r="E237"/>
      <c r="F237"/>
      <c r="G237"/>
      <c r="H237"/>
    </row>
    <row r="238" spans="4:8">
      <c r="D238"/>
      <c r="E238"/>
      <c r="F238"/>
      <c r="G238"/>
      <c r="H238"/>
    </row>
    <row r="239" spans="4:8">
      <c r="D239"/>
      <c r="E239"/>
      <c r="F239"/>
      <c r="G239"/>
      <c r="H239"/>
    </row>
    <row r="240" spans="4:8">
      <c r="D240"/>
      <c r="E240"/>
      <c r="F240"/>
      <c r="G240"/>
      <c r="H240"/>
    </row>
    <row r="241" spans="4:8">
      <c r="D241"/>
      <c r="E241"/>
      <c r="F241"/>
      <c r="G241"/>
      <c r="H241"/>
    </row>
    <row r="242" spans="4:8">
      <c r="D242"/>
      <c r="E242"/>
      <c r="F242"/>
      <c r="G242"/>
      <c r="H242"/>
    </row>
    <row r="243" spans="4:8">
      <c r="D243"/>
      <c r="E243"/>
      <c r="F243"/>
      <c r="G243"/>
      <c r="H243"/>
    </row>
    <row r="244" spans="4:8">
      <c r="D244"/>
      <c r="E244"/>
      <c r="F244"/>
      <c r="G244"/>
      <c r="H244"/>
    </row>
    <row r="245" spans="4:8">
      <c r="D245"/>
      <c r="E245"/>
      <c r="F245"/>
      <c r="G245"/>
      <c r="H245"/>
    </row>
    <row r="246" spans="4:8">
      <c r="D246"/>
      <c r="E246"/>
      <c r="F246"/>
      <c r="G246"/>
      <c r="H246"/>
    </row>
    <row r="247" spans="4:8">
      <c r="D247"/>
      <c r="E247"/>
      <c r="F247"/>
      <c r="G247"/>
      <c r="H247"/>
    </row>
    <row r="248" spans="4:8">
      <c r="D248"/>
      <c r="E248"/>
      <c r="F248"/>
      <c r="G248"/>
      <c r="H248"/>
    </row>
    <row r="249" spans="4:8">
      <c r="D249"/>
      <c r="E249"/>
      <c r="F249"/>
      <c r="G249"/>
      <c r="H249"/>
    </row>
    <row r="250" spans="4:8">
      <c r="D250"/>
      <c r="E250"/>
      <c r="F250"/>
      <c r="G250"/>
      <c r="H250"/>
    </row>
    <row r="251" spans="4:8">
      <c r="D251"/>
      <c r="E251"/>
      <c r="F251"/>
      <c r="G251"/>
      <c r="H251"/>
    </row>
    <row r="252" spans="4:8">
      <c r="D252"/>
      <c r="E252"/>
      <c r="F252"/>
      <c r="G252"/>
      <c r="H252"/>
    </row>
    <row r="253" spans="4:8">
      <c r="D253"/>
      <c r="E253"/>
      <c r="F253"/>
      <c r="G253"/>
      <c r="H253"/>
    </row>
    <row r="254" spans="4:8">
      <c r="D254"/>
      <c r="E254"/>
      <c r="F254"/>
      <c r="G254"/>
      <c r="H254"/>
    </row>
    <row r="255" spans="4:8">
      <c r="D255"/>
      <c r="E255"/>
      <c r="F255"/>
      <c r="G255"/>
      <c r="H255"/>
    </row>
    <row r="256" spans="4:8">
      <c r="D256"/>
      <c r="E256"/>
      <c r="F256"/>
      <c r="G256"/>
      <c r="H256"/>
    </row>
    <row r="257" spans="4:8">
      <c r="D257"/>
      <c r="E257"/>
      <c r="F257"/>
      <c r="G257"/>
      <c r="H257"/>
    </row>
    <row r="258" spans="4:8">
      <c r="D258"/>
      <c r="E258"/>
      <c r="F258"/>
      <c r="G258"/>
      <c r="H258"/>
    </row>
    <row r="259" spans="4:8">
      <c r="D259"/>
      <c r="E259"/>
      <c r="F259"/>
      <c r="G259"/>
      <c r="H259"/>
    </row>
    <row r="260" spans="4:8">
      <c r="D260"/>
      <c r="E260"/>
      <c r="F260"/>
      <c r="G260"/>
      <c r="H260"/>
    </row>
    <row r="261" spans="4:8">
      <c r="D261"/>
      <c r="E261"/>
      <c r="F261"/>
      <c r="G261"/>
      <c r="H261"/>
    </row>
    <row r="262" spans="4:8">
      <c r="D262"/>
      <c r="E262"/>
      <c r="F262"/>
      <c r="G262"/>
      <c r="H262"/>
    </row>
    <row r="263" spans="4:8">
      <c r="D263"/>
      <c r="E263"/>
      <c r="F263"/>
      <c r="G263"/>
      <c r="H263"/>
    </row>
    <row r="264" spans="4:8">
      <c r="D264"/>
      <c r="E264"/>
      <c r="F264"/>
      <c r="G264"/>
      <c r="H264"/>
    </row>
    <row r="265" spans="4:8">
      <c r="D265"/>
      <c r="E265"/>
      <c r="F265"/>
      <c r="G265"/>
      <c r="H265"/>
    </row>
    <row r="266" spans="4:8">
      <c r="D266"/>
      <c r="E266"/>
      <c r="F266"/>
      <c r="G266"/>
      <c r="H266"/>
    </row>
    <row r="267" spans="4:8">
      <c r="D267"/>
      <c r="E267"/>
      <c r="F267"/>
      <c r="G267"/>
      <c r="H267"/>
    </row>
    <row r="268" spans="4:8">
      <c r="D268"/>
      <c r="E268"/>
      <c r="F268"/>
      <c r="G268"/>
      <c r="H268"/>
    </row>
    <row r="269" spans="4:8">
      <c r="D269"/>
      <c r="E269"/>
      <c r="F269"/>
      <c r="G269"/>
      <c r="H269"/>
    </row>
    <row r="270" spans="4:8">
      <c r="D270"/>
      <c r="E270"/>
      <c r="F270"/>
      <c r="G270"/>
      <c r="H270"/>
    </row>
    <row r="271" spans="4:8">
      <c r="D271"/>
      <c r="E271"/>
      <c r="F271"/>
      <c r="G271"/>
      <c r="H271"/>
    </row>
    <row r="272" spans="4:8">
      <c r="D272"/>
      <c r="E272"/>
      <c r="F272"/>
      <c r="G272"/>
      <c r="H272"/>
    </row>
    <row r="273" spans="4:8">
      <c r="D273"/>
      <c r="E273"/>
      <c r="F273"/>
      <c r="G273"/>
      <c r="H273"/>
    </row>
    <row r="274" spans="4:8">
      <c r="D274"/>
      <c r="E274"/>
      <c r="F274"/>
      <c r="G274"/>
      <c r="H274"/>
    </row>
    <row r="275" spans="4:8">
      <c r="D275"/>
      <c r="E275"/>
      <c r="F275"/>
      <c r="G275"/>
      <c r="H275"/>
    </row>
    <row r="276" spans="4:8">
      <c r="D276"/>
      <c r="E276"/>
      <c r="F276"/>
      <c r="G276"/>
      <c r="H276"/>
    </row>
    <row r="277" spans="4:8">
      <c r="D277"/>
      <c r="E277"/>
      <c r="F277"/>
      <c r="G277"/>
      <c r="H277"/>
    </row>
    <row r="278" spans="4:8">
      <c r="D278"/>
      <c r="E278"/>
      <c r="F278"/>
      <c r="G278"/>
      <c r="H278"/>
    </row>
    <row r="279" spans="4:8">
      <c r="D279"/>
      <c r="E279"/>
      <c r="F279"/>
      <c r="G279"/>
      <c r="H279"/>
    </row>
    <row r="280" spans="4:8">
      <c r="D280"/>
      <c r="E280"/>
      <c r="F280"/>
      <c r="G280"/>
      <c r="H280"/>
    </row>
    <row r="281" spans="4:8">
      <c r="D281"/>
      <c r="E281"/>
      <c r="F281"/>
      <c r="G281"/>
      <c r="H281"/>
    </row>
    <row r="282" spans="4:8">
      <c r="D282"/>
      <c r="E282"/>
      <c r="F282"/>
      <c r="G282"/>
      <c r="H282"/>
    </row>
    <row r="283" spans="4:8">
      <c r="D283"/>
      <c r="E283"/>
      <c r="F283"/>
      <c r="G283"/>
      <c r="H283"/>
    </row>
    <row r="284" spans="4:8">
      <c r="D284"/>
      <c r="E284"/>
      <c r="F284"/>
      <c r="G284"/>
      <c r="H284"/>
    </row>
    <row r="285" spans="4:8">
      <c r="D285"/>
      <c r="E285"/>
      <c r="F285"/>
      <c r="G285"/>
      <c r="H285"/>
    </row>
    <row r="286" spans="4:8">
      <c r="D286"/>
      <c r="E286"/>
      <c r="F286"/>
      <c r="G286"/>
      <c r="H286"/>
    </row>
    <row r="287" spans="4:8">
      <c r="D287"/>
      <c r="E287"/>
      <c r="F287"/>
      <c r="G287"/>
      <c r="H287"/>
    </row>
    <row r="288" spans="4:8">
      <c r="D288"/>
      <c r="E288"/>
      <c r="F288"/>
      <c r="G288"/>
      <c r="H288"/>
    </row>
    <row r="289" spans="4:8">
      <c r="D289"/>
      <c r="E289"/>
      <c r="F289"/>
      <c r="G289"/>
      <c r="H289"/>
    </row>
    <row r="290" spans="4:8">
      <c r="D290"/>
      <c r="E290"/>
      <c r="F290"/>
      <c r="G290"/>
      <c r="H290"/>
    </row>
    <row r="291" spans="4:8">
      <c r="D291"/>
      <c r="E291"/>
      <c r="F291"/>
      <c r="G291"/>
      <c r="H291"/>
    </row>
    <row r="292" spans="4:8">
      <c r="D292"/>
      <c r="E292"/>
      <c r="F292"/>
      <c r="G292"/>
      <c r="H292"/>
    </row>
    <row r="293" spans="4:8">
      <c r="D293"/>
      <c r="E293"/>
      <c r="F293"/>
      <c r="G293"/>
      <c r="H293"/>
    </row>
    <row r="294" spans="4:8">
      <c r="D294"/>
      <c r="E294"/>
      <c r="F294"/>
      <c r="G294"/>
      <c r="H294"/>
    </row>
    <row r="295" spans="4:8">
      <c r="D295"/>
      <c r="E295"/>
      <c r="F295"/>
      <c r="G295"/>
      <c r="H295"/>
    </row>
    <row r="296" spans="4:8">
      <c r="D296"/>
      <c r="E296"/>
      <c r="F296"/>
      <c r="G296"/>
      <c r="H296"/>
    </row>
    <row r="297" spans="4:8">
      <c r="D297"/>
      <c r="E297"/>
      <c r="F297"/>
      <c r="G297"/>
      <c r="H297"/>
    </row>
    <row r="298" spans="4:8">
      <c r="D298"/>
      <c r="E298"/>
      <c r="F298"/>
      <c r="G298"/>
      <c r="H298"/>
    </row>
    <row r="299" spans="4:8">
      <c r="D299"/>
      <c r="E299"/>
      <c r="F299"/>
      <c r="G299"/>
      <c r="H299"/>
    </row>
    <row r="300" spans="4:8">
      <c r="D300"/>
      <c r="E300"/>
      <c r="F300"/>
      <c r="G300"/>
      <c r="H300"/>
    </row>
    <row r="301" spans="4:8">
      <c r="D301"/>
      <c r="E301"/>
      <c r="F301"/>
      <c r="G301"/>
      <c r="H301"/>
    </row>
    <row r="302" spans="4:8">
      <c r="D302"/>
      <c r="E302"/>
      <c r="F302"/>
      <c r="G302"/>
      <c r="H302"/>
    </row>
    <row r="303" spans="4:8">
      <c r="D303"/>
      <c r="E303"/>
      <c r="F303"/>
      <c r="G303"/>
      <c r="H303"/>
    </row>
    <row r="304" spans="4:8">
      <c r="D304"/>
      <c r="E304"/>
      <c r="F304"/>
      <c r="G304"/>
      <c r="H304"/>
    </row>
    <row r="305" spans="4:8">
      <c r="D305"/>
      <c r="E305"/>
      <c r="F305"/>
      <c r="G305"/>
      <c r="H305"/>
    </row>
    <row r="306" spans="4:8">
      <c r="D306"/>
      <c r="E306"/>
      <c r="F306"/>
      <c r="G306"/>
      <c r="H306"/>
    </row>
    <row r="307" spans="4:8">
      <c r="D307"/>
      <c r="E307"/>
      <c r="F307"/>
      <c r="G307"/>
      <c r="H307"/>
    </row>
    <row r="308" spans="4:8">
      <c r="D308"/>
      <c r="E308"/>
      <c r="F308"/>
      <c r="G308"/>
      <c r="H308"/>
    </row>
    <row r="309" spans="4:8">
      <c r="D309"/>
      <c r="E309"/>
      <c r="F309"/>
      <c r="G309"/>
      <c r="H309"/>
    </row>
    <row r="310" spans="4:8">
      <c r="D310"/>
      <c r="E310"/>
      <c r="F310"/>
      <c r="G310"/>
      <c r="H310"/>
    </row>
    <row r="311" spans="4:8">
      <c r="D311"/>
      <c r="E311"/>
      <c r="F311"/>
      <c r="G311"/>
      <c r="H311"/>
    </row>
    <row r="312" spans="4:8">
      <c r="D312"/>
      <c r="E312"/>
      <c r="F312"/>
      <c r="G312"/>
      <c r="H312"/>
    </row>
    <row r="313" spans="4:8">
      <c r="D313"/>
      <c r="E313"/>
      <c r="F313"/>
      <c r="G313"/>
      <c r="H313"/>
    </row>
    <row r="314" spans="4:8">
      <c r="D314"/>
      <c r="E314"/>
      <c r="F314"/>
      <c r="G314"/>
      <c r="H314"/>
    </row>
    <row r="315" spans="4:8">
      <c r="D315"/>
      <c r="E315"/>
      <c r="F315"/>
      <c r="G315"/>
      <c r="H315"/>
    </row>
    <row r="316" spans="4:8">
      <c r="D316"/>
      <c r="E316"/>
      <c r="F316"/>
      <c r="G316"/>
      <c r="H316"/>
    </row>
    <row r="317" spans="4:8">
      <c r="D317"/>
      <c r="E317"/>
      <c r="F317"/>
      <c r="G317"/>
      <c r="H317"/>
    </row>
    <row r="318" spans="4:8">
      <c r="D318"/>
      <c r="E318"/>
      <c r="F318"/>
      <c r="G318"/>
      <c r="H318"/>
    </row>
    <row r="319" spans="4:8">
      <c r="D319"/>
      <c r="E319"/>
      <c r="F319"/>
      <c r="G319"/>
      <c r="H319"/>
    </row>
    <row r="320" spans="4:8">
      <c r="D320"/>
      <c r="E320"/>
      <c r="F320"/>
      <c r="G320"/>
      <c r="H320"/>
    </row>
    <row r="321" spans="4:8">
      <c r="D321"/>
      <c r="E321"/>
      <c r="F321"/>
      <c r="G321"/>
      <c r="H321"/>
    </row>
    <row r="322" spans="4:8">
      <c r="D322"/>
      <c r="E322"/>
      <c r="F322"/>
      <c r="G322"/>
      <c r="H322"/>
    </row>
    <row r="323" spans="4:8">
      <c r="D323"/>
      <c r="E323"/>
      <c r="F323"/>
      <c r="G323"/>
      <c r="H323"/>
    </row>
    <row r="324" spans="4:8">
      <c r="D324"/>
      <c r="E324"/>
      <c r="F324"/>
      <c r="G324"/>
      <c r="H324"/>
    </row>
    <row r="325" spans="4:8">
      <c r="D325"/>
      <c r="E325"/>
      <c r="F325"/>
      <c r="G325"/>
      <c r="H325"/>
    </row>
    <row r="326" spans="4:8">
      <c r="D326"/>
      <c r="E326"/>
      <c r="F326"/>
      <c r="G326"/>
      <c r="H326"/>
    </row>
    <row r="327" spans="4:8">
      <c r="D327"/>
      <c r="E327"/>
      <c r="F327"/>
      <c r="G327"/>
      <c r="H327"/>
    </row>
    <row r="328" spans="4:8">
      <c r="D328"/>
      <c r="E328"/>
      <c r="F328"/>
      <c r="G328"/>
      <c r="H328"/>
    </row>
    <row r="329" spans="4:8">
      <c r="D329"/>
      <c r="E329"/>
      <c r="F329"/>
      <c r="G329"/>
      <c r="H329"/>
    </row>
    <row r="330" spans="4:8">
      <c r="D330"/>
      <c r="E330"/>
      <c r="F330"/>
      <c r="G330"/>
      <c r="H330"/>
    </row>
    <row r="331" spans="4:8">
      <c r="D331"/>
      <c r="E331"/>
      <c r="F331"/>
      <c r="G331"/>
      <c r="H331"/>
    </row>
    <row r="332" spans="4:8">
      <c r="D332"/>
      <c r="E332"/>
      <c r="F332"/>
      <c r="G332"/>
      <c r="H332"/>
    </row>
    <row r="333" spans="4:8">
      <c r="D333"/>
      <c r="E333"/>
      <c r="F333"/>
      <c r="G333"/>
      <c r="H333"/>
    </row>
    <row r="334" spans="4:8">
      <c r="D334"/>
      <c r="E334"/>
      <c r="F334"/>
      <c r="G334"/>
      <c r="H334"/>
    </row>
    <row r="335" spans="4:8">
      <c r="D335"/>
      <c r="E335"/>
      <c r="F335"/>
      <c r="G335"/>
      <c r="H335"/>
    </row>
    <row r="336" spans="4:8">
      <c r="D336"/>
      <c r="E336"/>
      <c r="F336"/>
      <c r="G336"/>
      <c r="H336"/>
    </row>
    <row r="337" spans="4:8">
      <c r="D337"/>
      <c r="E337"/>
      <c r="F337"/>
      <c r="G337"/>
      <c r="H337"/>
    </row>
    <row r="338" spans="4:8">
      <c r="D338"/>
      <c r="E338"/>
      <c r="F338"/>
      <c r="G338"/>
      <c r="H338"/>
    </row>
    <row r="339" spans="4:8">
      <c r="D339"/>
      <c r="E339"/>
      <c r="F339"/>
      <c r="G339"/>
      <c r="H339"/>
    </row>
    <row r="340" spans="4:8">
      <c r="D340"/>
      <c r="E340"/>
      <c r="F340"/>
      <c r="G340"/>
      <c r="H340"/>
    </row>
    <row r="341" spans="4:8">
      <c r="D341"/>
      <c r="E341"/>
      <c r="F341"/>
      <c r="G341"/>
      <c r="H341"/>
    </row>
    <row r="342" spans="4:8">
      <c r="D342"/>
      <c r="E342"/>
      <c r="F342"/>
      <c r="G342"/>
      <c r="H342"/>
    </row>
    <row r="343" spans="4:8">
      <c r="D343"/>
      <c r="E343"/>
      <c r="F343"/>
      <c r="G343"/>
      <c r="H343"/>
    </row>
    <row r="344" spans="4:8">
      <c r="D344"/>
      <c r="E344"/>
      <c r="F344"/>
      <c r="G344"/>
      <c r="H344"/>
    </row>
    <row r="345" spans="4:8">
      <c r="D345"/>
      <c r="E345"/>
      <c r="F345"/>
      <c r="G345"/>
      <c r="H345"/>
    </row>
    <row r="346" spans="4:8">
      <c r="D346"/>
      <c r="E346"/>
      <c r="F346"/>
      <c r="G346"/>
      <c r="H346"/>
    </row>
    <row r="347" spans="4:8">
      <c r="D347"/>
      <c r="E347"/>
      <c r="F347"/>
      <c r="G347"/>
      <c r="H347"/>
    </row>
    <row r="348" spans="4:8">
      <c r="D348"/>
      <c r="E348"/>
      <c r="F348"/>
      <c r="G348"/>
      <c r="H348"/>
    </row>
    <row r="349" spans="4:8">
      <c r="D349"/>
      <c r="E349"/>
      <c r="F349"/>
      <c r="G349"/>
      <c r="H349"/>
    </row>
    <row r="350" spans="4:8">
      <c r="D350"/>
      <c r="E350"/>
      <c r="F350"/>
      <c r="G350"/>
      <c r="H350"/>
    </row>
    <row r="351" spans="4:8">
      <c r="D351"/>
      <c r="E351"/>
      <c r="F351"/>
      <c r="G351"/>
      <c r="H351"/>
    </row>
    <row r="352" spans="4:8">
      <c r="D352"/>
      <c r="E352"/>
      <c r="F352"/>
      <c r="G352"/>
      <c r="H352"/>
    </row>
    <row r="353" spans="4:8">
      <c r="D353"/>
      <c r="E353"/>
      <c r="F353"/>
      <c r="G353"/>
      <c r="H353"/>
    </row>
    <row r="354" spans="4:8">
      <c r="D354"/>
      <c r="E354"/>
      <c r="F354"/>
      <c r="G354"/>
      <c r="H354"/>
    </row>
    <row r="355" spans="4:8">
      <c r="D355"/>
      <c r="E355"/>
      <c r="F355"/>
      <c r="G355"/>
      <c r="H355"/>
    </row>
    <row r="356" spans="4:8">
      <c r="D356"/>
      <c r="E356"/>
      <c r="F356"/>
      <c r="G356"/>
      <c r="H356"/>
    </row>
    <row r="357" spans="4:8">
      <c r="D357"/>
      <c r="E357"/>
      <c r="F357"/>
      <c r="G357"/>
      <c r="H357"/>
    </row>
    <row r="358" spans="4:8">
      <c r="D358"/>
      <c r="E358"/>
      <c r="F358"/>
      <c r="G358"/>
      <c r="H358"/>
    </row>
    <row r="359" spans="4:8">
      <c r="D359"/>
      <c r="E359"/>
      <c r="F359"/>
      <c r="G359"/>
      <c r="H359"/>
    </row>
    <row r="360" spans="4:8">
      <c r="D360"/>
      <c r="E360"/>
      <c r="F360"/>
      <c r="G360"/>
      <c r="H360"/>
    </row>
    <row r="361" spans="4:8">
      <c r="D361"/>
      <c r="E361"/>
      <c r="F361"/>
      <c r="G361"/>
      <c r="H361"/>
    </row>
    <row r="362" spans="4:8">
      <c r="D362"/>
      <c r="E362"/>
      <c r="F362"/>
      <c r="G362"/>
      <c r="H362"/>
    </row>
    <row r="363" spans="4:8">
      <c r="D363"/>
      <c r="E363"/>
      <c r="F363"/>
      <c r="G363"/>
      <c r="H363"/>
    </row>
    <row r="364" spans="4:8">
      <c r="D364"/>
      <c r="E364"/>
      <c r="F364"/>
      <c r="G364"/>
      <c r="H364"/>
    </row>
    <row r="365" spans="4:8">
      <c r="D365"/>
      <c r="E365"/>
      <c r="F365"/>
      <c r="G365"/>
      <c r="H365"/>
    </row>
    <row r="366" spans="4:8">
      <c r="D366"/>
      <c r="E366"/>
      <c r="F366"/>
      <c r="G366"/>
      <c r="H366"/>
    </row>
    <row r="367" spans="4:8">
      <c r="D367"/>
      <c r="E367"/>
      <c r="F367"/>
      <c r="G367"/>
      <c r="H367"/>
    </row>
    <row r="368" spans="4:8">
      <c r="D368"/>
      <c r="E368"/>
      <c r="F368"/>
      <c r="G368"/>
      <c r="H368"/>
    </row>
    <row r="369" spans="4:8">
      <c r="D369"/>
      <c r="E369"/>
      <c r="F369"/>
      <c r="G369"/>
      <c r="H369"/>
    </row>
    <row r="370" spans="4:8">
      <c r="D370"/>
      <c r="E370"/>
      <c r="F370"/>
      <c r="G370"/>
      <c r="H370"/>
    </row>
    <row r="371" spans="4:8">
      <c r="D371"/>
      <c r="E371"/>
      <c r="F371"/>
      <c r="G371"/>
      <c r="H371"/>
    </row>
    <row r="372" spans="4:8">
      <c r="D372"/>
      <c r="E372"/>
      <c r="F372"/>
      <c r="G372"/>
      <c r="H372"/>
    </row>
    <row r="373" spans="4:8">
      <c r="D373"/>
      <c r="E373"/>
      <c r="F373"/>
      <c r="G373"/>
      <c r="H373"/>
    </row>
    <row r="374" spans="4:8">
      <c r="D374"/>
      <c r="E374"/>
      <c r="F374"/>
      <c r="G374"/>
      <c r="H374"/>
    </row>
    <row r="375" spans="4:8">
      <c r="D375"/>
      <c r="E375"/>
      <c r="F375"/>
      <c r="G375"/>
      <c r="H375"/>
    </row>
    <row r="376" spans="4:8">
      <c r="D376"/>
      <c r="E376"/>
      <c r="F376"/>
      <c r="G376"/>
      <c r="H376"/>
    </row>
    <row r="377" spans="4:8">
      <c r="D377"/>
      <c r="E377"/>
      <c r="F377"/>
      <c r="G377"/>
      <c r="H377"/>
    </row>
    <row r="378" spans="4:8">
      <c r="D378"/>
      <c r="E378"/>
      <c r="F378"/>
      <c r="G378"/>
      <c r="H378"/>
    </row>
    <row r="379" spans="4:8">
      <c r="D379"/>
      <c r="E379"/>
      <c r="F379"/>
      <c r="G379"/>
      <c r="H379"/>
    </row>
    <row r="380" spans="4:8">
      <c r="D380"/>
      <c r="E380"/>
      <c r="F380"/>
      <c r="G380"/>
      <c r="H380"/>
    </row>
    <row r="381" spans="4:8">
      <c r="D381"/>
      <c r="E381"/>
      <c r="F381"/>
      <c r="G381"/>
      <c r="H381"/>
    </row>
    <row r="382" spans="4:8">
      <c r="D382"/>
      <c r="E382"/>
      <c r="F382"/>
      <c r="G382"/>
      <c r="H382"/>
    </row>
    <row r="383" spans="4:8">
      <c r="D383"/>
      <c r="E383"/>
      <c r="F383"/>
      <c r="G383"/>
      <c r="H383"/>
    </row>
    <row r="384" spans="4:8">
      <c r="D384"/>
      <c r="E384"/>
      <c r="F384"/>
      <c r="G384"/>
      <c r="H384"/>
    </row>
    <row r="385" spans="4:8">
      <c r="D385"/>
      <c r="E385"/>
      <c r="F385"/>
      <c r="G385"/>
      <c r="H385"/>
    </row>
    <row r="386" spans="4:8">
      <c r="D386"/>
      <c r="E386"/>
      <c r="F386"/>
      <c r="G386"/>
      <c r="H386"/>
    </row>
    <row r="387" spans="4:8">
      <c r="D387"/>
      <c r="E387"/>
      <c r="F387"/>
      <c r="G387"/>
      <c r="H387"/>
    </row>
    <row r="388" spans="4:8">
      <c r="D388"/>
      <c r="E388"/>
      <c r="F388"/>
      <c r="G388"/>
      <c r="H388"/>
    </row>
    <row r="389" spans="4:8">
      <c r="D389"/>
      <c r="E389"/>
      <c r="F389"/>
      <c r="G389"/>
      <c r="H389"/>
    </row>
    <row r="390" spans="4:8">
      <c r="D390"/>
      <c r="E390"/>
      <c r="F390"/>
      <c r="G390"/>
      <c r="H390"/>
    </row>
    <row r="391" spans="4:8">
      <c r="D391"/>
      <c r="E391"/>
      <c r="F391"/>
      <c r="G391"/>
      <c r="H391"/>
    </row>
    <row r="392" spans="4:8">
      <c r="D392"/>
      <c r="E392"/>
      <c r="F392"/>
      <c r="G392"/>
      <c r="H392"/>
    </row>
    <row r="393" spans="4:8">
      <c r="D393"/>
      <c r="E393"/>
      <c r="F393"/>
      <c r="G393"/>
      <c r="H393"/>
    </row>
    <row r="394" spans="4:8">
      <c r="D394"/>
      <c r="E394"/>
      <c r="F394"/>
      <c r="G394"/>
      <c r="H394"/>
    </row>
    <row r="395" spans="4:8">
      <c r="D395"/>
      <c r="E395"/>
      <c r="F395"/>
      <c r="G395"/>
      <c r="H395"/>
    </row>
    <row r="396" spans="4:8">
      <c r="D396"/>
      <c r="E396"/>
      <c r="F396"/>
      <c r="G396"/>
      <c r="H396"/>
    </row>
    <row r="397" spans="4:8">
      <c r="D397"/>
      <c r="E397"/>
      <c r="F397"/>
      <c r="G397"/>
      <c r="H397"/>
    </row>
    <row r="398" spans="4:8">
      <c r="D398"/>
      <c r="E398"/>
      <c r="F398"/>
      <c r="G398"/>
      <c r="H398"/>
    </row>
    <row r="399" spans="4:8">
      <c r="D399"/>
      <c r="E399"/>
      <c r="F399"/>
      <c r="G399"/>
      <c r="H399"/>
    </row>
    <row r="400" spans="4:8">
      <c r="D400"/>
      <c r="E400"/>
      <c r="F400"/>
      <c r="G400"/>
      <c r="H400"/>
    </row>
    <row r="401" spans="4:8">
      <c r="D401"/>
      <c r="E401"/>
      <c r="F401"/>
      <c r="G401"/>
      <c r="H401"/>
    </row>
    <row r="402" spans="4:8">
      <c r="D402"/>
      <c r="E402"/>
      <c r="F402"/>
      <c r="G402"/>
      <c r="H402"/>
    </row>
    <row r="403" spans="4:8">
      <c r="D403"/>
      <c r="E403"/>
      <c r="F403"/>
      <c r="G403"/>
      <c r="H403"/>
    </row>
    <row r="404" spans="4:8">
      <c r="D404"/>
      <c r="E404"/>
      <c r="F404"/>
      <c r="G404"/>
      <c r="H404"/>
    </row>
    <row r="405" spans="4:8">
      <c r="D405"/>
      <c r="E405"/>
      <c r="F405"/>
      <c r="G405"/>
      <c r="H405"/>
    </row>
    <row r="406" spans="4:8">
      <c r="D406"/>
      <c r="E406"/>
      <c r="F406"/>
      <c r="G406"/>
      <c r="H406"/>
    </row>
    <row r="407" spans="4:8">
      <c r="D407"/>
      <c r="E407"/>
      <c r="F407"/>
      <c r="G407"/>
      <c r="H407"/>
    </row>
    <row r="408" spans="4:8">
      <c r="D408"/>
      <c r="E408"/>
      <c r="F408"/>
      <c r="G408"/>
      <c r="H408"/>
    </row>
    <row r="409" spans="4:8">
      <c r="D409"/>
      <c r="E409"/>
      <c r="F409"/>
      <c r="G409"/>
      <c r="H409"/>
    </row>
    <row r="410" spans="4:8">
      <c r="D410"/>
      <c r="E410"/>
      <c r="F410"/>
      <c r="G410"/>
      <c r="H410"/>
    </row>
    <row r="411" spans="4:8">
      <c r="D411"/>
      <c r="E411"/>
      <c r="F411"/>
      <c r="G411"/>
      <c r="H411"/>
    </row>
    <row r="412" spans="4:8">
      <c r="D412"/>
      <c r="E412"/>
      <c r="F412"/>
      <c r="G412"/>
      <c r="H412"/>
    </row>
    <row r="413" spans="4:8">
      <c r="D413"/>
      <c r="E413"/>
      <c r="F413"/>
      <c r="G413"/>
      <c r="H413"/>
    </row>
    <row r="414" spans="4:8">
      <c r="D414"/>
      <c r="E414"/>
      <c r="F414"/>
      <c r="G414"/>
      <c r="H414"/>
    </row>
    <row r="415" spans="4:8">
      <c r="D415"/>
      <c r="E415"/>
      <c r="F415"/>
      <c r="G415"/>
      <c r="H415"/>
    </row>
    <row r="416" spans="4:8">
      <c r="D416"/>
      <c r="E416"/>
      <c r="F416"/>
      <c r="G416"/>
      <c r="H416"/>
    </row>
    <row r="417" spans="4:8">
      <c r="D417"/>
      <c r="E417"/>
      <c r="F417"/>
      <c r="G417"/>
      <c r="H417"/>
    </row>
    <row r="418" spans="4:8">
      <c r="D418"/>
      <c r="E418"/>
      <c r="F418"/>
      <c r="G418"/>
      <c r="H418"/>
    </row>
    <row r="419" spans="4:8">
      <c r="D419"/>
      <c r="E419"/>
      <c r="F419"/>
      <c r="G419"/>
      <c r="H419"/>
    </row>
    <row r="420" spans="4:8">
      <c r="D420"/>
      <c r="E420"/>
      <c r="F420"/>
      <c r="G420"/>
      <c r="H420"/>
    </row>
    <row r="421" spans="4:8">
      <c r="D421"/>
      <c r="E421"/>
      <c r="F421"/>
      <c r="G421"/>
      <c r="H421"/>
    </row>
    <row r="422" spans="4:8">
      <c r="D422"/>
      <c r="E422"/>
      <c r="F422"/>
      <c r="G422"/>
      <c r="H422"/>
    </row>
    <row r="423" spans="4:8">
      <c r="D423"/>
      <c r="E423"/>
      <c r="F423"/>
      <c r="G423"/>
      <c r="H423"/>
    </row>
    <row r="424" spans="4:8">
      <c r="D424"/>
      <c r="E424"/>
      <c r="F424"/>
      <c r="G424"/>
      <c r="H424"/>
    </row>
    <row r="425" spans="4:8">
      <c r="D425"/>
      <c r="E425"/>
      <c r="F425"/>
      <c r="G425"/>
      <c r="H425"/>
    </row>
    <row r="426" spans="4:8">
      <c r="D426"/>
      <c r="E426"/>
      <c r="F426"/>
      <c r="G426"/>
      <c r="H426"/>
    </row>
    <row r="427" spans="4:8">
      <c r="D427"/>
      <c r="E427"/>
      <c r="F427"/>
      <c r="G427"/>
      <c r="H427"/>
    </row>
    <row r="428" spans="4:8">
      <c r="D428"/>
      <c r="E428"/>
      <c r="F428"/>
      <c r="G428"/>
      <c r="H428"/>
    </row>
    <row r="429" spans="4:8">
      <c r="D429"/>
      <c r="E429"/>
      <c r="F429"/>
      <c r="G429"/>
      <c r="H429"/>
    </row>
    <row r="430" spans="4:8">
      <c r="D430"/>
      <c r="E430"/>
      <c r="F430"/>
      <c r="G430"/>
      <c r="H430"/>
    </row>
    <row r="431" spans="4:8">
      <c r="D431"/>
      <c r="E431"/>
      <c r="F431"/>
      <c r="G431"/>
      <c r="H431"/>
    </row>
    <row r="432" spans="4:8">
      <c r="D432"/>
      <c r="E432"/>
      <c r="F432"/>
      <c r="G432"/>
      <c r="H432"/>
    </row>
    <row r="433" spans="4:8">
      <c r="D433"/>
      <c r="E433"/>
      <c r="F433"/>
      <c r="G433"/>
      <c r="H433"/>
    </row>
    <row r="434" spans="4:8">
      <c r="D434"/>
      <c r="E434"/>
      <c r="F434"/>
      <c r="G434"/>
      <c r="H434"/>
    </row>
    <row r="435" spans="4:8">
      <c r="D435"/>
      <c r="E435"/>
      <c r="F435"/>
      <c r="G435"/>
      <c r="H435"/>
    </row>
    <row r="436" spans="4:8">
      <c r="D436"/>
      <c r="E436"/>
      <c r="F436"/>
      <c r="G436"/>
      <c r="H436"/>
    </row>
    <row r="437" spans="4:8">
      <c r="D437"/>
      <c r="E437"/>
      <c r="F437"/>
      <c r="G437"/>
      <c r="H437"/>
    </row>
    <row r="438" spans="4:8">
      <c r="D438"/>
      <c r="E438"/>
      <c r="F438"/>
      <c r="G438"/>
      <c r="H438"/>
    </row>
    <row r="439" spans="4:8">
      <c r="D439"/>
      <c r="E439"/>
      <c r="F439"/>
      <c r="G439"/>
      <c r="H439"/>
    </row>
    <row r="440" spans="4:8">
      <c r="D440"/>
      <c r="E440"/>
      <c r="F440"/>
      <c r="G440"/>
      <c r="H440"/>
    </row>
    <row r="441" spans="4:8">
      <c r="D441"/>
      <c r="E441"/>
      <c r="F441"/>
      <c r="G441"/>
      <c r="H441"/>
    </row>
    <row r="442" spans="4:8">
      <c r="D442"/>
      <c r="E442"/>
      <c r="F442"/>
      <c r="G442"/>
      <c r="H442"/>
    </row>
    <row r="443" spans="4:8">
      <c r="D443"/>
      <c r="E443"/>
      <c r="F443"/>
      <c r="G443"/>
      <c r="H443"/>
    </row>
    <row r="444" spans="4:8">
      <c r="D444"/>
      <c r="E444"/>
      <c r="F444"/>
      <c r="G444"/>
      <c r="H444"/>
    </row>
    <row r="445" spans="4:8">
      <c r="D445"/>
      <c r="E445"/>
      <c r="F445"/>
      <c r="G445"/>
      <c r="H445"/>
    </row>
    <row r="446" spans="4:8">
      <c r="D446"/>
      <c r="E446"/>
      <c r="F446"/>
      <c r="G446"/>
      <c r="H446"/>
    </row>
    <row r="447" spans="4:8">
      <c r="D447"/>
      <c r="E447"/>
      <c r="F447"/>
      <c r="G447"/>
      <c r="H447"/>
    </row>
    <row r="448" spans="4:8">
      <c r="D448"/>
      <c r="E448"/>
      <c r="F448"/>
      <c r="G448"/>
      <c r="H448"/>
    </row>
    <row r="449" spans="4:8">
      <c r="D449"/>
      <c r="E449"/>
      <c r="F449"/>
      <c r="G449"/>
      <c r="H449"/>
    </row>
    <row r="450" spans="4:8">
      <c r="D450"/>
      <c r="E450"/>
      <c r="F450"/>
      <c r="G450"/>
      <c r="H450"/>
    </row>
    <row r="451" spans="4:8">
      <c r="D451"/>
      <c r="E451"/>
      <c r="F451"/>
      <c r="G451"/>
      <c r="H451"/>
    </row>
    <row r="452" spans="4:8">
      <c r="D452"/>
      <c r="E452"/>
      <c r="F452"/>
      <c r="G452"/>
      <c r="H452"/>
    </row>
    <row r="453" spans="4:8">
      <c r="D453"/>
      <c r="E453"/>
      <c r="F453"/>
      <c r="G453"/>
      <c r="H453"/>
    </row>
    <row r="454" spans="4:8">
      <c r="D454"/>
      <c r="E454"/>
      <c r="F454"/>
      <c r="G454"/>
      <c r="H454"/>
    </row>
    <row r="455" spans="4:8">
      <c r="D455"/>
      <c r="E455"/>
      <c r="F455"/>
      <c r="G455"/>
      <c r="H455"/>
    </row>
    <row r="456" spans="4:8">
      <c r="D456"/>
      <c r="E456"/>
      <c r="F456"/>
      <c r="G456"/>
      <c r="H456"/>
    </row>
    <row r="457" spans="4:8">
      <c r="D457"/>
      <c r="E457"/>
      <c r="F457"/>
      <c r="G457"/>
      <c r="H457"/>
    </row>
    <row r="458" spans="4:8">
      <c r="D458"/>
      <c r="E458"/>
      <c r="F458"/>
      <c r="G458"/>
      <c r="H458"/>
    </row>
    <row r="459" spans="4:8">
      <c r="D459"/>
      <c r="E459"/>
      <c r="F459"/>
      <c r="G459"/>
      <c r="H459"/>
    </row>
    <row r="460" spans="4:8">
      <c r="D460"/>
      <c r="E460"/>
      <c r="F460"/>
      <c r="G460"/>
      <c r="H460"/>
    </row>
    <row r="461" spans="4:8">
      <c r="D461"/>
      <c r="E461"/>
      <c r="F461"/>
      <c r="G461"/>
      <c r="H461"/>
    </row>
    <row r="462" spans="4:8">
      <c r="D462"/>
      <c r="E462"/>
      <c r="F462"/>
      <c r="G462"/>
      <c r="H462"/>
    </row>
    <row r="463" spans="4:8">
      <c r="D463"/>
      <c r="E463"/>
      <c r="F463"/>
      <c r="G463"/>
      <c r="H463"/>
    </row>
    <row r="464" spans="4:8">
      <c r="D464"/>
      <c r="E464"/>
      <c r="F464"/>
      <c r="G464"/>
      <c r="H464"/>
    </row>
    <row r="465" spans="4:8">
      <c r="D465"/>
      <c r="E465"/>
      <c r="F465"/>
      <c r="G465"/>
      <c r="H465"/>
    </row>
    <row r="466" spans="4:8">
      <c r="D466"/>
      <c r="E466"/>
      <c r="F466"/>
      <c r="G466"/>
      <c r="H466"/>
    </row>
    <row r="467" spans="4:8">
      <c r="D467"/>
      <c r="E467"/>
      <c r="F467"/>
      <c r="G467"/>
      <c r="H467"/>
    </row>
    <row r="468" spans="4:8">
      <c r="D468"/>
      <c r="E468"/>
      <c r="F468"/>
      <c r="G468"/>
      <c r="H468"/>
    </row>
    <row r="469" spans="4:8">
      <c r="D469"/>
      <c r="E469"/>
      <c r="F469"/>
      <c r="G469"/>
      <c r="H469"/>
    </row>
    <row r="470" spans="4:8">
      <c r="D470"/>
      <c r="E470"/>
      <c r="F470"/>
      <c r="G470"/>
      <c r="H470"/>
    </row>
    <row r="471" spans="4:8">
      <c r="D471"/>
      <c r="E471"/>
      <c r="F471"/>
      <c r="G471"/>
      <c r="H471"/>
    </row>
    <row r="472" spans="4:8">
      <c r="D472"/>
      <c r="E472"/>
      <c r="F472"/>
      <c r="G472"/>
      <c r="H472"/>
    </row>
    <row r="473" spans="4:8">
      <c r="D473"/>
      <c r="E473"/>
      <c r="F473"/>
      <c r="G473"/>
      <c r="H473"/>
    </row>
    <row r="474" spans="4:8">
      <c r="D474"/>
      <c r="E474"/>
      <c r="F474"/>
      <c r="G474"/>
      <c r="H474"/>
    </row>
    <row r="475" spans="4:8">
      <c r="D475"/>
      <c r="E475"/>
      <c r="F475"/>
      <c r="G475"/>
      <c r="H475"/>
    </row>
    <row r="476" spans="4:8">
      <c r="D476"/>
      <c r="E476"/>
      <c r="F476"/>
      <c r="G476"/>
      <c r="H476"/>
    </row>
    <row r="477" spans="4:8">
      <c r="D477"/>
      <c r="E477"/>
      <c r="F477"/>
      <c r="G477"/>
      <c r="H477"/>
    </row>
    <row r="478" spans="4:8">
      <c r="D478"/>
      <c r="E478"/>
      <c r="F478"/>
      <c r="G478"/>
      <c r="H478"/>
    </row>
    <row r="479" spans="4:8">
      <c r="D479"/>
      <c r="E479"/>
      <c r="F479"/>
      <c r="G479"/>
      <c r="H479"/>
    </row>
    <row r="480" spans="4:8">
      <c r="D480"/>
      <c r="E480"/>
      <c r="F480"/>
      <c r="G480"/>
      <c r="H480"/>
    </row>
    <row r="481" spans="4:8">
      <c r="D481"/>
      <c r="E481"/>
      <c r="F481"/>
      <c r="G481"/>
      <c r="H481"/>
    </row>
    <row r="482" spans="4:8">
      <c r="D482"/>
      <c r="E482"/>
      <c r="F482"/>
      <c r="G482"/>
      <c r="H482"/>
    </row>
    <row r="483" spans="4:8">
      <c r="D483"/>
      <c r="E483"/>
      <c r="F483"/>
      <c r="G483"/>
      <c r="H483"/>
    </row>
    <row r="484" spans="4:8">
      <c r="D484"/>
      <c r="E484"/>
      <c r="F484"/>
      <c r="G484"/>
      <c r="H484"/>
    </row>
    <row r="485" spans="4:8">
      <c r="D485"/>
      <c r="E485"/>
      <c r="F485"/>
      <c r="G485"/>
      <c r="H485"/>
    </row>
    <row r="486" spans="4:8">
      <c r="D486"/>
      <c r="E486"/>
      <c r="F486"/>
      <c r="G486"/>
      <c r="H486"/>
    </row>
    <row r="487" spans="4:8">
      <c r="D487"/>
      <c r="E487"/>
      <c r="F487"/>
      <c r="G487"/>
      <c r="H487"/>
    </row>
    <row r="488" spans="4:8">
      <c r="D488"/>
      <c r="E488"/>
      <c r="F488"/>
      <c r="G488"/>
      <c r="H488"/>
    </row>
    <row r="489" spans="4:8">
      <c r="D489"/>
      <c r="E489"/>
      <c r="F489"/>
      <c r="G489"/>
      <c r="H489"/>
    </row>
    <row r="490" spans="4:8">
      <c r="D490"/>
      <c r="E490"/>
      <c r="F490"/>
      <c r="G490"/>
      <c r="H490"/>
    </row>
    <row r="491" spans="4:8">
      <c r="D491"/>
      <c r="E491"/>
      <c r="F491"/>
      <c r="G491"/>
      <c r="H491"/>
    </row>
    <row r="492" spans="4:8">
      <c r="D492"/>
      <c r="E492"/>
      <c r="F492"/>
      <c r="G492"/>
      <c r="H492"/>
    </row>
    <row r="493" spans="4:8">
      <c r="D493"/>
      <c r="E493"/>
      <c r="F493"/>
      <c r="G493"/>
      <c r="H493"/>
    </row>
    <row r="494" spans="4:8">
      <c r="D494"/>
      <c r="E494"/>
      <c r="F494"/>
      <c r="G494"/>
      <c r="H494"/>
    </row>
    <row r="495" spans="4:8">
      <c r="D495"/>
      <c r="E495"/>
      <c r="F495"/>
      <c r="G495"/>
      <c r="H495"/>
    </row>
    <row r="496" spans="4:8">
      <c r="D496"/>
      <c r="E496"/>
      <c r="F496"/>
      <c r="G496"/>
      <c r="H496"/>
    </row>
    <row r="497" spans="4:8">
      <c r="D497"/>
      <c r="E497"/>
      <c r="F497"/>
      <c r="G497"/>
      <c r="H497"/>
    </row>
    <row r="498" spans="4:8">
      <c r="D498"/>
      <c r="E498"/>
      <c r="F498"/>
      <c r="G498"/>
      <c r="H498"/>
    </row>
    <row r="499" spans="4:8">
      <c r="D499"/>
      <c r="E499"/>
      <c r="F499"/>
      <c r="G499"/>
      <c r="H499"/>
    </row>
    <row r="500" spans="4:8">
      <c r="D500"/>
      <c r="E500"/>
      <c r="F500"/>
      <c r="G500"/>
      <c r="H500"/>
    </row>
    <row r="501" spans="4:8">
      <c r="D501"/>
      <c r="E501"/>
      <c r="F501"/>
      <c r="G501"/>
      <c r="H501"/>
    </row>
    <row r="502" spans="4:8">
      <c r="D502"/>
      <c r="E502"/>
      <c r="F502"/>
      <c r="G502"/>
      <c r="H502"/>
    </row>
    <row r="503" spans="4:8">
      <c r="D503"/>
      <c r="E503"/>
      <c r="F503"/>
      <c r="G503"/>
      <c r="H503"/>
    </row>
    <row r="504" spans="4:8">
      <c r="D504"/>
      <c r="E504"/>
      <c r="F504"/>
      <c r="G504"/>
      <c r="H504"/>
    </row>
    <row r="505" spans="4:8">
      <c r="D505"/>
      <c r="E505"/>
      <c r="F505"/>
      <c r="G505"/>
      <c r="H505"/>
    </row>
    <row r="506" spans="4:8">
      <c r="D506"/>
      <c r="E506"/>
      <c r="F506"/>
      <c r="G506"/>
      <c r="H506"/>
    </row>
    <row r="507" spans="4:8">
      <c r="D507"/>
      <c r="E507"/>
      <c r="F507"/>
      <c r="G507"/>
      <c r="H507"/>
    </row>
    <row r="508" spans="4:8">
      <c r="D508"/>
      <c r="E508"/>
      <c r="F508"/>
      <c r="G508"/>
      <c r="H508"/>
    </row>
    <row r="509" spans="4:8">
      <c r="D509"/>
      <c r="E509"/>
      <c r="F509"/>
      <c r="G509"/>
      <c r="H509"/>
    </row>
    <row r="510" spans="4:8">
      <c r="D510"/>
      <c r="E510"/>
      <c r="F510"/>
      <c r="G510"/>
      <c r="H510"/>
    </row>
    <row r="511" spans="4:8">
      <c r="D511"/>
      <c r="E511"/>
      <c r="F511"/>
      <c r="G511"/>
      <c r="H511"/>
    </row>
    <row r="512" spans="4:8">
      <c r="D512"/>
      <c r="E512"/>
      <c r="F512"/>
      <c r="G512"/>
      <c r="H512"/>
    </row>
    <row r="513" spans="4:8">
      <c r="D513"/>
      <c r="E513"/>
      <c r="F513"/>
      <c r="G513"/>
      <c r="H513"/>
    </row>
    <row r="514" spans="4:8">
      <c r="D514"/>
      <c r="E514"/>
      <c r="F514"/>
      <c r="G514"/>
      <c r="H514"/>
    </row>
    <row r="515" spans="4:8">
      <c r="D515"/>
      <c r="E515"/>
      <c r="F515"/>
      <c r="G515"/>
      <c r="H515"/>
    </row>
    <row r="516" spans="4:8">
      <c r="D516"/>
      <c r="E516"/>
      <c r="F516"/>
      <c r="G516"/>
      <c r="H516"/>
    </row>
    <row r="517" spans="4:8">
      <c r="D517"/>
      <c r="E517"/>
      <c r="F517"/>
      <c r="G517"/>
      <c r="H517"/>
    </row>
    <row r="518" spans="4:8">
      <c r="D518"/>
      <c r="E518"/>
      <c r="F518"/>
      <c r="G518"/>
      <c r="H518"/>
    </row>
    <row r="519" spans="4:8">
      <c r="D519"/>
      <c r="E519"/>
      <c r="F519"/>
      <c r="G519"/>
      <c r="H519"/>
    </row>
    <row r="520" spans="4:8">
      <c r="D520"/>
      <c r="E520"/>
      <c r="F520"/>
      <c r="G520"/>
      <c r="H520"/>
    </row>
    <row r="521" spans="4:8">
      <c r="D521"/>
      <c r="E521"/>
      <c r="F521"/>
      <c r="G521"/>
      <c r="H521"/>
    </row>
    <row r="522" spans="4:8">
      <c r="D522"/>
      <c r="E522"/>
      <c r="F522"/>
      <c r="G522"/>
      <c r="H522"/>
    </row>
    <row r="523" spans="4:8">
      <c r="D523"/>
      <c r="E523"/>
      <c r="F523"/>
      <c r="G523"/>
      <c r="H523"/>
    </row>
    <row r="524" spans="4:8">
      <c r="D524"/>
      <c r="E524"/>
      <c r="F524"/>
      <c r="G524"/>
      <c r="H524"/>
    </row>
    <row r="525" spans="4:8">
      <c r="D525"/>
      <c r="E525"/>
      <c r="F525"/>
      <c r="G525"/>
      <c r="H525"/>
    </row>
    <row r="526" spans="4:8">
      <c r="D526"/>
      <c r="E526"/>
      <c r="F526"/>
      <c r="G526"/>
      <c r="H526"/>
    </row>
    <row r="527" spans="4:8">
      <c r="D527"/>
      <c r="E527"/>
      <c r="F527"/>
      <c r="G527"/>
      <c r="H527"/>
    </row>
    <row r="528" spans="4:8">
      <c r="D528"/>
      <c r="E528"/>
      <c r="F528"/>
      <c r="G528"/>
      <c r="H528"/>
    </row>
    <row r="529" spans="4:8">
      <c r="D529"/>
      <c r="E529"/>
      <c r="F529"/>
      <c r="G529"/>
      <c r="H529"/>
    </row>
    <row r="530" spans="4:8">
      <c r="D530"/>
      <c r="E530"/>
      <c r="F530"/>
      <c r="G530"/>
      <c r="H530"/>
    </row>
    <row r="531" spans="4:8">
      <c r="D531"/>
      <c r="E531"/>
      <c r="F531"/>
      <c r="G531"/>
      <c r="H531"/>
    </row>
    <row r="532" spans="4:8">
      <c r="D532"/>
      <c r="E532"/>
      <c r="F532"/>
      <c r="G532"/>
      <c r="H532"/>
    </row>
    <row r="533" spans="4:8">
      <c r="D533"/>
      <c r="E533"/>
      <c r="F533"/>
      <c r="G533"/>
      <c r="H533"/>
    </row>
    <row r="534" spans="4:8">
      <c r="D534"/>
      <c r="E534"/>
      <c r="F534"/>
      <c r="G534"/>
      <c r="H534"/>
    </row>
    <row r="535" spans="4:8">
      <c r="D535"/>
      <c r="E535"/>
      <c r="F535"/>
      <c r="G535"/>
      <c r="H535"/>
    </row>
    <row r="536" spans="4:8">
      <c r="D536"/>
      <c r="E536"/>
      <c r="F536"/>
      <c r="G536"/>
      <c r="H536"/>
    </row>
    <row r="537" spans="4:8">
      <c r="D537"/>
      <c r="E537"/>
      <c r="F537"/>
      <c r="G537"/>
      <c r="H537"/>
    </row>
    <row r="538" spans="4:8">
      <c r="D538"/>
      <c r="E538"/>
      <c r="F538"/>
      <c r="G538"/>
      <c r="H538"/>
    </row>
    <row r="539" spans="4:8">
      <c r="D539"/>
      <c r="E539"/>
      <c r="F539"/>
      <c r="G539"/>
      <c r="H539"/>
    </row>
    <row r="540" spans="4:8">
      <c r="D540"/>
      <c r="E540"/>
      <c r="F540"/>
      <c r="G540"/>
      <c r="H540"/>
    </row>
    <row r="541" spans="4:8">
      <c r="D541"/>
      <c r="E541"/>
      <c r="F541"/>
      <c r="G541"/>
      <c r="H541"/>
    </row>
    <row r="542" spans="4:8">
      <c r="D542"/>
      <c r="E542"/>
      <c r="F542"/>
      <c r="G542"/>
      <c r="H542"/>
    </row>
    <row r="543" spans="4:8">
      <c r="D543"/>
      <c r="E543"/>
      <c r="F543"/>
      <c r="G543"/>
      <c r="H543"/>
    </row>
    <row r="544" spans="4:8">
      <c r="D544"/>
      <c r="E544"/>
      <c r="F544"/>
      <c r="G544"/>
      <c r="H544"/>
    </row>
    <row r="545" spans="4:8">
      <c r="D545"/>
      <c r="E545"/>
      <c r="F545"/>
      <c r="G545"/>
      <c r="H545"/>
    </row>
    <row r="546" spans="4:8">
      <c r="D546"/>
      <c r="E546"/>
      <c r="F546"/>
      <c r="G546"/>
      <c r="H546"/>
    </row>
    <row r="547" spans="4:8">
      <c r="D547"/>
      <c r="E547"/>
      <c r="F547"/>
      <c r="G547"/>
      <c r="H547"/>
    </row>
    <row r="548" spans="4:8">
      <c r="D548"/>
      <c r="E548"/>
      <c r="F548"/>
      <c r="G548"/>
      <c r="H548"/>
    </row>
    <row r="549" spans="4:8">
      <c r="D549"/>
      <c r="E549"/>
      <c r="F549"/>
      <c r="G549"/>
      <c r="H549"/>
    </row>
    <row r="550" spans="4:8">
      <c r="D550"/>
      <c r="E550"/>
      <c r="F550"/>
      <c r="G550"/>
      <c r="H550"/>
    </row>
    <row r="551" spans="4:8">
      <c r="D551"/>
      <c r="E551"/>
      <c r="F551"/>
      <c r="G551"/>
      <c r="H551"/>
    </row>
    <row r="552" spans="4:8">
      <c r="D552"/>
      <c r="E552"/>
      <c r="F552"/>
      <c r="G552"/>
      <c r="H552"/>
    </row>
    <row r="553" spans="4:8">
      <c r="D553"/>
      <c r="E553"/>
      <c r="F553"/>
      <c r="G553"/>
      <c r="H553"/>
    </row>
    <row r="554" spans="4:8">
      <c r="D554"/>
      <c r="E554"/>
      <c r="F554"/>
      <c r="G554"/>
      <c r="H554"/>
    </row>
    <row r="555" spans="4:8">
      <c r="D555"/>
      <c r="E555"/>
      <c r="F555"/>
      <c r="G555"/>
      <c r="H555"/>
    </row>
    <row r="556" spans="4:8">
      <c r="D556"/>
      <c r="E556"/>
      <c r="F556"/>
      <c r="G556"/>
      <c r="H556"/>
    </row>
    <row r="557" spans="4:8">
      <c r="D557"/>
      <c r="E557"/>
      <c r="F557"/>
      <c r="G557"/>
      <c r="H557"/>
    </row>
    <row r="558" spans="4:8">
      <c r="D558"/>
      <c r="E558"/>
      <c r="F558"/>
      <c r="G558"/>
      <c r="H558"/>
    </row>
    <row r="559" spans="4:8">
      <c r="D559"/>
      <c r="E559"/>
      <c r="F559"/>
      <c r="G559"/>
      <c r="H559"/>
    </row>
    <row r="560" spans="4:8">
      <c r="D560"/>
      <c r="E560"/>
      <c r="F560"/>
      <c r="G560"/>
      <c r="H560"/>
    </row>
    <row r="561" spans="4:8">
      <c r="D561"/>
      <c r="E561"/>
      <c r="F561"/>
      <c r="G561"/>
      <c r="H561"/>
    </row>
    <row r="562" spans="4:8">
      <c r="D562"/>
      <c r="E562"/>
      <c r="F562"/>
      <c r="G562"/>
      <c r="H562"/>
    </row>
    <row r="563" spans="4:8">
      <c r="D563"/>
      <c r="E563"/>
      <c r="F563"/>
      <c r="G563"/>
      <c r="H563"/>
    </row>
    <row r="564" spans="4:8">
      <c r="D564"/>
      <c r="E564"/>
      <c r="F564"/>
      <c r="G564"/>
      <c r="H564"/>
    </row>
    <row r="565" spans="4:8">
      <c r="D565"/>
      <c r="E565"/>
      <c r="F565"/>
      <c r="G565"/>
      <c r="H565"/>
    </row>
    <row r="566" spans="4:8">
      <c r="D566"/>
      <c r="E566"/>
      <c r="F566"/>
      <c r="G566"/>
      <c r="H566"/>
    </row>
    <row r="567" spans="4:8">
      <c r="D567"/>
      <c r="E567"/>
      <c r="F567"/>
      <c r="G567"/>
      <c r="H567"/>
    </row>
    <row r="568" spans="4:8">
      <c r="D568"/>
      <c r="E568"/>
      <c r="F568"/>
      <c r="G568"/>
      <c r="H568"/>
    </row>
    <row r="569" spans="4:8">
      <c r="D569"/>
      <c r="E569"/>
      <c r="F569"/>
      <c r="G569"/>
      <c r="H569"/>
    </row>
    <row r="570" spans="4:8">
      <c r="D570"/>
      <c r="E570"/>
      <c r="F570"/>
      <c r="G570"/>
      <c r="H570"/>
    </row>
    <row r="571" spans="4:8">
      <c r="D571"/>
      <c r="E571"/>
      <c r="F571"/>
      <c r="G571"/>
      <c r="H571"/>
    </row>
    <row r="572" spans="4:8">
      <c r="D572"/>
      <c r="E572"/>
      <c r="F572"/>
      <c r="G572"/>
      <c r="H572"/>
    </row>
    <row r="573" spans="4:8">
      <c r="D573"/>
      <c r="E573"/>
      <c r="F573"/>
      <c r="G573"/>
      <c r="H573"/>
    </row>
    <row r="574" spans="4:8">
      <c r="D574"/>
      <c r="E574"/>
      <c r="F574"/>
      <c r="G574"/>
      <c r="H574"/>
    </row>
    <row r="575" spans="4:8">
      <c r="D575"/>
      <c r="E575"/>
      <c r="F575"/>
      <c r="G575"/>
      <c r="H575"/>
    </row>
    <row r="576" spans="4:8">
      <c r="D576"/>
      <c r="E576"/>
      <c r="F576"/>
      <c r="G576"/>
      <c r="H576"/>
    </row>
    <row r="577" spans="4:8">
      <c r="D577"/>
      <c r="E577"/>
      <c r="F577"/>
      <c r="G577"/>
      <c r="H577"/>
    </row>
    <row r="578" spans="4:8">
      <c r="D578"/>
      <c r="E578"/>
      <c r="F578"/>
      <c r="G578"/>
      <c r="H578"/>
    </row>
    <row r="579" spans="4:8">
      <c r="D579"/>
      <c r="E579"/>
      <c r="F579"/>
      <c r="G579"/>
      <c r="H579"/>
    </row>
    <row r="580" spans="4:8">
      <c r="D580"/>
      <c r="E580"/>
      <c r="F580"/>
      <c r="G580"/>
      <c r="H580"/>
    </row>
    <row r="581" spans="4:8">
      <c r="D581"/>
      <c r="E581"/>
      <c r="F581"/>
      <c r="G581"/>
      <c r="H581"/>
    </row>
    <row r="582" spans="4:8">
      <c r="D582"/>
      <c r="E582"/>
      <c r="F582"/>
      <c r="G582"/>
      <c r="H582"/>
    </row>
    <row r="583" spans="4:8">
      <c r="D583"/>
      <c r="E583"/>
      <c r="F583"/>
      <c r="G583"/>
      <c r="H583"/>
    </row>
  </sheetData>
  <conditionalFormatting sqref="D7 F7 H7">
    <cfRule type="cellIs" dxfId="2" priority="188" operator="equal">
      <formula>0</formula>
    </cfRule>
  </conditionalFormatting>
  <conditionalFormatting sqref="D38 F38 H38">
    <cfRule type="cellIs" dxfId="1" priority="2" operator="equal">
      <formula>0</formula>
    </cfRule>
  </conditionalFormatting>
  <conditionalFormatting sqref="D60 F60 H60">
    <cfRule type="cellIs" dxfId="0" priority="1" operator="equal">
      <formula>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F03A7-0848-4EC6-A2F9-9C1F3DE5EE91}">
  <sheetPr codeName="Sheet3">
    <tabColor rgb="FFDCCBA0"/>
  </sheetPr>
  <dimension ref="A1:I27"/>
  <sheetViews>
    <sheetView showGridLines="0" showRowColHeaders="0" workbookViewId="0">
      <pane ySplit="4" topLeftCell="A5" activePane="bottomLeft" state="frozen"/>
      <selection activeCell="B1" sqref="B1:J1"/>
      <selection pane="bottomLeft"/>
    </sheetView>
  </sheetViews>
  <sheetFormatPr defaultRowHeight="14.4"/>
  <cols>
    <col min="1" max="1" width="29.33203125" style="288" customWidth="1"/>
    <col min="2" max="2" width="14.77734375" style="284" customWidth="1"/>
    <col min="3" max="5" width="14.21875" style="284" customWidth="1"/>
    <col min="6" max="6" width="14.21875" style="287" customWidth="1"/>
    <col min="7" max="8" width="14.21875" style="284" customWidth="1"/>
    <col min="9" max="9" width="14.21875" style="287" customWidth="1"/>
    <col min="10" max="16384" width="8.88671875" style="28"/>
  </cols>
  <sheetData>
    <row r="1" spans="1:9">
      <c r="A1" s="109" t="str" cm="1">
        <f t="array" ref="A1">IdentifyQuarter(rngQ,rngFY)</f>
        <v>31-Mar-20</v>
      </c>
      <c r="B1" s="312" t="str" cm="1">
        <f t="array" ref="B1">CCName('Create Report'!F3)</f>
        <v>CU Student Government - Proper</v>
      </c>
      <c r="C1" s="312"/>
      <c r="D1" s="312"/>
      <c r="E1" s="312"/>
      <c r="F1" s="312"/>
      <c r="G1" s="312"/>
      <c r="H1" s="312"/>
      <c r="I1" s="312"/>
    </row>
    <row r="2" spans="1:9">
      <c r="A2" s="221"/>
      <c r="B2" s="313"/>
      <c r="C2" s="313"/>
      <c r="D2" s="313"/>
      <c r="E2" s="313"/>
      <c r="F2" s="313"/>
      <c r="G2" s="313"/>
      <c r="H2" s="313"/>
      <c r="I2" s="313"/>
    </row>
    <row r="3" spans="1:9" s="2" customFormat="1">
      <c r="A3" s="220"/>
      <c r="B3" s="277" t="s">
        <v>565</v>
      </c>
      <c r="C3" s="278" t="s">
        <v>568</v>
      </c>
      <c r="D3" s="279" t="s">
        <v>593</v>
      </c>
      <c r="E3" s="280" t="s">
        <v>568</v>
      </c>
      <c r="F3" s="281" t="s">
        <v>605</v>
      </c>
      <c r="G3" s="279" t="s">
        <v>365</v>
      </c>
      <c r="H3" s="282" t="s">
        <v>607</v>
      </c>
      <c r="I3" s="281" t="s">
        <v>566</v>
      </c>
    </row>
    <row r="4" spans="1:9" s="2" customFormat="1">
      <c r="A4" s="276" t="s">
        <v>594</v>
      </c>
      <c r="B4" s="283" t="s">
        <v>595</v>
      </c>
      <c r="C4" s="222" t="s">
        <v>595</v>
      </c>
      <c r="D4" s="110" t="s">
        <v>596</v>
      </c>
      <c r="E4" s="110" t="s">
        <v>596</v>
      </c>
      <c r="F4" s="224" t="s">
        <v>570</v>
      </c>
      <c r="G4" s="110" t="s">
        <v>606</v>
      </c>
      <c r="H4" s="223" t="s">
        <v>608</v>
      </c>
      <c r="I4" s="224" t="s">
        <v>609</v>
      </c>
    </row>
    <row r="5" spans="1:9">
      <c r="A5" s="320" t="s">
        <v>387</v>
      </c>
      <c r="B5" s="324">
        <v>-11079</v>
      </c>
      <c r="C5" s="325">
        <v>-11079</v>
      </c>
      <c r="D5" s="286">
        <v>3147.99</v>
      </c>
      <c r="E5" s="286">
        <v>6426.34</v>
      </c>
      <c r="F5" s="330">
        <v>1.0414000000000001</v>
      </c>
      <c r="G5" s="286">
        <v>0</v>
      </c>
      <c r="H5" s="325">
        <v>-4652.66</v>
      </c>
      <c r="I5" s="334">
        <v>0.42</v>
      </c>
    </row>
    <row r="6" spans="1:9">
      <c r="A6" s="321" t="s">
        <v>796</v>
      </c>
      <c r="B6" s="323">
        <v>-36700</v>
      </c>
      <c r="C6" s="322">
        <v>-38278</v>
      </c>
      <c r="D6" s="284">
        <v>0</v>
      </c>
      <c r="E6" s="284">
        <v>0</v>
      </c>
      <c r="F6" s="331"/>
      <c r="G6" s="284">
        <v>36916.53</v>
      </c>
      <c r="H6" s="322">
        <v>-1361.47</v>
      </c>
      <c r="I6" s="335">
        <v>3.7100000000000001E-2</v>
      </c>
    </row>
    <row r="7" spans="1:9">
      <c r="A7" s="321" t="s">
        <v>409</v>
      </c>
      <c r="B7" s="323">
        <v>-14860</v>
      </c>
      <c r="C7" s="322">
        <v>-14860</v>
      </c>
      <c r="D7" s="284">
        <v>2208.12</v>
      </c>
      <c r="E7" s="284">
        <v>1063.32</v>
      </c>
      <c r="F7" s="331">
        <v>-0.51849999999999996</v>
      </c>
      <c r="G7" s="284">
        <v>0</v>
      </c>
      <c r="H7" s="322">
        <v>-13796.68</v>
      </c>
      <c r="I7" s="335">
        <v>0.9284</v>
      </c>
    </row>
    <row r="8" spans="1:9">
      <c r="A8" s="321" t="s">
        <v>401</v>
      </c>
      <c r="B8" s="323">
        <v>-140365</v>
      </c>
      <c r="C8" s="322">
        <v>-140365</v>
      </c>
      <c r="D8" s="284">
        <v>101941.32</v>
      </c>
      <c r="E8" s="284">
        <v>143363.01999999999</v>
      </c>
      <c r="F8" s="331">
        <v>0.40629999999999999</v>
      </c>
      <c r="G8" s="284">
        <v>0</v>
      </c>
      <c r="H8" s="322">
        <v>2998.02</v>
      </c>
      <c r="I8" s="335">
        <v>-2.1399999999999999E-2</v>
      </c>
    </row>
    <row r="9" spans="1:9">
      <c r="A9" s="321" t="s">
        <v>411</v>
      </c>
      <c r="B9" s="323">
        <v>-1615</v>
      </c>
      <c r="C9" s="322">
        <v>-1615</v>
      </c>
      <c r="D9" s="284">
        <v>1582.59</v>
      </c>
      <c r="E9" s="284">
        <v>1785.55</v>
      </c>
      <c r="F9" s="331">
        <v>0.12820000000000001</v>
      </c>
      <c r="G9" s="284">
        <v>0</v>
      </c>
      <c r="H9" s="322">
        <v>170.55</v>
      </c>
      <c r="I9" s="335">
        <v>-0.1056</v>
      </c>
    </row>
    <row r="10" spans="1:9">
      <c r="A10" s="321" t="s">
        <v>405</v>
      </c>
      <c r="B10" s="323">
        <v>-1068</v>
      </c>
      <c r="C10" s="322">
        <v>-1068</v>
      </c>
      <c r="D10" s="284">
        <v>598.17999999999995</v>
      </c>
      <c r="E10" s="284">
        <v>0</v>
      </c>
      <c r="F10" s="331">
        <v>-1</v>
      </c>
      <c r="G10" s="284">
        <v>0</v>
      </c>
      <c r="H10" s="322">
        <v>-1068</v>
      </c>
      <c r="I10" s="335">
        <v>1</v>
      </c>
    </row>
    <row r="11" spans="1:9">
      <c r="A11" s="321" t="s">
        <v>390</v>
      </c>
      <c r="B11" s="323">
        <v>-45279</v>
      </c>
      <c r="C11" s="322">
        <v>-45419</v>
      </c>
      <c r="D11" s="284">
        <v>32801.86</v>
      </c>
      <c r="E11" s="284">
        <v>51525.98</v>
      </c>
      <c r="F11" s="331">
        <v>0.57079999999999997</v>
      </c>
      <c r="G11" s="284">
        <v>0</v>
      </c>
      <c r="H11" s="322">
        <v>6106.98</v>
      </c>
      <c r="I11" s="335">
        <v>-0.13489999999999999</v>
      </c>
    </row>
    <row r="12" spans="1:9">
      <c r="A12" s="321" t="s">
        <v>415</v>
      </c>
      <c r="B12" s="323">
        <v>0</v>
      </c>
      <c r="C12" s="322">
        <v>0</v>
      </c>
      <c r="D12" s="284">
        <v>0</v>
      </c>
      <c r="E12" s="284">
        <v>0</v>
      </c>
      <c r="F12" s="331"/>
      <c r="G12" s="284">
        <v>0</v>
      </c>
      <c r="H12" s="322">
        <v>0</v>
      </c>
      <c r="I12" s="335"/>
    </row>
    <row r="13" spans="1:9">
      <c r="A13" s="321" t="s">
        <v>397</v>
      </c>
      <c r="B13" s="323">
        <v>-2800</v>
      </c>
      <c r="C13" s="322">
        <v>-2800</v>
      </c>
      <c r="D13" s="284">
        <v>2343.4499999999998</v>
      </c>
      <c r="E13" s="284">
        <v>3733.92</v>
      </c>
      <c r="F13" s="331">
        <v>0.59330000000000005</v>
      </c>
      <c r="G13" s="284">
        <v>0</v>
      </c>
      <c r="H13" s="322">
        <v>933.92</v>
      </c>
      <c r="I13" s="335">
        <v>-0.33350000000000002</v>
      </c>
    </row>
    <row r="14" spans="1:9">
      <c r="A14" s="321" t="s">
        <v>392</v>
      </c>
      <c r="B14" s="323">
        <v>-96681</v>
      </c>
      <c r="C14" s="322">
        <v>-96681</v>
      </c>
      <c r="D14" s="284">
        <v>71320.58</v>
      </c>
      <c r="E14" s="284">
        <v>63680.52</v>
      </c>
      <c r="F14" s="331">
        <v>-0.1071</v>
      </c>
      <c r="G14" s="284">
        <v>0</v>
      </c>
      <c r="H14" s="322">
        <v>-33000.480000000003</v>
      </c>
      <c r="I14" s="335">
        <v>0.34129999999999999</v>
      </c>
    </row>
    <row r="15" spans="1:9">
      <c r="A15" s="321" t="s">
        <v>407</v>
      </c>
      <c r="B15" s="323">
        <v>-538</v>
      </c>
      <c r="C15" s="322">
        <v>-538</v>
      </c>
      <c r="D15" s="284">
        <v>0</v>
      </c>
      <c r="E15" s="284">
        <v>0</v>
      </c>
      <c r="F15" s="331"/>
      <c r="G15" s="284">
        <v>0</v>
      </c>
      <c r="H15" s="322">
        <v>-538</v>
      </c>
      <c r="I15" s="335">
        <v>1</v>
      </c>
    </row>
    <row r="16" spans="1:9">
      <c r="A16" s="321" t="s">
        <v>403</v>
      </c>
      <c r="B16" s="323">
        <v>-21810</v>
      </c>
      <c r="C16" s="322">
        <v>-21810</v>
      </c>
      <c r="D16" s="284">
        <v>15636.09</v>
      </c>
      <c r="E16" s="284">
        <v>16865.919999999998</v>
      </c>
      <c r="F16" s="331">
        <v>7.8700000000000006E-2</v>
      </c>
      <c r="G16" s="284">
        <v>50248</v>
      </c>
      <c r="H16" s="322">
        <v>45303.92</v>
      </c>
      <c r="I16" s="335">
        <v>-2.0771999999999999</v>
      </c>
    </row>
    <row r="17" spans="1:9">
      <c r="A17" s="321" t="s">
        <v>417</v>
      </c>
      <c r="B17" s="323">
        <v>0</v>
      </c>
      <c r="C17" s="322">
        <v>0</v>
      </c>
      <c r="D17" s="284">
        <v>0</v>
      </c>
      <c r="E17" s="284">
        <v>0</v>
      </c>
      <c r="F17" s="331"/>
      <c r="G17" s="284">
        <v>0</v>
      </c>
      <c r="H17" s="322">
        <v>0</v>
      </c>
      <c r="I17" s="335"/>
    </row>
    <row r="18" spans="1:9">
      <c r="A18" s="321" t="s">
        <v>413</v>
      </c>
      <c r="B18" s="323">
        <v>-18550</v>
      </c>
      <c r="C18" s="322">
        <v>-18550</v>
      </c>
      <c r="D18" s="284">
        <v>23932.87</v>
      </c>
      <c r="E18" s="284">
        <v>12795.79</v>
      </c>
      <c r="F18" s="331">
        <v>-0.46529999999999999</v>
      </c>
      <c r="G18" s="284">
        <v>0</v>
      </c>
      <c r="H18" s="322">
        <v>-5754.21</v>
      </c>
      <c r="I18" s="335">
        <v>0.31019999999999998</v>
      </c>
    </row>
    <row r="19" spans="1:9">
      <c r="A19" s="321" t="s">
        <v>399</v>
      </c>
      <c r="B19" s="323">
        <v>-6965</v>
      </c>
      <c r="C19" s="322">
        <v>-6965</v>
      </c>
      <c r="D19" s="284">
        <v>1383.19</v>
      </c>
      <c r="E19" s="284">
        <v>1149.33</v>
      </c>
      <c r="F19" s="332">
        <v>-0.1691</v>
      </c>
      <c r="G19" s="284">
        <v>0</v>
      </c>
      <c r="H19" s="322">
        <v>-5815.67</v>
      </c>
      <c r="I19" s="336">
        <v>0.83499999999999996</v>
      </c>
    </row>
    <row r="20" spans="1:9">
      <c r="A20" s="321" t="s">
        <v>394</v>
      </c>
      <c r="B20" s="323">
        <v>-36700</v>
      </c>
      <c r="C20" s="322">
        <v>-55438.58</v>
      </c>
      <c r="D20" s="284">
        <v>0</v>
      </c>
      <c r="E20" s="284">
        <v>40.49</v>
      </c>
      <c r="F20" s="332">
        <v>9.99</v>
      </c>
      <c r="G20" s="284">
        <v>63000.76</v>
      </c>
      <c r="H20" s="322">
        <v>7602.67</v>
      </c>
      <c r="I20" s="336">
        <v>-0.2072</v>
      </c>
    </row>
    <row r="21" spans="1:9">
      <c r="A21" s="321" t="s">
        <v>604</v>
      </c>
      <c r="B21" s="323">
        <v>-217637</v>
      </c>
      <c r="C21" s="322">
        <v>-217637</v>
      </c>
      <c r="D21" s="284">
        <v>165477.88</v>
      </c>
      <c r="E21" s="284">
        <v>80906.210000000006</v>
      </c>
      <c r="F21" s="332">
        <v>-0.5111</v>
      </c>
      <c r="G21" s="284">
        <v>0</v>
      </c>
      <c r="H21" s="322">
        <v>-136730.79</v>
      </c>
      <c r="I21" s="336">
        <v>0.62829999999999997</v>
      </c>
    </row>
    <row r="22" spans="1:9">
      <c r="A22" s="321" t="s">
        <v>395</v>
      </c>
      <c r="B22" s="323">
        <v>-5384</v>
      </c>
      <c r="C22" s="322">
        <v>-5384</v>
      </c>
      <c r="D22" s="284">
        <v>4623.17</v>
      </c>
      <c r="E22" s="284">
        <v>2937.6</v>
      </c>
      <c r="F22" s="332">
        <v>-0.36459999999999998</v>
      </c>
      <c r="G22" s="284">
        <v>0</v>
      </c>
      <c r="H22" s="322">
        <v>-2446.4</v>
      </c>
      <c r="I22" s="336">
        <v>0.45440000000000003</v>
      </c>
    </row>
    <row r="23" spans="1:9">
      <c r="A23" s="326" t="s">
        <v>807</v>
      </c>
      <c r="B23" s="327">
        <v>-658031</v>
      </c>
      <c r="C23" s="328">
        <v>-678487.58000000007</v>
      </c>
      <c r="D23" s="329">
        <v>426997.29</v>
      </c>
      <c r="E23" s="329">
        <v>386273.99</v>
      </c>
      <c r="F23" s="333">
        <v>-9.5399999999999999E-2</v>
      </c>
      <c r="G23" s="329">
        <v>150165.29</v>
      </c>
      <c r="H23" s="328">
        <v>-142048.30000000002</v>
      </c>
      <c r="I23" s="337">
        <v>-0.2094</v>
      </c>
    </row>
    <row r="24" spans="1:9">
      <c r="A24" s="285"/>
    </row>
    <row r="25" spans="1:9">
      <c r="A25" s="285"/>
    </row>
    <row r="26" spans="1:9">
      <c r="A26" s="285"/>
    </row>
    <row r="27" spans="1:9">
      <c r="A27" s="285"/>
    </row>
  </sheetData>
  <mergeCells count="2">
    <mergeCell ref="B1:I1"/>
    <mergeCell ref="B2:I2"/>
  </mergeCells>
  <hyperlinks>
    <hyperlink ref="A5" location="'Appellate Court'!A1" tooltip="Appellate Court" display="Appellate Court" xr:uid="{AC49B292-81D0-43F6-8D1C-8A8695026BE2}"/>
    <hyperlink ref="A6" location="'CCS - Leg'!A1" tooltip="CCS - Leg" display="CCS - Leg" xr:uid="{71C816C0-1ED8-46ED-A628-DFB1686AE7D3}"/>
    <hyperlink ref="A7" location="'Elections'!A1" tooltip="Elections" display="Elections" xr:uid="{B5E1B557-7671-4445-98F2-BD66F9303E7F}"/>
    <hyperlink ref="A8" location="'Exec Staff Payroll'!A1" tooltip="Exec Staff Payroll" display="Exec Staff Payroll" xr:uid="{CCB7B762-13B2-423A-A843-2CA3E6726DBC}"/>
    <hyperlink ref="A9" location="'Finance Board'!A1" tooltip="Finance Board" display="Finance Board" xr:uid="{758ED4AB-D541-4C8C-8C61-57B9BF6ACB40}"/>
    <hyperlink ref="A10" location="'Freshman Council'!A1" tooltip="Freshman Council" display="Freshman Council" xr:uid="{82BC40B0-B472-458E-9F96-C47AE3BCDAE1}"/>
    <hyperlink ref="A11" location="'Homecoming'!A1" tooltip="Homecoming" display="Homecoming" xr:uid="{795AB991-F877-4B7E-B8D6-35A16ADBE694}"/>
    <hyperlink ref="A12" location="'Incident Response'!A1" tooltip="Incident Response" display="Incident Response" xr:uid="{4A79AB2E-BACE-46AC-879B-DF3D59A1CC97}"/>
    <hyperlink ref="A13" location="'Leg Cncl Disc'!A1" tooltip="Leg Cncl Disc" display="Leg Cncl Disc" xr:uid="{DBE5581F-44D7-408A-BF84-D53239C2A583}"/>
    <hyperlink ref="A14" location="'Leg Cncl Staff'!A1" tooltip="Leg Cncl Staff" display="Leg Cncl Staff" xr:uid="{8E6BD697-2233-4D42-8E23-D18BD75EDF6A}"/>
    <hyperlink ref="A15" location="'Legis Affairs Comm'!A1" tooltip="Legis Affairs Comm" display="Legis Affairs Comm" xr:uid="{A902E6A5-755E-448C-94E0-4EB8EF56F965}"/>
    <hyperlink ref="A16" location="'Operations'!A1" tooltip="Operations" display="Operations" xr:uid="{27F253AE-08D2-40E1-8A51-C13908346EBC}"/>
    <hyperlink ref="A17" location="'Payroll Suspense'!A1" tooltip="Payroll Suspense" display="Payroll Suspense" xr:uid="{A81F5D85-395F-440C-9EC8-EAA352858441}"/>
    <hyperlink ref="A18" location="'Programming'!A1" tooltip="Programming" display="Programming" xr:uid="{1A2BD91F-113D-4EEE-9FEE-DAFF6268C547}"/>
    <hyperlink ref="A19" location="'Public Relations'!A1" tooltip="Public Relations" display="Public Relations" xr:uid="{5C0998E8-229C-4EAB-9E86-03C1387D8773}"/>
    <hyperlink ref="A20" location="'Rep Council'!A1" tooltip="Rep Council" display="Rep Council" xr:uid="{F56A9EA3-B84F-4DAE-AAB1-1F00701B366C}"/>
    <hyperlink ref="A21" location="'Staff Support'!A1" tooltip="Staff Support" display="Staff Support" xr:uid="{1186F91A-37AF-4F4B-8CBB-21937F6DE2C8}"/>
    <hyperlink ref="A22" location="'Travel'!A1" tooltip="Travel" display="Travel" xr:uid="{999E20E5-F334-426C-9A9B-ACFF9836C99A}"/>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40934-FFCF-4AC9-977D-75100CEE33B6}">
  <sheetPr codeName="Sheet14">
    <tabColor rgb="FFDCCBA0"/>
    <pageSetUpPr fitToPage="1"/>
  </sheetPr>
  <dimension ref="A1:K58"/>
  <sheetViews>
    <sheetView showGridLines="0" workbookViewId="0">
      <pane xSplit="1" ySplit="6" topLeftCell="B7" activePane="bottomRight" state="frozen"/>
      <selection activeCell="K16" sqref="K16"/>
      <selection pane="topRight" activeCell="K16" sqref="K16"/>
      <selection pane="bottomLeft" activeCell="K16" sqref="K16"/>
      <selection pane="bottomRight"/>
    </sheetView>
  </sheetViews>
  <sheetFormatPr defaultRowHeight="14.4" outlineLevelRow="1"/>
  <cols>
    <col min="1" max="1" width="30.88671875" style="168" bestFit="1" customWidth="1"/>
    <col min="2" max="3" width="19.77734375" style="52" customWidth="1"/>
    <col min="4" max="4" width="11.77734375" style="241" customWidth="1"/>
    <col min="5" max="5" width="19.77734375" style="52" customWidth="1"/>
    <col min="6" max="6" width="14.33203125" style="52" bestFit="1" customWidth="1"/>
    <col min="7" max="7" width="11.77734375" style="241" customWidth="1"/>
    <col min="8" max="8" width="19.77734375" style="52" customWidth="1"/>
    <col min="9" max="9" width="11.77734375" style="241" customWidth="1"/>
    <col min="10" max="10" width="2.77734375" style="52" customWidth="1"/>
    <col min="11" max="16384" width="8.88671875" style="52"/>
  </cols>
  <sheetData>
    <row r="1" spans="1:11" ht="15.6">
      <c r="A1" s="104" t="str" cm="1">
        <f t="array" ref="A1">IdentifyQuarter(rngQ,rngFY)</f>
        <v>31-Mar-20</v>
      </c>
      <c r="B1" s="314" t="str" cm="1">
        <f t="array" ref="B1">CCName(rngCC)</f>
        <v>CU Student Government - Proper</v>
      </c>
      <c r="C1" s="314"/>
      <c r="D1" s="314"/>
      <c r="E1" s="314"/>
      <c r="F1" s="314"/>
      <c r="G1" s="314"/>
      <c r="H1" s="314"/>
      <c r="I1" s="314"/>
      <c r="J1" s="314"/>
    </row>
    <row r="2" spans="1:11" ht="15.6">
      <c r="A2" s="61"/>
      <c r="B2" s="315" t="s">
        <v>592</v>
      </c>
      <c r="C2" s="315"/>
      <c r="D2" s="315"/>
      <c r="E2" s="315"/>
      <c r="F2" s="315"/>
      <c r="G2" s="315"/>
      <c r="H2" s="315"/>
      <c r="I2" s="315"/>
      <c r="J2" s="315"/>
    </row>
    <row r="3" spans="1:11">
      <c r="A3" s="61"/>
      <c r="B3" s="62" t="s">
        <v>552</v>
      </c>
      <c r="C3" s="62" t="s">
        <v>553</v>
      </c>
      <c r="D3" s="63" t="s">
        <v>554</v>
      </c>
      <c r="E3" s="62" t="s">
        <v>555</v>
      </c>
      <c r="F3" s="62" t="s">
        <v>556</v>
      </c>
      <c r="G3" s="63" t="s">
        <v>557</v>
      </c>
      <c r="H3" s="62" t="s">
        <v>558</v>
      </c>
      <c r="I3" s="63" t="s">
        <v>559</v>
      </c>
      <c r="J3" s="316" t="s">
        <v>560</v>
      </c>
      <c r="K3" s="53"/>
    </row>
    <row r="4" spans="1:11">
      <c r="A4" s="64"/>
      <c r="B4" s="106"/>
      <c r="C4" s="106" t="s">
        <v>561</v>
      </c>
      <c r="D4" s="107"/>
      <c r="E4" s="106"/>
      <c r="F4" s="106" t="s">
        <v>562</v>
      </c>
      <c r="G4" s="107" t="s">
        <v>562</v>
      </c>
      <c r="H4" s="106" t="s">
        <v>563</v>
      </c>
      <c r="I4" s="107" t="s">
        <v>564</v>
      </c>
      <c r="J4" s="317"/>
      <c r="K4" s="53"/>
    </row>
    <row r="5" spans="1:11">
      <c r="A5" s="65"/>
      <c r="B5" s="106" t="s">
        <v>565</v>
      </c>
      <c r="C5" s="106" t="s">
        <v>566</v>
      </c>
      <c r="D5" s="107" t="s">
        <v>567</v>
      </c>
      <c r="E5" s="106" t="s">
        <v>568</v>
      </c>
      <c r="F5" s="106" t="s">
        <v>569</v>
      </c>
      <c r="G5" s="107" t="s">
        <v>570</v>
      </c>
      <c r="H5" s="106" t="s">
        <v>568</v>
      </c>
      <c r="I5" s="107" t="s">
        <v>570</v>
      </c>
      <c r="J5" s="317"/>
      <c r="K5" s="53"/>
    </row>
    <row r="6" spans="1:11">
      <c r="A6" s="66"/>
      <c r="B6" s="67"/>
      <c r="C6" s="67" t="s">
        <v>571</v>
      </c>
      <c r="D6" s="68" t="s">
        <v>572</v>
      </c>
      <c r="E6" s="69"/>
      <c r="F6" s="69" t="s">
        <v>573</v>
      </c>
      <c r="G6" s="68" t="s">
        <v>574</v>
      </c>
      <c r="H6" s="69"/>
      <c r="I6" s="68" t="s">
        <v>575</v>
      </c>
      <c r="J6" s="318"/>
      <c r="K6" s="53"/>
    </row>
    <row r="7" spans="1:11">
      <c r="A7" s="70" t="s">
        <v>576</v>
      </c>
      <c r="B7" s="71"/>
      <c r="C7" s="72"/>
      <c r="D7" s="63"/>
      <c r="E7" s="73"/>
      <c r="F7" s="73"/>
      <c r="G7" s="63"/>
      <c r="H7" s="73"/>
      <c r="I7" s="63"/>
      <c r="J7" s="74"/>
      <c r="K7" s="53"/>
    </row>
    <row r="8" spans="1:11" outlineLevel="1">
      <c r="A8" s="75" t="s">
        <v>577</v>
      </c>
      <c r="B8" s="76" cm="1">
        <f t="array" ref="B8">RollUpSum(ROW(B8),COLUMN(B8))</f>
        <v>-658031</v>
      </c>
      <c r="C8" s="76" cm="1">
        <f t="array" ref="C8">RollUpSum(ROW(C8),COLUMN(C8))</f>
        <v>-640285.55000000005</v>
      </c>
      <c r="D8" s="229" cm="1">
        <f t="array" ref="D8">SeasonalBudPct(B8,C8)</f>
        <v>0.97299999999999998</v>
      </c>
      <c r="E8" s="76" cm="1">
        <f t="array" ref="E8">RollUpSum(ROW(E8),COLUMN(E8))</f>
        <v>-658031</v>
      </c>
      <c r="F8" s="76" cm="1">
        <f t="array" ref="F8">BudgetDolVariance(C8,E8)</f>
        <v>-17745.449999999953</v>
      </c>
      <c r="G8" s="229" cm="1">
        <f t="array" ref="G8">BudgetPctVariance(C8,E8)</f>
        <v>2.7699999999999999E-2</v>
      </c>
      <c r="H8" s="76" cm="1">
        <f t="array" ref="H8">RollUpSum(ROW(H8),COLUMN(H8))</f>
        <v>-629962</v>
      </c>
      <c r="I8" s="244" cm="1">
        <f t="array" ref="I8">BudgetPctVariance(H8,E8)</f>
        <v>4.4600000000000001E-2</v>
      </c>
      <c r="J8" s="169"/>
      <c r="K8" s="53"/>
    </row>
    <row r="9" spans="1:11" outlineLevel="1">
      <c r="A9" s="77" t="s">
        <v>578</v>
      </c>
      <c r="B9" s="78" cm="1">
        <f t="array" ref="B9">RollUpSum(ROW(B9),COLUMN(B9))</f>
        <v>0</v>
      </c>
      <c r="C9" s="79" cm="1">
        <f t="array" ref="C9">RollUpSum(ROW(C9),COLUMN(C9))</f>
        <v>0</v>
      </c>
      <c r="D9" s="230" t="str" cm="1">
        <f t="array" ref="D9">SeasonalBudPct(B9,C9)</f>
        <v/>
      </c>
      <c r="E9" s="78" cm="1">
        <f t="array" ref="E9">RollUpSum(ROW(E9),COLUMN(E9))</f>
        <v>-140</v>
      </c>
      <c r="F9" s="78" cm="1">
        <f t="array" ref="F9">BudgetDolVariance(C9,E9)</f>
        <v>-140</v>
      </c>
      <c r="G9" s="230" cm="1">
        <f t="array" ref="G9">BudgetPctVariance(C9,E9)</f>
        <v>9.99</v>
      </c>
      <c r="H9" s="78" cm="1">
        <f t="array" ref="H9">RollUpSum(ROW(H9),COLUMN(H9))</f>
        <v>0</v>
      </c>
      <c r="I9" s="245" cm="1">
        <f t="array" ref="I9">BudgetPctVariance(H9,E9)</f>
        <v>9.99</v>
      </c>
      <c r="J9" s="170">
        <v>1</v>
      </c>
      <c r="K9" s="53"/>
    </row>
    <row r="10" spans="1:11" outlineLevel="1">
      <c r="A10" s="77" t="s">
        <v>168</v>
      </c>
      <c r="B10" s="78" cm="1">
        <f t="array" ref="B10">RollUpSum(ROW(B10),COLUMN(B10))</f>
        <v>0</v>
      </c>
      <c r="C10" s="79" cm="1">
        <f t="array" ref="C10">RollUpSum(ROW(C10),COLUMN(C10))</f>
        <v>0</v>
      </c>
      <c r="D10" s="230" t="str" cm="1">
        <f t="array" ref="D10">SeasonalBudPct(B10,C10)</f>
        <v/>
      </c>
      <c r="E10" s="78" cm="1">
        <f t="array" ref="E10">RollUpSum(ROW(E10),COLUMN(E10))</f>
        <v>0</v>
      </c>
      <c r="F10" s="78" t="str" cm="1">
        <f t="array" ref="F10">BudgetDolVariance(C10,E10)</f>
        <v/>
      </c>
      <c r="G10" s="230" t="str" cm="1">
        <f t="array" ref="G10">BudgetPctVariance(C10,E10)</f>
        <v/>
      </c>
      <c r="H10" s="78" cm="1">
        <f t="array" ref="H10">RollUpSum(ROW(H10),COLUMN(H10))</f>
        <v>0</v>
      </c>
      <c r="I10" s="245" t="str" cm="1">
        <f t="array" ref="I10">BudgetPctVariance(H10,E10)</f>
        <v/>
      </c>
      <c r="J10" s="170"/>
      <c r="K10" s="53"/>
    </row>
    <row r="11" spans="1:11" ht="15.6" outlineLevel="1">
      <c r="A11" s="80" t="s">
        <v>178</v>
      </c>
      <c r="B11" s="81" cm="1">
        <f t="array" ref="B11">RollUpSum(ROW(B11),COLUMN(B11))</f>
        <v>0</v>
      </c>
      <c r="C11" s="82" cm="1">
        <f t="array" ref="C11">RollUpSum(ROW(C11),COLUMN(C11))</f>
        <v>0</v>
      </c>
      <c r="D11" s="231" t="str" cm="1">
        <f t="array" ref="D11">SeasonalBudPct(B11,C11)</f>
        <v/>
      </c>
      <c r="E11" s="81" cm="1">
        <f t="array" ref="E11">RollUpSum(ROW(E11),COLUMN(E11))</f>
        <v>-20316.580000000002</v>
      </c>
      <c r="F11" s="81" cm="1">
        <f t="array" ref="F11">BudgetDolVariance(C11,E11)</f>
        <v>-20316.580000000002</v>
      </c>
      <c r="G11" s="231" cm="1">
        <f t="array" ref="G11">BudgetPctVariance(C11,E11)</f>
        <v>9.99</v>
      </c>
      <c r="H11" s="81" cm="1">
        <f t="array" ref="H11">RollUpSum(ROW(H11),COLUMN(H11))</f>
        <v>-47869.23</v>
      </c>
      <c r="I11" s="246" cm="1">
        <f t="array" ref="I11">BudgetPctVariance(H11,E11)</f>
        <v>-0.5756</v>
      </c>
      <c r="J11" s="171">
        <v>2</v>
      </c>
      <c r="K11" s="54"/>
    </row>
    <row r="12" spans="1:11" ht="16.2" thickBot="1">
      <c r="A12" s="83" t="s">
        <v>579</v>
      </c>
      <c r="B12" s="84">
        <f>SUM(B8:B11)</f>
        <v>-658031</v>
      </c>
      <c r="C12" s="84">
        <f>SUM(C8:C11)</f>
        <v>-640285.55000000005</v>
      </c>
      <c r="D12" s="232" cm="1">
        <f t="array" ref="D12">SeasonalBudPct(B12,C12)</f>
        <v>0.97299999999999998</v>
      </c>
      <c r="E12" s="84">
        <f>SUM(E8:E11)</f>
        <v>-678487.58</v>
      </c>
      <c r="F12" s="84" cm="1">
        <f t="array" ref="F12">BudgetDolVariance(C12,E12)</f>
        <v>-38202.029999999912</v>
      </c>
      <c r="G12" s="232" cm="1">
        <f t="array" ref="G12">BudgetPctVariance(C12,E12)</f>
        <v>5.9700000000000003E-2</v>
      </c>
      <c r="H12" s="84">
        <f>SUM(H8:H11)</f>
        <v>-677831.23</v>
      </c>
      <c r="I12" s="247" cm="1">
        <f t="array" ref="I12">BudgetPctVariance(H12,E12)</f>
        <v>1E-3</v>
      </c>
      <c r="J12" s="172"/>
    </row>
    <row r="13" spans="1:11" ht="15" thickTop="1">
      <c r="A13" s="85"/>
      <c r="B13" s="86"/>
      <c r="C13" s="87"/>
      <c r="D13" s="233"/>
      <c r="E13" s="86"/>
      <c r="F13" s="87"/>
      <c r="G13" s="233"/>
      <c r="H13" s="87"/>
      <c r="I13" s="248"/>
      <c r="J13" s="173"/>
      <c r="K13" s="56"/>
    </row>
    <row r="14" spans="1:11">
      <c r="A14" s="70" t="s">
        <v>580</v>
      </c>
      <c r="B14" s="88"/>
      <c r="C14" s="89"/>
      <c r="D14" s="234"/>
      <c r="E14" s="88"/>
      <c r="F14" s="89"/>
      <c r="G14" s="234"/>
      <c r="H14" s="89"/>
      <c r="I14" s="249"/>
      <c r="J14" s="174"/>
      <c r="K14" s="56"/>
    </row>
    <row r="15" spans="1:11" outlineLevel="1">
      <c r="A15" s="75" t="s">
        <v>180</v>
      </c>
      <c r="B15" s="76" cm="1">
        <f t="array" ref="B15">RollUpSum(ROW(B15),COLUMN(B15))</f>
        <v>0</v>
      </c>
      <c r="C15" s="76" cm="1">
        <f t="array" ref="C15">RollUpSum(ROW(C15),COLUMN(C15))</f>
        <v>0</v>
      </c>
      <c r="D15" s="229" t="str" cm="1">
        <f t="array" ref="D15">SeasonalBudPct(B15,C15)</f>
        <v/>
      </c>
      <c r="E15" s="76" cm="1">
        <f t="array" ref="E15">RollUpSum(ROW(E15),COLUMN(E15))</f>
        <v>9087.5</v>
      </c>
      <c r="F15" s="76" cm="1">
        <f t="array" ref="F15">BudgetDolVariance(C15,E15)</f>
        <v>9087.5</v>
      </c>
      <c r="G15" s="229" cm="1">
        <f t="array" ref="G15">BudgetPctVariance(C15,E15)</f>
        <v>9.99</v>
      </c>
      <c r="H15" s="76" cm="1">
        <f t="array" ref="H15">RollUpSum(ROW(H15),COLUMN(H15))</f>
        <v>2220</v>
      </c>
      <c r="I15" s="244" cm="1">
        <f t="array" ref="I15">BudgetPctVariance(H15,E15)</f>
        <v>3.0935000000000001</v>
      </c>
      <c r="J15" s="175">
        <v>3</v>
      </c>
      <c r="K15" s="57"/>
    </row>
    <row r="16" spans="1:11" outlineLevel="1">
      <c r="A16" s="77" t="s">
        <v>202</v>
      </c>
      <c r="B16" s="78" cm="1">
        <f t="array" ref="B16">RollUpSum(ROW(B16),COLUMN(B16))</f>
        <v>143193</v>
      </c>
      <c r="C16" s="78" cm="1">
        <f t="array" ref="C16">RollUpSum(ROW(C16),COLUMN(C16))</f>
        <v>107252.99</v>
      </c>
      <c r="D16" s="230" cm="1">
        <f t="array" ref="D16">SeasonalBudPct(B16,C16)</f>
        <v>0.749</v>
      </c>
      <c r="E16" s="78" cm="1">
        <f t="array" ref="E16">RollUpSum(ROW(E16),COLUMN(E16))</f>
        <v>46999.76</v>
      </c>
      <c r="F16" s="78" cm="1">
        <f t="array" ref="F16">BudgetDolVariance(C16,E16)</f>
        <v>-60253.23</v>
      </c>
      <c r="G16" s="230" cm="1">
        <f t="array" ref="G16">BudgetPctVariance(C16,E16)</f>
        <v>-0.56179999999999997</v>
      </c>
      <c r="H16" s="78" cm="1">
        <f t="array" ref="H16">RollUpSum(ROW(H16),COLUMN(H16))</f>
        <v>54640.12</v>
      </c>
      <c r="I16" s="245" cm="1">
        <f t="array" ref="I16">BudgetPctVariance(H16,E16)</f>
        <v>-0.13980000000000001</v>
      </c>
      <c r="J16" s="170">
        <v>4</v>
      </c>
      <c r="K16" s="57"/>
    </row>
    <row r="17" spans="1:11" outlineLevel="1">
      <c r="A17" s="209" t="s">
        <v>209</v>
      </c>
      <c r="B17" s="90" cm="1">
        <f t="array" ref="B17">RollUpSum(ROW(B17),COLUMN(B17))</f>
        <v>135194</v>
      </c>
      <c r="C17" s="211" cm="1">
        <f t="array" ref="C17">RollUpSum(ROW(C17),COLUMN(C17))</f>
        <v>104252.25</v>
      </c>
      <c r="D17" s="235" cm="1">
        <f t="array" ref="D17">SeasonalBudPct(B17,C17)</f>
        <v>0.77110000000000001</v>
      </c>
      <c r="E17" s="212" cm="1">
        <f t="array" ref="E17">RollUpSum(ROW(E17),COLUMN(E17))</f>
        <v>134511.43</v>
      </c>
      <c r="F17" s="211" cm="1">
        <f t="array" ref="F17">BudgetDolVariance(C17,E17)</f>
        <v>30259.179999999993</v>
      </c>
      <c r="G17" s="235" cm="1">
        <f t="array" ref="G17">BudgetPctVariance(C17,E17)</f>
        <v>0.29020000000000001</v>
      </c>
      <c r="H17" s="211" cm="1">
        <f t="array" ref="H17">RollUpSum(ROW(H17),COLUMN(H17))</f>
        <v>99129.33</v>
      </c>
      <c r="I17" s="250" cm="1">
        <f t="array" ref="I17">BudgetPctVariance(H17,E17)</f>
        <v>0.3569</v>
      </c>
      <c r="J17" s="213">
        <v>5</v>
      </c>
      <c r="K17" s="57"/>
    </row>
    <row r="18" spans="1:11" outlineLevel="1">
      <c r="A18" s="77" t="s">
        <v>216</v>
      </c>
      <c r="B18" s="210" cm="1">
        <f t="array" ref="B18">RollUpSum(ROW(B18),COLUMN(B18))</f>
        <v>0</v>
      </c>
      <c r="C18" s="78" cm="1">
        <f t="array" ref="C18">RollUpSum(ROW(C18),COLUMN(C18))</f>
        <v>0</v>
      </c>
      <c r="D18" s="242" t="str" cm="1">
        <f t="array" ref="D18">SeasonalBudPct(B18,C18)</f>
        <v/>
      </c>
      <c r="E18" s="78" cm="1">
        <f t="array" ref="E18">RollUpSum(ROW(E18),COLUMN(E18))</f>
        <v>1435.83</v>
      </c>
      <c r="F18" s="78" cm="1">
        <f t="array" ref="F18">BudgetDolVariance(C18,E18)</f>
        <v>1435.83</v>
      </c>
      <c r="G18" s="230" cm="1">
        <f t="array" ref="G18">BudgetPctVariance(C18,E18)</f>
        <v>9.99</v>
      </c>
      <c r="H18" s="78" cm="1">
        <f t="array" ref="H18">RollUpSum(ROW(H18),COLUMN(H18))</f>
        <v>350.76</v>
      </c>
      <c r="I18" s="245" cm="1">
        <f t="array" ref="I18">BudgetPctVariance(H18,E18)</f>
        <v>3.0935000000000001</v>
      </c>
      <c r="J18" s="170">
        <v>3</v>
      </c>
      <c r="K18" s="57"/>
    </row>
    <row r="19" spans="1:11" outlineLevel="1">
      <c r="A19" s="77" t="s">
        <v>244</v>
      </c>
      <c r="B19" s="78" cm="1">
        <f t="array" ref="B19">RollUpSum(ROW(B19),COLUMN(B19))</f>
        <v>52122</v>
      </c>
      <c r="C19" s="78" cm="1">
        <f t="array" ref="C19">RollUpSum(ROW(C19),COLUMN(C19))</f>
        <v>41511.410000000003</v>
      </c>
      <c r="D19" s="230" cm="1">
        <f t="array" ref="D19">SeasonalBudPct(B19,C19)</f>
        <v>0.7964</v>
      </c>
      <c r="E19" s="78" cm="1">
        <f t="array" ref="E19">RollUpSum(ROW(E19),COLUMN(E19))</f>
        <v>17107.919999999998</v>
      </c>
      <c r="F19" s="78" cm="1">
        <f t="array" ref="F19">BudgetDolVariance(C19,E19)</f>
        <v>-24403.490000000005</v>
      </c>
      <c r="G19" s="230" cm="1">
        <f t="array" ref="G19">BudgetPctVariance(C19,E19)</f>
        <v>-0.58789999999999998</v>
      </c>
      <c r="H19" s="78" cm="1">
        <f t="array" ref="H19">RollUpSum(ROW(H19),COLUMN(H19))</f>
        <v>18008.150000000001</v>
      </c>
      <c r="I19" s="245" cm="1">
        <f t="array" ref="I19">BudgetPctVariance(H19,E19)</f>
        <v>-0.05</v>
      </c>
      <c r="J19" s="170">
        <v>4</v>
      </c>
      <c r="K19" s="57"/>
    </row>
    <row r="20" spans="1:11" outlineLevel="1">
      <c r="A20" s="80" t="s">
        <v>251</v>
      </c>
      <c r="B20" s="81" cm="1">
        <f t="array" ref="B20">RollUpSum(ROW(B20),COLUMN(B20))</f>
        <v>1487</v>
      </c>
      <c r="C20" s="81" cm="1">
        <f t="array" ref="C20">RollUpSum(ROW(C20),COLUMN(C20))</f>
        <v>1041.1199999999999</v>
      </c>
      <c r="D20" s="231" cm="1">
        <f t="array" ref="D20">SeasonalBudPct(B20,C20)</f>
        <v>0.70009999999999994</v>
      </c>
      <c r="E20" s="81" cm="1">
        <f t="array" ref="E20">RollUpSum(ROW(E20),COLUMN(E20))</f>
        <v>1479.65</v>
      </c>
      <c r="F20" s="81" cm="1">
        <f t="array" ref="F20">BudgetDolVariance(C20,E20)</f>
        <v>438.5300000000002</v>
      </c>
      <c r="G20" s="231" cm="1">
        <f t="array" ref="G20">BudgetPctVariance(C20,E20)</f>
        <v>0.42120000000000002</v>
      </c>
      <c r="H20" s="81" cm="1">
        <f t="array" ref="H20">RollUpSum(ROW(H20),COLUMN(H20))</f>
        <v>793.05</v>
      </c>
      <c r="I20" s="246" cm="1">
        <f t="array" ref="I20">BudgetPctVariance(H20,E20)</f>
        <v>0.86580000000000001</v>
      </c>
      <c r="J20" s="171">
        <v>5</v>
      </c>
      <c r="K20" s="57"/>
    </row>
    <row r="21" spans="1:11">
      <c r="A21" s="91" t="s">
        <v>581</v>
      </c>
      <c r="B21" s="92">
        <f>SUM(B15:B20)</f>
        <v>331996</v>
      </c>
      <c r="C21" s="93">
        <f>SUM(C15:C20)</f>
        <v>254057.77</v>
      </c>
      <c r="D21" s="236" cm="1">
        <f t="array" ref="D21">SeasonalBudPct(B21,C21)</f>
        <v>0.76519999999999999</v>
      </c>
      <c r="E21" s="92">
        <f>SUM(E15:E20)</f>
        <v>210622.09</v>
      </c>
      <c r="F21" s="92" cm="1">
        <f t="array" ref="F21">BudgetDolVariance(C21,E21)</f>
        <v>-43435.679999999993</v>
      </c>
      <c r="G21" s="236" cm="1">
        <f t="array" ref="G21">BudgetPctVariance(C21,E21)</f>
        <v>-0.17100000000000001</v>
      </c>
      <c r="H21" s="92">
        <f>SUM(H15:H20)</f>
        <v>175141.41</v>
      </c>
      <c r="I21" s="251" cm="1">
        <f t="array" ref="I21">BudgetPctVariance(H21,E21)</f>
        <v>0.2026</v>
      </c>
      <c r="J21" s="176"/>
      <c r="K21" s="56"/>
    </row>
    <row r="22" spans="1:11">
      <c r="A22" s="94" t="s">
        <v>582</v>
      </c>
      <c r="B22" s="95"/>
      <c r="C22" s="95"/>
      <c r="D22" s="237"/>
      <c r="E22" s="95"/>
      <c r="F22" s="95"/>
      <c r="G22" s="237"/>
      <c r="H22" s="95"/>
      <c r="I22" s="252"/>
      <c r="J22" s="177"/>
      <c r="K22" s="56"/>
    </row>
    <row r="23" spans="1:11" outlineLevel="1">
      <c r="A23" s="75" t="s">
        <v>261</v>
      </c>
      <c r="B23" s="76" cm="1">
        <f t="array" ref="B23">RollUpSum(ROW(B23),COLUMN(B23))</f>
        <v>200737</v>
      </c>
      <c r="C23" s="76" cm="1">
        <f t="array" ref="C23">RollUpSum(ROW(C23),COLUMN(C23))</f>
        <v>0</v>
      </c>
      <c r="D23" s="229" t="str" cm="1">
        <f t="array" ref="D23">SeasonalBudPct($B$23,C23)</f>
        <v/>
      </c>
      <c r="E23" s="76" cm="1">
        <f t="array" ref="E23">RollUpSum(ROW(E23),COLUMN(E23))</f>
        <v>0</v>
      </c>
      <c r="F23" s="76" t="str" cm="1">
        <f t="array" ref="F23">BudgetDolVariance(C23,E23)</f>
        <v/>
      </c>
      <c r="G23" s="229" t="str" cm="1">
        <f t="array" ref="G23">BudgetPctVariance(C23,E23)</f>
        <v/>
      </c>
      <c r="H23" s="76" cm="1">
        <f t="array" ref="H23">RollUpSum(ROW(H23),COLUMN(H23))</f>
        <v>0</v>
      </c>
      <c r="I23" s="244" t="str" cm="1">
        <f t="array" ref="I23">BudgetPctVariance(H23,E23)</f>
        <v/>
      </c>
      <c r="J23" s="175"/>
      <c r="K23" s="57"/>
    </row>
    <row r="24" spans="1:11" outlineLevel="1">
      <c r="A24" s="77" t="s">
        <v>263</v>
      </c>
      <c r="B24" s="78" cm="1">
        <f t="array" ref="B24">RollUpSum(ROW(B24),COLUMN(B24))</f>
        <v>0</v>
      </c>
      <c r="C24" s="78" cm="1">
        <f t="array" ref="C24">RollUpSum(ROW(C24),COLUMN(C24))</f>
        <v>0</v>
      </c>
      <c r="D24" s="230" t="str" cm="1">
        <f t="array" ref="D24">SeasonalBudPct($B$23,C24)</f>
        <v/>
      </c>
      <c r="E24" s="78" cm="1">
        <f t="array" ref="E24">RollUpSum(ROW(E24),COLUMN(E24))</f>
        <v>0</v>
      </c>
      <c r="F24" s="78" t="str" cm="1">
        <f t="array" ref="F24">BudgetDolVariance(C24,E24)</f>
        <v/>
      </c>
      <c r="G24" s="230" t="str" cm="1">
        <f t="array" ref="G24">BudgetPctVariance(C24,E24)</f>
        <v/>
      </c>
      <c r="H24" s="78" cm="1">
        <f t="array" ref="H24">RollUpSum(ROW(H24),COLUMN(H24))</f>
        <v>0</v>
      </c>
      <c r="I24" s="245" t="str" cm="1">
        <f t="array" ref="I24">BudgetPctVariance(H24,E24)</f>
        <v/>
      </c>
      <c r="J24" s="170"/>
      <c r="K24" s="57"/>
    </row>
    <row r="25" spans="1:11" outlineLevel="1">
      <c r="A25" s="77" t="s">
        <v>270</v>
      </c>
      <c r="B25" s="78" cm="1">
        <f t="array" ref="B25">RollUpSum(ROW(B25),COLUMN(B25))</f>
        <v>0</v>
      </c>
      <c r="C25" s="78" cm="1">
        <f t="array" ref="C25">RollUpSum(ROW(C25),COLUMN(C25))</f>
        <v>6358.8</v>
      </c>
      <c r="D25" s="230" cm="1">
        <f t="array" ref="D25">SeasonalBudPct($B$23,C25)</f>
        <v>3.1699999999999999E-2</v>
      </c>
      <c r="E25" s="78" cm="1">
        <f t="array" ref="E25">RollUpSum(ROW(E25),COLUMN(E25))</f>
        <v>5231.2700000000004</v>
      </c>
      <c r="F25" s="78" cm="1">
        <f t="array" ref="F25">BudgetDolVariance(C25,E25)</f>
        <v>-1127.5299999999997</v>
      </c>
      <c r="G25" s="230" cm="1">
        <f t="array" ref="G25">BudgetPctVariance(C25,E25)</f>
        <v>-0.17730000000000001</v>
      </c>
      <c r="H25" s="78" cm="1">
        <f t="array" ref="H25">RollUpSum(ROW(H25),COLUMN(H25))</f>
        <v>8271.31</v>
      </c>
      <c r="I25" s="245" cm="1">
        <f t="array" ref="I25">BudgetPctVariance(H25,E25)</f>
        <v>-0.36749999999999999</v>
      </c>
      <c r="J25" s="170"/>
      <c r="K25" s="57"/>
    </row>
    <row r="26" spans="1:11" outlineLevel="1">
      <c r="A26" s="77" t="s">
        <v>283</v>
      </c>
      <c r="B26" s="78" cm="1">
        <f t="array" ref="B26">RollUpSum(ROW(B26),COLUMN(B26))</f>
        <v>0</v>
      </c>
      <c r="C26" s="78" cm="1">
        <f t="array" ref="C26">RollUpSum(ROW(C26),COLUMN(C26))</f>
        <v>23437.73</v>
      </c>
      <c r="D26" s="230" cm="1">
        <f t="array" ref="D26">SeasonalBudPct($B$23,C26)</f>
        <v>0.1168</v>
      </c>
      <c r="E26" s="78" cm="1">
        <f t="array" ref="E26">RollUpSum(ROW(E26),COLUMN(E26))</f>
        <v>22763.23</v>
      </c>
      <c r="F26" s="78" cm="1">
        <f t="array" ref="F26">BudgetDolVariance(C26,E26)</f>
        <v>-674.5</v>
      </c>
      <c r="G26" s="230" cm="1">
        <f t="array" ref="G26">BudgetPctVariance(C26,E26)</f>
        <v>-2.8799999999999999E-2</v>
      </c>
      <c r="H26" s="78" cm="1">
        <f t="array" ref="H26">RollUpSum(ROW(H26),COLUMN(H26))</f>
        <v>17224.259999999998</v>
      </c>
      <c r="I26" s="245" cm="1">
        <f t="array" ref="I26">BudgetPctVariance(H26,E26)</f>
        <v>0.3216</v>
      </c>
      <c r="J26" s="170"/>
      <c r="K26" s="57"/>
    </row>
    <row r="27" spans="1:11" outlineLevel="1">
      <c r="A27" s="77" t="s">
        <v>286</v>
      </c>
      <c r="B27" s="78" cm="1">
        <f t="array" ref="B27">RollUpSum(ROW(B27),COLUMN(B27))</f>
        <v>0</v>
      </c>
      <c r="C27" s="78" cm="1">
        <f t="array" ref="C27">RollUpSum(ROW(C27),COLUMN(C27))</f>
        <v>1403.22</v>
      </c>
      <c r="D27" s="230" cm="1">
        <f t="array" ref="D27">SeasonalBudPct($B$23,C27)</f>
        <v>7.0000000000000001E-3</v>
      </c>
      <c r="E27" s="78" cm="1">
        <f t="array" ref="E27">RollUpSum(ROW(E27),COLUMN(E27))</f>
        <v>1730.2</v>
      </c>
      <c r="F27" s="78" cm="1">
        <f t="array" ref="F27">BudgetDolVariance(C27,E27)</f>
        <v>326.98</v>
      </c>
      <c r="G27" s="230" cm="1">
        <f t="array" ref="G27">BudgetPctVariance(C27,E27)</f>
        <v>0.23300000000000001</v>
      </c>
      <c r="H27" s="78" cm="1">
        <f t="array" ref="H27">RollUpSum(ROW(H27),COLUMN(H27))</f>
        <v>938</v>
      </c>
      <c r="I27" s="245" cm="1">
        <f t="array" ref="I27">BudgetPctVariance(H27,E27)</f>
        <v>0.84460000000000002</v>
      </c>
      <c r="J27" s="170"/>
      <c r="K27" s="57"/>
    </row>
    <row r="28" spans="1:11" outlineLevel="1">
      <c r="A28" s="77" t="s">
        <v>288</v>
      </c>
      <c r="B28" s="78" cm="1">
        <f t="array" ref="B28">RollUpSum(ROW(B28),COLUMN(B28))</f>
        <v>0</v>
      </c>
      <c r="C28" s="78" cm="1">
        <f t="array" ref="C28">RollUpSum(ROW(C28),COLUMN(C28))</f>
        <v>8984.51</v>
      </c>
      <c r="D28" s="230" cm="1">
        <f t="array" ref="D28">SeasonalBudPct($B$23,C28)</f>
        <v>4.48E-2</v>
      </c>
      <c r="E28" s="78" cm="1">
        <f t="array" ref="E28">RollUpSum(ROW(E28),COLUMN(E28))</f>
        <v>12202.18</v>
      </c>
      <c r="F28" s="78" cm="1">
        <f t="array" ref="F28">BudgetDolVariance(C28,E28)</f>
        <v>3217.67</v>
      </c>
      <c r="G28" s="230" cm="1">
        <f t="array" ref="G28">BudgetPctVariance(C28,E28)</f>
        <v>0.35809999999999997</v>
      </c>
      <c r="H28" s="78" cm="1">
        <f t="array" ref="H28">RollUpSum(ROW(H28),COLUMN(H28))</f>
        <v>16313.61</v>
      </c>
      <c r="I28" s="245" cm="1">
        <f t="array" ref="I28">BudgetPctVariance(H28,E28)</f>
        <v>-0.252</v>
      </c>
      <c r="J28" s="170"/>
      <c r="K28" s="57"/>
    </row>
    <row r="29" spans="1:11" outlineLevel="1">
      <c r="A29" s="80" t="s">
        <v>292</v>
      </c>
      <c r="B29" s="81" cm="1">
        <f t="array" ref="B29">RollUpSum(ROW(B29),COLUMN(B29))</f>
        <v>0</v>
      </c>
      <c r="C29" s="81" cm="1">
        <f t="array" ref="C29">RollUpSum(ROW(C29),COLUMN(C29))</f>
        <v>95391.74</v>
      </c>
      <c r="D29" s="231" cm="1">
        <f t="array" ref="D29">SeasonalBudPct($B$23,C29)</f>
        <v>0.47520000000000001</v>
      </c>
      <c r="E29" s="81" cm="1">
        <f t="array" ref="E29">RollUpSum(ROW(E29),COLUMN(E29))</f>
        <v>99861.88</v>
      </c>
      <c r="F29" s="81" cm="1">
        <f t="array" ref="F29">BudgetDolVariance(C29,E29)</f>
        <v>4470.1399999999994</v>
      </c>
      <c r="G29" s="231" cm="1">
        <f t="array" ref="G29">BudgetPctVariance(C29,E29)</f>
        <v>4.6899999999999997E-2</v>
      </c>
      <c r="H29" s="81" cm="1">
        <f t="array" ref="H29">RollUpSum(ROW(H29),COLUMN(H29))</f>
        <v>87428.45</v>
      </c>
      <c r="I29" s="246" cm="1">
        <f t="array" ref="I29">BudgetPctVariance(H29,E29)</f>
        <v>0.14219999999999999</v>
      </c>
      <c r="J29" s="171"/>
      <c r="K29" s="57"/>
    </row>
    <row r="30" spans="1:11">
      <c r="A30" s="91" t="s">
        <v>583</v>
      </c>
      <c r="B30" s="92">
        <f>SUM(B23:B29)</f>
        <v>200737</v>
      </c>
      <c r="C30" s="93">
        <f>SUM(C23:C29)</f>
        <v>135576</v>
      </c>
      <c r="D30" s="236" cm="1">
        <f t="array" ref="D30">SeasonalBudPct(B30,C30)</f>
        <v>0.6754</v>
      </c>
      <c r="E30" s="92">
        <f>SUM(E23:E29)</f>
        <v>141788.76</v>
      </c>
      <c r="F30" s="92" cm="1">
        <f t="array" ref="F30">BudgetDolVariance(C30,E30)</f>
        <v>6212.7600000000093</v>
      </c>
      <c r="G30" s="236" cm="1">
        <f t="array" ref="G30">BudgetPctVariance(C30,E30)</f>
        <v>4.58E-2</v>
      </c>
      <c r="H30" s="92">
        <f>SUM(H23:H29)</f>
        <v>130175.63</v>
      </c>
      <c r="I30" s="251" cm="1">
        <f t="array" ref="I30">BudgetPctVariance(H30,E30)</f>
        <v>8.9200000000000002E-2</v>
      </c>
      <c r="J30" s="178"/>
      <c r="K30" s="56"/>
    </row>
    <row r="31" spans="1:11">
      <c r="A31" s="94" t="s">
        <v>395</v>
      </c>
      <c r="B31" s="89"/>
      <c r="C31" s="96"/>
      <c r="D31" s="236"/>
      <c r="E31" s="96"/>
      <c r="F31" s="89"/>
      <c r="G31" s="236"/>
      <c r="H31" s="89"/>
      <c r="I31" s="63"/>
      <c r="J31" s="179"/>
      <c r="K31" s="56"/>
    </row>
    <row r="32" spans="1:11" outlineLevel="1">
      <c r="A32" s="75" t="s">
        <v>306</v>
      </c>
      <c r="B32" s="76" cm="1">
        <f t="array" ref="B32">RollUpSum(ROW(B32),COLUMN(B32))</f>
        <v>10200</v>
      </c>
      <c r="C32" s="76" cm="1">
        <f t="array" ref="C32">RollUpSum(ROW(C32),COLUMN(C32))</f>
        <v>8748.83</v>
      </c>
      <c r="D32" s="229" cm="1">
        <f t="array" ref="D32">SeasonalBudPct($B$32,C32)</f>
        <v>0.85770000000000002</v>
      </c>
      <c r="E32" s="76" cm="1">
        <f t="array" ref="E32">RollUpSum(ROW(E32),COLUMN(E32))</f>
        <v>0</v>
      </c>
      <c r="F32" s="76" cm="1">
        <f t="array" ref="F32">BudgetDolVariance(C32,E32)</f>
        <v>-8748.83</v>
      </c>
      <c r="G32" s="229" cm="1">
        <f t="array" ref="G32">BudgetPctVariance(C32,E32)</f>
        <v>-1</v>
      </c>
      <c r="H32" s="76" cm="1">
        <f t="array" ref="H32">RollUpSum(ROW(H32),COLUMN(H32))</f>
        <v>817.56</v>
      </c>
      <c r="I32" s="244" cm="1">
        <f t="array" ref="I32">BudgetPctVariance(H32,E32)</f>
        <v>-1</v>
      </c>
      <c r="J32" s="175"/>
      <c r="K32" s="57"/>
    </row>
    <row r="33" spans="1:11" outlineLevel="1">
      <c r="A33" s="80" t="s">
        <v>309</v>
      </c>
      <c r="B33" s="81" cm="1">
        <f t="array" ref="B33">RollUpSum(ROW(B33),COLUMN(B33))</f>
        <v>0</v>
      </c>
      <c r="C33" s="81" cm="1">
        <f t="array" ref="C33">RollUpSum(ROW(C33),COLUMN(C33))</f>
        <v>1566.8</v>
      </c>
      <c r="D33" s="231" cm="1">
        <f t="array" ref="D33">SeasonalBudPct($B$32,C33)</f>
        <v>0.15359999999999999</v>
      </c>
      <c r="E33" s="81" cm="1">
        <f t="array" ref="E33">RollUpSum(ROW(E33),COLUMN(E33))</f>
        <v>6313.09</v>
      </c>
      <c r="F33" s="81" cm="1">
        <f t="array" ref="F33">BudgetDolVariance(C33,E33)</f>
        <v>4746.29</v>
      </c>
      <c r="G33" s="231" cm="1">
        <f t="array" ref="G33">BudgetPctVariance(C33,E33)</f>
        <v>3.0293000000000001</v>
      </c>
      <c r="H33" s="81" cm="1">
        <f t="array" ref="H33">RollUpSum(ROW(H33),COLUMN(H33))</f>
        <v>4685.67</v>
      </c>
      <c r="I33" s="246" cm="1">
        <f t="array" ref="I33">BudgetPctVariance(H33,E33)</f>
        <v>0.3473</v>
      </c>
      <c r="J33" s="171"/>
      <c r="K33" s="57"/>
    </row>
    <row r="34" spans="1:11">
      <c r="A34" s="91" t="s">
        <v>584</v>
      </c>
      <c r="B34" s="92">
        <f>SUM(B32:B33)</f>
        <v>10200</v>
      </c>
      <c r="C34" s="93">
        <f>SUM(C32:C33)</f>
        <v>10315.629999999999</v>
      </c>
      <c r="D34" s="236" cm="1">
        <f t="array" ref="D34">SeasonalBudPct(B34,C34)</f>
        <v>1.0113000000000001</v>
      </c>
      <c r="E34" s="92">
        <f>SUM(E32:E33)</f>
        <v>6313.09</v>
      </c>
      <c r="F34" s="92" cm="1">
        <f t="array" ref="F34">BudgetDolVariance(C34,E34)</f>
        <v>-4002.5399999999991</v>
      </c>
      <c r="G34" s="236" cm="1">
        <f t="array" ref="G34">BudgetPctVariance(C34,E34)</f>
        <v>-0.38800000000000001</v>
      </c>
      <c r="H34" s="92">
        <f>SUM(H32:H33)</f>
        <v>5503.23</v>
      </c>
      <c r="I34" s="251" cm="1">
        <f t="array" ref="I34">BudgetPctVariance(H34,E34)</f>
        <v>0.1472</v>
      </c>
      <c r="J34" s="178">
        <v>6</v>
      </c>
      <c r="K34" s="56"/>
    </row>
    <row r="35" spans="1:11">
      <c r="A35" s="94" t="s">
        <v>585</v>
      </c>
      <c r="B35" s="96"/>
      <c r="C35" s="89"/>
      <c r="D35" s="238"/>
      <c r="E35" s="96"/>
      <c r="F35" s="89"/>
      <c r="G35" s="238"/>
      <c r="H35" s="96"/>
      <c r="I35" s="253"/>
      <c r="J35" s="179"/>
      <c r="K35" s="56"/>
    </row>
    <row r="36" spans="1:11" outlineLevel="1">
      <c r="A36" s="75" t="s">
        <v>311</v>
      </c>
      <c r="B36" s="76" cm="1">
        <f t="array" ref="B36">RollUpSum(ROW(B36),COLUMN(B36))</f>
        <v>0</v>
      </c>
      <c r="C36" s="76" cm="1">
        <f t="array" ref="C36">RollUpSum(ROW(C36),COLUMN(C36))</f>
        <v>0</v>
      </c>
      <c r="D36" s="229" t="str" cm="1">
        <f t="array" ref="D36">SeasonalBudPct(B36,C36)</f>
        <v/>
      </c>
      <c r="E36" s="76" cm="1">
        <f t="array" ref="E36">RollUpSum(ROW(E36),COLUMN(E36))</f>
        <v>0</v>
      </c>
      <c r="F36" s="76" t="str" cm="1">
        <f t="array" ref="F36">BudgetDolVariance(C36,E36)</f>
        <v/>
      </c>
      <c r="G36" s="229" t="str" cm="1">
        <f t="array" ref="G36">BudgetPctVariance(C36,E36)</f>
        <v/>
      </c>
      <c r="H36" s="76" cm="1">
        <f t="array" ref="H36">RollUpSum(ROW(H36),COLUMN(H36))</f>
        <v>0</v>
      </c>
      <c r="I36" s="254" t="str" cm="1">
        <f t="array" ref="I36">BudgetPctVariance(H36,E36)</f>
        <v/>
      </c>
      <c r="J36" s="175"/>
      <c r="K36" s="57"/>
    </row>
    <row r="37" spans="1:11" outlineLevel="1">
      <c r="A37" s="77" t="s">
        <v>313</v>
      </c>
      <c r="B37" s="78" cm="1">
        <f t="array" ref="B37">RollUpSum(ROW(B37),COLUMN(B37))</f>
        <v>0</v>
      </c>
      <c r="C37" s="78" cm="1">
        <f t="array" ref="C37">RollUpSum(ROW(C37),COLUMN(C37))</f>
        <v>0</v>
      </c>
      <c r="D37" s="230" t="str" cm="1">
        <f t="array" ref="D37">SeasonalBudPct(B37,C37)</f>
        <v/>
      </c>
      <c r="E37" s="78" cm="1">
        <f t="array" ref="E37">RollUpSum(ROW(E37),COLUMN(E37))</f>
        <v>0</v>
      </c>
      <c r="F37" s="78" t="str" cm="1">
        <f t="array" ref="F37">BudgetDolVariance(C37,E37)</f>
        <v/>
      </c>
      <c r="G37" s="230" t="str" cm="1">
        <f t="array" ref="G37">BudgetPctVariance(C37,E37)</f>
        <v/>
      </c>
      <c r="H37" s="78" cm="1">
        <f t="array" ref="H37">RollUpSum(ROW(H37),COLUMN(H37))</f>
        <v>0</v>
      </c>
      <c r="I37" s="255" t="str" cm="1">
        <f t="array" ref="I37">BudgetPctVariance(H37,E37)</f>
        <v/>
      </c>
      <c r="J37" s="170"/>
      <c r="K37" s="57"/>
    </row>
    <row r="38" spans="1:11" outlineLevel="1">
      <c r="A38" s="77" t="s">
        <v>331</v>
      </c>
      <c r="B38" s="78" cm="1">
        <f t="array" ref="B38">RollUpSum(ROW(B38),COLUMN(B38))</f>
        <v>0</v>
      </c>
      <c r="C38" s="78" cm="1">
        <f t="array" ref="C38">RollUpSum(ROW(C38),COLUMN(C38))</f>
        <v>0</v>
      </c>
      <c r="D38" s="230" t="str" cm="1">
        <f t="array" ref="D38">SeasonalBudPct(B38,C38)</f>
        <v/>
      </c>
      <c r="E38" s="78" cm="1">
        <f t="array" ref="E38">RollUpSum(ROW(E38),COLUMN(E38))</f>
        <v>0</v>
      </c>
      <c r="F38" s="78" t="str" cm="1">
        <f t="array" ref="F38">BudgetDolVariance(C38,E38)</f>
        <v/>
      </c>
      <c r="G38" s="230" t="str" cm="1">
        <f t="array" ref="G38">BudgetPctVariance(C38,E38)</f>
        <v/>
      </c>
      <c r="H38" s="78" cm="1">
        <f t="array" ref="H38">RollUpSum(ROW(H38),COLUMN(H38))</f>
        <v>0</v>
      </c>
      <c r="I38" s="255" t="str" cm="1">
        <f t="array" ref="I38">BudgetPctVariance(H38,E38)</f>
        <v/>
      </c>
      <c r="J38" s="170"/>
      <c r="K38" s="57"/>
    </row>
    <row r="39" spans="1:11" outlineLevel="1">
      <c r="A39" s="268" t="s">
        <v>351</v>
      </c>
      <c r="B39" s="269" cm="1">
        <f t="array" ref="B39">RollUpSum(ROW(B39),COLUMN(B39))</f>
        <v>0</v>
      </c>
      <c r="C39" s="270" cm="1">
        <f t="array" ref="C39">RollUpSum(ROW(C39),COLUMN(C39))</f>
        <v>0</v>
      </c>
      <c r="D39" s="230" t="str" cm="1">
        <f t="array" ref="D39">SeasonalBudPct(B39,C39)</f>
        <v/>
      </c>
      <c r="E39" s="269" cm="1">
        <f t="array" ref="E39">RollUpSum(ROW(E39),COLUMN(E39))</f>
        <v>0</v>
      </c>
      <c r="F39" s="270" t="str" cm="1">
        <f t="array" ref="F39">BudgetDolVariance(C39,E39)</f>
        <v/>
      </c>
      <c r="G39" s="272" t="str" cm="1">
        <f t="array" ref="G39">BudgetPctVariance(C39,E39)</f>
        <v/>
      </c>
      <c r="H39" s="78" cm="1">
        <f t="array" ref="H39">RollUpSum(ROW(H39),COLUMN(H39))</f>
        <v>0</v>
      </c>
      <c r="I39" s="274" t="str" cm="1">
        <f t="array" ref="I39">BudgetPctVariance(H39,E39)</f>
        <v/>
      </c>
      <c r="J39" s="275"/>
      <c r="K39" s="57"/>
    </row>
    <row r="40" spans="1:11" outlineLevel="1">
      <c r="A40" s="77" t="s">
        <v>359</v>
      </c>
      <c r="B40" s="78" cm="1">
        <f t="array" ref="B40">RollUpSum(ROW(B40),COLUMN(B40))</f>
        <v>38331</v>
      </c>
      <c r="C40" s="78" cm="1">
        <f t="array" ref="C40">RollUpSum(ROW(C40),COLUMN(C40))</f>
        <v>25016.53</v>
      </c>
      <c r="D40" s="271" cm="1">
        <f t="array" ref="D40">SeasonalBudPct(B40,C40)</f>
        <v>0.65259999999999996</v>
      </c>
      <c r="E40" s="78" cm="1">
        <f t="array" ref="E40">RollUpSum(ROW(E40),COLUMN(E40))</f>
        <v>25325.93</v>
      </c>
      <c r="F40" s="78" cm="1">
        <f t="array" ref="F40">BudgetDolVariance(C40,E40)</f>
        <v>309.40000000000146</v>
      </c>
      <c r="G40" s="230" cm="1">
        <f t="array" ref="G40">BudgetPctVariance(C40,E40)</f>
        <v>1.24E-2</v>
      </c>
      <c r="H40" s="273" cm="1">
        <f t="array" ref="H40">RollUpSum(ROW(H40),COLUMN(H40))</f>
        <v>21011.52</v>
      </c>
      <c r="I40" s="255" cm="1">
        <f t="array" ref="I40">BudgetPctVariance(H40,E40)</f>
        <v>0.20530000000000001</v>
      </c>
      <c r="J40" s="170"/>
      <c r="K40" s="57"/>
    </row>
    <row r="41" spans="1:11" outlineLevel="1">
      <c r="A41" s="80" t="s">
        <v>363</v>
      </c>
      <c r="B41" s="81" cm="1">
        <f t="array" ref="B41">RollUpSum(ROW(B41),COLUMN(B41))</f>
        <v>3367</v>
      </c>
      <c r="C41" s="81" cm="1">
        <f t="array" ref="C41">RollUpSum(ROW(C41),COLUMN(C41))</f>
        <v>2031.36</v>
      </c>
      <c r="D41" s="231" cm="1">
        <f t="array" ref="D41">SeasonalBudPct(B41,C41)</f>
        <v>0.60329999999999995</v>
      </c>
      <c r="E41" s="81" cm="1">
        <f t="array" ref="E41">RollUpSum(ROW(E41),COLUMN(E41))</f>
        <v>2224.12</v>
      </c>
      <c r="F41" s="81" cm="1">
        <f t="array" ref="F41">BudgetDolVariance(C41,E41)</f>
        <v>192.76</v>
      </c>
      <c r="G41" s="231" cm="1">
        <f t="array" ref="G41">BudgetPctVariance(C41,E41)</f>
        <v>9.4899999999999998E-2</v>
      </c>
      <c r="H41" s="81" cm="1">
        <f t="array" ref="H41">RollUpSum(ROW(H41),COLUMN(H41))</f>
        <v>1927.15</v>
      </c>
      <c r="I41" s="256" cm="1">
        <f t="array" ref="I41">BudgetPctVariance(H41,E41)</f>
        <v>0.15409999999999999</v>
      </c>
      <c r="J41" s="180"/>
      <c r="K41" s="56"/>
    </row>
    <row r="42" spans="1:11" ht="15.6">
      <c r="A42" s="97" t="s">
        <v>586</v>
      </c>
      <c r="B42" s="98">
        <f>SUM(B36:B41)</f>
        <v>41698</v>
      </c>
      <c r="C42" s="93">
        <f>SUM(C36:C41)</f>
        <v>27047.89</v>
      </c>
      <c r="D42" s="236" cm="1">
        <f t="array" ref="D42">SeasonalBudPct(B42,C42)</f>
        <v>0.64870000000000005</v>
      </c>
      <c r="E42" s="92">
        <f>SUM(E36:E41)</f>
        <v>27550.05</v>
      </c>
      <c r="F42" s="92" cm="1">
        <f t="array" ref="F42">BudgetDolVariance(C42,E42)</f>
        <v>502.15999999999985</v>
      </c>
      <c r="G42" s="239" cm="1">
        <f t="array" ref="G42">BudgetPctVariance(C42,E42)</f>
        <v>1.8599999999999998E-2</v>
      </c>
      <c r="H42" s="89">
        <f>SUM(H36:H41)</f>
        <v>22938.670000000002</v>
      </c>
      <c r="I42" s="251" cm="1">
        <f t="array" ref="I42">BudgetPctVariance(H42,E42)</f>
        <v>0.20100000000000001</v>
      </c>
      <c r="J42" s="178"/>
      <c r="K42" s="58"/>
    </row>
    <row r="43" spans="1:11" ht="16.2" thickBot="1">
      <c r="A43" s="83" t="s">
        <v>587</v>
      </c>
      <c r="B43" s="84">
        <f>SUM(B21,B30,B34,B42)</f>
        <v>584631</v>
      </c>
      <c r="C43" s="84">
        <f>SUM(C21,C30,C34,C42)</f>
        <v>426997.29000000004</v>
      </c>
      <c r="D43" s="232" cm="1">
        <f t="array" ref="D43">SeasonalBudPct(B43,C43)</f>
        <v>0.73040000000000005</v>
      </c>
      <c r="E43" s="84">
        <f>SUM(E21,E30,E34,E42)</f>
        <v>386273.99</v>
      </c>
      <c r="F43" s="84" cm="1">
        <f t="array" ref="F43">BudgetDolVariance(C43,E43)</f>
        <v>-40723.299999999988</v>
      </c>
      <c r="G43" s="232" cm="1">
        <f t="array" ref="G43">BudgetPctVariance(C43,E43)</f>
        <v>-9.5399999999999999E-2</v>
      </c>
      <c r="H43" s="84">
        <f>SUM(H21,H30,H34,H42)</f>
        <v>333758.94</v>
      </c>
      <c r="I43" s="232" cm="1">
        <f t="array" ref="I43">BudgetPctVariance(H43,E43)</f>
        <v>0.1573</v>
      </c>
      <c r="J43" s="172"/>
      <c r="K43" s="56"/>
    </row>
    <row r="44" spans="1:11" ht="15" thickTop="1">
      <c r="A44" s="99" t="s">
        <v>588</v>
      </c>
      <c r="B44" s="100"/>
      <c r="C44" s="100"/>
      <c r="D44" s="240"/>
      <c r="E44" s="100"/>
      <c r="F44" s="100"/>
      <c r="G44" s="240"/>
      <c r="H44" s="100"/>
      <c r="I44" s="257"/>
      <c r="J44" s="181"/>
      <c r="K44" s="56"/>
    </row>
    <row r="45" spans="1:11" outlineLevel="1">
      <c r="A45" s="75" t="s">
        <v>365</v>
      </c>
      <c r="B45" s="76" cm="1">
        <f t="array" ref="B45">RollUpSum(ROW(B45),COLUMN(B45))</f>
        <v>73400</v>
      </c>
      <c r="C45" s="76" cm="1">
        <f t="array" ref="C45">RollUpSum(ROW(C45),COLUMN(C45))</f>
        <v>18171.490000000002</v>
      </c>
      <c r="D45" s="229" cm="1">
        <f t="array" ref="D45">SeasonalBudPct(B45,C45)</f>
        <v>0.24759999999999999</v>
      </c>
      <c r="E45" s="76" cm="1">
        <f t="array" ref="E45">RollUpSum(ROW(E45),COLUMN(E45))</f>
        <v>150165.29</v>
      </c>
      <c r="F45" s="76" cm="1">
        <f t="array" ref="F45">BudgetDolVariance(C45,E45)</f>
        <v>131993.80000000002</v>
      </c>
      <c r="G45" s="229" cm="1">
        <f t="array" ref="G45">BudgetPctVariance(C45,E45)</f>
        <v>7.2637999999999998</v>
      </c>
      <c r="H45" s="76" cm="1">
        <f t="array" ref="H45">RollUpSum(ROW(H45),COLUMN(H45))</f>
        <v>247294.52</v>
      </c>
      <c r="I45" s="254" cm="1">
        <f t="array" ref="I45">BudgetPctVariance(H45,E45)</f>
        <v>-0.39279999999999998</v>
      </c>
      <c r="J45" s="175">
        <v>7</v>
      </c>
      <c r="K45" s="57"/>
    </row>
    <row r="46" spans="1:11" outlineLevel="1">
      <c r="A46" s="80" t="s">
        <v>367</v>
      </c>
      <c r="B46" s="81" cm="1">
        <f t="array" ref="B46">RollUpSum(ROW(B46),COLUMN(B46))</f>
        <v>0</v>
      </c>
      <c r="C46" s="81" cm="1">
        <f t="array" ref="C46">RollUpSum(ROW(C46),COLUMN(C46))</f>
        <v>0</v>
      </c>
      <c r="D46" s="231" t="str" cm="1">
        <f t="array" ref="D46">SeasonalBudPct(B46,C46)</f>
        <v/>
      </c>
      <c r="E46" s="81" cm="1">
        <f t="array" ref="E46">RollUpSum(ROW(E46),COLUMN(E46))</f>
        <v>0</v>
      </c>
      <c r="F46" s="81" t="str" cm="1">
        <f t="array" ref="F46">BudgetDolVariance(C46,E46)</f>
        <v/>
      </c>
      <c r="G46" s="231" t="str" cm="1">
        <f t="array" ref="G46">BudgetPctVariance(C46,E46)</f>
        <v/>
      </c>
      <c r="H46" s="81" cm="1">
        <f t="array" ref="H46">RollUpSum(ROW(H46),COLUMN(H46))</f>
        <v>0</v>
      </c>
      <c r="I46" s="256" t="str" cm="1">
        <f t="array" ref="I46">BudgetPctVariance(H46,E46)</f>
        <v/>
      </c>
      <c r="J46" s="171"/>
      <c r="K46" s="57"/>
    </row>
    <row r="47" spans="1:11" ht="15.6">
      <c r="A47" s="101" t="s">
        <v>589</v>
      </c>
      <c r="B47" s="73">
        <f>SUM(B45:B46)</f>
        <v>73400</v>
      </c>
      <c r="C47" s="102">
        <f>SUM(C45:C46)</f>
        <v>18171.490000000002</v>
      </c>
      <c r="D47" s="238" cm="1">
        <f t="array" ref="D47">SeasonalBudPct(B47,C47)</f>
        <v>0.24759999999999999</v>
      </c>
      <c r="E47" s="73">
        <f>SUM(E45:E46)</f>
        <v>150165.29</v>
      </c>
      <c r="F47" s="73" cm="1">
        <f t="array" ref="F47">BudgetDolVariance(C47,E47)</f>
        <v>131993.80000000002</v>
      </c>
      <c r="G47" s="238" cm="1">
        <f t="array" ref="G47">BudgetPctVariance(C47,E47)</f>
        <v>7.2637999999999998</v>
      </c>
      <c r="H47" s="73">
        <f>SUM(H45:H46)</f>
        <v>247294.52</v>
      </c>
      <c r="I47" s="258" cm="1">
        <f t="array" ref="I47">BudgetPctVariance(H47,E47)</f>
        <v>-0.39279999999999998</v>
      </c>
      <c r="J47" s="182"/>
      <c r="K47" s="54"/>
    </row>
    <row r="48" spans="1:11" ht="16.2" thickBot="1">
      <c r="A48" s="83" t="s">
        <v>590</v>
      </c>
      <c r="B48" s="84">
        <f>SUM(B12,B43,B47)</f>
        <v>0</v>
      </c>
      <c r="C48" s="84">
        <f>SUM(C12,C43,C47)</f>
        <v>-195116.77000000002</v>
      </c>
      <c r="D48" s="232" cm="1">
        <f t="array" ref="D48">SeasonalBudPct(B48,C48)</f>
        <v>9.99</v>
      </c>
      <c r="E48" s="84">
        <f>SUM(E12,E43,E47)</f>
        <v>-142048.29999999996</v>
      </c>
      <c r="F48" s="84" cm="1">
        <f t="array" ref="F48">BudgetDolVariance(C48,E48)</f>
        <v>53068.47</v>
      </c>
      <c r="G48" s="232" cm="1">
        <f t="array" ref="G48">BudgetPctVariance(C48,E48)</f>
        <v>-0.27200000000000002</v>
      </c>
      <c r="H48" s="84">
        <f>SUM(H12,H43,H47)</f>
        <v>-96777.76999999999</v>
      </c>
      <c r="I48" s="259" cm="1">
        <f t="array" ref="I48">BudgetPctVariance(H48,E48)</f>
        <v>0.46779999999999999</v>
      </c>
      <c r="J48" s="172"/>
    </row>
    <row r="49" spans="1:10" ht="15" thickTop="1">
      <c r="A49" s="59"/>
      <c r="B49" s="55"/>
      <c r="C49" s="55"/>
      <c r="D49" s="243"/>
      <c r="E49" s="55"/>
      <c r="H49" s="55"/>
      <c r="J49" s="60"/>
    </row>
    <row r="50" spans="1:10">
      <c r="A50" s="52"/>
    </row>
    <row r="51" spans="1:10">
      <c r="A51" s="158" t="s">
        <v>615</v>
      </c>
    </row>
    <row r="52" spans="1:10">
      <c r="A52" s="168" t="s">
        <v>800</v>
      </c>
    </row>
    <row r="53" spans="1:10">
      <c r="A53" s="168" t="s">
        <v>801</v>
      </c>
    </row>
    <row r="54" spans="1:10">
      <c r="A54" s="168" t="s">
        <v>802</v>
      </c>
    </row>
    <row r="55" spans="1:10">
      <c r="A55" s="168" t="s">
        <v>803</v>
      </c>
    </row>
    <row r="56" spans="1:10">
      <c r="A56" s="168" t="s">
        <v>804</v>
      </c>
    </row>
    <row r="57" spans="1:10">
      <c r="A57" s="168" t="s">
        <v>805</v>
      </c>
    </row>
    <row r="58" spans="1:10">
      <c r="A58" s="168" t="s">
        <v>806</v>
      </c>
    </row>
  </sheetData>
  <mergeCells count="3">
    <mergeCell ref="B1:J1"/>
    <mergeCell ref="B2:J2"/>
    <mergeCell ref="J3:J6"/>
  </mergeCells>
  <pageMargins left="0.25" right="0.25" top="0.75" bottom="0.75" header="0.3" footer="0.3"/>
  <pageSetup scale="78" fitToHeight="0" orientation="landscape" r:id="rId1"/>
  <ignoredErrors>
    <ignoredError sqref="D8:D48"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D0FF7-97E0-48D3-A2AC-B5B230567995}">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387</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-11079</v>
      </c>
      <c r="C8" s="15">
        <v>-6188</v>
      </c>
      <c r="D8" s="122" cm="1">
        <f t="array" ref="D8">SeasonalBudPct(B8,C8)</f>
        <v>0.5585</v>
      </c>
      <c r="E8" s="15">
        <v>-11079</v>
      </c>
      <c r="F8" s="15" cm="1">
        <f t="array" ref="F8">BudgetDolVariance(C8,E8)</f>
        <v>-4891</v>
      </c>
      <c r="G8" s="122" cm="1">
        <f t="array" ref="G8">BudgetPctVariance(C8,E8)</f>
        <v>0.79039999999999999</v>
      </c>
      <c r="H8" s="15">
        <v>-6188</v>
      </c>
      <c r="I8" s="136" cm="1">
        <f t="array" ref="I8">BudgetPctVariance(H8,E8)</f>
        <v>0.79039999999999999</v>
      </c>
      <c r="J8" s="159">
        <v>1</v>
      </c>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-8094</v>
      </c>
      <c r="I11" s="138" cm="1">
        <f t="array" ref="I11">BudgetPctVariance(H11,E11)</f>
        <v>-1</v>
      </c>
      <c r="J11" s="161"/>
    </row>
    <row r="12" spans="1:10" ht="16.2" thickBot="1">
      <c r="A12" s="23" t="s">
        <v>579</v>
      </c>
      <c r="B12" s="24">
        <f>SUM(B8:B11)</f>
        <v>-11079</v>
      </c>
      <c r="C12" s="24">
        <f>SUM(C8:C11)</f>
        <v>-6188</v>
      </c>
      <c r="D12" s="125" cm="1">
        <f t="array" ref="D12">SeasonalBudPct(B12,C12)</f>
        <v>0.5585</v>
      </c>
      <c r="E12" s="24">
        <f>SUM(E8:E11)</f>
        <v>-11079</v>
      </c>
      <c r="F12" s="24" cm="1">
        <f t="array" ref="F12">BudgetDolVariance(C12,E12)</f>
        <v>-4891</v>
      </c>
      <c r="G12" s="125" cm="1">
        <f t="array" ref="G12">BudgetPctVariance(C12,E12)</f>
        <v>0.79039999999999999</v>
      </c>
      <c r="H12" s="24">
        <f>SUM(H8:H11)</f>
        <v>-14282</v>
      </c>
      <c r="I12" s="139" cm="1">
        <f t="array" ref="I12">BudgetPctVariance(H12,E12)</f>
        <v>-0.2243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10289</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27.83</v>
      </c>
      <c r="D25" s="123" cm="1">
        <f t="array" ref="D25">SeasonalBudPct($B$23,C25)</f>
        <v>2.7000000000000001E-3</v>
      </c>
      <c r="E25" s="17">
        <v>0</v>
      </c>
      <c r="F25" s="17" cm="1">
        <f t="array" ref="F25">BudgetDolVariance(C25,E25)</f>
        <v>-27.83</v>
      </c>
      <c r="G25" s="123" cm="1">
        <f t="array" ref="G25">BudgetPctVariance(C25,E25)</f>
        <v>-1</v>
      </c>
      <c r="H25" s="17">
        <v>0</v>
      </c>
      <c r="I25" s="137" t="str" cm="1">
        <f t="array" ref="I25">BudgetPctVariance(H25,E25)</f>
        <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150</v>
      </c>
      <c r="I26" s="137" cm="1">
        <f t="array" ref="I26">BudgetPctVariance(H26,E26)</f>
        <v>-1</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60.57</v>
      </c>
      <c r="D28" s="123" cm="1">
        <f t="array" ref="D28">SeasonalBudPct($B$23,C28)</f>
        <v>5.8999999999999999E-3</v>
      </c>
      <c r="E28" s="17">
        <v>0</v>
      </c>
      <c r="F28" s="17" cm="1">
        <f t="array" ref="F28">BudgetDolVariance(C28,E28)</f>
        <v>-60.57</v>
      </c>
      <c r="G28" s="123" cm="1">
        <f t="array" ref="G28">BudgetPctVariance(C28,E28)</f>
        <v>-1</v>
      </c>
      <c r="H28" s="17">
        <v>0</v>
      </c>
      <c r="I28" s="137" t="str" cm="1">
        <f t="array" ref="I28">BudgetPctVariance(H28,E28)</f>
        <v/>
      </c>
      <c r="J28" s="160"/>
    </row>
    <row r="29" spans="1:10" outlineLevel="1">
      <c r="A29" s="19" t="s">
        <v>292</v>
      </c>
      <c r="B29" s="20">
        <v>0</v>
      </c>
      <c r="C29" s="20">
        <v>2876.91</v>
      </c>
      <c r="D29" s="124" cm="1">
        <f t="array" ref="D29">SeasonalBudPct($B$23,C29)</f>
        <v>0.27960000000000002</v>
      </c>
      <c r="E29" s="20">
        <v>5968</v>
      </c>
      <c r="F29" s="20" cm="1">
        <f t="array" ref="F29">BudgetDolVariance(C29,E29)</f>
        <v>3091.09</v>
      </c>
      <c r="G29" s="124" cm="1">
        <f t="array" ref="G29">BudgetPctVariance(C29,E29)</f>
        <v>1.0744</v>
      </c>
      <c r="H29" s="20">
        <v>7357.36</v>
      </c>
      <c r="I29" s="138" cm="1">
        <f t="array" ref="I29">BudgetPctVariance(H29,E29)</f>
        <v>-0.1888</v>
      </c>
      <c r="J29" s="161"/>
    </row>
    <row r="30" spans="1:10">
      <c r="A30" s="32" t="s">
        <v>583</v>
      </c>
      <c r="B30" s="33">
        <f>SUM(B23:B29)</f>
        <v>10289</v>
      </c>
      <c r="C30" s="34">
        <f>SUM(C23:C29)</f>
        <v>2965.31</v>
      </c>
      <c r="D30" s="129" cm="1">
        <f t="array" ref="D30">SeasonalBudPct(B30,C30)</f>
        <v>0.28820000000000001</v>
      </c>
      <c r="E30" s="39">
        <f>SUM(E23:E29)</f>
        <v>5968</v>
      </c>
      <c r="F30" s="33" cm="1">
        <f t="array" ref="F30">BudgetDolVariance(C30,E30)</f>
        <v>3002.69</v>
      </c>
      <c r="G30" s="129" cm="1">
        <f t="array" ref="G30">BudgetPctVariance(C30,E30)</f>
        <v>1.0125999999999999</v>
      </c>
      <c r="H30" s="33">
        <f>SUM(H23:H29)</f>
        <v>7507.36</v>
      </c>
      <c r="I30" s="142" cm="1">
        <f t="array" ref="I30">BudgetPctVariance(H30,E30)</f>
        <v>-0.20499999999999999</v>
      </c>
      <c r="J30" s="165">
        <v>2</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726</v>
      </c>
      <c r="C40" s="17">
        <v>169.21</v>
      </c>
      <c r="D40" s="123" cm="1">
        <f t="array" ref="D40">SeasonalBudPct(B40,C40)</f>
        <v>0.2331</v>
      </c>
      <c r="E40" s="17">
        <v>421.34</v>
      </c>
      <c r="F40" s="17" cm="1">
        <f t="array" ref="F40">BudgetDolVariance(C40,E40)</f>
        <v>252.12999999999997</v>
      </c>
      <c r="G40" s="123" cm="1">
        <f t="array" ref="G40">BudgetPctVariance(C40,E40)</f>
        <v>1.49</v>
      </c>
      <c r="H40" s="17">
        <v>507.51</v>
      </c>
      <c r="I40" s="146" cm="1">
        <f t="array" ref="I40">BudgetPctVariance(H40,E40)</f>
        <v>-0.16980000000000001</v>
      </c>
      <c r="J40" s="160">
        <v>3</v>
      </c>
    </row>
    <row r="41" spans="1:10" outlineLevel="1">
      <c r="A41" s="19" t="s">
        <v>363</v>
      </c>
      <c r="B41" s="20">
        <v>64</v>
      </c>
      <c r="C41" s="20">
        <v>13.47</v>
      </c>
      <c r="D41" s="124" cm="1">
        <f t="array" ref="D41">SeasonalBudPct(B41,C41)</f>
        <v>0.21049999999999999</v>
      </c>
      <c r="E41" s="20">
        <v>37</v>
      </c>
      <c r="F41" s="20" cm="1">
        <f t="array" ref="F41">BudgetDolVariance(C41,E41)</f>
        <v>23.53</v>
      </c>
      <c r="G41" s="124" cm="1">
        <f t="array" ref="G41">BudgetPctVariance(C41,E41)</f>
        <v>1.7467999999999999</v>
      </c>
      <c r="H41" s="20">
        <v>46.55</v>
      </c>
      <c r="I41" s="147" cm="1">
        <f t="array" ref="I41">BudgetPctVariance(H41,E41)</f>
        <v>-0.20519999999999999</v>
      </c>
      <c r="J41" s="161">
        <v>4</v>
      </c>
    </row>
    <row r="42" spans="1:10">
      <c r="A42" s="38" t="s">
        <v>586</v>
      </c>
      <c r="B42" s="39">
        <f>SUM(B36:B41)</f>
        <v>790</v>
      </c>
      <c r="C42" s="265">
        <f>SUM(C36:C41)</f>
        <v>182.68</v>
      </c>
      <c r="D42" s="129" cm="1">
        <f t="array" ref="D42">SeasonalBudPct(B42,C42)</f>
        <v>0.23119999999999999</v>
      </c>
      <c r="E42" s="39">
        <f>SUM(E36:E41)</f>
        <v>458.34</v>
      </c>
      <c r="F42" s="33" cm="1">
        <f t="array" ref="F42">BudgetDolVariance(C42,E42)</f>
        <v>275.65999999999997</v>
      </c>
      <c r="G42" s="135" cm="1">
        <f t="array" ref="G42">BudgetPctVariance(C42,E42)</f>
        <v>1.5089999999999999</v>
      </c>
      <c r="H42" s="30">
        <f>SUM(H36:H41)</f>
        <v>554.05999999999995</v>
      </c>
      <c r="I42" s="142" cm="1">
        <f t="array" ref="I42">BudgetPctVariance(H42,E42)</f>
        <v>-0.17280000000000001</v>
      </c>
      <c r="J42" s="165"/>
    </row>
    <row r="43" spans="1:10" ht="16.2" thickBot="1">
      <c r="A43" s="23" t="s">
        <v>587</v>
      </c>
      <c r="B43" s="24">
        <f>SUM(B21,B30,B34,B42)</f>
        <v>11079</v>
      </c>
      <c r="C43" s="24">
        <f>SUM(C21,C30,C34,C42)</f>
        <v>3147.99</v>
      </c>
      <c r="D43" s="125" cm="1">
        <f t="array" ref="D43">SeasonalBudPct(B43,C43)</f>
        <v>0.28410000000000002</v>
      </c>
      <c r="E43" s="24">
        <f>SUM(E21,E30,E34,E42)</f>
        <v>6426.34</v>
      </c>
      <c r="F43" s="24" cm="1">
        <f t="array" ref="F43">BudgetDolVariance(C43,E43)</f>
        <v>3278.3500000000004</v>
      </c>
      <c r="G43" s="125" cm="1">
        <f t="array" ref="G43">BudgetPctVariance(C43,E43)</f>
        <v>1.0414000000000001</v>
      </c>
      <c r="H43" s="24">
        <f>SUM(H21,H30,H34,H42)</f>
        <v>8061.42</v>
      </c>
      <c r="I43" s="125" cm="1">
        <f t="array" ref="I43">BudgetPctVariance(H43,E43)</f>
        <v>-0.20280000000000001</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-3040.01</v>
      </c>
      <c r="D48" s="125" cm="1">
        <f t="array" ref="D48">SeasonalBudPct(B48,C48)</f>
        <v>9.99</v>
      </c>
      <c r="E48" s="24">
        <f>SUM(E12,E43,E47)</f>
        <v>-4652.66</v>
      </c>
      <c r="F48" s="24" cm="1">
        <f t="array" ref="F48">BudgetDolVariance(C48,E48)</f>
        <v>-1612.6499999999996</v>
      </c>
      <c r="G48" s="125" cm="1">
        <f t="array" ref="G48">BudgetPctVariance(C48,E48)</f>
        <v>0.53049999999999997</v>
      </c>
      <c r="H48" s="24">
        <f>SUM(H12,H43,H47)</f>
        <v>-6220.58</v>
      </c>
      <c r="I48" s="150" cm="1">
        <f t="array" ref="I48">BudgetPctVariance(H48,E48)</f>
        <v>-0.25209999999999999</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E236E001-8F5C-4B7E-AE52-820A5685E5D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D100F-F501-4D49-A924-4A96BB4D9F20}">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796</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-36700</v>
      </c>
      <c r="C8" s="15">
        <v>-30775.22</v>
      </c>
      <c r="D8" s="122" cm="1">
        <f t="array" ref="D8">SeasonalBudPct(B8,C8)</f>
        <v>0.83860000000000001</v>
      </c>
      <c r="E8" s="15">
        <v>-36700</v>
      </c>
      <c r="F8" s="15" cm="1">
        <f t="array" ref="F8">BudgetDolVariance(C8,E8)</f>
        <v>-5924.7799999999988</v>
      </c>
      <c r="G8" s="122" cm="1">
        <f t="array" ref="G8">BudgetPctVariance(C8,E8)</f>
        <v>0.1925</v>
      </c>
      <c r="H8" s="15">
        <v>-26700</v>
      </c>
      <c r="I8" s="136" cm="1">
        <f t="array" ref="I8">BudgetPctVariance(H8,E8)</f>
        <v>0.3745</v>
      </c>
      <c r="J8" s="159">
        <v>1</v>
      </c>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-1578</v>
      </c>
      <c r="F11" s="20" cm="1">
        <f t="array" ref="F11">BudgetDolVariance(C11,E11)</f>
        <v>-1578</v>
      </c>
      <c r="G11" s="124" cm="1">
        <f t="array" ref="G11">BudgetPctVariance(C11,E11)</f>
        <v>9.99</v>
      </c>
      <c r="H11" s="20">
        <v>-10296.969999999999</v>
      </c>
      <c r="I11" s="138" cm="1">
        <f t="array" ref="I11">BudgetPctVariance(H11,E11)</f>
        <v>-0.8468</v>
      </c>
      <c r="J11" s="161">
        <v>2</v>
      </c>
    </row>
    <row r="12" spans="1:10" ht="16.2" thickBot="1">
      <c r="A12" s="23" t="s">
        <v>579</v>
      </c>
      <c r="B12" s="24">
        <f>SUM(B8:B11)</f>
        <v>-36700</v>
      </c>
      <c r="C12" s="24">
        <f>SUM(C8:C11)</f>
        <v>-30775.22</v>
      </c>
      <c r="D12" s="125" cm="1">
        <f t="array" ref="D12">SeasonalBudPct(B12,C12)</f>
        <v>0.83860000000000001</v>
      </c>
      <c r="E12" s="24">
        <f>SUM(E8:E11)</f>
        <v>-38278</v>
      </c>
      <c r="F12" s="24" cm="1">
        <f t="array" ref="F12">BudgetDolVariance(C12,E12)</f>
        <v>-7502.7799999999988</v>
      </c>
      <c r="G12" s="125" cm="1">
        <f t="array" ref="G12">BudgetPctVariance(C12,E12)</f>
        <v>0.24379999999999999</v>
      </c>
      <c r="H12" s="24">
        <f>SUM(H8:H11)</f>
        <v>-36996.97</v>
      </c>
      <c r="I12" s="139" cm="1">
        <f t="array" ref="I12">BudgetPctVariance(H12,E12)</f>
        <v>3.4599999999999999E-2</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0</v>
      </c>
      <c r="I29" s="138" t="str" cm="1">
        <f t="array" ref="I29">BudgetPctVariance(H29,E29)</f>
        <v/>
      </c>
      <c r="J29" s="161"/>
    </row>
    <row r="30" spans="1:10">
      <c r="A30" s="32" t="s">
        <v>583</v>
      </c>
      <c r="B30" s="33">
        <f>SUM(B23:B29)</f>
        <v>0</v>
      </c>
      <c r="C30" s="34">
        <f>SUM(C23:C29)</f>
        <v>0</v>
      </c>
      <c r="D30" s="129" t="str" cm="1">
        <f t="array" ref="D30">SeasonalBudPct(B30,C30)</f>
        <v/>
      </c>
      <c r="E30" s="39">
        <f>SUM(E23:E29)</f>
        <v>0</v>
      </c>
      <c r="F30" s="33" t="str" cm="1">
        <f t="array" ref="F30">BudgetDolVariance(C30,E30)</f>
        <v/>
      </c>
      <c r="G30" s="129" t="str" cm="1">
        <f t="array" ref="G30">BudgetPctVariance(C30,E30)</f>
        <v/>
      </c>
      <c r="H30" s="33">
        <f>SUM(H23:H29)</f>
        <v>0</v>
      </c>
      <c r="I30" s="142" t="str" cm="1">
        <f t="array" ref="I30">BudgetPctVariance(H30,E30)</f>
        <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0</v>
      </c>
      <c r="C40" s="17">
        <v>0</v>
      </c>
      <c r="D40" s="123" t="str" cm="1">
        <f t="array" ref="D40">SeasonalBudPct(B40,C40)</f>
        <v/>
      </c>
      <c r="E40" s="17">
        <v>0</v>
      </c>
      <c r="F40" s="17" t="str" cm="1">
        <f t="array" ref="F40">BudgetDolVariance(C40,E40)</f>
        <v/>
      </c>
      <c r="G40" s="123" t="str" cm="1">
        <f t="array" ref="G40">BudgetPctVariance(C40,E40)</f>
        <v/>
      </c>
      <c r="H40" s="17">
        <v>0</v>
      </c>
      <c r="I40" s="146" t="str" cm="1">
        <f t="array" ref="I40">BudgetPctVariance(H40,E40)</f>
        <v/>
      </c>
      <c r="J40" s="160"/>
    </row>
    <row r="41" spans="1:10" outlineLevel="1">
      <c r="A41" s="19" t="s">
        <v>363</v>
      </c>
      <c r="B41" s="20">
        <v>0</v>
      </c>
      <c r="C41" s="20">
        <v>0</v>
      </c>
      <c r="D41" s="124" t="str" cm="1">
        <f t="array" ref="D41">SeasonalBudPct(B41,C41)</f>
        <v/>
      </c>
      <c r="E41" s="20">
        <v>0</v>
      </c>
      <c r="F41" s="20" t="str" cm="1">
        <f t="array" ref="F41">BudgetDolVariance(C41,E41)</f>
        <v/>
      </c>
      <c r="G41" s="124" t="str" cm="1">
        <f t="array" ref="G41">BudgetPctVariance(C41,E41)</f>
        <v/>
      </c>
      <c r="H41" s="20">
        <v>0</v>
      </c>
      <c r="I41" s="147" t="str" cm="1">
        <f t="array" ref="I41">BudgetPctVariance(H41,E41)</f>
        <v/>
      </c>
      <c r="J41" s="161"/>
    </row>
    <row r="42" spans="1:10">
      <c r="A42" s="38" t="s">
        <v>586</v>
      </c>
      <c r="B42" s="39">
        <f>SUM(B36:B41)</f>
        <v>0</v>
      </c>
      <c r="C42" s="265">
        <f>SUM(C36:C41)</f>
        <v>0</v>
      </c>
      <c r="D42" s="129" t="str" cm="1">
        <f t="array" ref="D42">SeasonalBudPct(B42,C42)</f>
        <v/>
      </c>
      <c r="E42" s="39">
        <f>SUM(E36:E41)</f>
        <v>0</v>
      </c>
      <c r="F42" s="33" t="str" cm="1">
        <f t="array" ref="F42">BudgetDolVariance(C42,E42)</f>
        <v/>
      </c>
      <c r="G42" s="135" t="str" cm="1">
        <f t="array" ref="G42">BudgetPctVariance(C42,E42)</f>
        <v/>
      </c>
      <c r="H42" s="30">
        <f>SUM(H36:H41)</f>
        <v>0</v>
      </c>
      <c r="I42" s="142" t="str" cm="1">
        <f t="array" ref="I42">BudgetPctVariance(H42,E42)</f>
        <v/>
      </c>
      <c r="J42" s="165"/>
    </row>
    <row r="43" spans="1:10" ht="16.2" thickBot="1">
      <c r="A43" s="23" t="s">
        <v>587</v>
      </c>
      <c r="B43" s="24">
        <f>SUM(B21,B30,B34,B42)</f>
        <v>0</v>
      </c>
      <c r="C43" s="24">
        <f>SUM(C21,C30,C34,C42)</f>
        <v>0</v>
      </c>
      <c r="D43" s="125" t="str" cm="1">
        <f t="array" ref="D43">SeasonalBudPct(B43,C43)</f>
        <v/>
      </c>
      <c r="E43" s="24">
        <f>SUM(E21,E30,E34,E42)</f>
        <v>0</v>
      </c>
      <c r="F43" s="24" t="str" cm="1">
        <f t="array" ref="F43">BudgetDolVariance(C43,E43)</f>
        <v/>
      </c>
      <c r="G43" s="125" t="str" cm="1">
        <f t="array" ref="G43">BudgetPctVariance(C43,E43)</f>
        <v/>
      </c>
      <c r="H43" s="24">
        <f>SUM(H21,H30,H34,H42)</f>
        <v>0</v>
      </c>
      <c r="I43" s="125" t="str" cm="1">
        <f t="array" ref="I43">BudgetPctVariance(H43,E43)</f>
        <v/>
      </c>
      <c r="J43" s="162"/>
    </row>
    <row r="44" spans="1:10" ht="15" thickTop="1">
      <c r="A44" s="41" t="s">
        <v>588</v>
      </c>
      <c r="B44" s="42"/>
      <c r="C44" s="42"/>
      <c r="D44" s="132"/>
      <c r="E44" s="42"/>
      <c r="F44" s="42"/>
      <c r="G44" s="132"/>
      <c r="H44" s="42"/>
      <c r="I44" s="148"/>
      <c r="J44" s="156"/>
    </row>
    <row r="45" spans="1:10" outlineLevel="1">
      <c r="A45" s="14" t="s">
        <v>365</v>
      </c>
      <c r="B45" s="15">
        <v>36700</v>
      </c>
      <c r="C45" s="15">
        <v>13488.04</v>
      </c>
      <c r="D45" s="122" cm="1">
        <f t="array" ref="D45">SeasonalBudPct(B45,C45)</f>
        <v>0.36749999999999999</v>
      </c>
      <c r="E45" s="15">
        <v>36916.53</v>
      </c>
      <c r="F45" s="15" cm="1">
        <f t="array" ref="F45">BudgetDolVariance(C45,E45)</f>
        <v>23428.489999999998</v>
      </c>
      <c r="G45" s="122" cm="1">
        <f t="array" ref="G45">BudgetPctVariance(C45,E45)</f>
        <v>1.7370000000000001</v>
      </c>
      <c r="H45" s="15">
        <v>48093.98</v>
      </c>
      <c r="I45" s="145" cm="1">
        <f t="array" ref="I45">BudgetPctVariance(H45,E45)</f>
        <v>-0.2324</v>
      </c>
      <c r="J45" s="163">
        <v>3</v>
      </c>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36700</v>
      </c>
      <c r="C47" s="44">
        <f>SUM(C45:C46)</f>
        <v>13488.04</v>
      </c>
      <c r="D47" s="131" cm="1">
        <f t="array" ref="D47">SeasonalBudPct(B47,C47)</f>
        <v>0.36749999999999999</v>
      </c>
      <c r="E47" s="13">
        <f>SUM(E45:E46)</f>
        <v>36916.53</v>
      </c>
      <c r="F47" s="13" cm="1">
        <f t="array" ref="F47">BudgetDolVariance(C47,E47)</f>
        <v>23428.489999999998</v>
      </c>
      <c r="G47" s="131" cm="1">
        <f t="array" ref="G47">BudgetPctVariance(C47,E47)</f>
        <v>1.7370000000000001</v>
      </c>
      <c r="H47" s="13">
        <f>SUM(H45:H46)</f>
        <v>48093.98</v>
      </c>
      <c r="I47" s="149" cm="1">
        <f t="array" ref="I47">BudgetPctVariance(H47,E47)</f>
        <v>-0.2324</v>
      </c>
      <c r="J47" s="166"/>
    </row>
    <row r="48" spans="1:10" ht="16.2" thickBot="1">
      <c r="A48" s="23" t="s">
        <v>590</v>
      </c>
      <c r="B48" s="24">
        <f>SUM(B12,B43,B47)</f>
        <v>0</v>
      </c>
      <c r="C48" s="24">
        <f>SUM(C12,C43,C47)</f>
        <v>-17287.18</v>
      </c>
      <c r="D48" s="125" cm="1">
        <f t="array" ref="D48">SeasonalBudPct(B48,C48)</f>
        <v>9.99</v>
      </c>
      <c r="E48" s="24">
        <f>SUM(E12,E43,E47)</f>
        <v>-1361.4700000000012</v>
      </c>
      <c r="F48" s="24" cm="1">
        <f t="array" ref="F48">BudgetDolVariance(C48,E48)</f>
        <v>15925.710000000001</v>
      </c>
      <c r="G48" s="125" cm="1">
        <f t="array" ref="G48">BudgetPctVariance(C48,E48)</f>
        <v>-0.92120000000000002</v>
      </c>
      <c r="H48" s="24">
        <f>SUM(H12,H43,H47)</f>
        <v>11097.010000000002</v>
      </c>
      <c r="I48" s="150" cm="1">
        <f t="array" ref="I48">BudgetPctVariance(H48,E48)</f>
        <v>-1.1227</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247E8730-C3E3-46CC-BA0D-6C6C2D303F7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139E0-D79F-41AC-8BC6-559D51E56128}">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409</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-14860</v>
      </c>
      <c r="C8" s="15">
        <v>-10466</v>
      </c>
      <c r="D8" s="122" cm="1">
        <f t="array" ref="D8">SeasonalBudPct(B8,C8)</f>
        <v>0.70430000000000004</v>
      </c>
      <c r="E8" s="15">
        <v>-14860</v>
      </c>
      <c r="F8" s="15" cm="1">
        <f t="array" ref="F8">BudgetDolVariance(C8,E8)</f>
        <v>-4394</v>
      </c>
      <c r="G8" s="122" cm="1">
        <f t="array" ref="G8">BudgetPctVariance(C8,E8)</f>
        <v>0.41980000000000001</v>
      </c>
      <c r="H8" s="15">
        <v>-10466</v>
      </c>
      <c r="I8" s="136" cm="1">
        <f t="array" ref="I8">BudgetPctVariance(H8,E8)</f>
        <v>0.41980000000000001</v>
      </c>
      <c r="J8" s="159">
        <v>1</v>
      </c>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-14860</v>
      </c>
      <c r="C12" s="24">
        <f>SUM(C8:C11)</f>
        <v>-10466</v>
      </c>
      <c r="D12" s="125" cm="1">
        <f t="array" ref="D12">SeasonalBudPct(B12,C12)</f>
        <v>0.70430000000000004</v>
      </c>
      <c r="E12" s="24">
        <f>SUM(E8:E11)</f>
        <v>-14860</v>
      </c>
      <c r="F12" s="24" cm="1">
        <f t="array" ref="F12">BudgetDolVariance(C12,E12)</f>
        <v>-4394</v>
      </c>
      <c r="G12" s="125" cm="1">
        <f t="array" ref="G12">BudgetPctVariance(C12,E12)</f>
        <v>0.41980000000000001</v>
      </c>
      <c r="H12" s="24">
        <f>SUM(H8:H11)</f>
        <v>-10466</v>
      </c>
      <c r="I12" s="139" cm="1">
        <f t="array" ref="I12">BudgetPctVariance(H12,E12)</f>
        <v>0.41980000000000001</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13800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8.7100000000000009</v>
      </c>
      <c r="D25" s="123" cm="1">
        <f t="array" ref="D25">SeasonalBudPct($B$23,C25)</f>
        <v>5.9999999999999995E-4</v>
      </c>
      <c r="E25" s="17">
        <v>0</v>
      </c>
      <c r="F25" s="17" cm="1">
        <f t="array" ref="F25">BudgetDolVariance(C25,E25)</f>
        <v>-8.7100000000000009</v>
      </c>
      <c r="G25" s="123" cm="1">
        <f t="array" ref="G25">BudgetPctVariance(C25,E25)</f>
        <v>-1</v>
      </c>
      <c r="H25" s="17">
        <v>3665</v>
      </c>
      <c r="I25" s="137" cm="1">
        <f t="array" ref="I25">BudgetPctVariance(H25,E25)</f>
        <v>-1</v>
      </c>
      <c r="J25" s="160"/>
    </row>
    <row r="26" spans="1:10" outlineLevel="1">
      <c r="A26" s="16" t="s">
        <v>283</v>
      </c>
      <c r="B26" s="17">
        <v>0</v>
      </c>
      <c r="C26" s="17">
        <v>1089.3399999999999</v>
      </c>
      <c r="D26" s="123" cm="1">
        <f t="array" ref="D26">SeasonalBudPct($B$23,C26)</f>
        <v>7.8899999999999998E-2</v>
      </c>
      <c r="E26" s="17">
        <v>949.23</v>
      </c>
      <c r="F26" s="17" cm="1">
        <f t="array" ref="F26">BudgetDolVariance(C26,E26)</f>
        <v>-140.1099999999999</v>
      </c>
      <c r="G26" s="123" cm="1">
        <f t="array" ref="G26">BudgetPctVariance(C26,E26)</f>
        <v>-0.12859999999999999</v>
      </c>
      <c r="H26" s="17">
        <v>2644.46</v>
      </c>
      <c r="I26" s="137" cm="1">
        <f t="array" ref="I26">BudgetPctVariance(H26,E26)</f>
        <v>-0.64100000000000001</v>
      </c>
      <c r="J26" s="160"/>
    </row>
    <row r="27" spans="1:10" outlineLevel="1">
      <c r="A27" s="16" t="s">
        <v>286</v>
      </c>
      <c r="B27" s="17">
        <v>0</v>
      </c>
      <c r="C27" s="17">
        <v>179.52</v>
      </c>
      <c r="D27" s="123" cm="1">
        <f t="array" ref="D27">SeasonalBudPct($B$23,C27)</f>
        <v>1.2999999999999999E-2</v>
      </c>
      <c r="E27" s="17">
        <v>1.75</v>
      </c>
      <c r="F27" s="17" cm="1">
        <f t="array" ref="F27">BudgetDolVariance(C27,E27)</f>
        <v>-177.77</v>
      </c>
      <c r="G27" s="123" cm="1">
        <f t="array" ref="G27">BudgetPctVariance(C27,E27)</f>
        <v>-0.99029999999999996</v>
      </c>
      <c r="H27" s="17">
        <v>0</v>
      </c>
      <c r="I27" s="137" cm="1">
        <f t="array" ref="I27">BudgetPctVariance(H27,E27)</f>
        <v>9.99</v>
      </c>
      <c r="J27" s="160"/>
    </row>
    <row r="28" spans="1:10" outlineLevel="1">
      <c r="A28" s="16" t="s">
        <v>288</v>
      </c>
      <c r="B28" s="17">
        <v>0</v>
      </c>
      <c r="C28" s="17">
        <v>737.69</v>
      </c>
      <c r="D28" s="123" cm="1">
        <f t="array" ref="D28">SeasonalBudPct($B$23,C28)</f>
        <v>5.3499999999999999E-2</v>
      </c>
      <c r="E28" s="17">
        <v>36.5</v>
      </c>
      <c r="F28" s="17" cm="1">
        <f t="array" ref="F28">BudgetDolVariance(C28,E28)</f>
        <v>-701.19</v>
      </c>
      <c r="G28" s="123" cm="1">
        <f t="array" ref="G28">BudgetPctVariance(C28,E28)</f>
        <v>-0.95050000000000001</v>
      </c>
      <c r="H28" s="17">
        <v>879.23</v>
      </c>
      <c r="I28" s="137" cm="1">
        <f t="array" ref="I28">BudgetPctVariance(H28,E28)</f>
        <v>-0.95850000000000002</v>
      </c>
      <c r="J28" s="160"/>
    </row>
    <row r="29" spans="1:10" outlineLevel="1">
      <c r="A29" s="19" t="s">
        <v>292</v>
      </c>
      <c r="B29" s="20">
        <v>0</v>
      </c>
      <c r="C29" s="20">
        <v>28.32</v>
      </c>
      <c r="D29" s="124" cm="1">
        <f t="array" ref="D29">SeasonalBudPct($B$23,C29)</f>
        <v>2.0999999999999999E-3</v>
      </c>
      <c r="E29" s="20">
        <v>0</v>
      </c>
      <c r="F29" s="20" cm="1">
        <f t="array" ref="F29">BudgetDolVariance(C29,E29)</f>
        <v>-28.32</v>
      </c>
      <c r="G29" s="124" cm="1">
        <f t="array" ref="G29">BudgetPctVariance(C29,E29)</f>
        <v>-1</v>
      </c>
      <c r="H29" s="20">
        <v>422.74</v>
      </c>
      <c r="I29" s="138" cm="1">
        <f t="array" ref="I29">BudgetPctVariance(H29,E29)</f>
        <v>-1</v>
      </c>
      <c r="J29" s="161"/>
    </row>
    <row r="30" spans="1:10">
      <c r="A30" s="32" t="s">
        <v>583</v>
      </c>
      <c r="B30" s="33">
        <f>SUM(B23:B29)</f>
        <v>13800</v>
      </c>
      <c r="C30" s="34">
        <f>SUM(C23:C29)</f>
        <v>2043.58</v>
      </c>
      <c r="D30" s="129" cm="1">
        <f t="array" ref="D30">SeasonalBudPct(B30,C30)</f>
        <v>0.14810000000000001</v>
      </c>
      <c r="E30" s="39">
        <f>SUM(E23:E29)</f>
        <v>987.48</v>
      </c>
      <c r="F30" s="33" cm="1">
        <f t="array" ref="F30">BudgetDolVariance(C30,E30)</f>
        <v>-1056.0999999999999</v>
      </c>
      <c r="G30" s="129" cm="1">
        <f t="array" ref="G30">BudgetPctVariance(C30,E30)</f>
        <v>-0.51680000000000004</v>
      </c>
      <c r="H30" s="33">
        <f>SUM(H23:H29)</f>
        <v>7611.43</v>
      </c>
      <c r="I30" s="142" cm="1">
        <f t="array" ref="I30">BudgetPctVariance(H30,E30)</f>
        <v>-0.87029999999999996</v>
      </c>
      <c r="J30" s="165">
        <v>2</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974</v>
      </c>
      <c r="C40" s="17">
        <v>152.4</v>
      </c>
      <c r="D40" s="123" cm="1">
        <f t="array" ref="D40">SeasonalBudPct(B40,C40)</f>
        <v>0.1565</v>
      </c>
      <c r="E40" s="17">
        <v>69.72</v>
      </c>
      <c r="F40" s="17" cm="1">
        <f t="array" ref="F40">BudgetDolVariance(C40,E40)</f>
        <v>-82.68</v>
      </c>
      <c r="G40" s="123" cm="1">
        <f t="array" ref="G40">BudgetPctVariance(C40,E40)</f>
        <v>-0.54249999999999998</v>
      </c>
      <c r="H40" s="17">
        <v>514.54</v>
      </c>
      <c r="I40" s="146" cm="1">
        <f t="array" ref="I40">BudgetPctVariance(H40,E40)</f>
        <v>-0.86450000000000005</v>
      </c>
      <c r="J40" s="160">
        <v>3</v>
      </c>
    </row>
    <row r="41" spans="1:10" outlineLevel="1">
      <c r="A41" s="19" t="s">
        <v>363</v>
      </c>
      <c r="B41" s="20">
        <v>86</v>
      </c>
      <c r="C41" s="20">
        <v>12.14</v>
      </c>
      <c r="D41" s="124" cm="1">
        <f t="array" ref="D41">SeasonalBudPct(B41,C41)</f>
        <v>0.14119999999999999</v>
      </c>
      <c r="E41" s="20">
        <v>6.12</v>
      </c>
      <c r="F41" s="20" cm="1">
        <f t="array" ref="F41">BudgetDolVariance(C41,E41)</f>
        <v>-6.0200000000000005</v>
      </c>
      <c r="G41" s="124" cm="1">
        <f t="array" ref="G41">BudgetPctVariance(C41,E41)</f>
        <v>-0.49590000000000001</v>
      </c>
      <c r="H41" s="20">
        <v>47.2</v>
      </c>
      <c r="I41" s="147" cm="1">
        <f t="array" ref="I41">BudgetPctVariance(H41,E41)</f>
        <v>-0.87029999999999996</v>
      </c>
      <c r="J41" s="161">
        <v>4</v>
      </c>
    </row>
    <row r="42" spans="1:10">
      <c r="A42" s="38" t="s">
        <v>586</v>
      </c>
      <c r="B42" s="39">
        <f>SUM(B36:B41)</f>
        <v>1060</v>
      </c>
      <c r="C42" s="265">
        <f>SUM(C36:C41)</f>
        <v>164.54000000000002</v>
      </c>
      <c r="D42" s="129" cm="1">
        <f t="array" ref="D42">SeasonalBudPct(B42,C42)</f>
        <v>0.1552</v>
      </c>
      <c r="E42" s="39">
        <f>SUM(E36:E41)</f>
        <v>75.84</v>
      </c>
      <c r="F42" s="33" cm="1">
        <f t="array" ref="F42">BudgetDolVariance(C42,E42)</f>
        <v>-88.699999999999989</v>
      </c>
      <c r="G42" s="135" cm="1">
        <f t="array" ref="G42">BudgetPctVariance(C42,E42)</f>
        <v>-0.53910000000000002</v>
      </c>
      <c r="H42" s="30">
        <f>SUM(H36:H41)</f>
        <v>561.74</v>
      </c>
      <c r="I42" s="142" cm="1">
        <f t="array" ref="I42">BudgetPctVariance(H42,E42)</f>
        <v>-0.86499999999999999</v>
      </c>
      <c r="J42" s="165"/>
    </row>
    <row r="43" spans="1:10" ht="16.2" thickBot="1">
      <c r="A43" s="23" t="s">
        <v>587</v>
      </c>
      <c r="B43" s="24">
        <f>SUM(B21,B30,B34,B42)</f>
        <v>14860</v>
      </c>
      <c r="C43" s="24">
        <f>SUM(C21,C30,C34,C42)</f>
        <v>2208.12</v>
      </c>
      <c r="D43" s="125" cm="1">
        <f t="array" ref="D43">SeasonalBudPct(B43,C43)</f>
        <v>0.14860000000000001</v>
      </c>
      <c r="E43" s="24">
        <f>SUM(E21,E30,E34,E42)</f>
        <v>1063.32</v>
      </c>
      <c r="F43" s="24" cm="1">
        <f t="array" ref="F43">BudgetDolVariance(C43,E43)</f>
        <v>-1144.8</v>
      </c>
      <c r="G43" s="125" cm="1">
        <f t="array" ref="G43">BudgetPctVariance(C43,E43)</f>
        <v>-0.51849999999999996</v>
      </c>
      <c r="H43" s="24">
        <f>SUM(H21,H30,H34,H42)</f>
        <v>8173.17</v>
      </c>
      <c r="I43" s="125" cm="1">
        <f t="array" ref="I43">BudgetPctVariance(H43,E43)</f>
        <v>-0.86990000000000001</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-8257.880000000001</v>
      </c>
      <c r="D48" s="125" cm="1">
        <f t="array" ref="D48">SeasonalBudPct(B48,C48)</f>
        <v>9.99</v>
      </c>
      <c r="E48" s="24">
        <f>SUM(E12,E43,E47)</f>
        <v>-13796.68</v>
      </c>
      <c r="F48" s="24" cm="1">
        <f t="array" ref="F48">BudgetDolVariance(C48,E48)</f>
        <v>-5538.8000000000011</v>
      </c>
      <c r="G48" s="125" cm="1">
        <f t="array" ref="G48">BudgetPctVariance(C48,E48)</f>
        <v>0.67069999999999996</v>
      </c>
      <c r="H48" s="24">
        <f>SUM(H12,H43,H47)</f>
        <v>-2292.83</v>
      </c>
      <c r="I48" s="150" cm="1">
        <f t="array" ref="I48">BudgetPctVariance(H48,E48)</f>
        <v>5.0172999999999996</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748F123B-9F49-4E1C-B1B3-98BAB0E75344}"/>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DE7D5-3B4F-47C5-A128-6D36BDFA63AE}">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401</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-140365</v>
      </c>
      <c r="C8" s="15">
        <v>-137883</v>
      </c>
      <c r="D8" s="122" cm="1">
        <f t="array" ref="D8">SeasonalBudPct(B8,C8)</f>
        <v>0.98229999999999995</v>
      </c>
      <c r="E8" s="15">
        <v>-140365</v>
      </c>
      <c r="F8" s="15" cm="1">
        <f t="array" ref="F8">BudgetDolVariance(C8,E8)</f>
        <v>-2482</v>
      </c>
      <c r="G8" s="122" cm="1">
        <f t="array" ref="G8">BudgetPctVariance(C8,E8)</f>
        <v>1.7999999999999999E-2</v>
      </c>
      <c r="H8" s="15">
        <v>-137883</v>
      </c>
      <c r="I8" s="136" cm="1">
        <f t="array" ref="I8">BudgetPctVariance(H8,E8)</f>
        <v>1.7999999999999999E-2</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-140365</v>
      </c>
      <c r="C12" s="24">
        <f>SUM(C8:C11)</f>
        <v>-137883</v>
      </c>
      <c r="D12" s="125" cm="1">
        <f t="array" ref="D12">SeasonalBudPct(B12,C12)</f>
        <v>0.98229999999999995</v>
      </c>
      <c r="E12" s="24">
        <f>SUM(E8:E11)</f>
        <v>-140365</v>
      </c>
      <c r="F12" s="24" cm="1">
        <f t="array" ref="F12">BudgetDolVariance(C12,E12)</f>
        <v>-2482</v>
      </c>
      <c r="G12" s="125" cm="1">
        <f t="array" ref="G12">BudgetPctVariance(C12,E12)</f>
        <v>1.7999999999999999E-2</v>
      </c>
      <c r="H12" s="24">
        <f>SUM(H8:H11)</f>
        <v>-137883</v>
      </c>
      <c r="I12" s="139" cm="1">
        <f t="array" ref="I12">BudgetPctVariance(H12,E12)</f>
        <v>1.7999999999999999E-2</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86940</v>
      </c>
      <c r="C17" s="185">
        <v>65871.48</v>
      </c>
      <c r="D17" s="186" cm="1">
        <f t="array" ref="D17">SeasonalBudPct(B17,C17)</f>
        <v>0.75770000000000004</v>
      </c>
      <c r="E17" s="184">
        <v>105497.56</v>
      </c>
      <c r="F17" s="185" cm="1">
        <f t="array" ref="F17">BudgetDolVariance(C17,E17)</f>
        <v>39626.080000000002</v>
      </c>
      <c r="G17" s="186" cm="1">
        <f t="array" ref="G17">BudgetPctVariance(C17,E17)</f>
        <v>0.60160000000000002</v>
      </c>
      <c r="H17" s="185">
        <v>70798.53</v>
      </c>
      <c r="I17" s="187" cm="1">
        <f t="array" ref="I17">BudgetPctVariance(H17,E17)</f>
        <v>0.49009999999999998</v>
      </c>
      <c r="J17" s="188">
        <v>1</v>
      </c>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956</v>
      </c>
      <c r="C20" s="20">
        <v>658.35</v>
      </c>
      <c r="D20" s="124" cm="1">
        <f t="array" ref="D20">SeasonalBudPct(B20,C20)</f>
        <v>0.68869999999999998</v>
      </c>
      <c r="E20" s="20">
        <v>1160.48</v>
      </c>
      <c r="F20" s="20" cm="1">
        <f t="array" ref="F20">BudgetDolVariance(C20,E20)</f>
        <v>502.13</v>
      </c>
      <c r="G20" s="124" cm="1">
        <f t="array" ref="G20">BudgetPctVariance(C20,E20)</f>
        <v>0.76270000000000004</v>
      </c>
      <c r="H20" s="20">
        <v>566.41</v>
      </c>
      <c r="I20" s="138" cm="1">
        <f t="array" ref="I20">BudgetPctVariance(H20,E20)</f>
        <v>1.0488</v>
      </c>
      <c r="J20" s="161">
        <v>1</v>
      </c>
    </row>
    <row r="21" spans="1:10">
      <c r="A21" s="32" t="s">
        <v>581</v>
      </c>
      <c r="B21" s="33">
        <f>SUM(B15:B20)</f>
        <v>87896</v>
      </c>
      <c r="C21" s="34">
        <f>SUM(C15:C20)</f>
        <v>66529.83</v>
      </c>
      <c r="D21" s="129" cm="1">
        <f t="array" ref="D21">SeasonalBudPct(B21,C21)</f>
        <v>0.75690000000000002</v>
      </c>
      <c r="E21" s="33">
        <f>SUM(E15:E20)</f>
        <v>106658.04</v>
      </c>
      <c r="F21" s="33" cm="1">
        <f t="array" ref="F21">BudgetDolVariance(C21,E21)</f>
        <v>40128.209999999992</v>
      </c>
      <c r="G21" s="129" cm="1">
        <f t="array" ref="G21">BudgetPctVariance(C21,E21)</f>
        <v>0.60319999999999996</v>
      </c>
      <c r="H21" s="33">
        <f>SUM(H15:H20)</f>
        <v>71364.94</v>
      </c>
      <c r="I21" s="142" cm="1">
        <f t="array" ref="I21">BudgetPctVariance(H21,E21)</f>
        <v>0.4945</v>
      </c>
      <c r="J21" s="164"/>
    </row>
    <row r="22" spans="1:10">
      <c r="A22" s="35" t="s">
        <v>582</v>
      </c>
      <c r="B22" s="36"/>
      <c r="C22" s="36"/>
      <c r="D22" s="130"/>
      <c r="E22" s="36"/>
      <c r="F22" s="36"/>
      <c r="G22" s="130"/>
      <c r="H22" s="36"/>
      <c r="I22" s="143"/>
      <c r="J22" s="154"/>
    </row>
    <row r="23" spans="1:10" outlineLevel="1">
      <c r="A23" s="189" t="s">
        <v>261</v>
      </c>
      <c r="B23" s="190">
        <v>42458</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1329.1</v>
      </c>
      <c r="D25" s="123" cm="1">
        <f t="array" ref="D25">SeasonalBudPct($B$23,C25)</f>
        <v>3.1300000000000001E-2</v>
      </c>
      <c r="E25" s="17">
        <v>1103.58</v>
      </c>
      <c r="F25" s="17" cm="1">
        <f t="array" ref="F25">BudgetDolVariance(C25,E25)</f>
        <v>-225.51999999999998</v>
      </c>
      <c r="G25" s="123" cm="1">
        <f t="array" ref="G25">BudgetPctVariance(C25,E25)</f>
        <v>-0.16969999999999999</v>
      </c>
      <c r="H25" s="17">
        <v>966.24</v>
      </c>
      <c r="I25" s="137" cm="1">
        <f t="array" ref="I25">BudgetPctVariance(H25,E25)</f>
        <v>0.1421</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27556.03</v>
      </c>
      <c r="D29" s="124" cm="1">
        <f t="array" ref="D29">SeasonalBudPct($B$23,C29)</f>
        <v>0.64900000000000002</v>
      </c>
      <c r="E29" s="20">
        <v>25376.400000000001</v>
      </c>
      <c r="F29" s="20" cm="1">
        <f t="array" ref="F29">BudgetDolVariance(C29,E29)</f>
        <v>-2179.6299999999974</v>
      </c>
      <c r="G29" s="124" cm="1">
        <f t="array" ref="G29">BudgetPctVariance(C29,E29)</f>
        <v>-7.9100000000000004E-2</v>
      </c>
      <c r="H29" s="20">
        <v>29664</v>
      </c>
      <c r="I29" s="138" cm="1">
        <f t="array" ref="I29">BudgetPctVariance(H29,E29)</f>
        <v>-0.14449999999999999</v>
      </c>
      <c r="J29" s="161"/>
    </row>
    <row r="30" spans="1:10">
      <c r="A30" s="32" t="s">
        <v>583</v>
      </c>
      <c r="B30" s="33">
        <f>SUM(B23:B29)</f>
        <v>42458</v>
      </c>
      <c r="C30" s="34">
        <f>SUM(C23:C29)</f>
        <v>28885.129999999997</v>
      </c>
      <c r="D30" s="129" cm="1">
        <f t="array" ref="D30">SeasonalBudPct(B30,C30)</f>
        <v>0.68030000000000002</v>
      </c>
      <c r="E30" s="39">
        <f>SUM(E23:E29)</f>
        <v>26479.980000000003</v>
      </c>
      <c r="F30" s="33" cm="1">
        <f t="array" ref="F30">BudgetDolVariance(C30,E30)</f>
        <v>-2405.1500000000015</v>
      </c>
      <c r="G30" s="129" cm="1">
        <f t="array" ref="G30">BudgetPctVariance(C30,E30)</f>
        <v>-8.3299999999999999E-2</v>
      </c>
      <c r="H30" s="33">
        <f>SUM(H23:H29)</f>
        <v>30630.240000000002</v>
      </c>
      <c r="I30" s="142" cm="1">
        <f t="array" ref="I30">BudgetPctVariance(H30,E30)</f>
        <v>-0.13550000000000001</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9203</v>
      </c>
      <c r="C40" s="17">
        <v>6035.35</v>
      </c>
      <c r="D40" s="123" cm="1">
        <f t="array" ref="D40">SeasonalBudPct(B40,C40)</f>
        <v>0.65580000000000005</v>
      </c>
      <c r="E40" s="17">
        <v>9399.5400000000009</v>
      </c>
      <c r="F40" s="17" cm="1">
        <f t="array" ref="F40">BudgetDolVariance(C40,E40)</f>
        <v>3364.1900000000005</v>
      </c>
      <c r="G40" s="123" cm="1">
        <f t="array" ref="G40">BudgetPctVariance(C40,E40)</f>
        <v>0.55740000000000001</v>
      </c>
      <c r="H40" s="17">
        <v>6894.88</v>
      </c>
      <c r="I40" s="146" cm="1">
        <f t="array" ref="I40">BudgetPctVariance(H40,E40)</f>
        <v>0.36330000000000001</v>
      </c>
      <c r="J40" s="160">
        <v>2</v>
      </c>
    </row>
    <row r="41" spans="1:10" outlineLevel="1">
      <c r="A41" s="19" t="s">
        <v>363</v>
      </c>
      <c r="B41" s="20">
        <v>808</v>
      </c>
      <c r="C41" s="20">
        <v>491.01</v>
      </c>
      <c r="D41" s="124" cm="1">
        <f t="array" ref="D41">SeasonalBudPct(B41,C41)</f>
        <v>0.60770000000000002</v>
      </c>
      <c r="E41" s="20">
        <v>825.46</v>
      </c>
      <c r="F41" s="20" cm="1">
        <f t="array" ref="F41">BudgetDolVariance(C41,E41)</f>
        <v>334.45000000000005</v>
      </c>
      <c r="G41" s="124" cm="1">
        <f t="array" ref="G41">BudgetPctVariance(C41,E41)</f>
        <v>0.68110000000000004</v>
      </c>
      <c r="H41" s="20">
        <v>632.36</v>
      </c>
      <c r="I41" s="147" cm="1">
        <f t="array" ref="I41">BudgetPctVariance(H41,E41)</f>
        <v>0.3054</v>
      </c>
      <c r="J41" s="161">
        <v>3</v>
      </c>
    </row>
    <row r="42" spans="1:10">
      <c r="A42" s="38" t="s">
        <v>586</v>
      </c>
      <c r="B42" s="39">
        <f>SUM(B36:B41)</f>
        <v>10011</v>
      </c>
      <c r="C42" s="265">
        <f>SUM(C36:C41)</f>
        <v>6526.3600000000006</v>
      </c>
      <c r="D42" s="129" cm="1">
        <f t="array" ref="D42">SeasonalBudPct(B42,C42)</f>
        <v>0.65190000000000003</v>
      </c>
      <c r="E42" s="39">
        <f>SUM(E36:E41)</f>
        <v>10225</v>
      </c>
      <c r="F42" s="33" cm="1">
        <f t="array" ref="F42">BudgetDolVariance(C42,E42)</f>
        <v>3698.6400000000003</v>
      </c>
      <c r="G42" s="135" cm="1">
        <f t="array" ref="G42">BudgetPctVariance(C42,E42)</f>
        <v>0.56669999999999998</v>
      </c>
      <c r="H42" s="30">
        <f>SUM(H36:H41)</f>
        <v>7527.24</v>
      </c>
      <c r="I42" s="142" cm="1">
        <f t="array" ref="I42">BudgetPctVariance(H42,E42)</f>
        <v>0.3584</v>
      </c>
      <c r="J42" s="165"/>
    </row>
    <row r="43" spans="1:10" ht="16.2" thickBot="1">
      <c r="A43" s="23" t="s">
        <v>587</v>
      </c>
      <c r="B43" s="24">
        <f>SUM(B21,B30,B34,B42)</f>
        <v>140365</v>
      </c>
      <c r="C43" s="24">
        <f>SUM(C21,C30,C34,C42)</f>
        <v>101941.31999999999</v>
      </c>
      <c r="D43" s="125" cm="1">
        <f t="array" ref="D43">SeasonalBudPct(B43,C43)</f>
        <v>0.72629999999999995</v>
      </c>
      <c r="E43" s="24">
        <f>SUM(E21,E30,E34,E42)</f>
        <v>143363.01999999999</v>
      </c>
      <c r="F43" s="24" cm="1">
        <f t="array" ref="F43">BudgetDolVariance(C43,E43)</f>
        <v>41421.699999999983</v>
      </c>
      <c r="G43" s="125" cm="1">
        <f t="array" ref="G43">BudgetPctVariance(C43,E43)</f>
        <v>0.40629999999999999</v>
      </c>
      <c r="H43" s="24">
        <f>SUM(H21,H30,H34,H42)</f>
        <v>109522.42000000001</v>
      </c>
      <c r="I43" s="125" cm="1">
        <f t="array" ref="I43">BudgetPctVariance(H43,E43)</f>
        <v>0.309</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-35941.680000000008</v>
      </c>
      <c r="D48" s="125" cm="1">
        <f t="array" ref="D48">SeasonalBudPct(B48,C48)</f>
        <v>9.99</v>
      </c>
      <c r="E48" s="24">
        <f>SUM(E12,E43,E47)</f>
        <v>2998.0199999999895</v>
      </c>
      <c r="F48" s="24" cm="1">
        <f t="array" ref="F48">BudgetDolVariance(C48,E48)</f>
        <v>38939.699999999997</v>
      </c>
      <c r="G48" s="125" cm="1">
        <f t="array" ref="G48">BudgetPctVariance(C48,E48)</f>
        <v>-1.0833999999999999</v>
      </c>
      <c r="H48" s="24">
        <f>SUM(H12,H43,H47)</f>
        <v>-28360.579999999987</v>
      </c>
      <c r="I48" s="150" cm="1">
        <f t="array" ref="I48">BudgetPctVariance(H48,E48)</f>
        <v>-1.1056999999999999</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459E1397-9AC6-41BA-8FA4-A1795F3F1629}"/>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14CC-640A-4F9F-A261-2466AC491EE3}">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411</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-1615</v>
      </c>
      <c r="C8" s="15">
        <v>-1602</v>
      </c>
      <c r="D8" s="122" cm="1">
        <f t="array" ref="D8">SeasonalBudPct(B8,C8)</f>
        <v>0.99199999999999999</v>
      </c>
      <c r="E8" s="15">
        <v>-1615</v>
      </c>
      <c r="F8" s="15" cm="1">
        <f t="array" ref="F8">BudgetDolVariance(C8,E8)</f>
        <v>-13</v>
      </c>
      <c r="G8" s="122" cm="1">
        <f t="array" ref="G8">BudgetPctVariance(C8,E8)</f>
        <v>8.0999999999999996E-3</v>
      </c>
      <c r="H8" s="15">
        <v>-1602</v>
      </c>
      <c r="I8" s="136" cm="1">
        <f t="array" ref="I8">BudgetPctVariance(H8,E8)</f>
        <v>8.0999999999999996E-3</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-1615</v>
      </c>
      <c r="C12" s="24">
        <f>SUM(C8:C11)</f>
        <v>-1602</v>
      </c>
      <c r="D12" s="125" cm="1">
        <f t="array" ref="D12">SeasonalBudPct(B12,C12)</f>
        <v>0.99199999999999999</v>
      </c>
      <c r="E12" s="24">
        <f>SUM(E8:E11)</f>
        <v>-1615</v>
      </c>
      <c r="F12" s="24" cm="1">
        <f t="array" ref="F12">BudgetDolVariance(C12,E12)</f>
        <v>-13</v>
      </c>
      <c r="G12" s="125" cm="1">
        <f t="array" ref="G12">BudgetPctVariance(C12,E12)</f>
        <v>8.0999999999999996E-3</v>
      </c>
      <c r="H12" s="24">
        <f>SUM(H8:H11)</f>
        <v>-1602</v>
      </c>
      <c r="I12" s="139" cm="1">
        <f t="array" ref="I12">BudgetPctVariance(H12,E12)</f>
        <v>8.0999999999999996E-3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1500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6</v>
      </c>
      <c r="D25" s="123" cm="1">
        <f t="array" ref="D25">SeasonalBudPct($B$23,C25)</f>
        <v>4.0000000000000001E-3</v>
      </c>
      <c r="E25" s="17">
        <v>0</v>
      </c>
      <c r="F25" s="17" cm="1">
        <f t="array" ref="F25">BudgetDolVariance(C25,E25)</f>
        <v>-6</v>
      </c>
      <c r="G25" s="123" cm="1">
        <f t="array" ref="G25">BudgetPctVariance(C25,E25)</f>
        <v>-1</v>
      </c>
      <c r="H25" s="17">
        <v>0</v>
      </c>
      <c r="I25" s="137" t="str" cm="1">
        <f t="array" ref="I25">BudgetPctVariance(H25,E25)</f>
        <v/>
      </c>
      <c r="J25" s="160"/>
    </row>
    <row r="26" spans="1:10" outlineLevel="1">
      <c r="A26" s="16" t="s">
        <v>283</v>
      </c>
      <c r="B26" s="17">
        <v>0</v>
      </c>
      <c r="C26" s="17">
        <v>1422.56</v>
      </c>
      <c r="D26" s="123" cm="1">
        <f t="array" ref="D26">SeasonalBudPct($B$23,C26)</f>
        <v>0.94840000000000002</v>
      </c>
      <c r="E26" s="17">
        <v>1485.2</v>
      </c>
      <c r="F26" s="17" cm="1">
        <f t="array" ref="F26">BudgetDolVariance(C26,E26)</f>
        <v>62.6400000000001</v>
      </c>
      <c r="G26" s="123" cm="1">
        <f t="array" ref="G26">BudgetPctVariance(C26,E26)</f>
        <v>4.3999999999999997E-2</v>
      </c>
      <c r="H26" s="17">
        <v>1396.86</v>
      </c>
      <c r="I26" s="137" cm="1">
        <f t="array" ref="I26">BudgetPctVariance(H26,E26)</f>
        <v>6.3200000000000006E-2</v>
      </c>
      <c r="J26" s="160"/>
    </row>
    <row r="27" spans="1:10" outlineLevel="1">
      <c r="A27" s="16" t="s">
        <v>286</v>
      </c>
      <c r="B27" s="17">
        <v>0</v>
      </c>
      <c r="C27" s="17">
        <v>12.98</v>
      </c>
      <c r="D27" s="123" cm="1">
        <f t="array" ref="D27">SeasonalBudPct($B$23,C27)</f>
        <v>8.6999999999999994E-3</v>
      </c>
      <c r="E27" s="17">
        <v>0</v>
      </c>
      <c r="F27" s="17" cm="1">
        <f t="array" ref="F27">BudgetDolVariance(C27,E27)</f>
        <v>-12.98</v>
      </c>
      <c r="G27" s="123" cm="1">
        <f t="array" ref="G27">BudgetPctVariance(C27,E27)</f>
        <v>-1</v>
      </c>
      <c r="H27" s="17">
        <v>35</v>
      </c>
      <c r="I27" s="137" cm="1">
        <f t="array" ref="I27">BudgetPctVariance(H27,E27)</f>
        <v>-1</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40.28</v>
      </c>
      <c r="D29" s="124" cm="1">
        <f t="array" ref="D29">SeasonalBudPct($B$23,C29)</f>
        <v>2.69E-2</v>
      </c>
      <c r="E29" s="20">
        <v>173</v>
      </c>
      <c r="F29" s="20" cm="1">
        <f t="array" ref="F29">BudgetDolVariance(C29,E29)</f>
        <v>132.72</v>
      </c>
      <c r="G29" s="124" cm="1">
        <f t="array" ref="G29">BudgetPctVariance(C29,E29)</f>
        <v>3.2949000000000002</v>
      </c>
      <c r="H29" s="20">
        <v>47</v>
      </c>
      <c r="I29" s="138" cm="1">
        <f t="array" ref="I29">BudgetPctVariance(H29,E29)</f>
        <v>2.6808999999999998</v>
      </c>
      <c r="J29" s="161"/>
    </row>
    <row r="30" spans="1:10">
      <c r="A30" s="32" t="s">
        <v>583</v>
      </c>
      <c r="B30" s="33">
        <f>SUM(B23:B29)</f>
        <v>1500</v>
      </c>
      <c r="C30" s="34">
        <f>SUM(C23:C29)</f>
        <v>1481.82</v>
      </c>
      <c r="D30" s="129" cm="1">
        <f t="array" ref="D30">SeasonalBudPct(B30,C30)</f>
        <v>0.9879</v>
      </c>
      <c r="E30" s="39">
        <f>SUM(E23:E29)</f>
        <v>1658.2</v>
      </c>
      <c r="F30" s="33" cm="1">
        <f t="array" ref="F30">BudgetDolVariance(C30,E30)</f>
        <v>176.38000000000011</v>
      </c>
      <c r="G30" s="129" cm="1">
        <f t="array" ref="G30">BudgetPctVariance(C30,E30)</f>
        <v>0.11899999999999999</v>
      </c>
      <c r="H30" s="33">
        <f>SUM(H23:H29)</f>
        <v>1478.86</v>
      </c>
      <c r="I30" s="142" cm="1">
        <f t="array" ref="I30">BudgetPctVariance(H30,E30)</f>
        <v>0.12130000000000001</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106</v>
      </c>
      <c r="C40" s="17">
        <v>92.86</v>
      </c>
      <c r="D40" s="123" cm="1">
        <f t="array" ref="D40">SeasonalBudPct(B40,C40)</f>
        <v>0.876</v>
      </c>
      <c r="E40" s="17">
        <v>117.07</v>
      </c>
      <c r="F40" s="17" cm="1">
        <f t="array" ref="F40">BudgetDolVariance(C40,E40)</f>
        <v>24.209999999999994</v>
      </c>
      <c r="G40" s="123" cm="1">
        <f t="array" ref="G40">BudgetPctVariance(C40,E40)</f>
        <v>0.26069999999999999</v>
      </c>
      <c r="H40" s="17">
        <v>99.97</v>
      </c>
      <c r="I40" s="146" cm="1">
        <f t="array" ref="I40">BudgetPctVariance(H40,E40)</f>
        <v>0.1711</v>
      </c>
      <c r="J40" s="160">
        <v>1</v>
      </c>
    </row>
    <row r="41" spans="1:10" outlineLevel="1">
      <c r="A41" s="19" t="s">
        <v>363</v>
      </c>
      <c r="B41" s="20">
        <v>9</v>
      </c>
      <c r="C41" s="20">
        <v>7.91</v>
      </c>
      <c r="D41" s="124" cm="1">
        <f t="array" ref="D41">SeasonalBudPct(B41,C41)</f>
        <v>0.87890000000000001</v>
      </c>
      <c r="E41" s="20">
        <v>10.28</v>
      </c>
      <c r="F41" s="20" cm="1">
        <f t="array" ref="F41">BudgetDolVariance(C41,E41)</f>
        <v>2.3699999999999992</v>
      </c>
      <c r="G41" s="124" cm="1">
        <f t="array" ref="G41">BudgetPctVariance(C41,E41)</f>
        <v>0.29959999999999998</v>
      </c>
      <c r="H41" s="20">
        <v>9.17</v>
      </c>
      <c r="I41" s="147" cm="1">
        <f t="array" ref="I41">BudgetPctVariance(H41,E41)</f>
        <v>0.121</v>
      </c>
      <c r="J41" s="161">
        <v>2</v>
      </c>
    </row>
    <row r="42" spans="1:10">
      <c r="A42" s="38" t="s">
        <v>586</v>
      </c>
      <c r="B42" s="39">
        <f>SUM(B36:B41)</f>
        <v>115</v>
      </c>
      <c r="C42" s="265">
        <f>SUM(C36:C41)</f>
        <v>100.77</v>
      </c>
      <c r="D42" s="129" cm="1">
        <f t="array" ref="D42">SeasonalBudPct(B42,C42)</f>
        <v>0.87629999999999997</v>
      </c>
      <c r="E42" s="39">
        <f>SUM(E36:E41)</f>
        <v>127.35</v>
      </c>
      <c r="F42" s="33" cm="1">
        <f t="array" ref="F42">BudgetDolVariance(C42,E42)</f>
        <v>26.58</v>
      </c>
      <c r="G42" s="135" cm="1">
        <f t="array" ref="G42">BudgetPctVariance(C42,E42)</f>
        <v>0.26379999999999998</v>
      </c>
      <c r="H42" s="30">
        <f>SUM(H36:H41)</f>
        <v>109.14</v>
      </c>
      <c r="I42" s="142" cm="1">
        <f t="array" ref="I42">BudgetPctVariance(H42,E42)</f>
        <v>0.1668</v>
      </c>
      <c r="J42" s="165"/>
    </row>
    <row r="43" spans="1:10" ht="16.2" thickBot="1">
      <c r="A43" s="23" t="s">
        <v>587</v>
      </c>
      <c r="B43" s="24">
        <f>SUM(B21,B30,B34,B42)</f>
        <v>1615</v>
      </c>
      <c r="C43" s="24">
        <f>SUM(C21,C30,C34,C42)</f>
        <v>1582.59</v>
      </c>
      <c r="D43" s="125" cm="1">
        <f t="array" ref="D43">SeasonalBudPct(B43,C43)</f>
        <v>0.97989999999999999</v>
      </c>
      <c r="E43" s="24">
        <f>SUM(E21,E30,E34,E42)</f>
        <v>1785.55</v>
      </c>
      <c r="F43" s="24" cm="1">
        <f t="array" ref="F43">BudgetDolVariance(C43,E43)</f>
        <v>202.96000000000004</v>
      </c>
      <c r="G43" s="125" cm="1">
        <f t="array" ref="G43">BudgetPctVariance(C43,E43)</f>
        <v>0.12820000000000001</v>
      </c>
      <c r="H43" s="24">
        <f>SUM(H21,H30,H34,H42)</f>
        <v>1588</v>
      </c>
      <c r="I43" s="125" cm="1">
        <f t="array" ref="I43">BudgetPctVariance(H43,E43)</f>
        <v>0.1244</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-19.410000000000082</v>
      </c>
      <c r="D48" s="125" cm="1">
        <f t="array" ref="D48">SeasonalBudPct(B48,C48)</f>
        <v>9.99</v>
      </c>
      <c r="E48" s="24">
        <f>SUM(E12,E43,E47)</f>
        <v>170.54999999999995</v>
      </c>
      <c r="F48" s="24" cm="1">
        <f t="array" ref="F48">BudgetDolVariance(C48,E48)</f>
        <v>189.96</v>
      </c>
      <c r="G48" s="125" cm="1">
        <f t="array" ref="G48">BudgetPctVariance(C48,E48)</f>
        <v>-9.7866999999999997</v>
      </c>
      <c r="H48" s="24">
        <f>SUM(H12,H43,H47)</f>
        <v>-14</v>
      </c>
      <c r="I48" s="150" cm="1">
        <f t="array" ref="I48">BudgetPctVariance(H48,E48)</f>
        <v>-13.1821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2ED0CD44-4D73-4BF6-B187-C8C6D45E6592}"/>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5A5F-BFCC-4C62-B652-73198A2AC513}">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405</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-1068</v>
      </c>
      <c r="C8" s="15">
        <v>-1060</v>
      </c>
      <c r="D8" s="122" cm="1">
        <f t="array" ref="D8">SeasonalBudPct(B8,C8)</f>
        <v>0.99250000000000005</v>
      </c>
      <c r="E8" s="15">
        <v>-1068</v>
      </c>
      <c r="F8" s="15" cm="1">
        <f t="array" ref="F8">BudgetDolVariance(C8,E8)</f>
        <v>-8</v>
      </c>
      <c r="G8" s="122" cm="1">
        <f t="array" ref="G8">BudgetPctVariance(C8,E8)</f>
        <v>7.4999999999999997E-3</v>
      </c>
      <c r="H8" s="15">
        <v>-1060</v>
      </c>
      <c r="I8" s="136" cm="1">
        <f t="array" ref="I8">BudgetPctVariance(H8,E8)</f>
        <v>7.4999999999999997E-3</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-1068</v>
      </c>
      <c r="C12" s="24">
        <f>SUM(C8:C11)</f>
        <v>-1060</v>
      </c>
      <c r="D12" s="125" cm="1">
        <f t="array" ref="D12">SeasonalBudPct(B12,C12)</f>
        <v>0.99250000000000005</v>
      </c>
      <c r="E12" s="24">
        <f>SUM(E8:E11)</f>
        <v>-1068</v>
      </c>
      <c r="F12" s="24" cm="1">
        <f t="array" ref="F12">BudgetDolVariance(C12,E12)</f>
        <v>-8</v>
      </c>
      <c r="G12" s="125" cm="1">
        <f t="array" ref="G12">BudgetPctVariance(C12,E12)</f>
        <v>7.4999999999999997E-3</v>
      </c>
      <c r="H12" s="24">
        <f>SUM(H8:H11)</f>
        <v>-1060</v>
      </c>
      <c r="I12" s="139" cm="1">
        <f t="array" ref="I12">BudgetPctVariance(H12,E12)</f>
        <v>7.4999999999999997E-3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992</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252</v>
      </c>
      <c r="D25" s="123" cm="1">
        <f t="array" ref="D25">SeasonalBudPct($B$23,C25)</f>
        <v>0.254</v>
      </c>
      <c r="E25" s="17">
        <v>0</v>
      </c>
      <c r="F25" s="17" cm="1">
        <f t="array" ref="F25">BudgetDolVariance(C25,E25)</f>
        <v>-252</v>
      </c>
      <c r="G25" s="123" cm="1">
        <f t="array" ref="G25">BudgetPctVariance(C25,E25)</f>
        <v>-1</v>
      </c>
      <c r="H25" s="17">
        <v>0</v>
      </c>
      <c r="I25" s="137" t="str" cm="1">
        <f t="array" ref="I25">BudgetPctVariance(H25,E25)</f>
        <v/>
      </c>
      <c r="J25" s="160"/>
    </row>
    <row r="26" spans="1:10" outlineLevel="1">
      <c r="A26" s="16" t="s">
        <v>283</v>
      </c>
      <c r="B26" s="17">
        <v>0</v>
      </c>
      <c r="C26" s="17">
        <v>283.94</v>
      </c>
      <c r="D26" s="123" cm="1">
        <f t="array" ref="D26">SeasonalBudPct($B$23,C26)</f>
        <v>0.28620000000000001</v>
      </c>
      <c r="E26" s="17">
        <v>0</v>
      </c>
      <c r="F26" s="17" cm="1">
        <f t="array" ref="F26">BudgetDolVariance(C26,E26)</f>
        <v>-283.94</v>
      </c>
      <c r="G26" s="123" cm="1">
        <f t="array" ref="G26">BudgetPctVariance(C26,E26)</f>
        <v>-1</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24.21</v>
      </c>
      <c r="D28" s="123" cm="1">
        <f t="array" ref="D28">SeasonalBudPct($B$23,C28)</f>
        <v>2.4400000000000002E-2</v>
      </c>
      <c r="E28" s="17">
        <v>0</v>
      </c>
      <c r="F28" s="17" cm="1">
        <f t="array" ref="F28">BudgetDolVariance(C28,E28)</f>
        <v>-24.21</v>
      </c>
      <c r="G28" s="123" cm="1">
        <f t="array" ref="G28">BudgetPctVariance(C28,E28)</f>
        <v>-1</v>
      </c>
      <c r="H28" s="17">
        <v>0</v>
      </c>
      <c r="I28" s="137" t="str" cm="1">
        <f t="array" ref="I28">BudgetPctVariance(H28,E28)</f>
        <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92.82</v>
      </c>
      <c r="I29" s="138" cm="1">
        <f t="array" ref="I29">BudgetPctVariance(H29,E29)</f>
        <v>-1</v>
      </c>
      <c r="J29" s="161"/>
    </row>
    <row r="30" spans="1:10">
      <c r="A30" s="32" t="s">
        <v>583</v>
      </c>
      <c r="B30" s="33">
        <f>SUM(B23:B29)</f>
        <v>992</v>
      </c>
      <c r="C30" s="34">
        <f>SUM(C23:C29)</f>
        <v>560.15000000000009</v>
      </c>
      <c r="D30" s="129" cm="1">
        <f t="array" ref="D30">SeasonalBudPct(B30,C30)</f>
        <v>0.56469999999999998</v>
      </c>
      <c r="E30" s="39">
        <f>SUM(E23:E29)</f>
        <v>0</v>
      </c>
      <c r="F30" s="33" cm="1">
        <f t="array" ref="F30">BudgetDolVariance(C30,E30)</f>
        <v>-560.15</v>
      </c>
      <c r="G30" s="129" cm="1">
        <f t="array" ref="G30">BudgetPctVariance(C30,E30)</f>
        <v>-1</v>
      </c>
      <c r="H30" s="33">
        <f>SUM(H23:H29)</f>
        <v>92.82</v>
      </c>
      <c r="I30" s="142" cm="1">
        <f t="array" ref="I30">BudgetPctVariance(H30,E30)</f>
        <v>-1</v>
      </c>
      <c r="J30" s="165">
        <v>1</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70</v>
      </c>
      <c r="C40" s="17">
        <v>35.19</v>
      </c>
      <c r="D40" s="123" cm="1">
        <f t="array" ref="D40">SeasonalBudPct(B40,C40)</f>
        <v>0.50270000000000004</v>
      </c>
      <c r="E40" s="17">
        <v>0</v>
      </c>
      <c r="F40" s="17" cm="1">
        <f t="array" ref="F40">BudgetDolVariance(C40,E40)</f>
        <v>-35.19</v>
      </c>
      <c r="G40" s="123" cm="1">
        <f t="array" ref="G40">BudgetPctVariance(C40,E40)</f>
        <v>-1</v>
      </c>
      <c r="H40" s="17">
        <v>6.28</v>
      </c>
      <c r="I40" s="146" cm="1">
        <f t="array" ref="I40">BudgetPctVariance(H40,E40)</f>
        <v>-1</v>
      </c>
      <c r="J40" s="160">
        <v>2</v>
      </c>
    </row>
    <row r="41" spans="1:10" outlineLevel="1">
      <c r="A41" s="19" t="s">
        <v>363</v>
      </c>
      <c r="B41" s="20">
        <v>6</v>
      </c>
      <c r="C41" s="20">
        <v>2.84</v>
      </c>
      <c r="D41" s="124" cm="1">
        <f t="array" ref="D41">SeasonalBudPct(B41,C41)</f>
        <v>0.4733</v>
      </c>
      <c r="E41" s="20">
        <v>0</v>
      </c>
      <c r="F41" s="20" cm="1">
        <f t="array" ref="F41">BudgetDolVariance(C41,E41)</f>
        <v>-2.84</v>
      </c>
      <c r="G41" s="124" cm="1">
        <f t="array" ref="G41">BudgetPctVariance(C41,E41)</f>
        <v>-1</v>
      </c>
      <c r="H41" s="20">
        <v>0.57999999999999996</v>
      </c>
      <c r="I41" s="147" cm="1">
        <f t="array" ref="I41">BudgetPctVariance(H41,E41)</f>
        <v>-1</v>
      </c>
      <c r="J41" s="161">
        <v>3</v>
      </c>
    </row>
    <row r="42" spans="1:10">
      <c r="A42" s="38" t="s">
        <v>586</v>
      </c>
      <c r="B42" s="39">
        <f>SUM(B36:B41)</f>
        <v>76</v>
      </c>
      <c r="C42" s="265">
        <f>SUM(C36:C41)</f>
        <v>38.03</v>
      </c>
      <c r="D42" s="129" cm="1">
        <f t="array" ref="D42">SeasonalBudPct(B42,C42)</f>
        <v>0.50039999999999996</v>
      </c>
      <c r="E42" s="39">
        <f>SUM(E36:E41)</f>
        <v>0</v>
      </c>
      <c r="F42" s="33" cm="1">
        <f t="array" ref="F42">BudgetDolVariance(C42,E42)</f>
        <v>-38.03</v>
      </c>
      <c r="G42" s="135" cm="1">
        <f t="array" ref="G42">BudgetPctVariance(C42,E42)</f>
        <v>-1</v>
      </c>
      <c r="H42" s="30">
        <f>SUM(H36:H41)</f>
        <v>6.86</v>
      </c>
      <c r="I42" s="142" cm="1">
        <f t="array" ref="I42">BudgetPctVariance(H42,E42)</f>
        <v>-1</v>
      </c>
      <c r="J42" s="165"/>
    </row>
    <row r="43" spans="1:10" ht="16.2" thickBot="1">
      <c r="A43" s="23" t="s">
        <v>587</v>
      </c>
      <c r="B43" s="24">
        <f>SUM(B21,B30,B34,B42)</f>
        <v>1068</v>
      </c>
      <c r="C43" s="24">
        <f>SUM(C21,C30,C34,C42)</f>
        <v>598.18000000000006</v>
      </c>
      <c r="D43" s="125" cm="1">
        <f t="array" ref="D43">SeasonalBudPct(B43,C43)</f>
        <v>0.56010000000000004</v>
      </c>
      <c r="E43" s="24">
        <f>SUM(E21,E30,E34,E42)</f>
        <v>0</v>
      </c>
      <c r="F43" s="24" cm="1">
        <f t="array" ref="F43">BudgetDolVariance(C43,E43)</f>
        <v>-598.17999999999995</v>
      </c>
      <c r="G43" s="125" cm="1">
        <f t="array" ref="G43">BudgetPctVariance(C43,E43)</f>
        <v>-1</v>
      </c>
      <c r="H43" s="24">
        <f>SUM(H21,H30,H34,H42)</f>
        <v>99.679999999999993</v>
      </c>
      <c r="I43" s="125" cm="1">
        <f t="array" ref="I43">BudgetPctVariance(H43,E43)</f>
        <v>-1</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-461.81999999999994</v>
      </c>
      <c r="D48" s="125" cm="1">
        <f t="array" ref="D48">SeasonalBudPct(B48,C48)</f>
        <v>9.99</v>
      </c>
      <c r="E48" s="24">
        <f>SUM(E12,E43,E47)</f>
        <v>-1068</v>
      </c>
      <c r="F48" s="24" cm="1">
        <f t="array" ref="F48">BudgetDolVariance(C48,E48)</f>
        <v>-606.18000000000006</v>
      </c>
      <c r="G48" s="125" cm="1">
        <f t="array" ref="G48">BudgetPctVariance(C48,E48)</f>
        <v>1.3126</v>
      </c>
      <c r="H48" s="24">
        <f>SUM(H12,H43,H47)</f>
        <v>-960.32</v>
      </c>
      <c r="I48" s="150" cm="1">
        <f t="array" ref="I48">BudgetPctVariance(H48,E48)</f>
        <v>0.11210000000000001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97CFE300-014A-4948-8543-8E1F2BD32353}"/>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40B91-AF5B-4F70-AC01-52432E93F4D9}">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390</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-45279</v>
      </c>
      <c r="C8" s="15">
        <v>-42185</v>
      </c>
      <c r="D8" s="122" cm="1">
        <f t="array" ref="D8">SeasonalBudPct(B8,C8)</f>
        <v>0.93169999999999997</v>
      </c>
      <c r="E8" s="15">
        <v>-45279</v>
      </c>
      <c r="F8" s="15" cm="1">
        <f t="array" ref="F8">BudgetDolVariance(C8,E8)</f>
        <v>-3094</v>
      </c>
      <c r="G8" s="122" cm="1">
        <f t="array" ref="G8">BudgetPctVariance(C8,E8)</f>
        <v>7.3300000000000004E-2</v>
      </c>
      <c r="H8" s="15">
        <v>-42185</v>
      </c>
      <c r="I8" s="136" cm="1">
        <f t="array" ref="I8">BudgetPctVariance(H8,E8)</f>
        <v>7.3300000000000004E-2</v>
      </c>
      <c r="J8" s="159"/>
    </row>
    <row r="9" spans="1:10" outlineLevel="1">
      <c r="A9" s="16" t="s">
        <v>578</v>
      </c>
      <c r="B9" s="17">
        <v>0</v>
      </c>
      <c r="C9" s="18">
        <v>0</v>
      </c>
      <c r="D9" s="123" t="str" cm="1">
        <f t="array" ref="D9">SeasonalBudPct(B9,C9)</f>
        <v/>
      </c>
      <c r="E9" s="17">
        <v>-140</v>
      </c>
      <c r="F9" s="17" cm="1">
        <f t="array" ref="F9">BudgetDolVariance(C9,E9)</f>
        <v>-140</v>
      </c>
      <c r="G9" s="123" cm="1">
        <f t="array" ref="G9">BudgetPctVariance(C9,E9)</f>
        <v>9.99</v>
      </c>
      <c r="H9" s="17">
        <v>0</v>
      </c>
      <c r="I9" s="137" cm="1">
        <f t="array" ref="I9">BudgetPctVariance(H9,E9)</f>
        <v>9.99</v>
      </c>
      <c r="J9" s="160">
        <v>1</v>
      </c>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-45279</v>
      </c>
      <c r="C12" s="24">
        <f>SUM(C8:C11)</f>
        <v>-42185</v>
      </c>
      <c r="D12" s="125" cm="1">
        <f t="array" ref="D12">SeasonalBudPct(B12,C12)</f>
        <v>0.93169999999999997</v>
      </c>
      <c r="E12" s="24">
        <f>SUM(E8:E11)</f>
        <v>-45419</v>
      </c>
      <c r="F12" s="24" cm="1">
        <f t="array" ref="F12">BudgetDolVariance(C12,E12)</f>
        <v>-3234</v>
      </c>
      <c r="G12" s="125" cm="1">
        <f t="array" ref="G12">BudgetPctVariance(C12,E12)</f>
        <v>7.6700000000000004E-2</v>
      </c>
      <c r="H12" s="24">
        <f>SUM(H8:H11)</f>
        <v>-42185</v>
      </c>
      <c r="I12" s="139" cm="1">
        <f t="array" ref="I12">BudgetPctVariance(H12,E12)</f>
        <v>7.6700000000000004E-2</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3101.5</v>
      </c>
      <c r="F17" s="185" cm="1">
        <f t="array" ref="F17">BudgetDolVariance(C17,E17)</f>
        <v>3101.5</v>
      </c>
      <c r="G17" s="186" cm="1">
        <f t="array" ref="G17">BudgetPctVariance(C17,E17)</f>
        <v>9.99</v>
      </c>
      <c r="H17" s="185">
        <v>1825</v>
      </c>
      <c r="I17" s="187" cm="1">
        <f t="array" ref="I17">BudgetPctVariance(H17,E17)</f>
        <v>0.69950000000000001</v>
      </c>
      <c r="J17" s="188">
        <v>2</v>
      </c>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34.119999999999997</v>
      </c>
      <c r="F20" s="20" cm="1">
        <f t="array" ref="F20">BudgetDolVariance(C20,E20)</f>
        <v>34.119999999999997</v>
      </c>
      <c r="G20" s="124" cm="1">
        <f t="array" ref="G20">BudgetPctVariance(C20,E20)</f>
        <v>9.99</v>
      </c>
      <c r="H20" s="20">
        <v>14.6</v>
      </c>
      <c r="I20" s="138" cm="1">
        <f t="array" ref="I20">BudgetPctVariance(H20,E20)</f>
        <v>1.337</v>
      </c>
      <c r="J20" s="161">
        <v>2</v>
      </c>
    </row>
    <row r="21" spans="1:10">
      <c r="A21" s="32" t="s">
        <v>581</v>
      </c>
      <c r="B21" s="33">
        <f>SUM(B15:B20)</f>
        <v>0</v>
      </c>
      <c r="C21" s="34">
        <f>SUM(C15:C20)</f>
        <v>0</v>
      </c>
      <c r="D21" s="129" t="str" cm="1">
        <f t="array" ref="D21">SeasonalBudPct(B21,C21)</f>
        <v/>
      </c>
      <c r="E21" s="33">
        <f>SUM(E15:E20)</f>
        <v>3135.62</v>
      </c>
      <c r="F21" s="33" cm="1">
        <f t="array" ref="F21">BudgetDolVariance(C21,E21)</f>
        <v>3135.62</v>
      </c>
      <c r="G21" s="129" cm="1">
        <f t="array" ref="G21">BudgetPctVariance(C21,E21)</f>
        <v>9.99</v>
      </c>
      <c r="H21" s="33">
        <f>SUM(H15:H20)</f>
        <v>1839.6</v>
      </c>
      <c r="I21" s="142" cm="1">
        <f t="array" ref="I21">BudgetPctVariance(H21,E21)</f>
        <v>0.70450000000000002</v>
      </c>
      <c r="J21" s="164"/>
    </row>
    <row r="22" spans="1:10">
      <c r="A22" s="35" t="s">
        <v>582</v>
      </c>
      <c r="B22" s="36"/>
      <c r="C22" s="36"/>
      <c r="D22" s="130"/>
      <c r="E22" s="36"/>
      <c r="F22" s="36"/>
      <c r="G22" s="130"/>
      <c r="H22" s="36"/>
      <c r="I22" s="143"/>
      <c r="J22" s="154"/>
    </row>
    <row r="23" spans="1:10" outlineLevel="1">
      <c r="A23" s="189" t="s">
        <v>261</v>
      </c>
      <c r="B23" s="190">
        <v>42049</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8.81</v>
      </c>
      <c r="D25" s="123" cm="1">
        <f t="array" ref="D25">SeasonalBudPct($B$23,C25)</f>
        <v>2.0000000000000001E-4</v>
      </c>
      <c r="E25" s="17">
        <v>551.99</v>
      </c>
      <c r="F25" s="17" cm="1">
        <f t="array" ref="F25">BudgetDolVariance(C25,E25)</f>
        <v>543.18000000000006</v>
      </c>
      <c r="G25" s="123" cm="1">
        <f t="array" ref="G25">BudgetPctVariance(C25,E25)</f>
        <v>61.654899999999998</v>
      </c>
      <c r="H25" s="17">
        <v>264.89999999999998</v>
      </c>
      <c r="I25" s="137" cm="1">
        <f t="array" ref="I25">BudgetPctVariance(H25,E25)</f>
        <v>1.0838000000000001</v>
      </c>
      <c r="J25" s="160"/>
    </row>
    <row r="26" spans="1:10" outlineLevel="1">
      <c r="A26" s="16" t="s">
        <v>283</v>
      </c>
      <c r="B26" s="17">
        <v>0</v>
      </c>
      <c r="C26" s="17">
        <v>1696</v>
      </c>
      <c r="D26" s="123" cm="1">
        <f t="array" ref="D26">SeasonalBudPct($B$23,C26)</f>
        <v>4.0300000000000002E-2</v>
      </c>
      <c r="E26" s="17">
        <v>6382.24</v>
      </c>
      <c r="F26" s="17" cm="1">
        <f t="array" ref="F26">BudgetDolVariance(C26,E26)</f>
        <v>4686.24</v>
      </c>
      <c r="G26" s="123" cm="1">
        <f t="array" ref="G26">BudgetPctVariance(C26,E26)</f>
        <v>2.7631000000000001</v>
      </c>
      <c r="H26" s="17">
        <v>4503.3900000000003</v>
      </c>
      <c r="I26" s="137" cm="1">
        <f t="array" ref="I26">BudgetPctVariance(H26,E26)</f>
        <v>0.41720000000000002</v>
      </c>
      <c r="J26" s="160"/>
    </row>
    <row r="27" spans="1:10" outlineLevel="1">
      <c r="A27" s="16" t="s">
        <v>286</v>
      </c>
      <c r="B27" s="17">
        <v>0</v>
      </c>
      <c r="C27" s="17">
        <v>390.9</v>
      </c>
      <c r="D27" s="123" cm="1">
        <f t="array" ref="D27">SeasonalBudPct($B$23,C27)</f>
        <v>9.2999999999999992E-3</v>
      </c>
      <c r="E27" s="17">
        <v>1206</v>
      </c>
      <c r="F27" s="17" cm="1">
        <f t="array" ref="F27">BudgetDolVariance(C27,E27)</f>
        <v>815.1</v>
      </c>
      <c r="G27" s="123" cm="1">
        <f t="array" ref="G27">BudgetPctVariance(C27,E27)</f>
        <v>2.0851999999999999</v>
      </c>
      <c r="H27" s="17">
        <v>437</v>
      </c>
      <c r="I27" s="137" cm="1">
        <f t="array" ref="I27">BudgetPctVariance(H27,E27)</f>
        <v>1.7597</v>
      </c>
      <c r="J27" s="160"/>
    </row>
    <row r="28" spans="1:10" outlineLevel="1">
      <c r="A28" s="16" t="s">
        <v>288</v>
      </c>
      <c r="B28" s="17">
        <v>0</v>
      </c>
      <c r="C28" s="17">
        <v>1824.62</v>
      </c>
      <c r="D28" s="123" cm="1">
        <f t="array" ref="D28">SeasonalBudPct($B$23,C28)</f>
        <v>4.3400000000000001E-2</v>
      </c>
      <c r="E28" s="17">
        <v>8444.9500000000007</v>
      </c>
      <c r="F28" s="17" cm="1">
        <f t="array" ref="F28">BudgetDolVariance(C28,E28)</f>
        <v>6620.3300000000008</v>
      </c>
      <c r="G28" s="123" cm="1">
        <f t="array" ref="G28">BudgetPctVariance(C28,E28)</f>
        <v>3.6282999999999999</v>
      </c>
      <c r="H28" s="17">
        <v>4816.21</v>
      </c>
      <c r="I28" s="137" cm="1">
        <f t="array" ref="I28">BudgetPctVariance(H28,E28)</f>
        <v>0.75339999999999996</v>
      </c>
      <c r="J28" s="160"/>
    </row>
    <row r="29" spans="1:10" outlineLevel="1">
      <c r="A29" s="19" t="s">
        <v>292</v>
      </c>
      <c r="B29" s="20">
        <v>0</v>
      </c>
      <c r="C29" s="20">
        <v>26742.38</v>
      </c>
      <c r="D29" s="124" cm="1">
        <f t="array" ref="D29">SeasonalBudPct($B$23,C29)</f>
        <v>0.63600000000000001</v>
      </c>
      <c r="E29" s="20">
        <v>28130.2</v>
      </c>
      <c r="F29" s="20" cm="1">
        <f t="array" ref="F29">BudgetDolVariance(C29,E29)</f>
        <v>1387.8199999999997</v>
      </c>
      <c r="G29" s="124" cm="1">
        <f t="array" ref="G29">BudgetPctVariance(C29,E29)</f>
        <v>5.1900000000000002E-2</v>
      </c>
      <c r="H29" s="20">
        <v>8720.83</v>
      </c>
      <c r="I29" s="138" cm="1">
        <f t="array" ref="I29">BudgetPctVariance(H29,E29)</f>
        <v>2.2256</v>
      </c>
      <c r="J29" s="161"/>
    </row>
    <row r="30" spans="1:10">
      <c r="A30" s="32" t="s">
        <v>583</v>
      </c>
      <c r="B30" s="33">
        <f>SUM(B23:B29)</f>
        <v>42049</v>
      </c>
      <c r="C30" s="34">
        <f>SUM(C23:C29)</f>
        <v>30662.71</v>
      </c>
      <c r="D30" s="129" cm="1">
        <f t="array" ref="D30">SeasonalBudPct(B30,C30)</f>
        <v>0.72919999999999996</v>
      </c>
      <c r="E30" s="39">
        <f>SUM(E23:E29)</f>
        <v>44715.380000000005</v>
      </c>
      <c r="F30" s="33" cm="1">
        <f t="array" ref="F30">BudgetDolVariance(C30,E30)</f>
        <v>14052.669999999998</v>
      </c>
      <c r="G30" s="129" cm="1">
        <f t="array" ref="G30">BudgetPctVariance(C30,E30)</f>
        <v>0.45829999999999999</v>
      </c>
      <c r="H30" s="33">
        <f>SUM(H23:H29)</f>
        <v>18742.330000000002</v>
      </c>
      <c r="I30" s="142" cm="1">
        <f t="array" ref="I30">BudgetPctVariance(H30,E30)</f>
        <v>1.3857999999999999</v>
      </c>
      <c r="J30" s="165">
        <v>3</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2969</v>
      </c>
      <c r="C40" s="17">
        <v>1977.12</v>
      </c>
      <c r="D40" s="123" cm="1">
        <f t="array" ref="D40">SeasonalBudPct(B40,C40)</f>
        <v>0.66590000000000005</v>
      </c>
      <c r="E40" s="17">
        <v>3378.3</v>
      </c>
      <c r="F40" s="17" cm="1">
        <f t="array" ref="F40">BudgetDolVariance(C40,E40)</f>
        <v>1401.1800000000003</v>
      </c>
      <c r="G40" s="123" cm="1">
        <f t="array" ref="G40">BudgetPctVariance(C40,E40)</f>
        <v>0.7087</v>
      </c>
      <c r="H40" s="17">
        <v>1391.36</v>
      </c>
      <c r="I40" s="146" cm="1">
        <f t="array" ref="I40">BudgetPctVariance(H40,E40)</f>
        <v>1.4280999999999999</v>
      </c>
      <c r="J40" s="160">
        <v>4</v>
      </c>
    </row>
    <row r="41" spans="1:10" outlineLevel="1">
      <c r="A41" s="19" t="s">
        <v>363</v>
      </c>
      <c r="B41" s="20">
        <v>261</v>
      </c>
      <c r="C41" s="20">
        <v>162.03</v>
      </c>
      <c r="D41" s="124" cm="1">
        <f t="array" ref="D41">SeasonalBudPct(B41,C41)</f>
        <v>0.62080000000000002</v>
      </c>
      <c r="E41" s="20">
        <v>296.68</v>
      </c>
      <c r="F41" s="20" cm="1">
        <f t="array" ref="F41">BudgetDolVariance(C41,E41)</f>
        <v>134.65</v>
      </c>
      <c r="G41" s="124" cm="1">
        <f t="array" ref="G41">BudgetPctVariance(C41,E41)</f>
        <v>0.83099999999999996</v>
      </c>
      <c r="H41" s="20">
        <v>127.62</v>
      </c>
      <c r="I41" s="147" cm="1">
        <f t="array" ref="I41">BudgetPctVariance(H41,E41)</f>
        <v>1.3247</v>
      </c>
      <c r="J41" s="161">
        <v>5</v>
      </c>
    </row>
    <row r="42" spans="1:10">
      <c r="A42" s="38" t="s">
        <v>586</v>
      </c>
      <c r="B42" s="39">
        <f>SUM(B36:B41)</f>
        <v>3230</v>
      </c>
      <c r="C42" s="265">
        <f>SUM(C36:C41)</f>
        <v>2139.15</v>
      </c>
      <c r="D42" s="129" cm="1">
        <f t="array" ref="D42">SeasonalBudPct(B42,C42)</f>
        <v>0.6623</v>
      </c>
      <c r="E42" s="39">
        <f>SUM(E36:E41)</f>
        <v>3674.98</v>
      </c>
      <c r="F42" s="33" cm="1">
        <f t="array" ref="F42">BudgetDolVariance(C42,E42)</f>
        <v>1535.83</v>
      </c>
      <c r="G42" s="135" cm="1">
        <f t="array" ref="G42">BudgetPctVariance(C42,E42)</f>
        <v>0.71799999999999997</v>
      </c>
      <c r="H42" s="30">
        <f>SUM(H36:H41)</f>
        <v>1518.98</v>
      </c>
      <c r="I42" s="142" cm="1">
        <f t="array" ref="I42">BudgetPctVariance(H42,E42)</f>
        <v>1.4194</v>
      </c>
      <c r="J42" s="165"/>
    </row>
    <row r="43" spans="1:10" ht="16.2" thickBot="1">
      <c r="A43" s="23" t="s">
        <v>587</v>
      </c>
      <c r="B43" s="24">
        <f>SUM(B21,B30,B34,B42)</f>
        <v>45279</v>
      </c>
      <c r="C43" s="24">
        <f>SUM(C21,C30,C34,C42)</f>
        <v>32801.86</v>
      </c>
      <c r="D43" s="125" cm="1">
        <f t="array" ref="D43">SeasonalBudPct(B43,C43)</f>
        <v>0.72440000000000004</v>
      </c>
      <c r="E43" s="24">
        <f>SUM(E21,E30,E34,E42)</f>
        <v>51525.98000000001</v>
      </c>
      <c r="F43" s="24" cm="1">
        <f t="array" ref="F43">BudgetDolVariance(C43,E43)</f>
        <v>18724.120000000003</v>
      </c>
      <c r="G43" s="125" cm="1">
        <f t="array" ref="G43">BudgetPctVariance(C43,E43)</f>
        <v>0.57079999999999997</v>
      </c>
      <c r="H43" s="24">
        <f>SUM(H21,H30,H34,H42)</f>
        <v>22100.91</v>
      </c>
      <c r="I43" s="125" cm="1">
        <f t="array" ref="I43">BudgetPctVariance(H43,E43)</f>
        <v>1.3313999999999999</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-9383.14</v>
      </c>
      <c r="D48" s="125" cm="1">
        <f t="array" ref="D48">SeasonalBudPct(B48,C48)</f>
        <v>9.99</v>
      </c>
      <c r="E48" s="24">
        <f>SUM(E12,E43,E47)</f>
        <v>6106.9800000000105</v>
      </c>
      <c r="F48" s="24" cm="1">
        <f t="array" ref="F48">BudgetDolVariance(C48,E48)</f>
        <v>15490.119999999999</v>
      </c>
      <c r="G48" s="125" cm="1">
        <f t="array" ref="G48">BudgetPctVariance(C48,E48)</f>
        <v>-1.6508</v>
      </c>
      <c r="H48" s="24">
        <f>SUM(H12,H43,H47)</f>
        <v>-20084.09</v>
      </c>
      <c r="I48" s="150" cm="1">
        <f t="array" ref="I48">BudgetPctVariance(H48,E48)</f>
        <v>-1.3041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A56" s="167" t="s">
        <v>804</v>
      </c>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7F5411CB-9381-43D0-88D2-B91D430AACE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06F70-FD83-4AE4-B631-46DD5C9D257B}">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415</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0</v>
      </c>
      <c r="C8" s="15">
        <v>0</v>
      </c>
      <c r="D8" s="122" t="str" cm="1">
        <f t="array" ref="D8">SeasonalBudPct(B8,C8)</f>
        <v/>
      </c>
      <c r="E8" s="15">
        <v>0</v>
      </c>
      <c r="F8" s="15" t="str" cm="1">
        <f t="array" ref="F8">BudgetDolVariance(C8,E8)</f>
        <v/>
      </c>
      <c r="G8" s="122" t="str" cm="1">
        <f t="array" ref="G8">BudgetPctVariance(C8,E8)</f>
        <v/>
      </c>
      <c r="H8" s="15">
        <v>0</v>
      </c>
      <c r="I8" s="136" t="str" cm="1">
        <f t="array" ref="I8">BudgetPctVariance(H8,E8)</f>
        <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0</v>
      </c>
      <c r="C12" s="24">
        <f>SUM(C8:C11)</f>
        <v>0</v>
      </c>
      <c r="D12" s="125" t="str" cm="1">
        <f t="array" ref="D12">SeasonalBudPct(B12,C12)</f>
        <v/>
      </c>
      <c r="E12" s="24">
        <f>SUM(E8:E11)</f>
        <v>0</v>
      </c>
      <c r="F12" s="24" t="str" cm="1">
        <f t="array" ref="F12">BudgetDolVariance(C12,E12)</f>
        <v/>
      </c>
      <c r="G12" s="125" t="str" cm="1">
        <f t="array" ref="G12">BudgetPctVariance(C12,E12)</f>
        <v/>
      </c>
      <c r="H12" s="24">
        <f>SUM(H8:H11)</f>
        <v>0</v>
      </c>
      <c r="I12" s="139" t="str" cm="1">
        <f t="array" ref="I12">BudgetPctVariance(H12,E12)</f>
        <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0</v>
      </c>
      <c r="I29" s="138" t="str" cm="1">
        <f t="array" ref="I29">BudgetPctVariance(H29,E29)</f>
        <v/>
      </c>
      <c r="J29" s="161"/>
    </row>
    <row r="30" spans="1:10">
      <c r="A30" s="32" t="s">
        <v>583</v>
      </c>
      <c r="B30" s="33">
        <f>SUM(B23:B29)</f>
        <v>0</v>
      </c>
      <c r="C30" s="34">
        <f>SUM(C23:C29)</f>
        <v>0</v>
      </c>
      <c r="D30" s="129" t="str" cm="1">
        <f t="array" ref="D30">SeasonalBudPct(B30,C30)</f>
        <v/>
      </c>
      <c r="E30" s="39">
        <f>SUM(E23:E29)</f>
        <v>0</v>
      </c>
      <c r="F30" s="33" t="str" cm="1">
        <f t="array" ref="F30">BudgetDolVariance(C30,E30)</f>
        <v/>
      </c>
      <c r="G30" s="129" t="str" cm="1">
        <f t="array" ref="G30">BudgetPctVariance(C30,E30)</f>
        <v/>
      </c>
      <c r="H30" s="33">
        <f>SUM(H23:H29)</f>
        <v>0</v>
      </c>
      <c r="I30" s="142" t="str" cm="1">
        <f t="array" ref="I30">BudgetPctVariance(H30,E30)</f>
        <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0</v>
      </c>
      <c r="C40" s="17">
        <v>0</v>
      </c>
      <c r="D40" s="123" t="str" cm="1">
        <f t="array" ref="D40">SeasonalBudPct(B40,C40)</f>
        <v/>
      </c>
      <c r="E40" s="17">
        <v>0</v>
      </c>
      <c r="F40" s="17" t="str" cm="1">
        <f t="array" ref="F40">BudgetDolVariance(C40,E40)</f>
        <v/>
      </c>
      <c r="G40" s="123" t="str" cm="1">
        <f t="array" ref="G40">BudgetPctVariance(C40,E40)</f>
        <v/>
      </c>
      <c r="H40" s="17">
        <v>0</v>
      </c>
      <c r="I40" s="146" t="str" cm="1">
        <f t="array" ref="I40">BudgetPctVariance(H40,E40)</f>
        <v/>
      </c>
      <c r="J40" s="160"/>
    </row>
    <row r="41" spans="1:10" outlineLevel="1">
      <c r="A41" s="19" t="s">
        <v>363</v>
      </c>
      <c r="B41" s="20">
        <v>0</v>
      </c>
      <c r="C41" s="20">
        <v>0</v>
      </c>
      <c r="D41" s="124" t="str" cm="1">
        <f t="array" ref="D41">SeasonalBudPct(B41,C41)</f>
        <v/>
      </c>
      <c r="E41" s="20">
        <v>0</v>
      </c>
      <c r="F41" s="20" t="str" cm="1">
        <f t="array" ref="F41">BudgetDolVariance(C41,E41)</f>
        <v/>
      </c>
      <c r="G41" s="124" t="str" cm="1">
        <f t="array" ref="G41">BudgetPctVariance(C41,E41)</f>
        <v/>
      </c>
      <c r="H41" s="20">
        <v>0</v>
      </c>
      <c r="I41" s="147" t="str" cm="1">
        <f t="array" ref="I41">BudgetPctVariance(H41,E41)</f>
        <v/>
      </c>
      <c r="J41" s="161"/>
    </row>
    <row r="42" spans="1:10">
      <c r="A42" s="38" t="s">
        <v>586</v>
      </c>
      <c r="B42" s="39">
        <f>SUM(B36:B41)</f>
        <v>0</v>
      </c>
      <c r="C42" s="265">
        <f>SUM(C36:C41)</f>
        <v>0</v>
      </c>
      <c r="D42" s="129" t="str" cm="1">
        <f t="array" ref="D42">SeasonalBudPct(B42,C42)</f>
        <v/>
      </c>
      <c r="E42" s="39">
        <f>SUM(E36:E41)</f>
        <v>0</v>
      </c>
      <c r="F42" s="33" t="str" cm="1">
        <f t="array" ref="F42">BudgetDolVariance(C42,E42)</f>
        <v/>
      </c>
      <c r="G42" s="135" t="str" cm="1">
        <f t="array" ref="G42">BudgetPctVariance(C42,E42)</f>
        <v/>
      </c>
      <c r="H42" s="30">
        <f>SUM(H36:H41)</f>
        <v>0</v>
      </c>
      <c r="I42" s="142" t="str" cm="1">
        <f t="array" ref="I42">BudgetPctVariance(H42,E42)</f>
        <v/>
      </c>
      <c r="J42" s="165"/>
    </row>
    <row r="43" spans="1:10" ht="16.2" thickBot="1">
      <c r="A43" s="23" t="s">
        <v>587</v>
      </c>
      <c r="B43" s="24">
        <f>SUM(B21,B30,B34,B42)</f>
        <v>0</v>
      </c>
      <c r="C43" s="24">
        <f>SUM(C21,C30,C34,C42)</f>
        <v>0</v>
      </c>
      <c r="D43" s="125" t="str" cm="1">
        <f t="array" ref="D43">SeasonalBudPct(B43,C43)</f>
        <v/>
      </c>
      <c r="E43" s="24">
        <f>SUM(E21,E30,E34,E42)</f>
        <v>0</v>
      </c>
      <c r="F43" s="24" t="str" cm="1">
        <f t="array" ref="F43">BudgetDolVariance(C43,E43)</f>
        <v/>
      </c>
      <c r="G43" s="125" t="str" cm="1">
        <f t="array" ref="G43">BudgetPctVariance(C43,E43)</f>
        <v/>
      </c>
      <c r="H43" s="24">
        <f>SUM(H21,H30,H34,H42)</f>
        <v>0</v>
      </c>
      <c r="I43" s="125" t="str" cm="1">
        <f t="array" ref="I43">BudgetPctVariance(H43,E43)</f>
        <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0</v>
      </c>
      <c r="D48" s="125" t="str" cm="1">
        <f t="array" ref="D48">SeasonalBudPct(B48,C48)</f>
        <v/>
      </c>
      <c r="E48" s="24">
        <f>SUM(E12,E43,E47)</f>
        <v>0</v>
      </c>
      <c r="F48" s="24" t="str" cm="1">
        <f t="array" ref="F48">BudgetDolVariance(C48,E48)</f>
        <v/>
      </c>
      <c r="G48" s="125" t="str" cm="1">
        <f t="array" ref="G48">BudgetPctVariance(C48,E48)</f>
        <v/>
      </c>
      <c r="H48" s="24">
        <f>SUM(H12,H43,H47)</f>
        <v>0</v>
      </c>
      <c r="I48" s="150" t="str" cm="1">
        <f t="array" ref="I48">BudgetPctVariance(H48,E48)</f>
        <v/>
      </c>
      <c r="J48" s="162"/>
    </row>
    <row r="49" spans="1:10" ht="15" thickTop="1">
      <c r="A49" s="45"/>
      <c r="B49" s="26"/>
      <c r="C49" s="26"/>
      <c r="D49" s="133"/>
      <c r="E49" s="26"/>
      <c r="H49" s="26"/>
      <c r="J49" s="157"/>
    </row>
    <row r="50" spans="1:10">
      <c r="A50"/>
      <c r="B50"/>
    </row>
    <row r="51" spans="1:10">
      <c r="A51" s="158" t="s">
        <v>615</v>
      </c>
      <c r="B51" s="267"/>
    </row>
    <row r="52" spans="1:10">
      <c r="B52" s="267"/>
    </row>
    <row r="53" spans="1:10">
      <c r="B53" s="267"/>
    </row>
    <row r="54" spans="1:10">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EA21E568-E45B-4B5E-B4FA-2C352F34EB5E}"/>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B04B4-8C11-4FA5-A864-54F871996849}">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397</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-2800</v>
      </c>
      <c r="C8" s="15">
        <v>-2777</v>
      </c>
      <c r="D8" s="122" cm="1">
        <f t="array" ref="D8">SeasonalBudPct(B8,C8)</f>
        <v>0.99180000000000001</v>
      </c>
      <c r="E8" s="15">
        <v>-2800</v>
      </c>
      <c r="F8" s="15" cm="1">
        <f t="array" ref="F8">BudgetDolVariance(C8,E8)</f>
        <v>-23</v>
      </c>
      <c r="G8" s="122" cm="1">
        <f t="array" ref="G8">BudgetPctVariance(C8,E8)</f>
        <v>8.3000000000000001E-3</v>
      </c>
      <c r="H8" s="15">
        <v>-2777</v>
      </c>
      <c r="I8" s="136" cm="1">
        <f t="array" ref="I8">BudgetPctVariance(H8,E8)</f>
        <v>8.3000000000000001E-3</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-2800</v>
      </c>
      <c r="C12" s="24">
        <f>SUM(C8:C11)</f>
        <v>-2777</v>
      </c>
      <c r="D12" s="125" cm="1">
        <f t="array" ref="D12">SeasonalBudPct(B12,C12)</f>
        <v>0.99180000000000001</v>
      </c>
      <c r="E12" s="24">
        <f>SUM(E8:E11)</f>
        <v>-2800</v>
      </c>
      <c r="F12" s="24" cm="1">
        <f t="array" ref="F12">BudgetDolVariance(C12,E12)</f>
        <v>-23</v>
      </c>
      <c r="G12" s="125" cm="1">
        <f t="array" ref="G12">BudgetPctVariance(C12,E12)</f>
        <v>8.3000000000000001E-3</v>
      </c>
      <c r="H12" s="24">
        <f>SUM(H8:H11)</f>
        <v>-2777</v>
      </c>
      <c r="I12" s="139" cm="1">
        <f t="array" ref="I12">BudgetPctVariance(H12,E12)</f>
        <v>8.3000000000000001E-3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2600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61.5</v>
      </c>
      <c r="D25" s="123" cm="1">
        <f t="array" ref="D25">SeasonalBudPct($B$23,C25)</f>
        <v>2.3699999999999999E-2</v>
      </c>
      <c r="E25" s="17">
        <v>0</v>
      </c>
      <c r="F25" s="17" cm="1">
        <f t="array" ref="F25">BudgetDolVariance(C25,E25)</f>
        <v>-61.5</v>
      </c>
      <c r="G25" s="123" cm="1">
        <f t="array" ref="G25">BudgetPctVariance(C25,E25)</f>
        <v>-1</v>
      </c>
      <c r="H25" s="17">
        <v>0</v>
      </c>
      <c r="I25" s="137" t="str" cm="1">
        <f t="array" ref="I25">BudgetPctVariance(H25,E25)</f>
        <v/>
      </c>
      <c r="J25" s="160"/>
    </row>
    <row r="26" spans="1:10" outlineLevel="1">
      <c r="A26" s="16" t="s">
        <v>283</v>
      </c>
      <c r="B26" s="17">
        <v>0</v>
      </c>
      <c r="C26" s="17">
        <v>1475.64</v>
      </c>
      <c r="D26" s="123" cm="1">
        <f t="array" ref="D26">SeasonalBudPct($B$23,C26)</f>
        <v>0.56759999999999999</v>
      </c>
      <c r="E26" s="17">
        <v>1566</v>
      </c>
      <c r="F26" s="17" cm="1">
        <f t="array" ref="F26">BudgetDolVariance(C26,E26)</f>
        <v>90.3599999999999</v>
      </c>
      <c r="G26" s="123" cm="1">
        <f t="array" ref="G26">BudgetPctVariance(C26,E26)</f>
        <v>6.1199999999999997E-2</v>
      </c>
      <c r="H26" s="17">
        <v>1383</v>
      </c>
      <c r="I26" s="137" cm="1">
        <f t="array" ref="I26">BudgetPctVariance(H26,E26)</f>
        <v>0.1323</v>
      </c>
      <c r="J26" s="160"/>
    </row>
    <row r="27" spans="1:10" outlineLevel="1">
      <c r="A27" s="16" t="s">
        <v>286</v>
      </c>
      <c r="B27" s="17">
        <v>0</v>
      </c>
      <c r="C27" s="17">
        <v>0</v>
      </c>
      <c r="D27" s="123" t="str" cm="1">
        <f t="array" ref="D27">SeasonalBudPct($B$23,C27)</f>
        <v/>
      </c>
      <c r="E27" s="17">
        <v>205</v>
      </c>
      <c r="F27" s="17" cm="1">
        <f t="array" ref="F27">BudgetDolVariance(C27,E27)</f>
        <v>205</v>
      </c>
      <c r="G27" s="123" cm="1">
        <f t="array" ref="G27">BudgetPctVariance(C27,E27)</f>
        <v>9.99</v>
      </c>
      <c r="H27" s="17">
        <v>70</v>
      </c>
      <c r="I27" s="137" cm="1">
        <f t="array" ref="I27">BudgetPctVariance(H27,E27)</f>
        <v>1.9286000000000001</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676</v>
      </c>
      <c r="D29" s="124" cm="1">
        <f t="array" ref="D29">SeasonalBudPct($B$23,C29)</f>
        <v>0.26</v>
      </c>
      <c r="E29" s="20">
        <v>260</v>
      </c>
      <c r="F29" s="20" cm="1">
        <f t="array" ref="F29">BudgetDolVariance(C29,E29)</f>
        <v>-416</v>
      </c>
      <c r="G29" s="124" cm="1">
        <f t="array" ref="G29">BudgetPctVariance(C29,E29)</f>
        <v>-0.61539999999999995</v>
      </c>
      <c r="H29" s="20">
        <v>410.25</v>
      </c>
      <c r="I29" s="138" cm="1">
        <f t="array" ref="I29">BudgetPctVariance(H29,E29)</f>
        <v>-0.36620000000000003</v>
      </c>
      <c r="J29" s="161"/>
    </row>
    <row r="30" spans="1:10">
      <c r="A30" s="32" t="s">
        <v>583</v>
      </c>
      <c r="B30" s="33">
        <f>SUM(B23:B29)</f>
        <v>2600</v>
      </c>
      <c r="C30" s="34">
        <f>SUM(C23:C29)</f>
        <v>2213.1400000000003</v>
      </c>
      <c r="D30" s="129" cm="1">
        <f t="array" ref="D30">SeasonalBudPct(B30,C30)</f>
        <v>0.85119999999999996</v>
      </c>
      <c r="E30" s="39">
        <f>SUM(E23:E29)</f>
        <v>2031</v>
      </c>
      <c r="F30" s="33" cm="1">
        <f t="array" ref="F30">BudgetDolVariance(C30,E30)</f>
        <v>-182.13999999999987</v>
      </c>
      <c r="G30" s="129" cm="1">
        <f t="array" ref="G30">BudgetPctVariance(C30,E30)</f>
        <v>-8.2299999999999998E-2</v>
      </c>
      <c r="H30" s="33">
        <f>SUM(H23:H29)</f>
        <v>1863.25</v>
      </c>
      <c r="I30" s="142" cm="1">
        <f t="array" ref="I30">BudgetPctVariance(H30,E30)</f>
        <v>0.09</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1436.62</v>
      </c>
      <c r="F33" s="20" cm="1">
        <f t="array" ref="F33">BudgetDolVariance(C33,E33)</f>
        <v>1436.62</v>
      </c>
      <c r="G33" s="124" cm="1">
        <f t="array" ref="G33">BudgetPctVariance(C33,E33)</f>
        <v>9.99</v>
      </c>
      <c r="H33" s="20">
        <v>0</v>
      </c>
      <c r="I33" s="138" cm="1">
        <f t="array" ref="I33">BudgetPctVariance(H33,E33)</f>
        <v>9.99</v>
      </c>
      <c r="J33" s="161"/>
    </row>
    <row r="34" spans="1:10">
      <c r="A34" s="32" t="s">
        <v>584</v>
      </c>
      <c r="B34" s="33">
        <f>SUM(B32:B33)</f>
        <v>0</v>
      </c>
      <c r="C34" s="34">
        <f>SUM(C32:C33)</f>
        <v>0</v>
      </c>
      <c r="D34" s="129" t="str" cm="1">
        <f t="array" ref="D34">SeasonalBudPct(B34,C34)</f>
        <v/>
      </c>
      <c r="E34" s="33">
        <f>SUM(E32:E33)</f>
        <v>1436.62</v>
      </c>
      <c r="F34" s="33" cm="1">
        <f t="array" ref="F34">BudgetDolVariance(C34,E34)</f>
        <v>1436.62</v>
      </c>
      <c r="G34" s="129" cm="1">
        <f t="array" ref="G34">BudgetPctVariance(C34,E34)</f>
        <v>9.99</v>
      </c>
      <c r="H34" s="33">
        <f>SUM(H32:H33)</f>
        <v>0</v>
      </c>
      <c r="I34" s="142" cm="1">
        <f t="array" ref="I34">BudgetPctVariance(H34,E34)</f>
        <v>9.99</v>
      </c>
      <c r="J34" s="165">
        <v>1</v>
      </c>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184</v>
      </c>
      <c r="C40" s="17">
        <v>120.42</v>
      </c>
      <c r="D40" s="123" cm="1">
        <f t="array" ref="D40">SeasonalBudPct(B40,C40)</f>
        <v>0.65449999999999997</v>
      </c>
      <c r="E40" s="17">
        <v>244.81</v>
      </c>
      <c r="F40" s="17" cm="1">
        <f t="array" ref="F40">BudgetDolVariance(C40,E40)</f>
        <v>124.39</v>
      </c>
      <c r="G40" s="123" cm="1">
        <f t="array" ref="G40">BudgetPctVariance(C40,E40)</f>
        <v>1.0329999999999999</v>
      </c>
      <c r="H40" s="17">
        <v>125.97</v>
      </c>
      <c r="I40" s="146" cm="1">
        <f t="array" ref="I40">BudgetPctVariance(H40,E40)</f>
        <v>0.94340000000000002</v>
      </c>
      <c r="J40" s="160">
        <v>2</v>
      </c>
    </row>
    <row r="41" spans="1:10" outlineLevel="1">
      <c r="A41" s="19" t="s">
        <v>363</v>
      </c>
      <c r="B41" s="20">
        <v>16</v>
      </c>
      <c r="C41" s="20">
        <v>9.89</v>
      </c>
      <c r="D41" s="124" cm="1">
        <f t="array" ref="D41">SeasonalBudPct(B41,C41)</f>
        <v>0.61809999999999998</v>
      </c>
      <c r="E41" s="20">
        <v>21.49</v>
      </c>
      <c r="F41" s="20" cm="1">
        <f t="array" ref="F41">BudgetDolVariance(C41,E41)</f>
        <v>11.599999999999998</v>
      </c>
      <c r="G41" s="124" cm="1">
        <f t="array" ref="G41">BudgetPctVariance(C41,E41)</f>
        <v>1.1729000000000001</v>
      </c>
      <c r="H41" s="20">
        <v>11.55</v>
      </c>
      <c r="I41" s="147" cm="1">
        <f t="array" ref="I41">BudgetPctVariance(H41,E41)</f>
        <v>0.86060000000000003</v>
      </c>
      <c r="J41" s="161">
        <v>3</v>
      </c>
    </row>
    <row r="42" spans="1:10">
      <c r="A42" s="38" t="s">
        <v>586</v>
      </c>
      <c r="B42" s="39">
        <f>SUM(B36:B41)</f>
        <v>200</v>
      </c>
      <c r="C42" s="265">
        <f>SUM(C36:C41)</f>
        <v>130.31</v>
      </c>
      <c r="D42" s="129" cm="1">
        <f t="array" ref="D42">SeasonalBudPct(B42,C42)</f>
        <v>0.65159999999999996</v>
      </c>
      <c r="E42" s="39">
        <f>SUM(E36:E41)</f>
        <v>266.3</v>
      </c>
      <c r="F42" s="33" cm="1">
        <f t="array" ref="F42">BudgetDolVariance(C42,E42)</f>
        <v>135.99</v>
      </c>
      <c r="G42" s="135" cm="1">
        <f t="array" ref="G42">BudgetPctVariance(C42,E42)</f>
        <v>1.0436000000000001</v>
      </c>
      <c r="H42" s="30">
        <f>SUM(H36:H41)</f>
        <v>137.52000000000001</v>
      </c>
      <c r="I42" s="142" cm="1">
        <f t="array" ref="I42">BudgetPctVariance(H42,E42)</f>
        <v>0.93640000000000001</v>
      </c>
      <c r="J42" s="165"/>
    </row>
    <row r="43" spans="1:10" ht="16.2" thickBot="1">
      <c r="A43" s="23" t="s">
        <v>587</v>
      </c>
      <c r="B43" s="24">
        <f>SUM(B21,B30,B34,B42)</f>
        <v>2800</v>
      </c>
      <c r="C43" s="24">
        <f>SUM(C21,C30,C34,C42)</f>
        <v>2343.4500000000003</v>
      </c>
      <c r="D43" s="125" cm="1">
        <f t="array" ref="D43">SeasonalBudPct(B43,C43)</f>
        <v>0.83689999999999998</v>
      </c>
      <c r="E43" s="24">
        <f>SUM(E21,E30,E34,E42)</f>
        <v>3733.92</v>
      </c>
      <c r="F43" s="24" cm="1">
        <f t="array" ref="F43">BudgetDolVariance(C43,E43)</f>
        <v>1390.4700000000003</v>
      </c>
      <c r="G43" s="125" cm="1">
        <f t="array" ref="G43">BudgetPctVariance(C43,E43)</f>
        <v>0.59330000000000005</v>
      </c>
      <c r="H43" s="24">
        <f>SUM(H21,H30,H34,H42)</f>
        <v>2000.77</v>
      </c>
      <c r="I43" s="125" cm="1">
        <f t="array" ref="I43">BudgetPctVariance(H43,E43)</f>
        <v>0.86619999999999997</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-433.54999999999973</v>
      </c>
      <c r="D48" s="125" cm="1">
        <f t="array" ref="D48">SeasonalBudPct(B48,C48)</f>
        <v>9.99</v>
      </c>
      <c r="E48" s="24">
        <f>SUM(E12,E43,E47)</f>
        <v>933.92000000000007</v>
      </c>
      <c r="F48" s="24" cm="1">
        <f t="array" ref="F48">BudgetDolVariance(C48,E48)</f>
        <v>1367.47</v>
      </c>
      <c r="G48" s="125" cm="1">
        <f t="array" ref="G48">BudgetPctVariance(C48,E48)</f>
        <v>-3.1541000000000001</v>
      </c>
      <c r="H48" s="24">
        <f>SUM(H12,H43,H47)</f>
        <v>-776.23</v>
      </c>
      <c r="I48" s="150" cm="1">
        <f t="array" ref="I48">BudgetPctVariance(H48,E48)</f>
        <v>-2.2031000000000001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F53946D2-C643-4D64-AC7F-BA5C784D1EB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4A752-C40D-452A-AE43-8EC6E56059DA}">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392</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-96681</v>
      </c>
      <c r="C8" s="15">
        <v>-95890</v>
      </c>
      <c r="D8" s="122" cm="1">
        <f t="array" ref="D8">SeasonalBudPct(B8,C8)</f>
        <v>0.99180000000000001</v>
      </c>
      <c r="E8" s="15">
        <v>-96681</v>
      </c>
      <c r="F8" s="15" cm="1">
        <f t="array" ref="F8">BudgetDolVariance(C8,E8)</f>
        <v>-791</v>
      </c>
      <c r="G8" s="122" cm="1">
        <f t="array" ref="G8">BudgetPctVariance(C8,E8)</f>
        <v>8.2000000000000007E-3</v>
      </c>
      <c r="H8" s="15">
        <v>-95890</v>
      </c>
      <c r="I8" s="136" cm="1">
        <f t="array" ref="I8">BudgetPctVariance(H8,E8)</f>
        <v>8.2000000000000007E-3</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-96681</v>
      </c>
      <c r="C12" s="24">
        <f>SUM(C8:C11)</f>
        <v>-95890</v>
      </c>
      <c r="D12" s="125" cm="1">
        <f t="array" ref="D12">SeasonalBudPct(B12,C12)</f>
        <v>0.99180000000000001</v>
      </c>
      <c r="E12" s="24">
        <f>SUM(E8:E11)</f>
        <v>-96681</v>
      </c>
      <c r="F12" s="24" cm="1">
        <f t="array" ref="F12">BudgetDolVariance(C12,E12)</f>
        <v>-791</v>
      </c>
      <c r="G12" s="125" cm="1">
        <f t="array" ref="G12">BudgetPctVariance(C12,E12)</f>
        <v>8.2000000000000007E-3</v>
      </c>
      <c r="H12" s="24">
        <f>SUM(H8:H11)</f>
        <v>-95890</v>
      </c>
      <c r="I12" s="139" cm="1">
        <f t="array" ref="I12">BudgetPctVariance(H12,E12)</f>
        <v>8.2000000000000007E-3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48254</v>
      </c>
      <c r="C17" s="185">
        <v>38380.769999999997</v>
      </c>
      <c r="D17" s="186" cm="1">
        <f t="array" ref="D17">SeasonalBudPct(B17,C17)</f>
        <v>0.7954</v>
      </c>
      <c r="E17" s="184">
        <v>25709.37</v>
      </c>
      <c r="F17" s="185" cm="1">
        <f t="array" ref="F17">BudgetDolVariance(C17,E17)</f>
        <v>-12671.399999999998</v>
      </c>
      <c r="G17" s="186" cm="1">
        <f t="array" ref="G17">BudgetPctVariance(C17,E17)</f>
        <v>-0.3301</v>
      </c>
      <c r="H17" s="185">
        <v>26505.8</v>
      </c>
      <c r="I17" s="187" cm="1">
        <f t="array" ref="I17">BudgetPctVariance(H17,E17)</f>
        <v>-0.03</v>
      </c>
      <c r="J17" s="188">
        <v>1</v>
      </c>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531</v>
      </c>
      <c r="C20" s="20">
        <v>382.77</v>
      </c>
      <c r="D20" s="124" cm="1">
        <f t="array" ref="D20">SeasonalBudPct(B20,C20)</f>
        <v>0.7208</v>
      </c>
      <c r="E20" s="20">
        <v>282.82</v>
      </c>
      <c r="F20" s="20" cm="1">
        <f t="array" ref="F20">BudgetDolVariance(C20,E20)</f>
        <v>-99.949999999999989</v>
      </c>
      <c r="G20" s="124" cm="1">
        <f t="array" ref="G20">BudgetPctVariance(C20,E20)</f>
        <v>-0.2611</v>
      </c>
      <c r="H20" s="20">
        <v>212.04</v>
      </c>
      <c r="I20" s="138" cm="1">
        <f t="array" ref="I20">BudgetPctVariance(H20,E20)</f>
        <v>0.33379999999999999</v>
      </c>
      <c r="J20" s="161">
        <v>1</v>
      </c>
    </row>
    <row r="21" spans="1:10">
      <c r="A21" s="32" t="s">
        <v>581</v>
      </c>
      <c r="B21" s="33">
        <f>SUM(B15:B20)</f>
        <v>48785</v>
      </c>
      <c r="C21" s="34">
        <f>SUM(C15:C20)</f>
        <v>38763.539999999994</v>
      </c>
      <c r="D21" s="129" cm="1">
        <f t="array" ref="D21">SeasonalBudPct(B21,C21)</f>
        <v>0.79459999999999997</v>
      </c>
      <c r="E21" s="33">
        <f>SUM(E15:E20)</f>
        <v>25992.19</v>
      </c>
      <c r="F21" s="33" cm="1">
        <f t="array" ref="F21">BudgetDolVariance(C21,E21)</f>
        <v>-12771.350000000002</v>
      </c>
      <c r="G21" s="129" cm="1">
        <f t="array" ref="G21">BudgetPctVariance(C21,E21)</f>
        <v>-0.32950000000000002</v>
      </c>
      <c r="H21" s="33">
        <f>SUM(H15:H20)</f>
        <v>26717.84</v>
      </c>
      <c r="I21" s="142" cm="1">
        <f t="array" ref="I21">BudgetPctVariance(H21,E21)</f>
        <v>-2.7199999999999998E-2</v>
      </c>
      <c r="J21" s="164"/>
    </row>
    <row r="22" spans="1:10">
      <c r="A22" s="35" t="s">
        <v>582</v>
      </c>
      <c r="B22" s="36"/>
      <c r="C22" s="36"/>
      <c r="D22" s="130"/>
      <c r="E22" s="36"/>
      <c r="F22" s="36"/>
      <c r="G22" s="130"/>
      <c r="H22" s="36"/>
      <c r="I22" s="143"/>
      <c r="J22" s="154"/>
    </row>
    <row r="23" spans="1:10" outlineLevel="1">
      <c r="A23" s="189" t="s">
        <v>261</v>
      </c>
      <c r="B23" s="190">
        <v>41000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1569.79</v>
      </c>
      <c r="D25" s="123" cm="1">
        <f t="array" ref="D25">SeasonalBudPct($B$23,C25)</f>
        <v>3.8300000000000001E-2</v>
      </c>
      <c r="E25" s="17">
        <v>950.76</v>
      </c>
      <c r="F25" s="17" cm="1">
        <f t="array" ref="F25">BudgetDolVariance(C25,E25)</f>
        <v>-619.03</v>
      </c>
      <c r="G25" s="123" cm="1">
        <f t="array" ref="G25">BudgetPctVariance(C25,E25)</f>
        <v>-0.39429999999999998</v>
      </c>
      <c r="H25" s="17">
        <v>780.12</v>
      </c>
      <c r="I25" s="137" cm="1">
        <f t="array" ref="I25">BudgetPctVariance(H25,E25)</f>
        <v>0.21870000000000001</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26389.03</v>
      </c>
      <c r="D29" s="124" cm="1">
        <f t="array" ref="D29">SeasonalBudPct($B$23,C29)</f>
        <v>0.64359999999999995</v>
      </c>
      <c r="E29" s="20">
        <v>32195.7</v>
      </c>
      <c r="F29" s="20" cm="1">
        <f t="array" ref="F29">BudgetDolVariance(C29,E29)</f>
        <v>5806.6700000000019</v>
      </c>
      <c r="G29" s="124" cm="1">
        <f t="array" ref="G29">BudgetPctVariance(C29,E29)</f>
        <v>0.22</v>
      </c>
      <c r="H29" s="20">
        <v>25293.1</v>
      </c>
      <c r="I29" s="138" cm="1">
        <f t="array" ref="I29">BudgetPctVariance(H29,E29)</f>
        <v>0.27289999999999998</v>
      </c>
      <c r="J29" s="161"/>
    </row>
    <row r="30" spans="1:10">
      <c r="A30" s="32" t="s">
        <v>583</v>
      </c>
      <c r="B30" s="33">
        <f>SUM(B23:B29)</f>
        <v>41000</v>
      </c>
      <c r="C30" s="34">
        <f>SUM(C23:C29)</f>
        <v>27958.82</v>
      </c>
      <c r="D30" s="129" cm="1">
        <f t="array" ref="D30">SeasonalBudPct(B30,C30)</f>
        <v>0.68189999999999995</v>
      </c>
      <c r="E30" s="39">
        <f>SUM(E23:E29)</f>
        <v>33146.46</v>
      </c>
      <c r="F30" s="33" cm="1">
        <f t="array" ref="F30">BudgetDolVariance(C30,E30)</f>
        <v>5187.6399999999994</v>
      </c>
      <c r="G30" s="129" cm="1">
        <f t="array" ref="G30">BudgetPctVariance(C30,E30)</f>
        <v>0.1855</v>
      </c>
      <c r="H30" s="33">
        <f>SUM(H23:H29)</f>
        <v>26073.219999999998</v>
      </c>
      <c r="I30" s="142" cm="1">
        <f t="array" ref="I30">BudgetPctVariance(H30,E30)</f>
        <v>0.27129999999999999</v>
      </c>
      <c r="J30" s="165">
        <v>2</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6339</v>
      </c>
      <c r="C40" s="17">
        <v>4252.25</v>
      </c>
      <c r="D40" s="123" cm="1">
        <f t="array" ref="D40">SeasonalBudPct(B40,C40)</f>
        <v>0.67079999999999995</v>
      </c>
      <c r="E40" s="17">
        <v>4175.1899999999996</v>
      </c>
      <c r="F40" s="17" cm="1">
        <f t="array" ref="F40">BudgetDolVariance(C40,E40)</f>
        <v>-77.0600000000004</v>
      </c>
      <c r="G40" s="123" cm="1">
        <f t="array" ref="G40">BudgetPctVariance(C40,E40)</f>
        <v>-1.8100000000000002E-2</v>
      </c>
      <c r="H40" s="17">
        <v>3568.68</v>
      </c>
      <c r="I40" s="146" cm="1">
        <f t="array" ref="I40">BudgetPctVariance(H40,E40)</f>
        <v>0.17</v>
      </c>
      <c r="J40" s="160"/>
    </row>
    <row r="41" spans="1:10" outlineLevel="1">
      <c r="A41" s="19" t="s">
        <v>363</v>
      </c>
      <c r="B41" s="20">
        <v>557</v>
      </c>
      <c r="C41" s="20">
        <v>345.97</v>
      </c>
      <c r="D41" s="124" cm="1">
        <f t="array" ref="D41">SeasonalBudPct(B41,C41)</f>
        <v>0.62109999999999999</v>
      </c>
      <c r="E41" s="20">
        <v>366.68</v>
      </c>
      <c r="F41" s="20" cm="1">
        <f t="array" ref="F41">BudgetDolVariance(C41,E41)</f>
        <v>20.70999999999998</v>
      </c>
      <c r="G41" s="124" cm="1">
        <f t="array" ref="G41">BudgetPctVariance(C41,E41)</f>
        <v>5.9900000000000002E-2</v>
      </c>
      <c r="H41" s="20">
        <v>327.31</v>
      </c>
      <c r="I41" s="147" cm="1">
        <f t="array" ref="I41">BudgetPctVariance(H41,E41)</f>
        <v>0.1203</v>
      </c>
      <c r="J41" s="161"/>
    </row>
    <row r="42" spans="1:10">
      <c r="A42" s="38" t="s">
        <v>586</v>
      </c>
      <c r="B42" s="39">
        <f>SUM(B36:B41)</f>
        <v>6896</v>
      </c>
      <c r="C42" s="265">
        <f>SUM(C36:C41)</f>
        <v>4598.22</v>
      </c>
      <c r="D42" s="129" cm="1">
        <f t="array" ref="D42">SeasonalBudPct(B42,C42)</f>
        <v>0.66679999999999995</v>
      </c>
      <c r="E42" s="39">
        <f>SUM(E36:E41)</f>
        <v>4541.87</v>
      </c>
      <c r="F42" s="33" cm="1">
        <f t="array" ref="F42">BudgetDolVariance(C42,E42)</f>
        <v>-56.350000000000364</v>
      </c>
      <c r="G42" s="135" cm="1">
        <f t="array" ref="G42">BudgetPctVariance(C42,E42)</f>
        <v>-1.23E-2</v>
      </c>
      <c r="H42" s="30">
        <f>SUM(H36:H41)</f>
        <v>3895.99</v>
      </c>
      <c r="I42" s="142" cm="1">
        <f t="array" ref="I42">BudgetPctVariance(H42,E42)</f>
        <v>0.1658</v>
      </c>
      <c r="J42" s="165"/>
    </row>
    <row r="43" spans="1:10" ht="16.2" thickBot="1">
      <c r="A43" s="23" t="s">
        <v>587</v>
      </c>
      <c r="B43" s="24">
        <f>SUM(B21,B30,B34,B42)</f>
        <v>96681</v>
      </c>
      <c r="C43" s="24">
        <f>SUM(C21,C30,C34,C42)</f>
        <v>71320.579999999987</v>
      </c>
      <c r="D43" s="125" cm="1">
        <f t="array" ref="D43">SeasonalBudPct(B43,C43)</f>
        <v>0.73770000000000002</v>
      </c>
      <c r="E43" s="24">
        <f>SUM(E21,E30,E34,E42)</f>
        <v>63680.52</v>
      </c>
      <c r="F43" s="24" cm="1">
        <f t="array" ref="F43">BudgetDolVariance(C43,E43)</f>
        <v>-7640.0600000000049</v>
      </c>
      <c r="G43" s="125" cm="1">
        <f t="array" ref="G43">BudgetPctVariance(C43,E43)</f>
        <v>-0.1071</v>
      </c>
      <c r="H43" s="24">
        <f>SUM(H21,H30,H34,H42)</f>
        <v>56687.049999999996</v>
      </c>
      <c r="I43" s="125" cm="1">
        <f t="array" ref="I43">BudgetPctVariance(H43,E43)</f>
        <v>0.1234</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-24569.420000000013</v>
      </c>
      <c r="D48" s="125" cm="1">
        <f t="array" ref="D48">SeasonalBudPct(B48,C48)</f>
        <v>9.99</v>
      </c>
      <c r="E48" s="24">
        <f>SUM(E12,E43,E47)</f>
        <v>-33000.480000000003</v>
      </c>
      <c r="F48" s="24" cm="1">
        <f t="array" ref="F48">BudgetDolVariance(C48,E48)</f>
        <v>-8431.0600000000049</v>
      </c>
      <c r="G48" s="125" cm="1">
        <f t="array" ref="G48">BudgetPctVariance(C48,E48)</f>
        <v>0.34320000000000001</v>
      </c>
      <c r="H48" s="24">
        <f>SUM(H12,H43,H47)</f>
        <v>-39202.950000000004</v>
      </c>
      <c r="I48" s="150" cm="1">
        <f t="array" ref="I48">BudgetPctVariance(H48,E48)</f>
        <v>-0.15820000000000001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D405EA87-A493-4CBB-90E8-9891496182CC}"/>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C2286-86D2-40A1-B603-AD48DBBE2A63}">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407</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-538</v>
      </c>
      <c r="C8" s="15">
        <v>-1063</v>
      </c>
      <c r="D8" s="122" cm="1">
        <f t="array" ref="D8">SeasonalBudPct(B8,C8)</f>
        <v>1.9758</v>
      </c>
      <c r="E8" s="15">
        <v>-538</v>
      </c>
      <c r="F8" s="15" cm="1">
        <f t="array" ref="F8">BudgetDolVariance(C8,E8)</f>
        <v>525</v>
      </c>
      <c r="G8" s="122" cm="1">
        <f t="array" ref="G8">BudgetPctVariance(C8,E8)</f>
        <v>-0.49390000000000001</v>
      </c>
      <c r="H8" s="15">
        <v>-1063</v>
      </c>
      <c r="I8" s="136" cm="1">
        <f t="array" ref="I8">BudgetPctVariance(H8,E8)</f>
        <v>-0.49390000000000001</v>
      </c>
      <c r="J8" s="159">
        <v>1</v>
      </c>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-538</v>
      </c>
      <c r="C12" s="24">
        <f>SUM(C8:C11)</f>
        <v>-1063</v>
      </c>
      <c r="D12" s="125" cm="1">
        <f t="array" ref="D12">SeasonalBudPct(B12,C12)</f>
        <v>1.9758</v>
      </c>
      <c r="E12" s="24">
        <f>SUM(E8:E11)</f>
        <v>-538</v>
      </c>
      <c r="F12" s="24" cm="1">
        <f t="array" ref="F12">BudgetDolVariance(C12,E12)</f>
        <v>525</v>
      </c>
      <c r="G12" s="125" cm="1">
        <f t="array" ref="G12">BudgetPctVariance(C12,E12)</f>
        <v>-0.49390000000000001</v>
      </c>
      <c r="H12" s="24">
        <f>SUM(H8:H11)</f>
        <v>-1063</v>
      </c>
      <c r="I12" s="139" cm="1">
        <f t="array" ref="I12">BudgetPctVariance(H12,E12)</f>
        <v>-0.49390000000000001</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500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150</v>
      </c>
      <c r="I28" s="137" cm="1">
        <f t="array" ref="I28">BudgetPctVariance(H28,E28)</f>
        <v>-1</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0</v>
      </c>
      <c r="I29" s="138" t="str" cm="1">
        <f t="array" ref="I29">BudgetPctVariance(H29,E29)</f>
        <v/>
      </c>
      <c r="J29" s="161"/>
    </row>
    <row r="30" spans="1:10">
      <c r="A30" s="32" t="s">
        <v>583</v>
      </c>
      <c r="B30" s="33">
        <f>SUM(B23:B29)</f>
        <v>500</v>
      </c>
      <c r="C30" s="34">
        <f>SUM(C23:C29)</f>
        <v>0</v>
      </c>
      <c r="D30" s="129" t="str" cm="1">
        <f t="array" ref="D30">SeasonalBudPct(B30,C30)</f>
        <v/>
      </c>
      <c r="E30" s="39">
        <f>SUM(E23:E29)</f>
        <v>0</v>
      </c>
      <c r="F30" s="33" t="str" cm="1">
        <f t="array" ref="F30">BudgetDolVariance(C30,E30)</f>
        <v/>
      </c>
      <c r="G30" s="129" t="str" cm="1">
        <f t="array" ref="G30">BudgetPctVariance(C30,E30)</f>
        <v/>
      </c>
      <c r="H30" s="33">
        <f>SUM(H23:H29)</f>
        <v>150</v>
      </c>
      <c r="I30" s="142" cm="1">
        <f t="array" ref="I30">BudgetPctVariance(H30,E30)</f>
        <v>-1</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35</v>
      </c>
      <c r="C40" s="17">
        <v>0</v>
      </c>
      <c r="D40" s="123" t="str" cm="1">
        <f t="array" ref="D40">SeasonalBudPct(B40,C40)</f>
        <v/>
      </c>
      <c r="E40" s="17">
        <v>0</v>
      </c>
      <c r="F40" s="17" t="str" cm="1">
        <f t="array" ref="F40">BudgetDolVariance(C40,E40)</f>
        <v/>
      </c>
      <c r="G40" s="123" t="str" cm="1">
        <f t="array" ref="G40">BudgetPctVariance(C40,E40)</f>
        <v/>
      </c>
      <c r="H40" s="17">
        <v>10.14</v>
      </c>
      <c r="I40" s="146" cm="1">
        <f t="array" ref="I40">BudgetPctVariance(H40,E40)</f>
        <v>-1</v>
      </c>
      <c r="J40" s="160"/>
    </row>
    <row r="41" spans="1:10" outlineLevel="1">
      <c r="A41" s="19" t="s">
        <v>363</v>
      </c>
      <c r="B41" s="20">
        <v>3</v>
      </c>
      <c r="C41" s="20">
        <v>0</v>
      </c>
      <c r="D41" s="124" t="str" cm="1">
        <f t="array" ref="D41">SeasonalBudPct(B41,C41)</f>
        <v/>
      </c>
      <c r="E41" s="20">
        <v>0</v>
      </c>
      <c r="F41" s="20" t="str" cm="1">
        <f t="array" ref="F41">BudgetDolVariance(C41,E41)</f>
        <v/>
      </c>
      <c r="G41" s="124" t="str" cm="1">
        <f t="array" ref="G41">BudgetPctVariance(C41,E41)</f>
        <v/>
      </c>
      <c r="H41" s="20">
        <v>0.94</v>
      </c>
      <c r="I41" s="147" cm="1">
        <f t="array" ref="I41">BudgetPctVariance(H41,E41)</f>
        <v>-1</v>
      </c>
      <c r="J41" s="161"/>
    </row>
    <row r="42" spans="1:10">
      <c r="A42" s="38" t="s">
        <v>586</v>
      </c>
      <c r="B42" s="39">
        <f>SUM(B36:B41)</f>
        <v>38</v>
      </c>
      <c r="C42" s="265">
        <f>SUM(C36:C41)</f>
        <v>0</v>
      </c>
      <c r="D42" s="129" t="str" cm="1">
        <f t="array" ref="D42">SeasonalBudPct(B42,C42)</f>
        <v/>
      </c>
      <c r="E42" s="39">
        <f>SUM(E36:E41)</f>
        <v>0</v>
      </c>
      <c r="F42" s="33" t="str" cm="1">
        <f t="array" ref="F42">BudgetDolVariance(C42,E42)</f>
        <v/>
      </c>
      <c r="G42" s="135" t="str" cm="1">
        <f t="array" ref="G42">BudgetPctVariance(C42,E42)</f>
        <v/>
      </c>
      <c r="H42" s="30">
        <f>SUM(H36:H41)</f>
        <v>11.08</v>
      </c>
      <c r="I42" s="142" cm="1">
        <f t="array" ref="I42">BudgetPctVariance(H42,E42)</f>
        <v>-1</v>
      </c>
      <c r="J42" s="165"/>
    </row>
    <row r="43" spans="1:10" ht="16.2" thickBot="1">
      <c r="A43" s="23" t="s">
        <v>587</v>
      </c>
      <c r="B43" s="24">
        <f>SUM(B21,B30,B34,B42)</f>
        <v>538</v>
      </c>
      <c r="C43" s="24">
        <f>SUM(C21,C30,C34,C42)</f>
        <v>0</v>
      </c>
      <c r="D43" s="125" t="str" cm="1">
        <f t="array" ref="D43">SeasonalBudPct(B43,C43)</f>
        <v/>
      </c>
      <c r="E43" s="24">
        <f>SUM(E21,E30,E34,E42)</f>
        <v>0</v>
      </c>
      <c r="F43" s="24" t="str" cm="1">
        <f t="array" ref="F43">BudgetDolVariance(C43,E43)</f>
        <v/>
      </c>
      <c r="G43" s="125" t="str" cm="1">
        <f t="array" ref="G43">BudgetPctVariance(C43,E43)</f>
        <v/>
      </c>
      <c r="H43" s="24">
        <f>SUM(H21,H30,H34,H42)</f>
        <v>161.08000000000001</v>
      </c>
      <c r="I43" s="125" cm="1">
        <f t="array" ref="I43">BudgetPctVariance(H43,E43)</f>
        <v>-1</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-1063</v>
      </c>
      <c r="D48" s="125" cm="1">
        <f t="array" ref="D48">SeasonalBudPct(B48,C48)</f>
        <v>9.99</v>
      </c>
      <c r="E48" s="24">
        <f>SUM(E12,E43,E47)</f>
        <v>-538</v>
      </c>
      <c r="F48" s="24" cm="1">
        <f t="array" ref="F48">BudgetDolVariance(C48,E48)</f>
        <v>525</v>
      </c>
      <c r="G48" s="125" cm="1">
        <f t="array" ref="G48">BudgetPctVariance(C48,E48)</f>
        <v>-0.49390000000000001</v>
      </c>
      <c r="H48" s="24">
        <f>SUM(H12,H43,H47)</f>
        <v>-901.92</v>
      </c>
      <c r="I48" s="150" cm="1">
        <f t="array" ref="I48">BudgetPctVariance(H48,E48)</f>
        <v>-0.40350000000000003</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B53" s="267"/>
    </row>
    <row r="54" spans="1:10">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1C101C1B-43A8-4BD2-82C8-DF9820E40BA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F00D7-38F5-407A-A0CF-5E7E92C496C1}">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403</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-21810</v>
      </c>
      <c r="C8" s="15">
        <v>-21631</v>
      </c>
      <c r="D8" s="122" cm="1">
        <f t="array" ref="D8">SeasonalBudPct(B8,C8)</f>
        <v>0.99180000000000001</v>
      </c>
      <c r="E8" s="15">
        <v>-21810</v>
      </c>
      <c r="F8" s="15" cm="1">
        <f t="array" ref="F8">BudgetDolVariance(C8,E8)</f>
        <v>-179</v>
      </c>
      <c r="G8" s="122" cm="1">
        <f t="array" ref="G8">BudgetPctVariance(C8,E8)</f>
        <v>8.3000000000000001E-3</v>
      </c>
      <c r="H8" s="15">
        <v>-21631</v>
      </c>
      <c r="I8" s="136" cm="1">
        <f t="array" ref="I8">BudgetPctVariance(H8,E8)</f>
        <v>8.3000000000000001E-3</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-21810</v>
      </c>
      <c r="C12" s="24">
        <f>SUM(C8:C11)</f>
        <v>-21631</v>
      </c>
      <c r="D12" s="125" cm="1">
        <f t="array" ref="D12">SeasonalBudPct(B12,C12)</f>
        <v>0.99180000000000001</v>
      </c>
      <c r="E12" s="24">
        <f>SUM(E8:E11)</f>
        <v>-21810</v>
      </c>
      <c r="F12" s="24" cm="1">
        <f t="array" ref="F12">BudgetDolVariance(C12,E12)</f>
        <v>-179</v>
      </c>
      <c r="G12" s="125" cm="1">
        <f t="array" ref="G12">BudgetPctVariance(C12,E12)</f>
        <v>8.3000000000000001E-3</v>
      </c>
      <c r="H12" s="24">
        <f>SUM(H8:H11)</f>
        <v>-21631</v>
      </c>
      <c r="I12" s="139" cm="1">
        <f t="array" ref="I12">BudgetPctVariance(H12,E12)</f>
        <v>8.3000000000000001E-3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203</v>
      </c>
      <c r="F17" s="185" cm="1">
        <f t="array" ref="F17">BudgetDolVariance(C17,E17)</f>
        <v>203</v>
      </c>
      <c r="G17" s="186" cm="1">
        <f t="array" ref="G17">BudgetPctVariance(C17,E17)</f>
        <v>9.99</v>
      </c>
      <c r="H17" s="185">
        <v>0</v>
      </c>
      <c r="I17" s="187" cm="1">
        <f t="array" ref="I17">BudgetPctVariance(H17,E17)</f>
        <v>9.99</v>
      </c>
      <c r="J17" s="188">
        <v>1</v>
      </c>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2.23</v>
      </c>
      <c r="F20" s="20" cm="1">
        <f t="array" ref="F20">BudgetDolVariance(C20,E20)</f>
        <v>2.23</v>
      </c>
      <c r="G20" s="124" cm="1">
        <f t="array" ref="G20">BudgetPctVariance(C20,E20)</f>
        <v>9.99</v>
      </c>
      <c r="H20" s="20">
        <v>0</v>
      </c>
      <c r="I20" s="138" cm="1">
        <f t="array" ref="I20">BudgetPctVariance(H20,E20)</f>
        <v>9.99</v>
      </c>
      <c r="J20" s="161">
        <v>1</v>
      </c>
    </row>
    <row r="21" spans="1:10">
      <c r="A21" s="32" t="s">
        <v>581</v>
      </c>
      <c r="B21" s="33">
        <f>SUM(B15:B20)</f>
        <v>0</v>
      </c>
      <c r="C21" s="34">
        <f>SUM(C15:C20)</f>
        <v>0</v>
      </c>
      <c r="D21" s="129" t="str" cm="1">
        <f t="array" ref="D21">SeasonalBudPct(B21,C21)</f>
        <v/>
      </c>
      <c r="E21" s="33">
        <f>SUM(E15:E20)</f>
        <v>205.23</v>
      </c>
      <c r="F21" s="33" cm="1">
        <f t="array" ref="F21">BudgetDolVariance(C21,E21)</f>
        <v>205.23</v>
      </c>
      <c r="G21" s="129" cm="1">
        <f t="array" ref="G21">BudgetPctVariance(C21,E21)</f>
        <v>9.99</v>
      </c>
      <c r="H21" s="33">
        <f>SUM(H15:H20)</f>
        <v>0</v>
      </c>
      <c r="I21" s="142" cm="1">
        <f t="array" ref="I21">BudgetPctVariance(H21,E21)</f>
        <v>9.99</v>
      </c>
      <c r="J21" s="164"/>
    </row>
    <row r="22" spans="1:10">
      <c r="A22" s="35" t="s">
        <v>582</v>
      </c>
      <c r="B22" s="36"/>
      <c r="C22" s="36"/>
      <c r="D22" s="130"/>
      <c r="E22" s="36"/>
      <c r="F22" s="36"/>
      <c r="G22" s="130"/>
      <c r="H22" s="36"/>
      <c r="I22" s="143"/>
      <c r="J22" s="154"/>
    </row>
    <row r="23" spans="1:10" outlineLevel="1">
      <c r="A23" s="189" t="s">
        <v>261</v>
      </c>
      <c r="B23" s="190">
        <v>20254</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1240.8699999999999</v>
      </c>
      <c r="D25" s="123" cm="1">
        <f t="array" ref="D25">SeasonalBudPct($B$23,C25)</f>
        <v>6.13E-2</v>
      </c>
      <c r="E25" s="17">
        <v>2063.17</v>
      </c>
      <c r="F25" s="17" cm="1">
        <f t="array" ref="F25">BudgetDolVariance(C25,E25)</f>
        <v>822.30000000000018</v>
      </c>
      <c r="G25" s="123" cm="1">
        <f t="array" ref="G25">BudgetPctVariance(C25,E25)</f>
        <v>0.66269999999999996</v>
      </c>
      <c r="H25" s="17">
        <v>1453.09</v>
      </c>
      <c r="I25" s="137" cm="1">
        <f t="array" ref="I25">BudgetPctVariance(H25,E25)</f>
        <v>0.4199</v>
      </c>
      <c r="J25" s="160"/>
    </row>
    <row r="26" spans="1:10" outlineLevel="1">
      <c r="A26" s="16" t="s">
        <v>283</v>
      </c>
      <c r="B26" s="17">
        <v>0</v>
      </c>
      <c r="C26" s="17">
        <v>5802.76</v>
      </c>
      <c r="D26" s="123" cm="1">
        <f t="array" ref="D26">SeasonalBudPct($B$23,C26)</f>
        <v>0.28649999999999998</v>
      </c>
      <c r="E26" s="17">
        <v>2993.51</v>
      </c>
      <c r="F26" s="17" cm="1">
        <f t="array" ref="F26">BudgetDolVariance(C26,E26)</f>
        <v>-2809.25</v>
      </c>
      <c r="G26" s="123" cm="1">
        <f t="array" ref="G26">BudgetPctVariance(C26,E26)</f>
        <v>-0.48409999999999997</v>
      </c>
      <c r="H26" s="17">
        <v>219.47</v>
      </c>
      <c r="I26" s="137" cm="1">
        <f t="array" ref="I26">BudgetPctVariance(H26,E26)</f>
        <v>12.639699999999999</v>
      </c>
      <c r="J26" s="160"/>
    </row>
    <row r="27" spans="1:10" outlineLevel="1">
      <c r="A27" s="16" t="s">
        <v>286</v>
      </c>
      <c r="B27" s="17">
        <v>0</v>
      </c>
      <c r="C27" s="17">
        <v>271.44</v>
      </c>
      <c r="D27" s="123" cm="1">
        <f t="array" ref="D27">SeasonalBudPct($B$23,C27)</f>
        <v>1.34E-2</v>
      </c>
      <c r="E27" s="17">
        <v>26.75</v>
      </c>
      <c r="F27" s="17" cm="1">
        <f t="array" ref="F27">BudgetDolVariance(C27,E27)</f>
        <v>-244.69</v>
      </c>
      <c r="G27" s="123" cm="1">
        <f t="array" ref="G27">BudgetPctVariance(C27,E27)</f>
        <v>-0.90149999999999997</v>
      </c>
      <c r="H27" s="17">
        <v>0</v>
      </c>
      <c r="I27" s="137" cm="1">
        <f t="array" ref="I27">BudgetPctVariance(H27,E27)</f>
        <v>9.99</v>
      </c>
      <c r="J27" s="160"/>
    </row>
    <row r="28" spans="1:10" outlineLevel="1">
      <c r="A28" s="16" t="s">
        <v>288</v>
      </c>
      <c r="B28" s="17">
        <v>0</v>
      </c>
      <c r="C28" s="17">
        <v>3152.5</v>
      </c>
      <c r="D28" s="123" cm="1">
        <f t="array" ref="D28">SeasonalBudPct($B$23,C28)</f>
        <v>0.15559999999999999</v>
      </c>
      <c r="E28" s="17">
        <v>1967.38</v>
      </c>
      <c r="F28" s="17" cm="1">
        <f t="array" ref="F28">BudgetDolVariance(C28,E28)</f>
        <v>-1185.1199999999999</v>
      </c>
      <c r="G28" s="123" cm="1">
        <f t="array" ref="G28">BudgetPctVariance(C28,E28)</f>
        <v>-0.37590000000000001</v>
      </c>
      <c r="H28" s="17">
        <v>6730.59</v>
      </c>
      <c r="I28" s="137" cm="1">
        <f t="array" ref="I28">BudgetPctVariance(H28,E28)</f>
        <v>-0.7077</v>
      </c>
      <c r="J28" s="160"/>
    </row>
    <row r="29" spans="1:10" outlineLevel="1">
      <c r="A29" s="19" t="s">
        <v>292</v>
      </c>
      <c r="B29" s="20">
        <v>0</v>
      </c>
      <c r="C29" s="20">
        <v>4155.53</v>
      </c>
      <c r="D29" s="124" cm="1">
        <f t="array" ref="D29">SeasonalBudPct($B$23,C29)</f>
        <v>0.20519999999999999</v>
      </c>
      <c r="E29" s="20">
        <v>6258.58</v>
      </c>
      <c r="F29" s="20" cm="1">
        <f t="array" ref="F29">BudgetDolVariance(C29,E29)</f>
        <v>2103.0500000000002</v>
      </c>
      <c r="G29" s="124" cm="1">
        <f t="array" ref="G29">BudgetPctVariance(C29,E29)</f>
        <v>0.50609999999999999</v>
      </c>
      <c r="H29" s="20">
        <v>3900.18</v>
      </c>
      <c r="I29" s="138" cm="1">
        <f t="array" ref="I29">BudgetPctVariance(H29,E29)</f>
        <v>0.60470000000000002</v>
      </c>
      <c r="J29" s="161"/>
    </row>
    <row r="30" spans="1:10">
      <c r="A30" s="32" t="s">
        <v>583</v>
      </c>
      <c r="B30" s="33">
        <f>SUM(B23:B29)</f>
        <v>20254</v>
      </c>
      <c r="C30" s="34">
        <f>SUM(C23:C29)</f>
        <v>14623.099999999999</v>
      </c>
      <c r="D30" s="129" cm="1">
        <f t="array" ref="D30">SeasonalBudPct(B30,C30)</f>
        <v>0.72199999999999998</v>
      </c>
      <c r="E30" s="39">
        <f>SUM(E23:E29)</f>
        <v>13309.39</v>
      </c>
      <c r="F30" s="33" cm="1">
        <f t="array" ref="F30">BudgetDolVariance(C30,E30)</f>
        <v>-1313.7100000000009</v>
      </c>
      <c r="G30" s="129" cm="1">
        <f t="array" ref="G30">BudgetPctVariance(C30,E30)</f>
        <v>-8.9800000000000005E-2</v>
      </c>
      <c r="H30" s="33">
        <f>SUM(H23:H29)</f>
        <v>12303.33</v>
      </c>
      <c r="I30" s="142" cm="1">
        <f t="array" ref="I30">BudgetPctVariance(H30,E30)</f>
        <v>8.1799999999999998E-2</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2148.38</v>
      </c>
      <c r="F33" s="20" cm="1">
        <f t="array" ref="F33">BudgetDolVariance(C33,E33)</f>
        <v>2148.38</v>
      </c>
      <c r="G33" s="124" cm="1">
        <f t="array" ref="G33">BudgetPctVariance(C33,E33)</f>
        <v>9.99</v>
      </c>
      <c r="H33" s="20">
        <v>3981.6</v>
      </c>
      <c r="I33" s="138" cm="1">
        <f t="array" ref="I33">BudgetPctVariance(H33,E33)</f>
        <v>-0.46039999999999998</v>
      </c>
      <c r="J33" s="161"/>
    </row>
    <row r="34" spans="1:10">
      <c r="A34" s="32" t="s">
        <v>584</v>
      </c>
      <c r="B34" s="33">
        <f>SUM(B32:B33)</f>
        <v>0</v>
      </c>
      <c r="C34" s="34">
        <f>SUM(C32:C33)</f>
        <v>0</v>
      </c>
      <c r="D34" s="129" t="str" cm="1">
        <f t="array" ref="D34">SeasonalBudPct(B34,C34)</f>
        <v/>
      </c>
      <c r="E34" s="33">
        <f>SUM(E32:E33)</f>
        <v>2148.38</v>
      </c>
      <c r="F34" s="33" cm="1">
        <f t="array" ref="F34">BudgetDolVariance(C34,E34)</f>
        <v>2148.38</v>
      </c>
      <c r="G34" s="129" cm="1">
        <f t="array" ref="G34">BudgetPctVariance(C34,E34)</f>
        <v>9.99</v>
      </c>
      <c r="H34" s="33">
        <f>SUM(H32:H33)</f>
        <v>3981.6</v>
      </c>
      <c r="I34" s="142" cm="1">
        <f t="array" ref="I34">BudgetPctVariance(H34,E34)</f>
        <v>-0.46039999999999998</v>
      </c>
      <c r="J34" s="165">
        <v>2</v>
      </c>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1430</v>
      </c>
      <c r="C40" s="17">
        <v>939.88</v>
      </c>
      <c r="D40" s="123" cm="1">
        <f t="array" ref="D40">SeasonalBudPct(B40,C40)</f>
        <v>0.6573</v>
      </c>
      <c r="E40" s="17">
        <v>1105.81</v>
      </c>
      <c r="F40" s="17" cm="1">
        <f t="array" ref="F40">BudgetDolVariance(C40,E40)</f>
        <v>165.92999999999995</v>
      </c>
      <c r="G40" s="123" cm="1">
        <f t="array" ref="G40">BudgetPctVariance(C40,E40)</f>
        <v>0.17649999999999999</v>
      </c>
      <c r="H40" s="17">
        <v>1100.8599999999999</v>
      </c>
      <c r="I40" s="146" cm="1">
        <f t="array" ref="I40">BudgetPctVariance(H40,E40)</f>
        <v>4.4999999999999997E-3</v>
      </c>
      <c r="J40" s="160">
        <v>3</v>
      </c>
    </row>
    <row r="41" spans="1:10" outlineLevel="1">
      <c r="A41" s="19" t="s">
        <v>363</v>
      </c>
      <c r="B41" s="20">
        <v>126</v>
      </c>
      <c r="C41" s="20">
        <v>73.11</v>
      </c>
      <c r="D41" s="124" cm="1">
        <f t="array" ref="D41">SeasonalBudPct(B41,C41)</f>
        <v>0.58020000000000005</v>
      </c>
      <c r="E41" s="20">
        <v>97.11</v>
      </c>
      <c r="F41" s="20" cm="1">
        <f t="array" ref="F41">BudgetDolVariance(C41,E41)</f>
        <v>24</v>
      </c>
      <c r="G41" s="124" cm="1">
        <f t="array" ref="G41">BudgetPctVariance(C41,E41)</f>
        <v>0.32829999999999998</v>
      </c>
      <c r="H41" s="20">
        <v>100.97</v>
      </c>
      <c r="I41" s="147" cm="1">
        <f t="array" ref="I41">BudgetPctVariance(H41,E41)</f>
        <v>-3.8199999999999998E-2</v>
      </c>
      <c r="J41" s="161">
        <v>4</v>
      </c>
    </row>
    <row r="42" spans="1:10">
      <c r="A42" s="38" t="s">
        <v>586</v>
      </c>
      <c r="B42" s="39">
        <f>SUM(B36:B41)</f>
        <v>1556</v>
      </c>
      <c r="C42" s="265">
        <f>SUM(C36:C41)</f>
        <v>1012.99</v>
      </c>
      <c r="D42" s="129" cm="1">
        <f t="array" ref="D42">SeasonalBudPct(B42,C42)</f>
        <v>0.65100000000000002</v>
      </c>
      <c r="E42" s="39">
        <f>SUM(E36:E41)</f>
        <v>1202.9199999999998</v>
      </c>
      <c r="F42" s="33" cm="1">
        <f t="array" ref="F42">BudgetDolVariance(C42,E42)</f>
        <v>189.93000000000006</v>
      </c>
      <c r="G42" s="135" cm="1">
        <f t="array" ref="G42">BudgetPctVariance(C42,E42)</f>
        <v>0.1875</v>
      </c>
      <c r="H42" s="30">
        <f>SUM(H36:H41)</f>
        <v>1201.83</v>
      </c>
      <c r="I42" s="142" cm="1">
        <f t="array" ref="I42">BudgetPctVariance(H42,E42)</f>
        <v>8.9999999999999998E-4</v>
      </c>
      <c r="J42" s="165"/>
    </row>
    <row r="43" spans="1:10" ht="16.2" thickBot="1">
      <c r="A43" s="23" t="s">
        <v>587</v>
      </c>
      <c r="B43" s="24">
        <f>SUM(B21,B30,B34,B42)</f>
        <v>21810</v>
      </c>
      <c r="C43" s="24">
        <f>SUM(C21,C30,C34,C42)</f>
        <v>15636.089999999998</v>
      </c>
      <c r="D43" s="125" cm="1">
        <f t="array" ref="D43">SeasonalBudPct(B43,C43)</f>
        <v>0.71689999999999998</v>
      </c>
      <c r="E43" s="24">
        <f>SUM(E21,E30,E34,E42)</f>
        <v>16865.919999999998</v>
      </c>
      <c r="F43" s="24" cm="1">
        <f t="array" ref="F43">BudgetDolVariance(C43,E43)</f>
        <v>1229.8299999999981</v>
      </c>
      <c r="G43" s="125" cm="1">
        <f t="array" ref="G43">BudgetPctVariance(C43,E43)</f>
        <v>7.8700000000000006E-2</v>
      </c>
      <c r="H43" s="24">
        <f>SUM(H21,H30,H34,H42)</f>
        <v>17486.760000000002</v>
      </c>
      <c r="I43" s="125" cm="1">
        <f t="array" ref="I43">BudgetPctVariance(H43,E43)</f>
        <v>-3.5499999999999997E-2</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50248</v>
      </c>
      <c r="F45" s="15" cm="1">
        <f t="array" ref="F45">BudgetDolVariance(C45,E45)</f>
        <v>50248</v>
      </c>
      <c r="G45" s="122" cm="1">
        <f t="array" ref="G45">BudgetPctVariance(C45,E45)</f>
        <v>9.99</v>
      </c>
      <c r="H45" s="15">
        <v>129650.98</v>
      </c>
      <c r="I45" s="145" cm="1">
        <f t="array" ref="I45">BudgetPctVariance(H45,E45)</f>
        <v>-0.61240000000000006</v>
      </c>
      <c r="J45" s="163">
        <v>5</v>
      </c>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50248</v>
      </c>
      <c r="F47" s="13" cm="1">
        <f t="array" ref="F47">BudgetDolVariance(C47,E47)</f>
        <v>50248</v>
      </c>
      <c r="G47" s="131" cm="1">
        <f t="array" ref="G47">BudgetPctVariance(C47,E47)</f>
        <v>9.99</v>
      </c>
      <c r="H47" s="13">
        <f>SUM(H45:H46)</f>
        <v>129650.98</v>
      </c>
      <c r="I47" s="149" cm="1">
        <f t="array" ref="I47">BudgetPctVariance(H47,E47)</f>
        <v>-0.61240000000000006</v>
      </c>
      <c r="J47" s="166"/>
    </row>
    <row r="48" spans="1:10" ht="16.2" thickBot="1">
      <c r="A48" s="23" t="s">
        <v>590</v>
      </c>
      <c r="B48" s="24">
        <f>SUM(B12,B43,B47)</f>
        <v>0</v>
      </c>
      <c r="C48" s="24">
        <f>SUM(C12,C43,C47)</f>
        <v>-5994.9100000000017</v>
      </c>
      <c r="D48" s="125" cm="1">
        <f t="array" ref="D48">SeasonalBudPct(B48,C48)</f>
        <v>9.99</v>
      </c>
      <c r="E48" s="24">
        <f>SUM(E12,E43,E47)</f>
        <v>45303.92</v>
      </c>
      <c r="F48" s="24" cm="1">
        <f t="array" ref="F48">BudgetDolVariance(C48,E48)</f>
        <v>51298.83</v>
      </c>
      <c r="G48" s="125" cm="1">
        <f t="array" ref="G48">BudgetPctVariance(C48,E48)</f>
        <v>-8.5571000000000002</v>
      </c>
      <c r="H48" s="24">
        <f>SUM(H12,H43,H47)</f>
        <v>125506.73999999999</v>
      </c>
      <c r="I48" s="150" cm="1">
        <f t="array" ref="I48">BudgetPctVariance(H48,E48)</f>
        <v>-0.63900000000000001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A56" s="167" t="s">
        <v>804</v>
      </c>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DF49E7F3-FC40-430A-9D1C-DD6449601A89}"/>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B3DA7-67DB-45C8-B869-487F30D55556}">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417</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0</v>
      </c>
      <c r="C8" s="15">
        <v>0</v>
      </c>
      <c r="D8" s="122" t="str" cm="1">
        <f t="array" ref="D8">SeasonalBudPct(B8,C8)</f>
        <v/>
      </c>
      <c r="E8" s="15">
        <v>0</v>
      </c>
      <c r="F8" s="15" t="str" cm="1">
        <f t="array" ref="F8">BudgetDolVariance(C8,E8)</f>
        <v/>
      </c>
      <c r="G8" s="122" t="str" cm="1">
        <f t="array" ref="G8">BudgetPctVariance(C8,E8)</f>
        <v/>
      </c>
      <c r="H8" s="15">
        <v>0</v>
      </c>
      <c r="I8" s="136" t="str" cm="1">
        <f t="array" ref="I8">BudgetPctVariance(H8,E8)</f>
        <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0</v>
      </c>
      <c r="C12" s="24">
        <f>SUM(C8:C11)</f>
        <v>0</v>
      </c>
      <c r="D12" s="125" t="str" cm="1">
        <f t="array" ref="D12">SeasonalBudPct(B12,C12)</f>
        <v/>
      </c>
      <c r="E12" s="24">
        <f>SUM(E8:E11)</f>
        <v>0</v>
      </c>
      <c r="F12" s="24" t="str" cm="1">
        <f t="array" ref="F12">BudgetDolVariance(C12,E12)</f>
        <v/>
      </c>
      <c r="G12" s="125" t="str" cm="1">
        <f t="array" ref="G12">BudgetPctVariance(C12,E12)</f>
        <v/>
      </c>
      <c r="H12" s="24">
        <f>SUM(H8:H11)</f>
        <v>0</v>
      </c>
      <c r="I12" s="139" t="str" cm="1">
        <f t="array" ref="I12">BudgetPctVariance(H12,E12)</f>
        <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0</v>
      </c>
      <c r="I29" s="138" t="str" cm="1">
        <f t="array" ref="I29">BudgetPctVariance(H29,E29)</f>
        <v/>
      </c>
      <c r="J29" s="161"/>
    </row>
    <row r="30" spans="1:10">
      <c r="A30" s="32" t="s">
        <v>583</v>
      </c>
      <c r="B30" s="33">
        <f>SUM(B23:B29)</f>
        <v>0</v>
      </c>
      <c r="C30" s="34">
        <f>SUM(C23:C29)</f>
        <v>0</v>
      </c>
      <c r="D30" s="129" t="str" cm="1">
        <f t="array" ref="D30">SeasonalBudPct(B30,C30)</f>
        <v/>
      </c>
      <c r="E30" s="39">
        <f>SUM(E23:E29)</f>
        <v>0</v>
      </c>
      <c r="F30" s="33" t="str" cm="1">
        <f t="array" ref="F30">BudgetDolVariance(C30,E30)</f>
        <v/>
      </c>
      <c r="G30" s="129" t="str" cm="1">
        <f t="array" ref="G30">BudgetPctVariance(C30,E30)</f>
        <v/>
      </c>
      <c r="H30" s="33">
        <f>SUM(H23:H29)</f>
        <v>0</v>
      </c>
      <c r="I30" s="142" t="str" cm="1">
        <f t="array" ref="I30">BudgetPctVariance(H30,E30)</f>
        <v/>
      </c>
      <c r="J30" s="165"/>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0</v>
      </c>
      <c r="C40" s="17">
        <v>0</v>
      </c>
      <c r="D40" s="123" t="str" cm="1">
        <f t="array" ref="D40">SeasonalBudPct(B40,C40)</f>
        <v/>
      </c>
      <c r="E40" s="17">
        <v>0</v>
      </c>
      <c r="F40" s="17" t="str" cm="1">
        <f t="array" ref="F40">BudgetDolVariance(C40,E40)</f>
        <v/>
      </c>
      <c r="G40" s="123" t="str" cm="1">
        <f t="array" ref="G40">BudgetPctVariance(C40,E40)</f>
        <v/>
      </c>
      <c r="H40" s="17">
        <v>0</v>
      </c>
      <c r="I40" s="146" t="str" cm="1">
        <f t="array" ref="I40">BudgetPctVariance(H40,E40)</f>
        <v/>
      </c>
      <c r="J40" s="160"/>
    </row>
    <row r="41" spans="1:10" outlineLevel="1">
      <c r="A41" s="19" t="s">
        <v>363</v>
      </c>
      <c r="B41" s="20">
        <v>0</v>
      </c>
      <c r="C41" s="20">
        <v>0</v>
      </c>
      <c r="D41" s="124" t="str" cm="1">
        <f t="array" ref="D41">SeasonalBudPct(B41,C41)</f>
        <v/>
      </c>
      <c r="E41" s="20">
        <v>0</v>
      </c>
      <c r="F41" s="20" t="str" cm="1">
        <f t="array" ref="F41">BudgetDolVariance(C41,E41)</f>
        <v/>
      </c>
      <c r="G41" s="124" t="str" cm="1">
        <f t="array" ref="G41">BudgetPctVariance(C41,E41)</f>
        <v/>
      </c>
      <c r="H41" s="20">
        <v>0</v>
      </c>
      <c r="I41" s="147" t="str" cm="1">
        <f t="array" ref="I41">BudgetPctVariance(H41,E41)</f>
        <v/>
      </c>
      <c r="J41" s="161"/>
    </row>
    <row r="42" spans="1:10">
      <c r="A42" s="38" t="s">
        <v>586</v>
      </c>
      <c r="B42" s="39">
        <f>SUM(B36:B41)</f>
        <v>0</v>
      </c>
      <c r="C42" s="265">
        <f>SUM(C36:C41)</f>
        <v>0</v>
      </c>
      <c r="D42" s="129" t="str" cm="1">
        <f t="array" ref="D42">SeasonalBudPct(B42,C42)</f>
        <v/>
      </c>
      <c r="E42" s="39">
        <f>SUM(E36:E41)</f>
        <v>0</v>
      </c>
      <c r="F42" s="33" t="str" cm="1">
        <f t="array" ref="F42">BudgetDolVariance(C42,E42)</f>
        <v/>
      </c>
      <c r="G42" s="135" t="str" cm="1">
        <f t="array" ref="G42">BudgetPctVariance(C42,E42)</f>
        <v/>
      </c>
      <c r="H42" s="30">
        <f>SUM(H36:H41)</f>
        <v>0</v>
      </c>
      <c r="I42" s="142" t="str" cm="1">
        <f t="array" ref="I42">BudgetPctVariance(H42,E42)</f>
        <v/>
      </c>
      <c r="J42" s="165"/>
    </row>
    <row r="43" spans="1:10" ht="16.2" thickBot="1">
      <c r="A43" s="23" t="s">
        <v>587</v>
      </c>
      <c r="B43" s="24">
        <f>SUM(B21,B30,B34,B42)</f>
        <v>0</v>
      </c>
      <c r="C43" s="24">
        <f>SUM(C21,C30,C34,C42)</f>
        <v>0</v>
      </c>
      <c r="D43" s="125" t="str" cm="1">
        <f t="array" ref="D43">SeasonalBudPct(B43,C43)</f>
        <v/>
      </c>
      <c r="E43" s="24">
        <f>SUM(E21,E30,E34,E42)</f>
        <v>0</v>
      </c>
      <c r="F43" s="24" t="str" cm="1">
        <f t="array" ref="F43">BudgetDolVariance(C43,E43)</f>
        <v/>
      </c>
      <c r="G43" s="125" t="str" cm="1">
        <f t="array" ref="G43">BudgetPctVariance(C43,E43)</f>
        <v/>
      </c>
      <c r="H43" s="24">
        <f>SUM(H21,H30,H34,H42)</f>
        <v>0</v>
      </c>
      <c r="I43" s="125" t="str" cm="1">
        <f t="array" ref="I43">BudgetPctVariance(H43,E43)</f>
        <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0</v>
      </c>
      <c r="D48" s="125" t="str" cm="1">
        <f t="array" ref="D48">SeasonalBudPct(B48,C48)</f>
        <v/>
      </c>
      <c r="E48" s="24">
        <f>SUM(E12,E43,E47)</f>
        <v>0</v>
      </c>
      <c r="F48" s="24" t="str" cm="1">
        <f t="array" ref="F48">BudgetDolVariance(C48,E48)</f>
        <v/>
      </c>
      <c r="G48" s="125" t="str" cm="1">
        <f t="array" ref="G48">BudgetPctVariance(C48,E48)</f>
        <v/>
      </c>
      <c r="H48" s="24">
        <f>SUM(H12,H43,H47)</f>
        <v>0</v>
      </c>
      <c r="I48" s="150" t="str" cm="1">
        <f t="array" ref="I48">BudgetPctVariance(H48,E48)</f>
        <v/>
      </c>
      <c r="J48" s="162"/>
    </row>
    <row r="49" spans="1:10" ht="15" thickTop="1">
      <c r="A49" s="45"/>
      <c r="B49" s="26"/>
      <c r="C49" s="26"/>
      <c r="D49" s="133"/>
      <c r="E49" s="26"/>
      <c r="H49" s="26"/>
      <c r="J49" s="157"/>
    </row>
    <row r="50" spans="1:10">
      <c r="A50"/>
      <c r="B50"/>
    </row>
    <row r="51" spans="1:10">
      <c r="A51" s="158" t="s">
        <v>615</v>
      </c>
      <c r="B51" s="267"/>
    </row>
    <row r="52" spans="1:10">
      <c r="B52" s="267"/>
    </row>
    <row r="53" spans="1:10">
      <c r="B53" s="267"/>
    </row>
    <row r="54" spans="1:10">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7C15F444-05A2-4A51-9A1D-9E8F7AA3E3C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BA910-B95B-4258-9470-F453C99109CA}">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413</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-18550</v>
      </c>
      <c r="C8" s="15">
        <v>-29079</v>
      </c>
      <c r="D8" s="122" cm="1">
        <f t="array" ref="D8">SeasonalBudPct(B8,C8)</f>
        <v>1.5676000000000001</v>
      </c>
      <c r="E8" s="15">
        <v>-18550</v>
      </c>
      <c r="F8" s="15" cm="1">
        <f t="array" ref="F8">BudgetDolVariance(C8,E8)</f>
        <v>10529</v>
      </c>
      <c r="G8" s="122" cm="1">
        <f t="array" ref="G8">BudgetPctVariance(C8,E8)</f>
        <v>-0.36209999999999998</v>
      </c>
      <c r="H8" s="15">
        <v>-29079</v>
      </c>
      <c r="I8" s="136" cm="1">
        <f t="array" ref="I8">BudgetPctVariance(H8,E8)</f>
        <v>-0.36209999999999998</v>
      </c>
      <c r="J8" s="159">
        <v>1</v>
      </c>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-1200</v>
      </c>
      <c r="I11" s="138" cm="1">
        <f t="array" ref="I11">BudgetPctVariance(H11,E11)</f>
        <v>-1</v>
      </c>
      <c r="J11" s="161"/>
    </row>
    <row r="12" spans="1:10" ht="16.2" thickBot="1">
      <c r="A12" s="23" t="s">
        <v>579</v>
      </c>
      <c r="B12" s="24">
        <f>SUM(B8:B11)</f>
        <v>-18550</v>
      </c>
      <c r="C12" s="24">
        <f>SUM(C8:C11)</f>
        <v>-29079</v>
      </c>
      <c r="D12" s="125" cm="1">
        <f t="array" ref="D12">SeasonalBudPct(B12,C12)</f>
        <v>1.5676000000000001</v>
      </c>
      <c r="E12" s="24">
        <f>SUM(E8:E11)</f>
        <v>-18550</v>
      </c>
      <c r="F12" s="24" cm="1">
        <f t="array" ref="F12">BudgetDolVariance(C12,E12)</f>
        <v>10529</v>
      </c>
      <c r="G12" s="125" cm="1">
        <f t="array" ref="G12">BudgetPctVariance(C12,E12)</f>
        <v>-0.36209999999999998</v>
      </c>
      <c r="H12" s="24">
        <f>SUM(H8:H11)</f>
        <v>-30279</v>
      </c>
      <c r="I12" s="139" cm="1">
        <f t="array" ref="I12">BudgetPctVariance(H12,E12)</f>
        <v>-0.38740000000000002</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17227</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1532.13</v>
      </c>
      <c r="D25" s="123" cm="1">
        <f t="array" ref="D25">SeasonalBudPct($B$23,C25)</f>
        <v>8.8900000000000007E-2</v>
      </c>
      <c r="E25" s="17">
        <v>0</v>
      </c>
      <c r="F25" s="17" cm="1">
        <f t="array" ref="F25">BudgetDolVariance(C25,E25)</f>
        <v>-1532.13</v>
      </c>
      <c r="G25" s="123" cm="1">
        <f t="array" ref="G25">BudgetPctVariance(C25,E25)</f>
        <v>-1</v>
      </c>
      <c r="H25" s="17">
        <v>221.1</v>
      </c>
      <c r="I25" s="137" cm="1">
        <f t="array" ref="I25">BudgetPctVariance(H25,E25)</f>
        <v>-1</v>
      </c>
      <c r="J25" s="160"/>
    </row>
    <row r="26" spans="1:10" outlineLevel="1">
      <c r="A26" s="16" t="s">
        <v>283</v>
      </c>
      <c r="B26" s="17">
        <v>0</v>
      </c>
      <c r="C26" s="17">
        <v>11583.95</v>
      </c>
      <c r="D26" s="123" cm="1">
        <f t="array" ref="D26">SeasonalBudPct($B$23,C26)</f>
        <v>0.6724</v>
      </c>
      <c r="E26" s="17">
        <v>9349.4500000000007</v>
      </c>
      <c r="F26" s="17" cm="1">
        <f t="array" ref="F26">BudgetDolVariance(C26,E26)</f>
        <v>-2234.5</v>
      </c>
      <c r="G26" s="123" cm="1">
        <f t="array" ref="G26">BudgetPctVariance(C26,E26)</f>
        <v>-0.19289999999999999</v>
      </c>
      <c r="H26" s="17">
        <v>6927.08</v>
      </c>
      <c r="I26" s="137" cm="1">
        <f t="array" ref="I26">BudgetPctVariance(H26,E26)</f>
        <v>0.34970000000000001</v>
      </c>
      <c r="J26" s="160"/>
    </row>
    <row r="27" spans="1:10" outlineLevel="1">
      <c r="A27" s="16" t="s">
        <v>286</v>
      </c>
      <c r="B27" s="17">
        <v>0</v>
      </c>
      <c r="C27" s="17">
        <v>436.78</v>
      </c>
      <c r="D27" s="123" cm="1">
        <f t="array" ref="D27">SeasonalBudPct($B$23,C27)</f>
        <v>2.5399999999999999E-2</v>
      </c>
      <c r="E27" s="17">
        <v>290.7</v>
      </c>
      <c r="F27" s="17" cm="1">
        <f t="array" ref="F27">BudgetDolVariance(C27,E27)</f>
        <v>-146.07999999999998</v>
      </c>
      <c r="G27" s="123" cm="1">
        <f t="array" ref="G27">BudgetPctVariance(C27,E27)</f>
        <v>-0.33439999999999998</v>
      </c>
      <c r="H27" s="17">
        <v>396</v>
      </c>
      <c r="I27" s="137" cm="1">
        <f t="array" ref="I27">BudgetPctVariance(H27,E27)</f>
        <v>-0.26590000000000003</v>
      </c>
      <c r="J27" s="160"/>
    </row>
    <row r="28" spans="1:10" outlineLevel="1">
      <c r="A28" s="16" t="s">
        <v>288</v>
      </c>
      <c r="B28" s="17">
        <v>0</v>
      </c>
      <c r="C28" s="17">
        <v>2162.0100000000002</v>
      </c>
      <c r="D28" s="123" cm="1">
        <f t="array" ref="D28">SeasonalBudPct($B$23,C28)</f>
        <v>0.1255</v>
      </c>
      <c r="E28" s="17">
        <v>743</v>
      </c>
      <c r="F28" s="17" cm="1">
        <f t="array" ref="F28">BudgetDolVariance(C28,E28)</f>
        <v>-1419.0100000000002</v>
      </c>
      <c r="G28" s="123" cm="1">
        <f t="array" ref="G28">BudgetPctVariance(C28,E28)</f>
        <v>-0.65629999999999999</v>
      </c>
      <c r="H28" s="17">
        <v>300.08</v>
      </c>
      <c r="I28" s="137" cm="1">
        <f t="array" ref="I28">BudgetPctVariance(H28,E28)</f>
        <v>1.476</v>
      </c>
      <c r="J28" s="160"/>
    </row>
    <row r="29" spans="1:10" outlineLevel="1">
      <c r="A29" s="19" t="s">
        <v>292</v>
      </c>
      <c r="B29" s="20">
        <v>0</v>
      </c>
      <c r="C29" s="20">
        <v>6677.89</v>
      </c>
      <c r="D29" s="124" cm="1">
        <f t="array" ref="D29">SeasonalBudPct($B$23,C29)</f>
        <v>0.3876</v>
      </c>
      <c r="E29" s="20">
        <v>1500</v>
      </c>
      <c r="F29" s="20" cm="1">
        <f t="array" ref="F29">BudgetDolVariance(C29,E29)</f>
        <v>-5177.8900000000003</v>
      </c>
      <c r="G29" s="124" cm="1">
        <f t="array" ref="G29">BudgetPctVariance(C29,E29)</f>
        <v>-0.77539999999999998</v>
      </c>
      <c r="H29" s="20">
        <v>10365.17</v>
      </c>
      <c r="I29" s="138" cm="1">
        <f t="array" ref="I29">BudgetPctVariance(H29,E29)</f>
        <v>-0.85529999999999995</v>
      </c>
      <c r="J29" s="161"/>
    </row>
    <row r="30" spans="1:10">
      <c r="A30" s="32" t="s">
        <v>583</v>
      </c>
      <c r="B30" s="33">
        <f>SUM(B23:B29)</f>
        <v>17227</v>
      </c>
      <c r="C30" s="34">
        <f>SUM(C23:C29)</f>
        <v>22392.760000000002</v>
      </c>
      <c r="D30" s="129" cm="1">
        <f t="array" ref="D30">SeasonalBudPct(B30,C30)</f>
        <v>1.2999000000000001</v>
      </c>
      <c r="E30" s="39">
        <f>SUM(E23:E29)</f>
        <v>11883.150000000001</v>
      </c>
      <c r="F30" s="33" cm="1">
        <f t="array" ref="F30">BudgetDolVariance(C30,E30)</f>
        <v>-10509.609999999999</v>
      </c>
      <c r="G30" s="129" cm="1">
        <f t="array" ref="G30">BudgetPctVariance(C30,E30)</f>
        <v>-0.46929999999999999</v>
      </c>
      <c r="H30" s="33">
        <f>SUM(H23:H29)</f>
        <v>18209.43</v>
      </c>
      <c r="I30" s="142" cm="1">
        <f t="array" ref="I30">BudgetPctVariance(H30,E30)</f>
        <v>-0.34739999999999999</v>
      </c>
      <c r="J30" s="165">
        <v>2</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1216</v>
      </c>
      <c r="C40" s="17">
        <v>1424.43</v>
      </c>
      <c r="D40" s="123" cm="1">
        <f t="array" ref="D40">SeasonalBudPct(B40,C40)</f>
        <v>1.1714</v>
      </c>
      <c r="E40" s="17">
        <v>838.96</v>
      </c>
      <c r="F40" s="17" cm="1">
        <f t="array" ref="F40">BudgetDolVariance(C40,E40)</f>
        <v>-585.47</v>
      </c>
      <c r="G40" s="123" cm="1">
        <f t="array" ref="G40">BudgetPctVariance(C40,E40)</f>
        <v>-0.41099999999999998</v>
      </c>
      <c r="H40" s="17">
        <v>1230.96</v>
      </c>
      <c r="I40" s="146" cm="1">
        <f t="array" ref="I40">BudgetPctVariance(H40,E40)</f>
        <v>-0.31850000000000001</v>
      </c>
      <c r="J40" s="160">
        <v>3</v>
      </c>
    </row>
    <row r="41" spans="1:10" outlineLevel="1">
      <c r="A41" s="19" t="s">
        <v>363</v>
      </c>
      <c r="B41" s="20">
        <v>107</v>
      </c>
      <c r="C41" s="20">
        <v>115.68</v>
      </c>
      <c r="D41" s="124" cm="1">
        <f t="array" ref="D41">SeasonalBudPct(B41,C41)</f>
        <v>1.0810999999999999</v>
      </c>
      <c r="E41" s="20">
        <v>73.680000000000007</v>
      </c>
      <c r="F41" s="20" cm="1">
        <f t="array" ref="F41">BudgetDolVariance(C41,E41)</f>
        <v>-42</v>
      </c>
      <c r="G41" s="124" cm="1">
        <f t="array" ref="G41">BudgetPctVariance(C41,E41)</f>
        <v>-0.36309999999999998</v>
      </c>
      <c r="H41" s="20">
        <v>112.9</v>
      </c>
      <c r="I41" s="147" cm="1">
        <f t="array" ref="I41">BudgetPctVariance(H41,E41)</f>
        <v>-0.34739999999999999</v>
      </c>
      <c r="J41" s="161">
        <v>4</v>
      </c>
    </row>
    <row r="42" spans="1:10">
      <c r="A42" s="38" t="s">
        <v>586</v>
      </c>
      <c r="B42" s="39">
        <f>SUM(B36:B41)</f>
        <v>1323</v>
      </c>
      <c r="C42" s="265">
        <f>SUM(C36:C41)</f>
        <v>1540.1100000000001</v>
      </c>
      <c r="D42" s="129" cm="1">
        <f t="array" ref="D42">SeasonalBudPct(B42,C42)</f>
        <v>1.1640999999999999</v>
      </c>
      <c r="E42" s="39">
        <f>SUM(E36:E41)</f>
        <v>912.6400000000001</v>
      </c>
      <c r="F42" s="33" cm="1">
        <f t="array" ref="F42">BudgetDolVariance(C42,E42)</f>
        <v>-627.46999999999991</v>
      </c>
      <c r="G42" s="135" cm="1">
        <f t="array" ref="G42">BudgetPctVariance(C42,E42)</f>
        <v>-0.40739999999999998</v>
      </c>
      <c r="H42" s="30">
        <f>SUM(H36:H41)</f>
        <v>1343.8600000000001</v>
      </c>
      <c r="I42" s="142" cm="1">
        <f t="array" ref="I42">BudgetPctVariance(H42,E42)</f>
        <v>-0.32090000000000002</v>
      </c>
      <c r="J42" s="165"/>
    </row>
    <row r="43" spans="1:10" ht="16.2" thickBot="1">
      <c r="A43" s="23" t="s">
        <v>587</v>
      </c>
      <c r="B43" s="24">
        <f>SUM(B21,B30,B34,B42)</f>
        <v>18550</v>
      </c>
      <c r="C43" s="24">
        <f>SUM(C21,C30,C34,C42)</f>
        <v>23932.870000000003</v>
      </c>
      <c r="D43" s="125" cm="1">
        <f t="array" ref="D43">SeasonalBudPct(B43,C43)</f>
        <v>1.2902</v>
      </c>
      <c r="E43" s="24">
        <f>SUM(E21,E30,E34,E42)</f>
        <v>12795.79</v>
      </c>
      <c r="F43" s="24" cm="1">
        <f t="array" ref="F43">BudgetDolVariance(C43,E43)</f>
        <v>-11137.079999999998</v>
      </c>
      <c r="G43" s="125" cm="1">
        <f t="array" ref="G43">BudgetPctVariance(C43,E43)</f>
        <v>-0.46529999999999999</v>
      </c>
      <c r="H43" s="24">
        <f>SUM(H21,H30,H34,H42)</f>
        <v>19553.29</v>
      </c>
      <c r="I43" s="125" cm="1">
        <f t="array" ref="I43">BudgetPctVariance(H43,E43)</f>
        <v>-0.34560000000000002</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-5146.1299999999974</v>
      </c>
      <c r="D48" s="125" cm="1">
        <f t="array" ref="D48">SeasonalBudPct(B48,C48)</f>
        <v>9.99</v>
      </c>
      <c r="E48" s="24">
        <f>SUM(E12,E43,E47)</f>
        <v>-5754.2099999999991</v>
      </c>
      <c r="F48" s="24" cm="1">
        <f t="array" ref="F48">BudgetDolVariance(C48,E48)</f>
        <v>-608.07999999999993</v>
      </c>
      <c r="G48" s="125" cm="1">
        <f t="array" ref="G48">BudgetPctVariance(C48,E48)</f>
        <v>0.1182</v>
      </c>
      <c r="H48" s="24">
        <f>SUM(H12,H43,H47)</f>
        <v>-10725.71</v>
      </c>
      <c r="I48" s="150" cm="1">
        <f t="array" ref="I48">BudgetPctVariance(H48,E48)</f>
        <v>-0.46350000000000002</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0A5EF20B-F13F-46E8-9F53-9F07E3B7963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093C-0F92-4A55-AC9F-7C6F3BF74613}">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399</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-6965</v>
      </c>
      <c r="C8" s="15">
        <v>-3704</v>
      </c>
      <c r="D8" s="122" cm="1">
        <f t="array" ref="D8">SeasonalBudPct(B8,C8)</f>
        <v>0.53180000000000005</v>
      </c>
      <c r="E8" s="15">
        <v>-6965</v>
      </c>
      <c r="F8" s="15" cm="1">
        <f t="array" ref="F8">BudgetDolVariance(C8,E8)</f>
        <v>-3261</v>
      </c>
      <c r="G8" s="122" cm="1">
        <f t="array" ref="G8">BudgetPctVariance(C8,E8)</f>
        <v>0.88039999999999996</v>
      </c>
      <c r="H8" s="15">
        <v>-3704</v>
      </c>
      <c r="I8" s="136" cm="1">
        <f t="array" ref="I8">BudgetPctVariance(H8,E8)</f>
        <v>0.88039999999999996</v>
      </c>
      <c r="J8" s="159">
        <v>1</v>
      </c>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-6965</v>
      </c>
      <c r="C12" s="24">
        <f>SUM(C8:C11)</f>
        <v>-3704</v>
      </c>
      <c r="D12" s="125" cm="1">
        <f t="array" ref="D12">SeasonalBudPct(B12,C12)</f>
        <v>0.53180000000000005</v>
      </c>
      <c r="E12" s="24">
        <f>SUM(E8:E11)</f>
        <v>-6965</v>
      </c>
      <c r="F12" s="24" cm="1">
        <f t="array" ref="F12">BudgetDolVariance(C12,E12)</f>
        <v>-3261</v>
      </c>
      <c r="G12" s="125" cm="1">
        <f t="array" ref="G12">BudgetPctVariance(C12,E12)</f>
        <v>0.88039999999999996</v>
      </c>
      <c r="H12" s="24">
        <f>SUM(H8:H11)</f>
        <v>-3704</v>
      </c>
      <c r="I12" s="139" cm="1">
        <f t="array" ref="I12">BudgetPctVariance(H12,E12)</f>
        <v>0.88039999999999996</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6468</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57</v>
      </c>
      <c r="F25" s="17" cm="1">
        <f t="array" ref="F25">BudgetDolVariance(C25,E25)</f>
        <v>57</v>
      </c>
      <c r="G25" s="123" cm="1">
        <f t="array" ref="G25">BudgetPctVariance(C25,E25)</f>
        <v>9.99</v>
      </c>
      <c r="H25" s="17">
        <v>0</v>
      </c>
      <c r="I25" s="137" cm="1">
        <f t="array" ref="I25">BudgetPctVariance(H25,E25)</f>
        <v>9.99</v>
      </c>
      <c r="J25" s="160"/>
    </row>
    <row r="26" spans="1:10" outlineLevel="1">
      <c r="A26" s="16" t="s">
        <v>283</v>
      </c>
      <c r="B26" s="17">
        <v>0</v>
      </c>
      <c r="C26" s="17">
        <v>63.58</v>
      </c>
      <c r="D26" s="123" cm="1">
        <f t="array" ref="D26">SeasonalBudPct($B$23,C26)</f>
        <v>9.7999999999999997E-3</v>
      </c>
      <c r="E26" s="17">
        <v>0</v>
      </c>
      <c r="F26" s="17" cm="1">
        <f t="array" ref="F26">BudgetDolVariance(C26,E26)</f>
        <v>-63.58</v>
      </c>
      <c r="G26" s="123" cm="1">
        <f t="array" ref="G26">BudgetPctVariance(C26,E26)</f>
        <v>-1</v>
      </c>
      <c r="H26" s="17">
        <v>0</v>
      </c>
      <c r="I26" s="137" t="str" cm="1">
        <f t="array" ref="I26">BudgetPctVariance(H26,E26)</f>
        <v/>
      </c>
      <c r="J26" s="160"/>
    </row>
    <row r="27" spans="1:10" outlineLevel="1">
      <c r="A27" s="16" t="s">
        <v>286</v>
      </c>
      <c r="B27" s="17">
        <v>0</v>
      </c>
      <c r="C27" s="17">
        <v>111.6</v>
      </c>
      <c r="D27" s="123" cm="1">
        <f t="array" ref="D27">SeasonalBudPct($B$23,C27)</f>
        <v>1.7299999999999999E-2</v>
      </c>
      <c r="E27" s="17">
        <v>0</v>
      </c>
      <c r="F27" s="17" cm="1">
        <f t="array" ref="F27">BudgetDolVariance(C27,E27)</f>
        <v>-111.6</v>
      </c>
      <c r="G27" s="123" cm="1">
        <f t="array" ref="G27">BudgetPctVariance(C27,E27)</f>
        <v>-1</v>
      </c>
      <c r="H27" s="17">
        <v>0</v>
      </c>
      <c r="I27" s="137" t="str" cm="1">
        <f t="array" ref="I27">BudgetPctVariance(H27,E27)</f>
        <v/>
      </c>
      <c r="J27" s="160"/>
    </row>
    <row r="28" spans="1:10" outlineLevel="1">
      <c r="A28" s="16" t="s">
        <v>288</v>
      </c>
      <c r="B28" s="17">
        <v>0</v>
      </c>
      <c r="C28" s="17">
        <v>1019.54</v>
      </c>
      <c r="D28" s="123" cm="1">
        <f t="array" ref="D28">SeasonalBudPct($B$23,C28)</f>
        <v>0.15759999999999999</v>
      </c>
      <c r="E28" s="17">
        <v>1010.35</v>
      </c>
      <c r="F28" s="17" cm="1">
        <f t="array" ref="F28">BudgetDolVariance(C28,E28)</f>
        <v>-9.1899999999999409</v>
      </c>
      <c r="G28" s="123" cm="1">
        <f t="array" ref="G28">BudgetPctVariance(C28,E28)</f>
        <v>-8.9999999999999993E-3</v>
      </c>
      <c r="H28" s="17">
        <v>3437.5</v>
      </c>
      <c r="I28" s="137" cm="1">
        <f t="array" ref="I28">BudgetPctVariance(H28,E28)</f>
        <v>-0.70609999999999995</v>
      </c>
      <c r="J28" s="160"/>
    </row>
    <row r="29" spans="1:10" outlineLevel="1">
      <c r="A29" s="19" t="s">
        <v>292</v>
      </c>
      <c r="B29" s="20">
        <v>0</v>
      </c>
      <c r="C29" s="20">
        <v>79.349999999999994</v>
      </c>
      <c r="D29" s="124" cm="1">
        <f t="array" ref="D29">SeasonalBudPct($B$23,C29)</f>
        <v>1.23E-2</v>
      </c>
      <c r="E29" s="20">
        <v>0</v>
      </c>
      <c r="F29" s="20" cm="1">
        <f t="array" ref="F29">BudgetDolVariance(C29,E29)</f>
        <v>-79.349999999999994</v>
      </c>
      <c r="G29" s="124" cm="1">
        <f t="array" ref="G29">BudgetPctVariance(C29,E29)</f>
        <v>-1</v>
      </c>
      <c r="H29" s="20">
        <v>0</v>
      </c>
      <c r="I29" s="138" t="str" cm="1">
        <f t="array" ref="I29">BudgetPctVariance(H29,E29)</f>
        <v/>
      </c>
      <c r="J29" s="161"/>
    </row>
    <row r="30" spans="1:10">
      <c r="A30" s="32" t="s">
        <v>583</v>
      </c>
      <c r="B30" s="33">
        <f>SUM(B23:B29)</f>
        <v>6468</v>
      </c>
      <c r="C30" s="34">
        <f>SUM(C23:C29)</f>
        <v>1274.07</v>
      </c>
      <c r="D30" s="129" cm="1">
        <f t="array" ref="D30">SeasonalBudPct(B30,C30)</f>
        <v>0.19700000000000001</v>
      </c>
      <c r="E30" s="39">
        <f>SUM(E23:E29)</f>
        <v>1067.3499999999999</v>
      </c>
      <c r="F30" s="33" cm="1">
        <f t="array" ref="F30">BudgetDolVariance(C30,E30)</f>
        <v>-206.72000000000003</v>
      </c>
      <c r="G30" s="129" cm="1">
        <f t="array" ref="G30">BudgetPctVariance(C30,E30)</f>
        <v>-0.1623</v>
      </c>
      <c r="H30" s="33">
        <f>SUM(H23:H29)</f>
        <v>3437.5</v>
      </c>
      <c r="I30" s="142" cm="1">
        <f t="array" ref="I30">BudgetPctVariance(H30,E30)</f>
        <v>-0.6895</v>
      </c>
      <c r="J30" s="165">
        <v>2</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457</v>
      </c>
      <c r="C40" s="17">
        <v>100.67</v>
      </c>
      <c r="D40" s="123" cm="1">
        <f t="array" ref="D40">SeasonalBudPct(B40,C40)</f>
        <v>0.2203</v>
      </c>
      <c r="E40" s="17">
        <v>75.349999999999994</v>
      </c>
      <c r="F40" s="17" cm="1">
        <f t="array" ref="F40">BudgetDolVariance(C40,E40)</f>
        <v>-25.320000000000007</v>
      </c>
      <c r="G40" s="123" cm="1">
        <f t="array" ref="G40">BudgetPctVariance(C40,E40)</f>
        <v>-0.2515</v>
      </c>
      <c r="H40" s="17">
        <v>232.38</v>
      </c>
      <c r="I40" s="146" cm="1">
        <f t="array" ref="I40">BudgetPctVariance(H40,E40)</f>
        <v>-0.67569999999999997</v>
      </c>
      <c r="J40" s="160">
        <v>3</v>
      </c>
    </row>
    <row r="41" spans="1:10" outlineLevel="1">
      <c r="A41" s="19" t="s">
        <v>363</v>
      </c>
      <c r="B41" s="20">
        <v>40</v>
      </c>
      <c r="C41" s="20">
        <v>8.4499999999999993</v>
      </c>
      <c r="D41" s="124" cm="1">
        <f t="array" ref="D41">SeasonalBudPct(B41,C41)</f>
        <v>0.2112</v>
      </c>
      <c r="E41" s="20">
        <v>6.63</v>
      </c>
      <c r="F41" s="20" cm="1">
        <f t="array" ref="F41">BudgetDolVariance(C41,E41)</f>
        <v>-1.8199999999999994</v>
      </c>
      <c r="G41" s="124" cm="1">
        <f t="array" ref="G41">BudgetPctVariance(C41,E41)</f>
        <v>-0.21540000000000001</v>
      </c>
      <c r="H41" s="20">
        <v>21.32</v>
      </c>
      <c r="I41" s="147" cm="1">
        <f t="array" ref="I41">BudgetPctVariance(H41,E41)</f>
        <v>-0.68899999999999995</v>
      </c>
      <c r="J41" s="161">
        <v>4</v>
      </c>
    </row>
    <row r="42" spans="1:10">
      <c r="A42" s="38" t="s">
        <v>586</v>
      </c>
      <c r="B42" s="39">
        <f>SUM(B36:B41)</f>
        <v>497</v>
      </c>
      <c r="C42" s="265">
        <f>SUM(C36:C41)</f>
        <v>109.12</v>
      </c>
      <c r="D42" s="129" cm="1">
        <f t="array" ref="D42">SeasonalBudPct(B42,C42)</f>
        <v>0.21959999999999999</v>
      </c>
      <c r="E42" s="39">
        <f>SUM(E36:E41)</f>
        <v>81.97999999999999</v>
      </c>
      <c r="F42" s="33" cm="1">
        <f t="array" ref="F42">BudgetDolVariance(C42,E42)</f>
        <v>-27.14</v>
      </c>
      <c r="G42" s="135" cm="1">
        <f t="array" ref="G42">BudgetPctVariance(C42,E42)</f>
        <v>-0.2487</v>
      </c>
      <c r="H42" s="30">
        <f>SUM(H36:H41)</f>
        <v>253.7</v>
      </c>
      <c r="I42" s="142" cm="1">
        <f t="array" ref="I42">BudgetPctVariance(H42,E42)</f>
        <v>-0.67689999999999995</v>
      </c>
      <c r="J42" s="165"/>
    </row>
    <row r="43" spans="1:10" ht="16.2" thickBot="1">
      <c r="A43" s="23" t="s">
        <v>587</v>
      </c>
      <c r="B43" s="24">
        <f>SUM(B21,B30,B34,B42)</f>
        <v>6965</v>
      </c>
      <c r="C43" s="24">
        <f>SUM(C21,C30,C34,C42)</f>
        <v>1383.19</v>
      </c>
      <c r="D43" s="125" cm="1">
        <f t="array" ref="D43">SeasonalBudPct(B43,C43)</f>
        <v>0.1986</v>
      </c>
      <c r="E43" s="24">
        <f>SUM(E21,E30,E34,E42)</f>
        <v>1149.33</v>
      </c>
      <c r="F43" s="24" cm="1">
        <f t="array" ref="F43">BudgetDolVariance(C43,E43)</f>
        <v>-233.86000000000013</v>
      </c>
      <c r="G43" s="125" cm="1">
        <f t="array" ref="G43">BudgetPctVariance(C43,E43)</f>
        <v>-0.1691</v>
      </c>
      <c r="H43" s="24">
        <f>SUM(H21,H30,H34,H42)</f>
        <v>3691.2</v>
      </c>
      <c r="I43" s="125" cm="1">
        <f t="array" ref="I43">BudgetPctVariance(H43,E43)</f>
        <v>-0.68859999999999999</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-2320.81</v>
      </c>
      <c r="D48" s="125" cm="1">
        <f t="array" ref="D48">SeasonalBudPct(B48,C48)</f>
        <v>9.99</v>
      </c>
      <c r="E48" s="24">
        <f>SUM(E12,E43,E47)</f>
        <v>-5815.67</v>
      </c>
      <c r="F48" s="24" cm="1">
        <f t="array" ref="F48">BudgetDolVariance(C48,E48)</f>
        <v>-3494.86</v>
      </c>
      <c r="G48" s="125" cm="1">
        <f t="array" ref="G48">BudgetPctVariance(C48,E48)</f>
        <v>1.5059</v>
      </c>
      <c r="H48" s="24">
        <f>SUM(H12,H43,H47)</f>
        <v>-12.800000000000182</v>
      </c>
      <c r="I48" s="150" cm="1">
        <f t="array" ref="I48">BudgetPctVariance(H48,E48)</f>
        <v>453.3492</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71DC9CC1-D471-45A4-89AD-7B2957A3B786}"/>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0EEBE-9615-4574-8BFF-08840E0C2FCC}">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394</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-36700</v>
      </c>
      <c r="C8" s="15">
        <v>-32948.33</v>
      </c>
      <c r="D8" s="122" cm="1">
        <f t="array" ref="D8">SeasonalBudPct(B8,C8)</f>
        <v>0.89780000000000004</v>
      </c>
      <c r="E8" s="15">
        <v>-36700</v>
      </c>
      <c r="F8" s="15" cm="1">
        <f t="array" ref="F8">BudgetDolVariance(C8,E8)</f>
        <v>-3751.6699999999983</v>
      </c>
      <c r="G8" s="122" cm="1">
        <f t="array" ref="G8">BudgetPctVariance(C8,E8)</f>
        <v>0.1139</v>
      </c>
      <c r="H8" s="15">
        <v>-26700</v>
      </c>
      <c r="I8" s="136" cm="1">
        <f t="array" ref="I8">BudgetPctVariance(H8,E8)</f>
        <v>0.3745</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-18738.580000000002</v>
      </c>
      <c r="F11" s="20" cm="1">
        <f t="array" ref="F11">BudgetDolVariance(C11,E11)</f>
        <v>-18738.580000000002</v>
      </c>
      <c r="G11" s="124" cm="1">
        <f t="array" ref="G11">BudgetPctVariance(C11,E11)</f>
        <v>9.99</v>
      </c>
      <c r="H11" s="20">
        <v>-28278.26</v>
      </c>
      <c r="I11" s="138" cm="1">
        <f t="array" ref="I11">BudgetPctVariance(H11,E11)</f>
        <v>-0.33739999999999998</v>
      </c>
      <c r="J11" s="161">
        <v>1</v>
      </c>
    </row>
    <row r="12" spans="1:10" ht="16.2" thickBot="1">
      <c r="A12" s="23" t="s">
        <v>579</v>
      </c>
      <c r="B12" s="24">
        <f>SUM(B8:B11)</f>
        <v>-36700</v>
      </c>
      <c r="C12" s="24">
        <f>SUM(C8:C11)</f>
        <v>-32948.33</v>
      </c>
      <c r="D12" s="125" cm="1">
        <f t="array" ref="D12">SeasonalBudPct(B12,C12)</f>
        <v>0.89780000000000004</v>
      </c>
      <c r="E12" s="24">
        <f>SUM(E8:E11)</f>
        <v>-55438.58</v>
      </c>
      <c r="F12" s="24" cm="1">
        <f t="array" ref="F12">BudgetDolVariance(C12,E12)</f>
        <v>-22490.25</v>
      </c>
      <c r="G12" s="125" cm="1">
        <f t="array" ref="G12">BudgetPctVariance(C12,E12)</f>
        <v>0.68259999999999998</v>
      </c>
      <c r="H12" s="24">
        <f>SUM(H8:H11)</f>
        <v>-54978.259999999995</v>
      </c>
      <c r="I12" s="139" cm="1">
        <f t="array" ref="I12">BudgetPctVariance(H12,E12)</f>
        <v>8.3999999999999995E-3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row>
    <row r="26" spans="1:10" outlineLevel="1">
      <c r="A26" s="16" t="s">
        <v>283</v>
      </c>
      <c r="B26" s="17">
        <v>0</v>
      </c>
      <c r="C26" s="17">
        <v>0</v>
      </c>
      <c r="D26" s="123" t="str" cm="1">
        <f t="array" ref="D26">SeasonalBudPct($B$23,C26)</f>
        <v/>
      </c>
      <c r="E26" s="17">
        <v>37.6</v>
      </c>
      <c r="F26" s="17" cm="1">
        <f t="array" ref="F26">BudgetDolVariance(C26,E26)</f>
        <v>37.6</v>
      </c>
      <c r="G26" s="123" cm="1">
        <f t="array" ref="G26">BudgetPctVariance(C26,E26)</f>
        <v>9.99</v>
      </c>
      <c r="H26" s="17">
        <v>0</v>
      </c>
      <c r="I26" s="137" cm="1">
        <f t="array" ref="I26">BudgetPctVariance(H26,E26)</f>
        <v>9.99</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0</v>
      </c>
      <c r="I29" s="138" t="str" cm="1">
        <f t="array" ref="I29">BudgetPctVariance(H29,E29)</f>
        <v/>
      </c>
      <c r="J29" s="161"/>
    </row>
    <row r="30" spans="1:10">
      <c r="A30" s="32" t="s">
        <v>583</v>
      </c>
      <c r="B30" s="33">
        <f>SUM(B23:B29)</f>
        <v>0</v>
      </c>
      <c r="C30" s="34">
        <f>SUM(C23:C29)</f>
        <v>0</v>
      </c>
      <c r="D30" s="129" t="str" cm="1">
        <f t="array" ref="D30">SeasonalBudPct(B30,C30)</f>
        <v/>
      </c>
      <c r="E30" s="39">
        <f>SUM(E23:E29)</f>
        <v>37.6</v>
      </c>
      <c r="F30" s="33" cm="1">
        <f t="array" ref="F30">BudgetDolVariance(C30,E30)</f>
        <v>37.6</v>
      </c>
      <c r="G30" s="129" cm="1">
        <f t="array" ref="G30">BudgetPctVariance(C30,E30)</f>
        <v>9.99</v>
      </c>
      <c r="H30" s="33">
        <f>SUM(H23:H29)</f>
        <v>0</v>
      </c>
      <c r="I30" s="142" cm="1">
        <f t="array" ref="I30">BudgetPctVariance(H30,E30)</f>
        <v>9.99</v>
      </c>
      <c r="J30" s="165">
        <v>2</v>
      </c>
    </row>
    <row r="31" spans="1:10">
      <c r="A31" s="35" t="s">
        <v>395</v>
      </c>
      <c r="B31" s="30"/>
      <c r="C31" s="37"/>
      <c r="D31" s="129"/>
      <c r="E31" s="37"/>
      <c r="F31" s="30"/>
      <c r="G31" s="129"/>
      <c r="H31" s="30"/>
      <c r="I31" s="119"/>
      <c r="J31" s="155"/>
    </row>
    <row r="32" spans="1:10" outlineLevel="1">
      <c r="A32" s="14" t="s">
        <v>306</v>
      </c>
      <c r="B32" s="15">
        <v>0</v>
      </c>
      <c r="C32" s="15">
        <v>0</v>
      </c>
      <c r="D32" s="122" t="str" cm="1">
        <f t="array" ref="D32">SeasonalBudPct($B$32,C32)</f>
        <v/>
      </c>
      <c r="E32" s="15">
        <v>0</v>
      </c>
      <c r="F32" s="15" t="str" cm="1">
        <f t="array" ref="F32">BudgetDolVariance(C32,E32)</f>
        <v/>
      </c>
      <c r="G32" s="122" t="str" cm="1">
        <f t="array" ref="G32">BudgetPctVariance(C32,E32)</f>
        <v/>
      </c>
      <c r="H32" s="15">
        <v>0</v>
      </c>
      <c r="I32" s="136" t="str" cm="1">
        <f t="array" ref="I32">BudgetPctVariance(H32,E32)</f>
        <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0</v>
      </c>
      <c r="I33" s="138" t="str" cm="1">
        <f t="array" ref="I33">BudgetPctVariance(H33,E33)</f>
        <v/>
      </c>
      <c r="J33" s="161"/>
    </row>
    <row r="34" spans="1:10">
      <c r="A34" s="32" t="s">
        <v>584</v>
      </c>
      <c r="B34" s="33">
        <f>SUM(B32:B33)</f>
        <v>0</v>
      </c>
      <c r="C34" s="34">
        <f>SUM(C32:C33)</f>
        <v>0</v>
      </c>
      <c r="D34" s="129" t="str" cm="1">
        <f t="array" ref="D34">SeasonalBudPct(B34,C34)</f>
        <v/>
      </c>
      <c r="E34" s="33">
        <f>SUM(E32:E33)</f>
        <v>0</v>
      </c>
      <c r="F34" s="33" t="str" cm="1">
        <f t="array" ref="F34">BudgetDolVariance(C34,E34)</f>
        <v/>
      </c>
      <c r="G34" s="129" t="str" cm="1">
        <f t="array" ref="G34">BudgetPctVariance(C34,E34)</f>
        <v/>
      </c>
      <c r="H34" s="33">
        <f>SUM(H32:H33)</f>
        <v>0</v>
      </c>
      <c r="I34" s="142" t="str" cm="1">
        <f t="array" ref="I34">BudgetPctVariance(H34,E34)</f>
        <v/>
      </c>
      <c r="J34" s="165"/>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0</v>
      </c>
      <c r="C40" s="17">
        <v>0</v>
      </c>
      <c r="D40" s="123" t="str" cm="1">
        <f t="array" ref="D40">SeasonalBudPct(B40,C40)</f>
        <v/>
      </c>
      <c r="E40" s="17">
        <v>2.66</v>
      </c>
      <c r="F40" s="17" cm="1">
        <f t="array" ref="F40">BudgetDolVariance(C40,E40)</f>
        <v>2.66</v>
      </c>
      <c r="G40" s="123" cm="1">
        <f t="array" ref="G40">BudgetPctVariance(C40,E40)</f>
        <v>9.99</v>
      </c>
      <c r="H40" s="17">
        <v>0</v>
      </c>
      <c r="I40" s="146" cm="1">
        <f t="array" ref="I40">BudgetPctVariance(H40,E40)</f>
        <v>9.99</v>
      </c>
      <c r="J40" s="160">
        <v>3</v>
      </c>
    </row>
    <row r="41" spans="1:10" outlineLevel="1">
      <c r="A41" s="19" t="s">
        <v>363</v>
      </c>
      <c r="B41" s="20">
        <v>0</v>
      </c>
      <c r="C41" s="20">
        <v>0</v>
      </c>
      <c r="D41" s="124" t="str" cm="1">
        <f t="array" ref="D41">SeasonalBudPct(B41,C41)</f>
        <v/>
      </c>
      <c r="E41" s="20">
        <v>0.23</v>
      </c>
      <c r="F41" s="20" cm="1">
        <f t="array" ref="F41">BudgetDolVariance(C41,E41)</f>
        <v>0.23</v>
      </c>
      <c r="G41" s="124" cm="1">
        <f t="array" ref="G41">BudgetPctVariance(C41,E41)</f>
        <v>9.99</v>
      </c>
      <c r="H41" s="20">
        <v>0</v>
      </c>
      <c r="I41" s="147" cm="1">
        <f t="array" ref="I41">BudgetPctVariance(H41,E41)</f>
        <v>9.99</v>
      </c>
      <c r="J41" s="161">
        <v>4</v>
      </c>
    </row>
    <row r="42" spans="1:10">
      <c r="A42" s="38" t="s">
        <v>586</v>
      </c>
      <c r="B42" s="39">
        <f>SUM(B36:B41)</f>
        <v>0</v>
      </c>
      <c r="C42" s="265">
        <f>SUM(C36:C41)</f>
        <v>0</v>
      </c>
      <c r="D42" s="129" t="str" cm="1">
        <f t="array" ref="D42">SeasonalBudPct(B42,C42)</f>
        <v/>
      </c>
      <c r="E42" s="39">
        <f>SUM(E36:E41)</f>
        <v>2.89</v>
      </c>
      <c r="F42" s="33" cm="1">
        <f t="array" ref="F42">BudgetDolVariance(C42,E42)</f>
        <v>2.89</v>
      </c>
      <c r="G42" s="135" cm="1">
        <f t="array" ref="G42">BudgetPctVariance(C42,E42)</f>
        <v>9.99</v>
      </c>
      <c r="H42" s="30">
        <f>SUM(H36:H41)</f>
        <v>0</v>
      </c>
      <c r="I42" s="142" cm="1">
        <f t="array" ref="I42">BudgetPctVariance(H42,E42)</f>
        <v>9.99</v>
      </c>
      <c r="J42" s="165"/>
    </row>
    <row r="43" spans="1:10" ht="16.2" thickBot="1">
      <c r="A43" s="23" t="s">
        <v>587</v>
      </c>
      <c r="B43" s="24">
        <f>SUM(B21,B30,B34,B42)</f>
        <v>0</v>
      </c>
      <c r="C43" s="24">
        <f>SUM(C21,C30,C34,C42)</f>
        <v>0</v>
      </c>
      <c r="D43" s="125" t="str" cm="1">
        <f t="array" ref="D43">SeasonalBudPct(B43,C43)</f>
        <v/>
      </c>
      <c r="E43" s="24">
        <f>SUM(E21,E30,E34,E42)</f>
        <v>40.49</v>
      </c>
      <c r="F43" s="24" cm="1">
        <f t="array" ref="F43">BudgetDolVariance(C43,E43)</f>
        <v>40.49</v>
      </c>
      <c r="G43" s="125" cm="1">
        <f t="array" ref="G43">BudgetPctVariance(C43,E43)</f>
        <v>9.99</v>
      </c>
      <c r="H43" s="24">
        <f>SUM(H21,H30,H34,H42)</f>
        <v>0</v>
      </c>
      <c r="I43" s="125" cm="1">
        <f t="array" ref="I43">BudgetPctVariance(H43,E43)</f>
        <v>9.99</v>
      </c>
      <c r="J43" s="162"/>
    </row>
    <row r="44" spans="1:10" ht="15" thickTop="1">
      <c r="A44" s="41" t="s">
        <v>588</v>
      </c>
      <c r="B44" s="42"/>
      <c r="C44" s="42"/>
      <c r="D44" s="132"/>
      <c r="E44" s="42"/>
      <c r="F44" s="42"/>
      <c r="G44" s="132"/>
      <c r="H44" s="42"/>
      <c r="I44" s="148"/>
      <c r="J44" s="156"/>
    </row>
    <row r="45" spans="1:10" outlineLevel="1">
      <c r="A45" s="14" t="s">
        <v>365</v>
      </c>
      <c r="B45" s="15">
        <v>36700</v>
      </c>
      <c r="C45" s="15">
        <v>4683.45</v>
      </c>
      <c r="D45" s="122" cm="1">
        <f t="array" ref="D45">SeasonalBudPct(B45,C45)</f>
        <v>0.12759999999999999</v>
      </c>
      <c r="E45" s="15">
        <v>63000.76</v>
      </c>
      <c r="F45" s="15" cm="1">
        <f t="array" ref="F45">BudgetDolVariance(C45,E45)</f>
        <v>58317.310000000005</v>
      </c>
      <c r="G45" s="122" cm="1">
        <f t="array" ref="G45">BudgetPctVariance(C45,E45)</f>
        <v>12.4518</v>
      </c>
      <c r="H45" s="15">
        <v>69549.56</v>
      </c>
      <c r="I45" s="145" cm="1">
        <f t="array" ref="I45">BudgetPctVariance(H45,E45)</f>
        <v>-9.4200000000000006E-2</v>
      </c>
      <c r="J45" s="163">
        <v>5</v>
      </c>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36700</v>
      </c>
      <c r="C47" s="44">
        <f>SUM(C45:C46)</f>
        <v>4683.45</v>
      </c>
      <c r="D47" s="131" cm="1">
        <f t="array" ref="D47">SeasonalBudPct(B47,C47)</f>
        <v>0.12759999999999999</v>
      </c>
      <c r="E47" s="13">
        <f>SUM(E45:E46)</f>
        <v>63000.76</v>
      </c>
      <c r="F47" s="13" cm="1">
        <f t="array" ref="F47">BudgetDolVariance(C47,E47)</f>
        <v>58317.310000000005</v>
      </c>
      <c r="G47" s="131" cm="1">
        <f t="array" ref="G47">BudgetPctVariance(C47,E47)</f>
        <v>12.4518</v>
      </c>
      <c r="H47" s="13">
        <f>SUM(H45:H46)</f>
        <v>69549.56</v>
      </c>
      <c r="I47" s="149" cm="1">
        <f t="array" ref="I47">BudgetPctVariance(H47,E47)</f>
        <v>-9.4200000000000006E-2</v>
      </c>
      <c r="J47" s="166"/>
    </row>
    <row r="48" spans="1:10" ht="16.2" thickBot="1">
      <c r="A48" s="23" t="s">
        <v>590</v>
      </c>
      <c r="B48" s="24">
        <f>SUM(B12,B43,B47)</f>
        <v>0</v>
      </c>
      <c r="C48" s="24">
        <f>SUM(C12,C43,C47)</f>
        <v>-28264.880000000001</v>
      </c>
      <c r="D48" s="125" cm="1">
        <f t="array" ref="D48">SeasonalBudPct(B48,C48)</f>
        <v>9.99</v>
      </c>
      <c r="E48" s="24">
        <f>SUM(E12,E43,E47)</f>
        <v>7602.6699999999983</v>
      </c>
      <c r="F48" s="24" cm="1">
        <f t="array" ref="F48">BudgetDolVariance(C48,E48)</f>
        <v>35867.550000000003</v>
      </c>
      <c r="G48" s="125" cm="1">
        <f t="array" ref="G48">BudgetPctVariance(C48,E48)</f>
        <v>-1.2689999999999999</v>
      </c>
      <c r="H48" s="24">
        <f>SUM(H12,H43,H47)</f>
        <v>14571.300000000003</v>
      </c>
      <c r="I48" s="150" cm="1">
        <f t="array" ref="I48">BudgetPctVariance(H48,E48)</f>
        <v>-0.47820000000000001</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A56" s="167" t="s">
        <v>804</v>
      </c>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21766C53-989F-4F93-B4C6-54E799FA465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A0298-7B7C-4391-9A3A-3FB1BD4A1C7F}">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604</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-217637</v>
      </c>
      <c r="C8" s="15">
        <v>-217694</v>
      </c>
      <c r="D8" s="122" cm="1">
        <f t="array" ref="D8">SeasonalBudPct(B8,C8)</f>
        <v>1.0003</v>
      </c>
      <c r="E8" s="15">
        <v>-217637</v>
      </c>
      <c r="F8" s="15" cm="1">
        <f t="array" ref="F8">BudgetDolVariance(C8,E8)</f>
        <v>57</v>
      </c>
      <c r="G8" s="122" cm="1">
        <f t="array" ref="G8">BudgetPctVariance(C8,E8)</f>
        <v>-2.9999999999999997E-4</v>
      </c>
      <c r="H8" s="15">
        <v>-217694</v>
      </c>
      <c r="I8" s="136" cm="1">
        <f t="array" ref="I8">BudgetPctVariance(H8,E8)</f>
        <v>-2.9999999999999997E-4</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-217637</v>
      </c>
      <c r="C12" s="24">
        <f>SUM(C8:C11)</f>
        <v>-217694</v>
      </c>
      <c r="D12" s="125" cm="1">
        <f t="array" ref="D12">SeasonalBudPct(B12,C12)</f>
        <v>1.0003</v>
      </c>
      <c r="E12" s="24">
        <f>SUM(E8:E11)</f>
        <v>-217637</v>
      </c>
      <c r="F12" s="24" cm="1">
        <f t="array" ref="F12">BudgetDolVariance(C12,E12)</f>
        <v>57</v>
      </c>
      <c r="G12" s="125" cm="1">
        <f t="array" ref="G12">BudgetPctVariance(C12,E12)</f>
        <v>-2.9999999999999997E-4</v>
      </c>
      <c r="H12" s="24">
        <f>SUM(H8:H11)</f>
        <v>-217694</v>
      </c>
      <c r="I12" s="139" cm="1">
        <f t="array" ref="I12">BudgetPctVariance(H12,E12)</f>
        <v>-2.9999999999999997E-4</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9087.5</v>
      </c>
      <c r="F15" s="15" cm="1">
        <f t="array" ref="F15">BudgetDolVariance(C15,E15)</f>
        <v>9087.5</v>
      </c>
      <c r="G15" s="122" cm="1">
        <f t="array" ref="G15">BudgetPctVariance(C15,E15)</f>
        <v>9.99</v>
      </c>
      <c r="H15" s="15">
        <v>2220</v>
      </c>
      <c r="I15" s="136" cm="1">
        <f t="array" ref="I15">BudgetPctVariance(H15,E15)</f>
        <v>3.0935000000000001</v>
      </c>
      <c r="J15" s="163">
        <v>1</v>
      </c>
    </row>
    <row r="16" spans="1:10" outlineLevel="1">
      <c r="A16" s="16" t="s">
        <v>202</v>
      </c>
      <c r="B16" s="17">
        <v>143193</v>
      </c>
      <c r="C16" s="17">
        <v>107252.99</v>
      </c>
      <c r="D16" s="123" cm="1">
        <f t="array" ref="D16">SeasonalBudPct(B16,C16)</f>
        <v>0.749</v>
      </c>
      <c r="E16" s="17">
        <v>46999.76</v>
      </c>
      <c r="F16" s="17" cm="1">
        <f t="array" ref="F16">BudgetDolVariance(C16,E16)</f>
        <v>-60253.23</v>
      </c>
      <c r="G16" s="123" cm="1">
        <f t="array" ref="G16">BudgetPctVariance(C16,E16)</f>
        <v>-0.56179999999999997</v>
      </c>
      <c r="H16" s="17">
        <v>54640.12</v>
      </c>
      <c r="I16" s="137" cm="1">
        <f t="array" ref="I16">BudgetPctVariance(H16,E16)</f>
        <v>-0.13980000000000001</v>
      </c>
      <c r="J16" s="160">
        <v>2</v>
      </c>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1435.83</v>
      </c>
      <c r="F18" s="17" cm="1">
        <f t="array" ref="F18">BudgetDolVariance(C18,E18)</f>
        <v>1435.83</v>
      </c>
      <c r="G18" s="123" cm="1">
        <f t="array" ref="G18">BudgetPctVariance(C18,E18)</f>
        <v>9.99</v>
      </c>
      <c r="H18" s="17">
        <v>350.76</v>
      </c>
      <c r="I18" s="137" cm="1">
        <f t="array" ref="I18">BudgetPctVariance(H18,E18)</f>
        <v>3.0935000000000001</v>
      </c>
      <c r="J18" s="160">
        <v>1</v>
      </c>
    </row>
    <row r="19" spans="1:10" outlineLevel="1">
      <c r="A19" s="16" t="s">
        <v>244</v>
      </c>
      <c r="B19" s="17">
        <v>52122</v>
      </c>
      <c r="C19" s="17">
        <v>41511.410000000003</v>
      </c>
      <c r="D19" s="123" cm="1">
        <f t="array" ref="D19">SeasonalBudPct(B19,C19)</f>
        <v>0.7964</v>
      </c>
      <c r="E19" s="17">
        <v>17107.919999999998</v>
      </c>
      <c r="F19" s="17" cm="1">
        <f t="array" ref="F19">BudgetDolVariance(C19,E19)</f>
        <v>-24403.490000000005</v>
      </c>
      <c r="G19" s="123" cm="1">
        <f t="array" ref="G19">BudgetPctVariance(C19,E19)</f>
        <v>-0.58789999999999998</v>
      </c>
      <c r="H19" s="17">
        <v>18008.150000000001</v>
      </c>
      <c r="I19" s="137" cm="1">
        <f t="array" ref="I19">BudgetPctVariance(H19,E19)</f>
        <v>-0.05</v>
      </c>
      <c r="J19" s="160">
        <v>2</v>
      </c>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195315</v>
      </c>
      <c r="C21" s="34">
        <f>SUM(C15:C20)</f>
        <v>148764.40000000002</v>
      </c>
      <c r="D21" s="129" cm="1">
        <f t="array" ref="D21">SeasonalBudPct(B21,C21)</f>
        <v>0.76170000000000004</v>
      </c>
      <c r="E21" s="33">
        <f>SUM(E15:E20)</f>
        <v>74631.010000000009</v>
      </c>
      <c r="F21" s="33" cm="1">
        <f t="array" ref="F21">BudgetDolVariance(C21,E21)</f>
        <v>-74133.39</v>
      </c>
      <c r="G21" s="129" cm="1">
        <f t="array" ref="G21">BudgetPctVariance(C21,E21)</f>
        <v>-0.49830000000000002</v>
      </c>
      <c r="H21" s="33">
        <f>SUM(H15:H20)</f>
        <v>75219.03</v>
      </c>
      <c r="I21" s="142" cm="1">
        <f t="array" ref="I21">BudgetPctVariance(H21,E21)</f>
        <v>-7.7999999999999996E-3</v>
      </c>
      <c r="J21" s="164"/>
    </row>
    <row r="22" spans="1:10">
      <c r="A22" s="35" t="s">
        <v>582</v>
      </c>
      <c r="B22" s="36"/>
      <c r="C22" s="36"/>
      <c r="D22" s="130"/>
      <c r="E22" s="36"/>
      <c r="F22" s="36"/>
      <c r="G22" s="130"/>
      <c r="H22" s="36"/>
      <c r="I22" s="143"/>
      <c r="J22" s="154"/>
    </row>
    <row r="23" spans="1:10" outlineLevel="1">
      <c r="A23" s="189" t="s">
        <v>261</v>
      </c>
      <c r="B23" s="190">
        <v>1600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322.06</v>
      </c>
      <c r="D25" s="123" cm="1">
        <f t="array" ref="D25">SeasonalBudPct($B$23,C25)</f>
        <v>0.20130000000000001</v>
      </c>
      <c r="E25" s="17">
        <v>504.77</v>
      </c>
      <c r="F25" s="17" cm="1">
        <f t="array" ref="F25">BudgetDolVariance(C25,E25)</f>
        <v>182.70999999999998</v>
      </c>
      <c r="G25" s="123" cm="1">
        <f t="array" ref="G25">BudgetPctVariance(C25,E25)</f>
        <v>0.56730000000000003</v>
      </c>
      <c r="H25" s="17">
        <v>920.86</v>
      </c>
      <c r="I25" s="137" cm="1">
        <f t="array" ref="I25">BudgetPctVariance(H25,E25)</f>
        <v>-0.45179999999999998</v>
      </c>
      <c r="J25" s="160"/>
    </row>
    <row r="26" spans="1:10" outlineLevel="1">
      <c r="A26" s="16" t="s">
        <v>283</v>
      </c>
      <c r="B26" s="17">
        <v>0</v>
      </c>
      <c r="C26" s="17">
        <v>19.96</v>
      </c>
      <c r="D26" s="123" cm="1">
        <f t="array" ref="D26">SeasonalBudPct($B$23,C26)</f>
        <v>1.2500000000000001E-2</v>
      </c>
      <c r="E26" s="17">
        <v>0</v>
      </c>
      <c r="F26" s="17" cm="1">
        <f t="array" ref="F26">BudgetDolVariance(C26,E26)</f>
        <v>-19.96</v>
      </c>
      <c r="G26" s="123" cm="1">
        <f t="array" ref="G26">BudgetPctVariance(C26,E26)</f>
        <v>-1</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3.37</v>
      </c>
      <c r="D28" s="123" cm="1">
        <f t="array" ref="D28">SeasonalBudPct($B$23,C28)</f>
        <v>2.0999999999999999E-3</v>
      </c>
      <c r="E28" s="17">
        <v>0</v>
      </c>
      <c r="F28" s="17" cm="1">
        <f t="array" ref="F28">BudgetDolVariance(C28,E28)</f>
        <v>-3.37</v>
      </c>
      <c r="G28" s="123" cm="1">
        <f t="array" ref="G28">BudgetPctVariance(C28,E28)</f>
        <v>-1</v>
      </c>
      <c r="H28" s="17">
        <v>0</v>
      </c>
      <c r="I28" s="137" t="str" cm="1">
        <f t="array" ref="I28">BudgetPctVariance(H28,E28)</f>
        <v/>
      </c>
      <c r="J28" s="160"/>
    </row>
    <row r="29" spans="1:10" outlineLevel="1">
      <c r="A29" s="19" t="s">
        <v>292</v>
      </c>
      <c r="B29" s="20">
        <v>0</v>
      </c>
      <c r="C29" s="20">
        <v>170.02</v>
      </c>
      <c r="D29" s="124" cm="1">
        <f t="array" ref="D29">SeasonalBudPct($B$23,C29)</f>
        <v>0.10630000000000001</v>
      </c>
      <c r="E29" s="20">
        <v>0</v>
      </c>
      <c r="F29" s="20" cm="1">
        <f t="array" ref="F29">BudgetDolVariance(C29,E29)</f>
        <v>-170.02</v>
      </c>
      <c r="G29" s="124" cm="1">
        <f t="array" ref="G29">BudgetPctVariance(C29,E29)</f>
        <v>-1</v>
      </c>
      <c r="H29" s="20">
        <v>275</v>
      </c>
      <c r="I29" s="138" cm="1">
        <f t="array" ref="I29">BudgetPctVariance(H29,E29)</f>
        <v>-1</v>
      </c>
      <c r="J29" s="161"/>
    </row>
    <row r="30" spans="1:10">
      <c r="A30" s="32" t="s">
        <v>583</v>
      </c>
      <c r="B30" s="33">
        <f>SUM(B23:B29)</f>
        <v>1600</v>
      </c>
      <c r="C30" s="34">
        <f>SUM(C23:C29)</f>
        <v>515.41</v>
      </c>
      <c r="D30" s="129" cm="1">
        <f t="array" ref="D30">SeasonalBudPct(B30,C30)</f>
        <v>0.3221</v>
      </c>
      <c r="E30" s="39">
        <f>SUM(E23:E29)</f>
        <v>504.77</v>
      </c>
      <c r="F30" s="33" cm="1">
        <f t="array" ref="F30">BudgetDolVariance(C30,E30)</f>
        <v>-10.639999999999986</v>
      </c>
      <c r="G30" s="129" cm="1">
        <f t="array" ref="G30">BudgetPctVariance(C30,E30)</f>
        <v>-2.06E-2</v>
      </c>
      <c r="H30" s="33">
        <f>SUM(H23:H29)</f>
        <v>1195.8600000000001</v>
      </c>
      <c r="I30" s="142" cm="1">
        <f t="array" ref="I30">BudgetPctVariance(H30,E30)</f>
        <v>-0.57789999999999997</v>
      </c>
      <c r="J30" s="165"/>
    </row>
    <row r="31" spans="1:10">
      <c r="A31" s="35" t="s">
        <v>395</v>
      </c>
      <c r="B31" s="30"/>
      <c r="C31" s="37"/>
      <c r="D31" s="129"/>
      <c r="E31" s="37"/>
      <c r="F31" s="30"/>
      <c r="G31" s="129"/>
      <c r="H31" s="30"/>
      <c r="I31" s="119"/>
      <c r="J31" s="155"/>
    </row>
    <row r="32" spans="1:10" outlineLevel="1">
      <c r="A32" s="14" t="s">
        <v>306</v>
      </c>
      <c r="B32" s="15">
        <v>5200</v>
      </c>
      <c r="C32" s="15">
        <v>6000</v>
      </c>
      <c r="D32" s="122" cm="1">
        <f t="array" ref="D32">SeasonalBudPct($B$32,C32)</f>
        <v>1.1537999999999999</v>
      </c>
      <c r="E32" s="15">
        <v>0</v>
      </c>
      <c r="F32" s="15" cm="1">
        <f t="array" ref="F32">BudgetDolVariance(C32,E32)</f>
        <v>-6000</v>
      </c>
      <c r="G32" s="122" cm="1">
        <f t="array" ref="G32">BudgetPctVariance(C32,E32)</f>
        <v>-1</v>
      </c>
      <c r="H32" s="15">
        <v>234.55</v>
      </c>
      <c r="I32" s="136" cm="1">
        <f t="array" ref="I32">BudgetPctVariance(H32,E32)</f>
        <v>-1</v>
      </c>
      <c r="J32" s="163"/>
    </row>
    <row r="33" spans="1:10" outlineLevel="1">
      <c r="A33" s="19" t="s">
        <v>309</v>
      </c>
      <c r="B33" s="20">
        <v>0</v>
      </c>
      <c r="C33" s="20">
        <v>0</v>
      </c>
      <c r="D33" s="124" t="str" cm="1">
        <f t="array" ref="D33">SeasonalBudPct($B$32,C33)</f>
        <v/>
      </c>
      <c r="E33" s="20">
        <v>0</v>
      </c>
      <c r="F33" s="20" t="str" cm="1">
        <f t="array" ref="F33">BudgetDolVariance(C33,E33)</f>
        <v/>
      </c>
      <c r="G33" s="124" t="str" cm="1">
        <f t="array" ref="G33">BudgetPctVariance(C33,E33)</f>
        <v/>
      </c>
      <c r="H33" s="20">
        <v>234.55</v>
      </c>
      <c r="I33" s="138" cm="1">
        <f t="array" ref="I33">BudgetPctVariance(H33,E33)</f>
        <v>-1</v>
      </c>
      <c r="J33" s="161"/>
    </row>
    <row r="34" spans="1:10">
      <c r="A34" s="32" t="s">
        <v>584</v>
      </c>
      <c r="B34" s="33">
        <f>SUM(B32:B33)</f>
        <v>5200</v>
      </c>
      <c r="C34" s="34">
        <f>SUM(C32:C33)</f>
        <v>6000</v>
      </c>
      <c r="D34" s="129" cm="1">
        <f t="array" ref="D34">SeasonalBudPct(B34,C34)</f>
        <v>1.1537999999999999</v>
      </c>
      <c r="E34" s="33">
        <f>SUM(E32:E33)</f>
        <v>0</v>
      </c>
      <c r="F34" s="33" cm="1">
        <f t="array" ref="F34">BudgetDolVariance(C34,E34)</f>
        <v>-6000</v>
      </c>
      <c r="G34" s="129" cm="1">
        <f t="array" ref="G34">BudgetPctVariance(C34,E34)</f>
        <v>-1</v>
      </c>
      <c r="H34" s="33">
        <f>SUM(H32:H33)</f>
        <v>469.1</v>
      </c>
      <c r="I34" s="142" cm="1">
        <f t="array" ref="I34">BudgetPctVariance(H34,E34)</f>
        <v>-1</v>
      </c>
      <c r="J34" s="165">
        <v>3</v>
      </c>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14269</v>
      </c>
      <c r="C40" s="17">
        <v>9432.57</v>
      </c>
      <c r="D40" s="123" cm="1">
        <f t="array" ref="D40">SeasonalBudPct(B40,C40)</f>
        <v>0.66110000000000002</v>
      </c>
      <c r="E40" s="17">
        <v>5304.58</v>
      </c>
      <c r="F40" s="17" cm="1">
        <f t="array" ref="F40">BudgetDolVariance(C40,E40)</f>
        <v>-4127.99</v>
      </c>
      <c r="G40" s="123" cm="1">
        <f t="array" ref="G40">BudgetPctVariance(C40,E40)</f>
        <v>-0.43759999999999999</v>
      </c>
      <c r="H40" s="17">
        <v>5197.3500000000004</v>
      </c>
      <c r="I40" s="146" cm="1">
        <f t="array" ref="I40">BudgetPctVariance(H40,E40)</f>
        <v>2.06E-2</v>
      </c>
      <c r="J40" s="160">
        <v>4</v>
      </c>
    </row>
    <row r="41" spans="1:10" outlineLevel="1">
      <c r="A41" s="19" t="s">
        <v>363</v>
      </c>
      <c r="B41" s="20">
        <v>1253</v>
      </c>
      <c r="C41" s="20">
        <v>765.5</v>
      </c>
      <c r="D41" s="124" cm="1">
        <f t="array" ref="D41">SeasonalBudPct(B41,C41)</f>
        <v>0.6109</v>
      </c>
      <c r="E41" s="20">
        <v>465.85</v>
      </c>
      <c r="F41" s="20" cm="1">
        <f t="array" ref="F41">BudgetDolVariance(C41,E41)</f>
        <v>-299.64999999999998</v>
      </c>
      <c r="G41" s="124" cm="1">
        <f t="array" ref="G41">BudgetPctVariance(C41,E41)</f>
        <v>-0.39140000000000003</v>
      </c>
      <c r="H41" s="20">
        <v>476.69</v>
      </c>
      <c r="I41" s="147" cm="1">
        <f t="array" ref="I41">BudgetPctVariance(H41,E41)</f>
        <v>-2.2700000000000001E-2</v>
      </c>
      <c r="J41" s="161">
        <v>5</v>
      </c>
    </row>
    <row r="42" spans="1:10">
      <c r="A42" s="38" t="s">
        <v>586</v>
      </c>
      <c r="B42" s="39">
        <f>SUM(B36:B41)</f>
        <v>15522</v>
      </c>
      <c r="C42" s="265">
        <f>SUM(C36:C41)</f>
        <v>10198.07</v>
      </c>
      <c r="D42" s="129" cm="1">
        <f t="array" ref="D42">SeasonalBudPct(B42,C42)</f>
        <v>0.65700000000000003</v>
      </c>
      <c r="E42" s="39">
        <f>SUM(E36:E41)</f>
        <v>5770.43</v>
      </c>
      <c r="F42" s="33" cm="1">
        <f t="array" ref="F42">BudgetDolVariance(C42,E42)</f>
        <v>-4427.6399999999994</v>
      </c>
      <c r="G42" s="135" cm="1">
        <f t="array" ref="G42">BudgetPctVariance(C42,E42)</f>
        <v>-0.43419999999999997</v>
      </c>
      <c r="H42" s="30">
        <f>SUM(H36:H41)</f>
        <v>5674.04</v>
      </c>
      <c r="I42" s="142" cm="1">
        <f t="array" ref="I42">BudgetPctVariance(H42,E42)</f>
        <v>1.7000000000000001E-2</v>
      </c>
      <c r="J42" s="165"/>
    </row>
    <row r="43" spans="1:10" ht="16.2" thickBot="1">
      <c r="A43" s="23" t="s">
        <v>587</v>
      </c>
      <c r="B43" s="24">
        <f>SUM(B21,B30,B34,B42)</f>
        <v>217637</v>
      </c>
      <c r="C43" s="24">
        <f>SUM(C21,C30,C34,C42)</f>
        <v>165477.88000000003</v>
      </c>
      <c r="D43" s="125" cm="1">
        <f t="array" ref="D43">SeasonalBudPct(B43,C43)</f>
        <v>0.76029999999999998</v>
      </c>
      <c r="E43" s="24">
        <f>SUM(E21,E30,E34,E42)</f>
        <v>80906.210000000021</v>
      </c>
      <c r="F43" s="24" cm="1">
        <f t="array" ref="F43">BudgetDolVariance(C43,E43)</f>
        <v>-84571.67</v>
      </c>
      <c r="G43" s="125" cm="1">
        <f t="array" ref="G43">BudgetPctVariance(C43,E43)</f>
        <v>-0.5111</v>
      </c>
      <c r="H43" s="24">
        <f>SUM(H21,H30,H34,H42)</f>
        <v>82558.03</v>
      </c>
      <c r="I43" s="125" cm="1">
        <f t="array" ref="I43">BudgetPctVariance(H43,E43)</f>
        <v>-0.02</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-52216.119999999966</v>
      </c>
      <c r="D48" s="125" cm="1">
        <f t="array" ref="D48">SeasonalBudPct(B48,C48)</f>
        <v>9.99</v>
      </c>
      <c r="E48" s="24">
        <f>SUM(E12,E43,E47)</f>
        <v>-136730.78999999998</v>
      </c>
      <c r="F48" s="24" cm="1">
        <f t="array" ref="F48">BudgetDolVariance(C48,E48)</f>
        <v>-84514.670000000013</v>
      </c>
      <c r="G48" s="125" cm="1">
        <f t="array" ref="G48">BudgetPctVariance(C48,E48)</f>
        <v>1.6186</v>
      </c>
      <c r="H48" s="24">
        <f>SUM(H12,H43,H47)</f>
        <v>-135135.97</v>
      </c>
      <c r="I48" s="150" cm="1">
        <f t="array" ref="I48">BudgetPctVariance(H48,E48)</f>
        <v>1.18E-2</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A55" s="167" t="s">
        <v>803</v>
      </c>
      <c r="B55" s="267"/>
    </row>
    <row r="56" spans="1:10">
      <c r="A56" s="167" t="s">
        <v>804</v>
      </c>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7DB577B2-D844-4B17-BFA1-F698BD3BD37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8662B-51FD-4EAF-BDC0-3125AD0ED9E2}">
  <dimension ref="A1:J61"/>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Row="1"/>
  <cols>
    <col min="1" max="1" width="30.88671875" style="167" bestFit="1" customWidth="1"/>
    <col min="2" max="2" width="16.77734375" style="158" customWidth="1"/>
    <col min="3" max="3" width="16.77734375" customWidth="1"/>
    <col min="4" max="4" width="11.6640625" style="134" customWidth="1"/>
    <col min="5" max="6" width="16.77734375" customWidth="1"/>
    <col min="7" max="7" width="11.6640625" style="134" customWidth="1"/>
    <col min="8" max="8" width="16.77734375" customWidth="1"/>
    <col min="9" max="9" width="11.6640625" style="134" customWidth="1"/>
    <col min="10" max="10" width="2.77734375" style="134" customWidth="1"/>
  </cols>
  <sheetData>
    <row r="1" spans="1:10" ht="15.6">
      <c r="A1" s="103">
        <v>43921</v>
      </c>
      <c r="B1" s="319" t="s">
        <v>799</v>
      </c>
      <c r="C1" s="307"/>
      <c r="D1" s="307"/>
      <c r="E1" s="307"/>
      <c r="F1" s="307"/>
      <c r="G1" s="307"/>
      <c r="H1" s="307"/>
      <c r="I1" s="307"/>
      <c r="J1" s="307"/>
    </row>
    <row r="2" spans="1:10" ht="15.6">
      <c r="A2"/>
      <c r="B2" s="308" t="s">
        <v>395</v>
      </c>
      <c r="C2" s="308"/>
      <c r="D2" s="308"/>
      <c r="E2" s="308"/>
      <c r="F2" s="308"/>
      <c r="G2" s="308"/>
      <c r="H2" s="308"/>
      <c r="I2" s="308"/>
      <c r="J2" s="308"/>
    </row>
    <row r="3" spans="1:10">
      <c r="A3"/>
      <c r="B3" s="3" t="s">
        <v>552</v>
      </c>
      <c r="C3" s="3" t="s">
        <v>553</v>
      </c>
      <c r="D3" s="119" t="s">
        <v>554</v>
      </c>
      <c r="E3" s="3" t="s">
        <v>555</v>
      </c>
      <c r="F3" s="3" t="s">
        <v>556</v>
      </c>
      <c r="G3" s="119" t="s">
        <v>557</v>
      </c>
      <c r="H3" s="3" t="s">
        <v>558</v>
      </c>
      <c r="I3" s="119" t="s">
        <v>559</v>
      </c>
      <c r="J3" s="309" t="s">
        <v>560</v>
      </c>
    </row>
    <row r="4" spans="1:10">
      <c r="A4" s="5"/>
      <c r="B4" s="105"/>
      <c r="C4" s="105" t="s">
        <v>561</v>
      </c>
      <c r="D4" s="120"/>
      <c r="E4" s="105"/>
      <c r="F4" s="105" t="s">
        <v>562</v>
      </c>
      <c r="G4" s="120" t="s">
        <v>562</v>
      </c>
      <c r="H4" s="105" t="s">
        <v>563</v>
      </c>
      <c r="I4" s="120" t="s">
        <v>564</v>
      </c>
      <c r="J4" s="310"/>
    </row>
    <row r="5" spans="1:10">
      <c r="A5" s="6"/>
      <c r="B5" s="105" t="s">
        <v>565</v>
      </c>
      <c r="C5" s="105" t="s">
        <v>566</v>
      </c>
      <c r="D5" s="120" t="s">
        <v>567</v>
      </c>
      <c r="E5" s="105" t="s">
        <v>568</v>
      </c>
      <c r="F5" s="105" t="s">
        <v>569</v>
      </c>
      <c r="G5" s="120" t="s">
        <v>570</v>
      </c>
      <c r="H5" s="105" t="s">
        <v>568</v>
      </c>
      <c r="I5" s="120" t="s">
        <v>570</v>
      </c>
      <c r="J5" s="310"/>
    </row>
    <row r="6" spans="1:10">
      <c r="A6" s="7"/>
      <c r="B6" s="8"/>
      <c r="C6" s="8" t="s">
        <v>571</v>
      </c>
      <c r="D6" s="121" t="s">
        <v>572</v>
      </c>
      <c r="E6" s="9"/>
      <c r="F6" s="9" t="s">
        <v>573</v>
      </c>
      <c r="G6" s="121" t="s">
        <v>574</v>
      </c>
      <c r="H6" s="9"/>
      <c r="I6" s="121" t="s">
        <v>575</v>
      </c>
      <c r="J6" s="311"/>
    </row>
    <row r="7" spans="1:10">
      <c r="A7" s="10" t="s">
        <v>576</v>
      </c>
      <c r="B7" s="11"/>
      <c r="C7" s="12"/>
      <c r="D7" s="119"/>
      <c r="E7" s="13"/>
      <c r="F7" s="13"/>
      <c r="G7" s="119"/>
      <c r="H7" s="13"/>
      <c r="I7" s="119"/>
      <c r="J7" s="151"/>
    </row>
    <row r="8" spans="1:10" outlineLevel="1">
      <c r="A8" s="14" t="s">
        <v>577</v>
      </c>
      <c r="B8" s="15">
        <v>-5384</v>
      </c>
      <c r="C8" s="15">
        <v>-5340</v>
      </c>
      <c r="D8" s="122" cm="1">
        <f t="array" ref="D8">SeasonalBudPct(B8,C8)</f>
        <v>0.99180000000000001</v>
      </c>
      <c r="E8" s="15">
        <v>-5384</v>
      </c>
      <c r="F8" s="15" cm="1">
        <f t="array" ref="F8">BudgetDolVariance(C8,E8)</f>
        <v>-44</v>
      </c>
      <c r="G8" s="122" cm="1">
        <f t="array" ref="G8">BudgetPctVariance(C8,E8)</f>
        <v>8.2000000000000007E-3</v>
      </c>
      <c r="H8" s="15">
        <v>-5340</v>
      </c>
      <c r="I8" s="136" cm="1">
        <f t="array" ref="I8">BudgetPctVariance(H8,E8)</f>
        <v>8.2000000000000007E-3</v>
      </c>
      <c r="J8" s="159"/>
    </row>
    <row r="9" spans="1:10" outlineLevel="1">
      <c r="A9" s="16" t="s">
        <v>578</v>
      </c>
      <c r="B9" s="17">
        <v>0</v>
      </c>
      <c r="C9" s="18">
        <v>0</v>
      </c>
      <c r="D9" s="123" t="str" cm="1">
        <f t="array" ref="D9">SeasonalBudPct(B9,C9)</f>
        <v/>
      </c>
      <c r="E9" s="17">
        <v>0</v>
      </c>
      <c r="F9" s="17" t="str" cm="1">
        <f t="array" ref="F9">BudgetDolVariance(C9,E9)</f>
        <v/>
      </c>
      <c r="G9" s="123" t="str" cm="1">
        <f t="array" ref="G9">BudgetPctVariance(C9,E9)</f>
        <v/>
      </c>
      <c r="H9" s="17">
        <v>0</v>
      </c>
      <c r="I9" s="137" t="str" cm="1">
        <f t="array" ref="I9">BudgetPctVariance(H9,E9)</f>
        <v/>
      </c>
      <c r="J9" s="160"/>
    </row>
    <row r="10" spans="1:10" outlineLevel="1">
      <c r="A10" s="16" t="s">
        <v>168</v>
      </c>
      <c r="B10" s="17">
        <v>0</v>
      </c>
      <c r="C10" s="18">
        <v>0</v>
      </c>
      <c r="D10" s="123" t="str" cm="1">
        <f t="array" ref="D10">SeasonalBudPct(B10,C10)</f>
        <v/>
      </c>
      <c r="E10" s="17">
        <v>0</v>
      </c>
      <c r="F10" s="17" t="str" cm="1">
        <f t="array" ref="F10">BudgetDolVariance(C10,E10)</f>
        <v/>
      </c>
      <c r="G10" s="123" t="str" cm="1">
        <f t="array" ref="G10">BudgetPctVariance(C10,E10)</f>
        <v/>
      </c>
      <c r="H10" s="17">
        <v>0</v>
      </c>
      <c r="I10" s="137" t="str" cm="1">
        <f t="array" ref="I10">BudgetPctVariance(H10,E10)</f>
        <v/>
      </c>
      <c r="J10" s="160"/>
    </row>
    <row r="11" spans="1:10" outlineLevel="1">
      <c r="A11" s="19" t="s">
        <v>178</v>
      </c>
      <c r="B11" s="20">
        <v>0</v>
      </c>
      <c r="C11" s="21">
        <v>0</v>
      </c>
      <c r="D11" s="124" t="str" cm="1">
        <f t="array" ref="D11">SeasonalBudPct(B11,C11)</f>
        <v/>
      </c>
      <c r="E11" s="20">
        <v>0</v>
      </c>
      <c r="F11" s="20" t="str" cm="1">
        <f t="array" ref="F11">BudgetDolVariance(C11,E11)</f>
        <v/>
      </c>
      <c r="G11" s="124" t="str" cm="1">
        <f t="array" ref="G11">BudgetPctVariance(C11,E11)</f>
        <v/>
      </c>
      <c r="H11" s="20">
        <v>0</v>
      </c>
      <c r="I11" s="138" t="str" cm="1">
        <f t="array" ref="I11">BudgetPctVariance(H11,E11)</f>
        <v/>
      </c>
      <c r="J11" s="161"/>
    </row>
    <row r="12" spans="1:10" ht="16.2" thickBot="1">
      <c r="A12" s="23" t="s">
        <v>579</v>
      </c>
      <c r="B12" s="24">
        <f>SUM(B8:B11)</f>
        <v>-5384</v>
      </c>
      <c r="C12" s="24">
        <f>SUM(C8:C11)</f>
        <v>-5340</v>
      </c>
      <c r="D12" s="125" cm="1">
        <f t="array" ref="D12">SeasonalBudPct(B12,C12)</f>
        <v>0.99180000000000001</v>
      </c>
      <c r="E12" s="24">
        <f>SUM(E8:E11)</f>
        <v>-5384</v>
      </c>
      <c r="F12" s="24" cm="1">
        <f t="array" ref="F12">BudgetDolVariance(C12,E12)</f>
        <v>-44</v>
      </c>
      <c r="G12" s="125" cm="1">
        <f t="array" ref="G12">BudgetPctVariance(C12,E12)</f>
        <v>8.2000000000000007E-3</v>
      </c>
      <c r="H12" s="24">
        <f>SUM(H8:H11)</f>
        <v>-5340</v>
      </c>
      <c r="I12" s="139" cm="1">
        <f t="array" ref="I12">BudgetPctVariance(H12,E12)</f>
        <v>8.2000000000000007E-3</v>
      </c>
      <c r="J12" s="162"/>
    </row>
    <row r="13" spans="1:10" ht="15" thickTop="1">
      <c r="A13" s="25"/>
      <c r="B13" s="26"/>
      <c r="C13" s="27"/>
      <c r="D13" s="126"/>
      <c r="E13" s="26"/>
      <c r="F13" s="27"/>
      <c r="G13" s="126"/>
      <c r="H13" s="27"/>
      <c r="I13" s="140"/>
      <c r="J13" s="152"/>
    </row>
    <row r="14" spans="1:10">
      <c r="A14" s="10" t="s">
        <v>580</v>
      </c>
      <c r="B14" s="29"/>
      <c r="C14" s="30"/>
      <c r="D14" s="127"/>
      <c r="E14" s="29"/>
      <c r="F14" s="30"/>
      <c r="G14" s="127"/>
      <c r="H14" s="30"/>
      <c r="I14" s="141"/>
      <c r="J14" s="153"/>
    </row>
    <row r="15" spans="1:10" outlineLevel="1">
      <c r="A15" s="14" t="s">
        <v>180</v>
      </c>
      <c r="B15" s="15">
        <v>0</v>
      </c>
      <c r="C15" s="15">
        <v>0</v>
      </c>
      <c r="D15" s="122" t="str" cm="1">
        <f t="array" ref="D15">SeasonalBudPct(B15,C15)</f>
        <v/>
      </c>
      <c r="E15" s="15">
        <v>0</v>
      </c>
      <c r="F15" s="15" t="str" cm="1">
        <f t="array" ref="F15">BudgetDolVariance(C15,E15)</f>
        <v/>
      </c>
      <c r="G15" s="122" t="str" cm="1">
        <f t="array" ref="G15">BudgetPctVariance(C15,E15)</f>
        <v/>
      </c>
      <c r="H15" s="15">
        <v>0</v>
      </c>
      <c r="I15" s="136" t="str" cm="1">
        <f t="array" ref="I15">BudgetPctVariance(H15,E15)</f>
        <v/>
      </c>
      <c r="J15" s="163"/>
    </row>
    <row r="16" spans="1:10" outlineLevel="1">
      <c r="A16" s="16" t="s">
        <v>202</v>
      </c>
      <c r="B16" s="17">
        <v>0</v>
      </c>
      <c r="C16" s="17">
        <v>0</v>
      </c>
      <c r="D16" s="123" t="str" cm="1">
        <f t="array" ref="D16">SeasonalBudPct(B16,C16)</f>
        <v/>
      </c>
      <c r="E16" s="17">
        <v>0</v>
      </c>
      <c r="F16" s="17" t="str" cm="1">
        <f t="array" ref="F16">BudgetDolVariance(C16,E16)</f>
        <v/>
      </c>
      <c r="G16" s="123" t="str" cm="1">
        <f t="array" ref="G16">BudgetPctVariance(C16,E16)</f>
        <v/>
      </c>
      <c r="H16" s="17">
        <v>0</v>
      </c>
      <c r="I16" s="137" t="str" cm="1">
        <f t="array" ref="I16">BudgetPctVariance(H16,E16)</f>
        <v/>
      </c>
      <c r="J16" s="160"/>
    </row>
    <row r="17" spans="1:10" outlineLevel="1">
      <c r="A17" s="183" t="s">
        <v>209</v>
      </c>
      <c r="B17" s="184">
        <v>0</v>
      </c>
      <c r="C17" s="185">
        <v>0</v>
      </c>
      <c r="D17" s="186" t="str" cm="1">
        <f t="array" ref="D17">SeasonalBudPct(B17,C17)</f>
        <v/>
      </c>
      <c r="E17" s="184">
        <v>0</v>
      </c>
      <c r="F17" s="185" t="str" cm="1">
        <f t="array" ref="F17">BudgetDolVariance(C17,E17)</f>
        <v/>
      </c>
      <c r="G17" s="186" t="str" cm="1">
        <f t="array" ref="G17">BudgetPctVariance(C17,E17)</f>
        <v/>
      </c>
      <c r="H17" s="185">
        <v>0</v>
      </c>
      <c r="I17" s="187" t="str" cm="1">
        <f t="array" ref="I17">BudgetPctVariance(H17,E17)</f>
        <v/>
      </c>
      <c r="J17" s="188"/>
    </row>
    <row r="18" spans="1:10" outlineLevel="1">
      <c r="A18" s="16" t="s">
        <v>216</v>
      </c>
      <c r="B18" s="17">
        <v>0</v>
      </c>
      <c r="C18" s="17">
        <v>0</v>
      </c>
      <c r="D18" s="128" t="str" cm="1">
        <f t="array" ref="D18">SeasonalBudPct(B18,C18)</f>
        <v/>
      </c>
      <c r="E18" s="17">
        <v>0</v>
      </c>
      <c r="F18" s="17" t="str" cm="1">
        <f t="array" ref="F18">BudgetDolVariance(C18,E18)</f>
        <v/>
      </c>
      <c r="G18" s="123" t="str" cm="1">
        <f t="array" ref="G18">BudgetPctVariance(C18,E18)</f>
        <v/>
      </c>
      <c r="H18" s="17">
        <v>0</v>
      </c>
      <c r="I18" s="137" t="str" cm="1">
        <f t="array" ref="I18">BudgetPctVariance(H18,E18)</f>
        <v/>
      </c>
      <c r="J18" s="160"/>
    </row>
    <row r="19" spans="1:10" outlineLevel="1">
      <c r="A19" s="16" t="s">
        <v>244</v>
      </c>
      <c r="B19" s="17">
        <v>0</v>
      </c>
      <c r="C19" s="17">
        <v>0</v>
      </c>
      <c r="D19" s="123" t="str" cm="1">
        <f t="array" ref="D19">SeasonalBudPct(B19,C19)</f>
        <v/>
      </c>
      <c r="E19" s="17">
        <v>0</v>
      </c>
      <c r="F19" s="17" t="str" cm="1">
        <f t="array" ref="F19">BudgetDolVariance(C19,E19)</f>
        <v/>
      </c>
      <c r="G19" s="123" t="str" cm="1">
        <f t="array" ref="G19">BudgetPctVariance(C19,E19)</f>
        <v/>
      </c>
      <c r="H19" s="17">
        <v>0</v>
      </c>
      <c r="I19" s="137" t="str" cm="1">
        <f t="array" ref="I19">BudgetPctVariance(H19,E19)</f>
        <v/>
      </c>
      <c r="J19" s="160"/>
    </row>
    <row r="20" spans="1:10" outlineLevel="1">
      <c r="A20" s="19" t="s">
        <v>251</v>
      </c>
      <c r="B20" s="20">
        <v>0</v>
      </c>
      <c r="C20" s="20">
        <v>0</v>
      </c>
      <c r="D20" s="124" t="str" cm="1">
        <f t="array" ref="D20">SeasonalBudPct(B20,C20)</f>
        <v/>
      </c>
      <c r="E20" s="20">
        <v>0</v>
      </c>
      <c r="F20" s="20" t="str" cm="1">
        <f t="array" ref="F20">BudgetDolVariance(C20,E20)</f>
        <v/>
      </c>
      <c r="G20" s="124" t="str" cm="1">
        <f t="array" ref="G20">BudgetPctVariance(C20,E20)</f>
        <v/>
      </c>
      <c r="H20" s="20">
        <v>0</v>
      </c>
      <c r="I20" s="138" t="str" cm="1">
        <f t="array" ref="I20">BudgetPctVariance(H20,E20)</f>
        <v/>
      </c>
      <c r="J20" s="161"/>
    </row>
    <row r="21" spans="1:10">
      <c r="A21" s="32" t="s">
        <v>581</v>
      </c>
      <c r="B21" s="33">
        <f>SUM(B15:B20)</f>
        <v>0</v>
      </c>
      <c r="C21" s="34">
        <f>SUM(C15:C20)</f>
        <v>0</v>
      </c>
      <c r="D21" s="129" t="str" cm="1">
        <f t="array" ref="D21">SeasonalBudPct(B21,C21)</f>
        <v/>
      </c>
      <c r="E21" s="33">
        <f>SUM(E15:E20)</f>
        <v>0</v>
      </c>
      <c r="F21" s="33" t="str" cm="1">
        <f t="array" ref="F21">BudgetDolVariance(C21,E21)</f>
        <v/>
      </c>
      <c r="G21" s="129" t="str" cm="1">
        <f t="array" ref="G21">BudgetPctVariance(C21,E21)</f>
        <v/>
      </c>
      <c r="H21" s="33">
        <f>SUM(H15:H20)</f>
        <v>0</v>
      </c>
      <c r="I21" s="142" t="str" cm="1">
        <f t="array" ref="I21">BudgetPctVariance(H21,E21)</f>
        <v/>
      </c>
      <c r="J21" s="164"/>
    </row>
    <row r="22" spans="1:10">
      <c r="A22" s="35" t="s">
        <v>582</v>
      </c>
      <c r="B22" s="36"/>
      <c r="C22" s="36"/>
      <c r="D22" s="130"/>
      <c r="E22" s="36"/>
      <c r="F22" s="36"/>
      <c r="G22" s="130"/>
      <c r="H22" s="36"/>
      <c r="I22" s="143"/>
      <c r="J22" s="154"/>
    </row>
    <row r="23" spans="1:10" outlineLevel="1">
      <c r="A23" s="189" t="s">
        <v>261</v>
      </c>
      <c r="B23" s="190">
        <v>0</v>
      </c>
      <c r="C23" s="190">
        <v>0</v>
      </c>
      <c r="D23" s="191" t="str" cm="1">
        <f t="array" ref="D23">SeasonalBudPct($B$23,C23)</f>
        <v/>
      </c>
      <c r="E23" s="190">
        <v>0</v>
      </c>
      <c r="F23" s="190" t="str" cm="1">
        <f t="array" ref="F23">BudgetDolVariance(C23,E23)</f>
        <v/>
      </c>
      <c r="G23" s="191" t="str" cm="1">
        <f t="array" ref="G23">BudgetPctVariance(C23,E23)</f>
        <v/>
      </c>
      <c r="H23" s="190">
        <v>0</v>
      </c>
      <c r="I23" s="192" t="str" cm="1">
        <f t="array" ref="I23">BudgetPctVariance(H23,E23)</f>
        <v/>
      </c>
      <c r="J23" s="193"/>
    </row>
    <row r="24" spans="1:10" outlineLevel="1">
      <c r="A24" s="16" t="s">
        <v>263</v>
      </c>
      <c r="B24" s="17">
        <v>0</v>
      </c>
      <c r="C24" s="17">
        <v>0</v>
      </c>
      <c r="D24" s="123" t="str" cm="1">
        <f t="array" ref="D24">SeasonalBudPct($B$23,C24)</f>
        <v/>
      </c>
      <c r="E24" s="17">
        <v>0</v>
      </c>
      <c r="F24" s="17" t="str" cm="1">
        <f t="array" ref="F24">BudgetDolVariance(C24,E24)</f>
        <v/>
      </c>
      <c r="G24" s="123" t="str" cm="1">
        <f t="array" ref="G24">BudgetPctVariance(C24,E24)</f>
        <v/>
      </c>
      <c r="H24" s="17">
        <v>0</v>
      </c>
      <c r="I24" s="137" t="str" cm="1">
        <f t="array" ref="I24">BudgetPctVariance(H24,E24)</f>
        <v/>
      </c>
      <c r="J24" s="160"/>
    </row>
    <row r="25" spans="1:10" outlineLevel="1">
      <c r="A25" s="16" t="s">
        <v>270</v>
      </c>
      <c r="B25" s="17">
        <v>0</v>
      </c>
      <c r="C25" s="17">
        <v>0</v>
      </c>
      <c r="D25" s="123" t="str" cm="1">
        <f t="array" ref="D25">SeasonalBudPct($B$23,C25)</f>
        <v/>
      </c>
      <c r="E25" s="17">
        <v>0</v>
      </c>
      <c r="F25" s="17" t="str" cm="1">
        <f t="array" ref="F25">BudgetDolVariance(C25,E25)</f>
        <v/>
      </c>
      <c r="G25" s="123" t="str" cm="1">
        <f t="array" ref="G25">BudgetPctVariance(C25,E25)</f>
        <v/>
      </c>
      <c r="H25" s="17">
        <v>0</v>
      </c>
      <c r="I25" s="137" t="str" cm="1">
        <f t="array" ref="I25">BudgetPctVariance(H25,E25)</f>
        <v/>
      </c>
      <c r="J25" s="160"/>
    </row>
    <row r="26" spans="1:10" outlineLevel="1">
      <c r="A26" s="16" t="s">
        <v>283</v>
      </c>
      <c r="B26" s="17">
        <v>0</v>
      </c>
      <c r="C26" s="17">
        <v>0</v>
      </c>
      <c r="D26" s="123" t="str" cm="1">
        <f t="array" ref="D26">SeasonalBudPct($B$23,C26)</f>
        <v/>
      </c>
      <c r="E26" s="17">
        <v>0</v>
      </c>
      <c r="F26" s="17" t="str" cm="1">
        <f t="array" ref="F26">BudgetDolVariance(C26,E26)</f>
        <v/>
      </c>
      <c r="G26" s="123" t="str" cm="1">
        <f t="array" ref="G26">BudgetPctVariance(C26,E26)</f>
        <v/>
      </c>
      <c r="H26" s="17">
        <v>0</v>
      </c>
      <c r="I26" s="137" t="str" cm="1">
        <f t="array" ref="I26">BudgetPctVariance(H26,E26)</f>
        <v/>
      </c>
      <c r="J26" s="160"/>
    </row>
    <row r="27" spans="1:10" outlineLevel="1">
      <c r="A27" s="16" t="s">
        <v>286</v>
      </c>
      <c r="B27" s="17">
        <v>0</v>
      </c>
      <c r="C27" s="17">
        <v>0</v>
      </c>
      <c r="D27" s="123" t="str" cm="1">
        <f t="array" ref="D27">SeasonalBudPct($B$23,C27)</f>
        <v/>
      </c>
      <c r="E27" s="17">
        <v>0</v>
      </c>
      <c r="F27" s="17" t="str" cm="1">
        <f t="array" ref="F27">BudgetDolVariance(C27,E27)</f>
        <v/>
      </c>
      <c r="G27" s="123" t="str" cm="1">
        <f t="array" ref="G27">BudgetPctVariance(C27,E27)</f>
        <v/>
      </c>
      <c r="H27" s="17">
        <v>0</v>
      </c>
      <c r="I27" s="137" t="str" cm="1">
        <f t="array" ref="I27">BudgetPctVariance(H27,E27)</f>
        <v/>
      </c>
      <c r="J27" s="160"/>
    </row>
    <row r="28" spans="1:10" outlineLevel="1">
      <c r="A28" s="16" t="s">
        <v>288</v>
      </c>
      <c r="B28" s="17">
        <v>0</v>
      </c>
      <c r="C28" s="17">
        <v>0</v>
      </c>
      <c r="D28" s="123" t="str" cm="1">
        <f t="array" ref="D28">SeasonalBudPct($B$23,C28)</f>
        <v/>
      </c>
      <c r="E28" s="17">
        <v>0</v>
      </c>
      <c r="F28" s="17" t="str" cm="1">
        <f t="array" ref="F28">BudgetDolVariance(C28,E28)</f>
        <v/>
      </c>
      <c r="G28" s="123" t="str" cm="1">
        <f t="array" ref="G28">BudgetPctVariance(C28,E28)</f>
        <v/>
      </c>
      <c r="H28" s="17">
        <v>0</v>
      </c>
      <c r="I28" s="137" t="str" cm="1">
        <f t="array" ref="I28">BudgetPctVariance(H28,E28)</f>
        <v/>
      </c>
      <c r="J28" s="160"/>
    </row>
    <row r="29" spans="1:10" outlineLevel="1">
      <c r="A29" s="19" t="s">
        <v>292</v>
      </c>
      <c r="B29" s="20">
        <v>0</v>
      </c>
      <c r="C29" s="20">
        <v>0</v>
      </c>
      <c r="D29" s="124" t="str" cm="1">
        <f t="array" ref="D29">SeasonalBudPct($B$23,C29)</f>
        <v/>
      </c>
      <c r="E29" s="20">
        <v>0</v>
      </c>
      <c r="F29" s="20" t="str" cm="1">
        <f t="array" ref="F29">BudgetDolVariance(C29,E29)</f>
        <v/>
      </c>
      <c r="G29" s="124" t="str" cm="1">
        <f t="array" ref="G29">BudgetPctVariance(C29,E29)</f>
        <v/>
      </c>
      <c r="H29" s="20">
        <v>880</v>
      </c>
      <c r="I29" s="138" cm="1">
        <f t="array" ref="I29">BudgetPctVariance(H29,E29)</f>
        <v>-1</v>
      </c>
      <c r="J29" s="161"/>
    </row>
    <row r="30" spans="1:10">
      <c r="A30" s="32" t="s">
        <v>583</v>
      </c>
      <c r="B30" s="33">
        <f>SUM(B23:B29)</f>
        <v>0</v>
      </c>
      <c r="C30" s="34">
        <f>SUM(C23:C29)</f>
        <v>0</v>
      </c>
      <c r="D30" s="129" t="str" cm="1">
        <f t="array" ref="D30">SeasonalBudPct(B30,C30)</f>
        <v/>
      </c>
      <c r="E30" s="39">
        <f>SUM(E23:E29)</f>
        <v>0</v>
      </c>
      <c r="F30" s="33" t="str" cm="1">
        <f t="array" ref="F30">BudgetDolVariance(C30,E30)</f>
        <v/>
      </c>
      <c r="G30" s="129" t="str" cm="1">
        <f t="array" ref="G30">BudgetPctVariance(C30,E30)</f>
        <v/>
      </c>
      <c r="H30" s="33">
        <f>SUM(H23:H29)</f>
        <v>880</v>
      </c>
      <c r="I30" s="142" cm="1">
        <f t="array" ref="I30">BudgetPctVariance(H30,E30)</f>
        <v>-1</v>
      </c>
      <c r="J30" s="165"/>
    </row>
    <row r="31" spans="1:10">
      <c r="A31" s="35" t="s">
        <v>395</v>
      </c>
      <c r="B31" s="30"/>
      <c r="C31" s="37"/>
      <c r="D31" s="129"/>
      <c r="E31" s="37"/>
      <c r="F31" s="30"/>
      <c r="G31" s="129"/>
      <c r="H31" s="30"/>
      <c r="I31" s="119"/>
      <c r="J31" s="155"/>
    </row>
    <row r="32" spans="1:10" outlineLevel="1">
      <c r="A32" s="14" t="s">
        <v>306</v>
      </c>
      <c r="B32" s="15">
        <v>5000</v>
      </c>
      <c r="C32" s="15">
        <v>2748.83</v>
      </c>
      <c r="D32" s="122" cm="1">
        <f t="array" ref="D32">SeasonalBudPct($B$32,C32)</f>
        <v>0.54979999999999996</v>
      </c>
      <c r="E32" s="15">
        <v>0</v>
      </c>
      <c r="F32" s="15" cm="1">
        <f t="array" ref="F32">BudgetDolVariance(C32,E32)</f>
        <v>-2748.83</v>
      </c>
      <c r="G32" s="122" cm="1">
        <f t="array" ref="G32">BudgetPctVariance(C32,E32)</f>
        <v>-1</v>
      </c>
      <c r="H32" s="15">
        <v>583.01</v>
      </c>
      <c r="I32" s="136" cm="1">
        <f t="array" ref="I32">BudgetPctVariance(H32,E32)</f>
        <v>-1</v>
      </c>
      <c r="J32" s="163"/>
    </row>
    <row r="33" spans="1:10" outlineLevel="1">
      <c r="A33" s="19" t="s">
        <v>309</v>
      </c>
      <c r="B33" s="20">
        <v>0</v>
      </c>
      <c r="C33" s="20">
        <v>1566.8</v>
      </c>
      <c r="D33" s="124" cm="1">
        <f t="array" ref="D33">SeasonalBudPct($B$32,C33)</f>
        <v>0.31340000000000001</v>
      </c>
      <c r="E33" s="20">
        <v>2728.09</v>
      </c>
      <c r="F33" s="20" cm="1">
        <f t="array" ref="F33">BudgetDolVariance(C33,E33)</f>
        <v>1161.2900000000002</v>
      </c>
      <c r="G33" s="124" cm="1">
        <f t="array" ref="G33">BudgetPctVariance(C33,E33)</f>
        <v>0.74119999999999997</v>
      </c>
      <c r="H33" s="20">
        <v>469.52</v>
      </c>
      <c r="I33" s="138" cm="1">
        <f t="array" ref="I33">BudgetPctVariance(H33,E33)</f>
        <v>4.8103999999999996</v>
      </c>
      <c r="J33" s="161"/>
    </row>
    <row r="34" spans="1:10">
      <c r="A34" s="32" t="s">
        <v>584</v>
      </c>
      <c r="B34" s="33">
        <f>SUM(B32:B33)</f>
        <v>5000</v>
      </c>
      <c r="C34" s="34">
        <f>SUM(C32:C33)</f>
        <v>4315.63</v>
      </c>
      <c r="D34" s="129" cm="1">
        <f t="array" ref="D34">SeasonalBudPct(B34,C34)</f>
        <v>0.86309999999999998</v>
      </c>
      <c r="E34" s="33">
        <f>SUM(E32:E33)</f>
        <v>2728.09</v>
      </c>
      <c r="F34" s="33" cm="1">
        <f t="array" ref="F34">BudgetDolVariance(C34,E34)</f>
        <v>-1587.54</v>
      </c>
      <c r="G34" s="129" cm="1">
        <f t="array" ref="G34">BudgetPctVariance(C34,E34)</f>
        <v>-0.3679</v>
      </c>
      <c r="H34" s="33">
        <f>SUM(H32:H33)</f>
        <v>1052.53</v>
      </c>
      <c r="I34" s="142" cm="1">
        <f t="array" ref="I34">BudgetPctVariance(H34,E34)</f>
        <v>1.5919000000000001</v>
      </c>
      <c r="J34" s="165">
        <v>1</v>
      </c>
    </row>
    <row r="35" spans="1:10">
      <c r="A35" s="35" t="s">
        <v>585</v>
      </c>
      <c r="B35" s="37"/>
      <c r="C35" s="30"/>
      <c r="D35" s="131"/>
      <c r="E35" s="37"/>
      <c r="F35" s="30"/>
      <c r="G35" s="131"/>
      <c r="H35" s="37"/>
      <c r="I35" s="144"/>
      <c r="J35" s="155"/>
    </row>
    <row r="36" spans="1:10" outlineLevel="1">
      <c r="A36" s="14" t="s">
        <v>311</v>
      </c>
      <c r="B36" s="15">
        <v>0</v>
      </c>
      <c r="C36" s="15">
        <v>0</v>
      </c>
      <c r="D36" s="122" t="str" cm="1">
        <f t="array" ref="D36">SeasonalBudPct(B36,C36)</f>
        <v/>
      </c>
      <c r="E36" s="15">
        <v>0</v>
      </c>
      <c r="F36" s="15" t="str" cm="1">
        <f t="array" ref="F36">BudgetDolVariance(C36,E36)</f>
        <v/>
      </c>
      <c r="G36" s="122" t="str" cm="1">
        <f t="array" ref="G36">BudgetPctVariance(C36,E36)</f>
        <v/>
      </c>
      <c r="H36" s="15">
        <v>0</v>
      </c>
      <c r="I36" s="145" t="str" cm="1">
        <f t="array" ref="I36">BudgetPctVariance(H36,E36)</f>
        <v/>
      </c>
      <c r="J36" s="163"/>
    </row>
    <row r="37" spans="1:10" outlineLevel="1">
      <c r="A37" s="16" t="s">
        <v>313</v>
      </c>
      <c r="B37" s="17">
        <v>0</v>
      </c>
      <c r="C37" s="17">
        <v>0</v>
      </c>
      <c r="D37" s="123" t="str" cm="1">
        <f t="array" ref="D37">SeasonalBudPct(B37,C37)</f>
        <v/>
      </c>
      <c r="E37" s="17">
        <v>0</v>
      </c>
      <c r="F37" s="17" t="str" cm="1">
        <f t="array" ref="F37">BudgetDolVariance(C37,E37)</f>
        <v/>
      </c>
      <c r="G37" s="123" t="str" cm="1">
        <f t="array" ref="G37">BudgetPctVariance(C37,E37)</f>
        <v/>
      </c>
      <c r="H37" s="17">
        <v>0</v>
      </c>
      <c r="I37" s="146" t="str" cm="1">
        <f t="array" ref="I37">BudgetPctVariance(H37,E37)</f>
        <v/>
      </c>
      <c r="J37" s="160"/>
    </row>
    <row r="38" spans="1:10" outlineLevel="1">
      <c r="A38" s="16" t="s">
        <v>331</v>
      </c>
      <c r="B38" s="17">
        <v>0</v>
      </c>
      <c r="C38" s="17">
        <v>0</v>
      </c>
      <c r="D38" s="123" t="str" cm="1">
        <f t="array" ref="D38">SeasonalBudPct(B38,C38)</f>
        <v/>
      </c>
      <c r="E38" s="17">
        <v>0</v>
      </c>
      <c r="F38" s="17" t="str" cm="1">
        <f t="array" ref="F38">BudgetDolVariance(C38,E38)</f>
        <v/>
      </c>
      <c r="G38" s="123" t="str" cm="1">
        <f t="array" ref="G38">BudgetPctVariance(C38,E38)</f>
        <v/>
      </c>
      <c r="H38" s="17">
        <v>0</v>
      </c>
      <c r="I38" s="146" t="str" cm="1">
        <f t="array" ref="I38">BudgetPctVariance(H38,E38)</f>
        <v/>
      </c>
      <c r="J38" s="160"/>
    </row>
    <row r="39" spans="1:10" outlineLevel="1">
      <c r="A39" s="194" t="s">
        <v>351</v>
      </c>
      <c r="B39" s="185">
        <v>0</v>
      </c>
      <c r="C39" s="185">
        <v>0</v>
      </c>
      <c r="D39" s="195" t="str" cm="1">
        <f t="array" ref="D39">SeasonalBudPct(B39,C39)</f>
        <v/>
      </c>
      <c r="E39" s="185">
        <v>0</v>
      </c>
      <c r="F39" s="185" t="str" cm="1">
        <f t="array" ref="F39">BudgetDolVariance(C39,E39)</f>
        <v/>
      </c>
      <c r="G39" s="195" t="str" cm="1">
        <f t="array" ref="G39">BudgetPctVariance(C39,E39)</f>
        <v/>
      </c>
      <c r="H39" s="185">
        <v>0</v>
      </c>
      <c r="I39" s="196" t="str" cm="1">
        <f t="array" ref="I39">BudgetPctVariance(H39,E39)</f>
        <v/>
      </c>
      <c r="J39" s="188"/>
    </row>
    <row r="40" spans="1:10" outlineLevel="1">
      <c r="A40" s="16" t="s">
        <v>359</v>
      </c>
      <c r="B40" s="17">
        <v>353</v>
      </c>
      <c r="C40" s="17">
        <v>284.18</v>
      </c>
      <c r="D40" s="123" cm="1">
        <f t="array" ref="D40">SeasonalBudPct(B40,C40)</f>
        <v>0.80500000000000005</v>
      </c>
      <c r="E40" s="17">
        <v>192.6</v>
      </c>
      <c r="F40" s="17" cm="1">
        <f t="array" ref="F40">BudgetDolVariance(C40,E40)</f>
        <v>-91.580000000000013</v>
      </c>
      <c r="G40" s="123" cm="1">
        <f t="array" ref="G40">BudgetPctVariance(C40,E40)</f>
        <v>-0.32229999999999998</v>
      </c>
      <c r="H40" s="17">
        <v>130.63999999999999</v>
      </c>
      <c r="I40" s="146" cm="1">
        <f t="array" ref="I40">BudgetPctVariance(H40,E40)</f>
        <v>0.4743</v>
      </c>
      <c r="J40" s="160">
        <v>2</v>
      </c>
    </row>
    <row r="41" spans="1:10" outlineLevel="1">
      <c r="A41" s="19" t="s">
        <v>363</v>
      </c>
      <c r="B41" s="20">
        <v>31</v>
      </c>
      <c r="C41" s="20">
        <v>23.36</v>
      </c>
      <c r="D41" s="124" cm="1">
        <f t="array" ref="D41">SeasonalBudPct(B41,C41)</f>
        <v>0.75349999999999995</v>
      </c>
      <c r="E41" s="20">
        <v>16.91</v>
      </c>
      <c r="F41" s="20" cm="1">
        <f t="array" ref="F41">BudgetDolVariance(C41,E41)</f>
        <v>-6.4499999999999993</v>
      </c>
      <c r="G41" s="124" cm="1">
        <f t="array" ref="G41">BudgetPctVariance(C41,E41)</f>
        <v>-0.27610000000000001</v>
      </c>
      <c r="H41" s="20">
        <v>11.99</v>
      </c>
      <c r="I41" s="147" cm="1">
        <f t="array" ref="I41">BudgetPctVariance(H41,E41)</f>
        <v>0.4103</v>
      </c>
      <c r="J41" s="161">
        <v>3</v>
      </c>
    </row>
    <row r="42" spans="1:10">
      <c r="A42" s="38" t="s">
        <v>586</v>
      </c>
      <c r="B42" s="39">
        <f>SUM(B36:B41)</f>
        <v>384</v>
      </c>
      <c r="C42" s="265">
        <f>SUM(C36:C41)</f>
        <v>307.54000000000002</v>
      </c>
      <c r="D42" s="129" cm="1">
        <f t="array" ref="D42">SeasonalBudPct(B42,C42)</f>
        <v>0.80089999999999995</v>
      </c>
      <c r="E42" s="39">
        <f>SUM(E36:E41)</f>
        <v>209.51</v>
      </c>
      <c r="F42" s="33" cm="1">
        <f t="array" ref="F42">BudgetDolVariance(C42,E42)</f>
        <v>-98.03000000000003</v>
      </c>
      <c r="G42" s="135" cm="1">
        <f t="array" ref="G42">BudgetPctVariance(C42,E42)</f>
        <v>-0.31879999999999997</v>
      </c>
      <c r="H42" s="30">
        <f>SUM(H36:H41)</f>
        <v>142.63</v>
      </c>
      <c r="I42" s="142" cm="1">
        <f t="array" ref="I42">BudgetPctVariance(H42,E42)</f>
        <v>0.46889999999999998</v>
      </c>
      <c r="J42" s="165"/>
    </row>
    <row r="43" spans="1:10" ht="16.2" thickBot="1">
      <c r="A43" s="23" t="s">
        <v>587</v>
      </c>
      <c r="B43" s="24">
        <f>SUM(B21,B30,B34,B42)</f>
        <v>5384</v>
      </c>
      <c r="C43" s="24">
        <f>SUM(C21,C30,C34,C42)</f>
        <v>4623.17</v>
      </c>
      <c r="D43" s="125" cm="1">
        <f t="array" ref="D43">SeasonalBudPct(B43,C43)</f>
        <v>0.85870000000000002</v>
      </c>
      <c r="E43" s="24">
        <f>SUM(E21,E30,E34,E42)</f>
        <v>2937.6000000000004</v>
      </c>
      <c r="F43" s="24" cm="1">
        <f t="array" ref="F43">BudgetDolVariance(C43,E43)</f>
        <v>-1685.5700000000002</v>
      </c>
      <c r="G43" s="125" cm="1">
        <f t="array" ref="G43">BudgetPctVariance(C43,E43)</f>
        <v>-0.36459999999999998</v>
      </c>
      <c r="H43" s="24">
        <f>SUM(H21,H30,H34,H42)</f>
        <v>2075.16</v>
      </c>
      <c r="I43" s="125" cm="1">
        <f t="array" ref="I43">BudgetPctVariance(H43,E43)</f>
        <v>0.41560000000000002</v>
      </c>
      <c r="J43" s="162"/>
    </row>
    <row r="44" spans="1:10" ht="15" thickTop="1">
      <c r="A44" s="41" t="s">
        <v>588</v>
      </c>
      <c r="B44" s="42"/>
      <c r="C44" s="42"/>
      <c r="D44" s="132"/>
      <c r="E44" s="42"/>
      <c r="F44" s="42"/>
      <c r="G44" s="132"/>
      <c r="H44" s="42"/>
      <c r="I44" s="148"/>
      <c r="J44" s="156"/>
    </row>
    <row r="45" spans="1:10" outlineLevel="1">
      <c r="A45" s="14" t="s">
        <v>365</v>
      </c>
      <c r="B45" s="15">
        <v>0</v>
      </c>
      <c r="C45" s="15">
        <v>0</v>
      </c>
      <c r="D45" s="122" t="str" cm="1">
        <f t="array" ref="D45">SeasonalBudPct(B45,C45)</f>
        <v/>
      </c>
      <c r="E45" s="15">
        <v>0</v>
      </c>
      <c r="F45" s="15" t="str" cm="1">
        <f t="array" ref="F45">BudgetDolVariance(C45,E45)</f>
        <v/>
      </c>
      <c r="G45" s="122" t="str" cm="1">
        <f t="array" ref="G45">BudgetPctVariance(C45,E45)</f>
        <v/>
      </c>
      <c r="H45" s="15">
        <v>0</v>
      </c>
      <c r="I45" s="145" t="str" cm="1">
        <f t="array" ref="I45">BudgetPctVariance(H45,E45)</f>
        <v/>
      </c>
      <c r="J45" s="163"/>
    </row>
    <row r="46" spans="1:10" outlineLevel="1">
      <c r="A46" s="19" t="s">
        <v>367</v>
      </c>
      <c r="B46" s="20">
        <v>0</v>
      </c>
      <c r="C46" s="20">
        <v>0</v>
      </c>
      <c r="D46" s="124" t="str" cm="1">
        <f t="array" ref="D46">SeasonalBudPct(B46,C46)</f>
        <v/>
      </c>
      <c r="E46" s="20">
        <v>0</v>
      </c>
      <c r="F46" s="20" t="str" cm="1">
        <f t="array" ref="F46">BudgetDolVariance(C46,E46)</f>
        <v/>
      </c>
      <c r="G46" s="124" t="str" cm="1">
        <f t="array" ref="G46">BudgetPctVariance(C46,E46)</f>
        <v/>
      </c>
      <c r="H46" s="20">
        <v>0</v>
      </c>
      <c r="I46" s="147" t="str" cm="1">
        <f t="array" ref="I46">BudgetPctVariance(H46,E46)</f>
        <v/>
      </c>
      <c r="J46" s="161"/>
    </row>
    <row r="47" spans="1:10">
      <c r="A47" s="43" t="s">
        <v>591</v>
      </c>
      <c r="B47" s="13">
        <f>SUM(B45:B46)</f>
        <v>0</v>
      </c>
      <c r="C47" s="44">
        <f>SUM(C45:C46)</f>
        <v>0</v>
      </c>
      <c r="D47" s="131" t="str" cm="1">
        <f t="array" ref="D47">SeasonalBudPct(B47,C47)</f>
        <v/>
      </c>
      <c r="E47" s="13">
        <f>SUM(E45:E46)</f>
        <v>0</v>
      </c>
      <c r="F47" s="13" t="str" cm="1">
        <f t="array" ref="F47">BudgetDolVariance(C47,E47)</f>
        <v/>
      </c>
      <c r="G47" s="131" t="str" cm="1">
        <f t="array" ref="G47">BudgetPctVariance(C47,E47)</f>
        <v/>
      </c>
      <c r="H47" s="13">
        <f>SUM(H45:H46)</f>
        <v>0</v>
      </c>
      <c r="I47" s="149" t="str" cm="1">
        <f t="array" ref="I47">BudgetPctVariance(H47,E47)</f>
        <v/>
      </c>
      <c r="J47" s="166"/>
    </row>
    <row r="48" spans="1:10" ht="16.2" thickBot="1">
      <c r="A48" s="23" t="s">
        <v>590</v>
      </c>
      <c r="B48" s="24">
        <f>SUM(B12,B43,B47)</f>
        <v>0</v>
      </c>
      <c r="C48" s="24">
        <f>SUM(C12,C43,C47)</f>
        <v>-716.82999999999993</v>
      </c>
      <c r="D48" s="125" cm="1">
        <f t="array" ref="D48">SeasonalBudPct(B48,C48)</f>
        <v>9.99</v>
      </c>
      <c r="E48" s="24">
        <f>SUM(E12,E43,E47)</f>
        <v>-2446.3999999999996</v>
      </c>
      <c r="F48" s="24" cm="1">
        <f t="array" ref="F48">BudgetDolVariance(C48,E48)</f>
        <v>-1729.5700000000002</v>
      </c>
      <c r="G48" s="125" cm="1">
        <f t="array" ref="G48">BudgetPctVariance(C48,E48)</f>
        <v>2.4127999999999998</v>
      </c>
      <c r="H48" s="24">
        <f>SUM(H12,H43,H47)</f>
        <v>-3264.84</v>
      </c>
      <c r="I48" s="150" cm="1">
        <f t="array" ref="I48">BudgetPctVariance(H48,E48)</f>
        <v>-0.25069999999999998</v>
      </c>
      <c r="J48" s="162"/>
    </row>
    <row r="49" spans="1:10" ht="15" thickTop="1">
      <c r="A49" s="45"/>
      <c r="B49" s="26"/>
      <c r="C49" s="26"/>
      <c r="D49" s="133"/>
      <c r="E49" s="26"/>
      <c r="H49" s="26"/>
      <c r="J49" s="157"/>
    </row>
    <row r="50" spans="1:10">
      <c r="A50"/>
      <c r="B50"/>
    </row>
    <row r="51" spans="1:10">
      <c r="A51" s="158" t="s">
        <v>615</v>
      </c>
      <c r="B51" s="267"/>
    </row>
    <row r="52" spans="1:10">
      <c r="A52" s="167" t="s">
        <v>800</v>
      </c>
      <c r="B52" s="267"/>
    </row>
    <row r="53" spans="1:10">
      <c r="A53" s="167" t="s">
        <v>801</v>
      </c>
      <c r="B53" s="267"/>
    </row>
    <row r="54" spans="1:10">
      <c r="A54" s="167" t="s">
        <v>802</v>
      </c>
      <c r="B54" s="267"/>
    </row>
    <row r="55" spans="1:10">
      <c r="B55" s="267"/>
    </row>
    <row r="56" spans="1:10">
      <c r="B56" s="267"/>
    </row>
    <row r="57" spans="1:10">
      <c r="B57" s="267"/>
    </row>
    <row r="58" spans="1:10">
      <c r="B58" s="267"/>
    </row>
    <row r="59" spans="1:10">
      <c r="B59" s="267"/>
    </row>
    <row r="60" spans="1:10">
      <c r="B60" s="267"/>
    </row>
    <row r="61" spans="1:10">
      <c r="B61" s="267"/>
    </row>
  </sheetData>
  <mergeCells count="3">
    <mergeCell ref="B1:J1"/>
    <mergeCell ref="B2:J2"/>
    <mergeCell ref="J3:J6"/>
  </mergeCells>
  <hyperlinks>
    <hyperlink ref="B1" location="'Rev.Exp All Pgms'!A1" tooltip="Rev.Exp All Pgms" display="CU Student Government - Proper" xr:uid="{F53CA836-090B-47D3-98CE-B7FE95B377F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7</vt:i4>
      </vt:variant>
    </vt:vector>
  </HeadingPairs>
  <TitlesOfParts>
    <vt:vector size="33" baseType="lpstr">
      <vt:lpstr>Instructions</vt:lpstr>
      <vt:lpstr>Create Report</vt:lpstr>
      <vt:lpstr>Account Codes</vt:lpstr>
      <vt:lpstr>Consolidation Lists</vt:lpstr>
      <vt:lpstr>Draft</vt:lpstr>
      <vt:lpstr>Fund Balance</vt:lpstr>
      <vt:lpstr>Rev.Exp All Pgms</vt:lpstr>
      <vt:lpstr>Roll Up</vt:lpstr>
      <vt:lpstr>Appellate Court</vt:lpstr>
      <vt:lpstr>CCS - Leg</vt:lpstr>
      <vt:lpstr>Elections</vt:lpstr>
      <vt:lpstr>Exec Staff Payroll</vt:lpstr>
      <vt:lpstr>Finance Board</vt:lpstr>
      <vt:lpstr>Freshman Council</vt:lpstr>
      <vt:lpstr>Homecoming</vt:lpstr>
      <vt:lpstr>Incident Response</vt:lpstr>
      <vt:lpstr>Leg Cncl Disc</vt:lpstr>
      <vt:lpstr>Leg Cncl Staff</vt:lpstr>
      <vt:lpstr>Legis Affairs Comm</vt:lpstr>
      <vt:lpstr>Operations</vt:lpstr>
      <vt:lpstr>Payroll Suspense</vt:lpstr>
      <vt:lpstr>Programming</vt:lpstr>
      <vt:lpstr>Public Relations</vt:lpstr>
      <vt:lpstr>Rep Council</vt:lpstr>
      <vt:lpstr>Staff Support</vt:lpstr>
      <vt:lpstr>Travel</vt:lpstr>
      <vt:lpstr>rngACCTs</vt:lpstr>
      <vt:lpstr>rngCC</vt:lpstr>
      <vt:lpstr>rngFBs</vt:lpstr>
      <vt:lpstr>rngFootnote</vt:lpstr>
      <vt:lpstr>rngFY</vt:lpstr>
      <vt:lpstr>rngQ</vt:lpstr>
      <vt:lpstr>rngSKIP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grega</dc:creator>
  <cp:lastModifiedBy>grega</cp:lastModifiedBy>
  <cp:lastPrinted>2020-06-22T03:52:56Z</cp:lastPrinted>
  <dcterms:created xsi:type="dcterms:W3CDTF">2020-05-16T19:36:09Z</dcterms:created>
  <dcterms:modified xsi:type="dcterms:W3CDTF">2020-06-22T16:28:15Z</dcterms:modified>
</cp:coreProperties>
</file>