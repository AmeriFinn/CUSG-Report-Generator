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827" codeName="{2E6947BB-A706-504E-29CB-9DD9B7763434}"/>
  <workbookPr codeName="ThisWorkbook" defaultThemeVersion="166925"/>
  <mc:AlternateContent xmlns:mc="http://schemas.openxmlformats.org/markup-compatibility/2006">
    <mc:Choice Requires="x15">
      <x15ac:absPath xmlns:x15ac="http://schemas.microsoft.com/office/spreadsheetml/2010/11/ac" url="C:\Users\grega\Google Drive\CUSG\Seasonalized Budget Generator\"/>
    </mc:Choice>
  </mc:AlternateContent>
  <xr:revisionPtr revIDLastSave="0" documentId="13_ncr:1_{A661D51A-1A1D-4FC6-B954-0C2CFAD98C83}" xr6:coauthVersionLast="45" xr6:coauthVersionMax="45" xr10:uidLastSave="{00000000-0000-0000-0000-000000000000}"/>
  <bookViews>
    <workbookView xWindow="28680" yWindow="1335" windowWidth="24240" windowHeight="13740" tabRatio="850" firstSheet="1" activeTab="1" xr2:uid="{F6A184F3-A12B-4702-AE5E-67523F8C01C1}"/>
  </bookViews>
  <sheets>
    <sheet name="Instructions" sheetId="26" r:id="rId1"/>
    <sheet name="Create Report" sheetId="2" r:id="rId2"/>
    <sheet name="Account Codes" sheetId="3" state="hidden" r:id="rId3"/>
    <sheet name="Consolidation Lists" sheetId="4" state="hidden" r:id="rId4"/>
    <sheet name="Draft" sheetId="5" state="hidden" r:id="rId5"/>
    <sheet name="Roll Up" sheetId="6" r:id="rId6"/>
    <sheet name="Appellate Court" sheetId="27" r:id="rId7"/>
    <sheet name="Ccs-leg" sheetId="28" r:id="rId8"/>
    <sheet name="Elections" sheetId="29" r:id="rId9"/>
    <sheet name="Exec Staff Payroll" sheetId="30" r:id="rId10"/>
    <sheet name="Finance Board" sheetId="31" r:id="rId11"/>
    <sheet name="Freshman Council" sheetId="32" r:id="rId12"/>
    <sheet name="Homecoming" sheetId="33" r:id="rId13"/>
    <sheet name="Incident Response" sheetId="34" r:id="rId14"/>
    <sheet name="Leg Cncl Disc" sheetId="35" r:id="rId15"/>
    <sheet name="Leg Cncl Staff" sheetId="36" r:id="rId16"/>
    <sheet name="Legis Affairs Comm" sheetId="37" r:id="rId17"/>
    <sheet name="Operations" sheetId="38" r:id="rId18"/>
    <sheet name="Payroll Suspense" sheetId="39" r:id="rId19"/>
    <sheet name="Programming" sheetId="40" r:id="rId20"/>
    <sheet name="Public Relations" sheetId="41" r:id="rId21"/>
    <sheet name="Rep Council" sheetId="42" r:id="rId22"/>
    <sheet name="Staff Support" sheetId="43" r:id="rId23"/>
    <sheet name="Travel" sheetId="44" r:id="rId24"/>
  </sheets>
  <functionGroups builtInGroupCount="19"/>
  <definedNames>
    <definedName name="rngACCTs">'Create Report'!$A$17</definedName>
    <definedName name="rngArray">'Create Report'!$I$4</definedName>
    <definedName name="rngCC" localSheetId="2">'Create Report'!$F$3</definedName>
    <definedName name="rngCC" localSheetId="3">'Create Report'!$F$3</definedName>
    <definedName name="rngCC" localSheetId="4">'Create Report'!$F$3</definedName>
    <definedName name="rngCC">'Create Report'!$F$3</definedName>
    <definedName name="rngContents">'Create Report'!$O$3</definedName>
    <definedName name="rngFBs">'Create Report'!$C$17</definedName>
    <definedName name="rngFY" localSheetId="2">'Create Report'!$F$5</definedName>
    <definedName name="rngFY" localSheetId="3">'Create Report'!$F$5</definedName>
    <definedName name="rngFY" localSheetId="4">'Create Report'!$F$5</definedName>
    <definedName name="rngFY">'Create Report'!$F$5</definedName>
    <definedName name="rngQ" localSheetId="2">'Create Report'!$F$4</definedName>
    <definedName name="rngQ" localSheetId="3">'Create Report'!$F$4</definedName>
    <definedName name="rngQ" localSheetId="4">'Create Report'!$F$4</definedName>
    <definedName name="rngReport">'Create Report'!$F$12</definedName>
    <definedName name="rngSKIP">'Consolidation Lists'!$G$1</definedName>
    <definedName name="rngWeights">'Create Report'!$I$5</definedName>
    <definedName name="rngYRS">'Create Report'!$F$4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4" i="6" l="1"/>
  <c r="V47" i="44"/>
  <c r="U47" i="44"/>
  <c r="T47" i="44"/>
  <c r="S47" i="44"/>
  <c r="R47" i="44"/>
  <c r="Q47" i="44"/>
  <c r="P47" i="44"/>
  <c r="O47" i="44"/>
  <c r="N47" i="44"/>
  <c r="M47" i="44"/>
  <c r="L47" i="44"/>
  <c r="K47" i="44"/>
  <c r="J47" i="44"/>
  <c r="I47" i="44"/>
  <c r="H47" i="44"/>
  <c r="G47" i="44"/>
  <c r="F47" i="44"/>
  <c r="E47" i="44"/>
  <c r="D47" i="44"/>
  <c r="C47" i="44"/>
  <c r="B47" i="44"/>
  <c r="Y46" i="44"/>
  <c r="X46" i="44"/>
  <c r="W46" i="44"/>
  <c r="Y45" i="44"/>
  <c r="X45" i="44"/>
  <c r="W45" i="44"/>
  <c r="V42" i="44"/>
  <c r="U42" i="44"/>
  <c r="T42" i="44"/>
  <c r="S42" i="44"/>
  <c r="R42" i="44"/>
  <c r="Q42" i="44"/>
  <c r="P42" i="44"/>
  <c r="O42" i="44"/>
  <c r="N42" i="44"/>
  <c r="M42" i="44"/>
  <c r="L42" i="44"/>
  <c r="K42" i="44"/>
  <c r="J42" i="44"/>
  <c r="I42" i="44"/>
  <c r="H42" i="44"/>
  <c r="G42" i="44"/>
  <c r="F42" i="44"/>
  <c r="E42" i="44"/>
  <c r="D42" i="44"/>
  <c r="C42" i="44"/>
  <c r="B42" i="44"/>
  <c r="Y41" i="44"/>
  <c r="X41" i="44"/>
  <c r="W41" i="44"/>
  <c r="Y40" i="44"/>
  <c r="X40" i="44"/>
  <c r="W40" i="44"/>
  <c r="Y39" i="44"/>
  <c r="X39" i="44"/>
  <c r="W39" i="44"/>
  <c r="Y38" i="44"/>
  <c r="X38" i="44"/>
  <c r="W38" i="44"/>
  <c r="Y37" i="44"/>
  <c r="X37" i="44"/>
  <c r="W37" i="44"/>
  <c r="Y36" i="44"/>
  <c r="X36" i="44"/>
  <c r="W36" i="44"/>
  <c r="V34" i="44"/>
  <c r="U34" i="44"/>
  <c r="T34" i="44"/>
  <c r="S34" i="44"/>
  <c r="R34" i="44"/>
  <c r="Q34" i="44"/>
  <c r="P34" i="44"/>
  <c r="O34" i="44"/>
  <c r="N34" i="44"/>
  <c r="M34" i="44"/>
  <c r="L34" i="44"/>
  <c r="K34" i="44"/>
  <c r="J34" i="44"/>
  <c r="I34" i="44"/>
  <c r="H34" i="44"/>
  <c r="G34" i="44"/>
  <c r="F34" i="44"/>
  <c r="E34" i="44"/>
  <c r="D34" i="44"/>
  <c r="C34" i="44"/>
  <c r="B34" i="44"/>
  <c r="Y33" i="44"/>
  <c r="X33" i="44"/>
  <c r="W33" i="44"/>
  <c r="Y32" i="44"/>
  <c r="X32" i="44"/>
  <c r="W32" i="44"/>
  <c r="V30" i="44"/>
  <c r="U30" i="44"/>
  <c r="T30" i="44"/>
  <c r="S30" i="44"/>
  <c r="R30" i="44"/>
  <c r="Q30" i="44"/>
  <c r="P30" i="44"/>
  <c r="O30" i="44"/>
  <c r="N30" i="44"/>
  <c r="M30" i="44"/>
  <c r="L30" i="44"/>
  <c r="K30" i="44"/>
  <c r="J30" i="44"/>
  <c r="I30" i="44"/>
  <c r="H30" i="44"/>
  <c r="G30" i="44"/>
  <c r="F30" i="44"/>
  <c r="E30" i="44"/>
  <c r="D30" i="44"/>
  <c r="C30" i="44"/>
  <c r="B30" i="44"/>
  <c r="Y29" i="44"/>
  <c r="X29" i="44"/>
  <c r="W29" i="44"/>
  <c r="Y28" i="44"/>
  <c r="X28" i="44"/>
  <c r="W28" i="44"/>
  <c r="Y27" i="44"/>
  <c r="X27" i="44"/>
  <c r="W27" i="44"/>
  <c r="Y26" i="44"/>
  <c r="X26" i="44"/>
  <c r="W26" i="44"/>
  <c r="Y25" i="44"/>
  <c r="X25" i="44"/>
  <c r="W25" i="44"/>
  <c r="Y24" i="44"/>
  <c r="X24" i="44"/>
  <c r="W24" i="44"/>
  <c r="Y23" i="44"/>
  <c r="X23" i="44"/>
  <c r="W23" i="44"/>
  <c r="V21" i="44"/>
  <c r="U21" i="44"/>
  <c r="T21" i="44"/>
  <c r="S21" i="44"/>
  <c r="R21" i="44"/>
  <c r="Q21" i="44"/>
  <c r="P21" i="44"/>
  <c r="O21" i="44"/>
  <c r="O43" i="44" s="1"/>
  <c r="N21" i="44"/>
  <c r="M21" i="44"/>
  <c r="L21" i="44"/>
  <c r="K21" i="44"/>
  <c r="J21" i="44"/>
  <c r="I21" i="44"/>
  <c r="H21" i="44"/>
  <c r="G21" i="44"/>
  <c r="F21" i="44"/>
  <c r="E21" i="44"/>
  <c r="D21" i="44"/>
  <c r="C21" i="44"/>
  <c r="B21" i="44"/>
  <c r="Y20" i="44"/>
  <c r="X20" i="44"/>
  <c r="W20" i="44"/>
  <c r="Y19" i="44"/>
  <c r="X19" i="44"/>
  <c r="W19" i="44"/>
  <c r="Y18" i="44"/>
  <c r="X18" i="44"/>
  <c r="W18" i="44"/>
  <c r="Y17" i="44"/>
  <c r="X17" i="44"/>
  <c r="W17" i="44"/>
  <c r="Y16" i="44"/>
  <c r="X16" i="44"/>
  <c r="W16" i="44"/>
  <c r="Y15" i="44"/>
  <c r="X15" i="44"/>
  <c r="W15" i="44"/>
  <c r="V12" i="44"/>
  <c r="U12" i="44"/>
  <c r="T12" i="44"/>
  <c r="S12" i="44"/>
  <c r="R12" i="44"/>
  <c r="Q12" i="44"/>
  <c r="P12" i="44"/>
  <c r="O12" i="44"/>
  <c r="N12" i="44"/>
  <c r="M12" i="44"/>
  <c r="L12" i="44"/>
  <c r="K12" i="44"/>
  <c r="J12" i="44"/>
  <c r="I12" i="44"/>
  <c r="H12" i="44"/>
  <c r="G12" i="44"/>
  <c r="F12" i="44"/>
  <c r="E12" i="44"/>
  <c r="D12" i="44"/>
  <c r="C12" i="44"/>
  <c r="B12" i="44"/>
  <c r="Y11" i="44"/>
  <c r="X11" i="44"/>
  <c r="W11" i="44"/>
  <c r="Y10" i="44"/>
  <c r="X10" i="44"/>
  <c r="W10" i="44"/>
  <c r="Y9" i="44"/>
  <c r="X9" i="44"/>
  <c r="W9" i="44"/>
  <c r="Y8" i="44"/>
  <c r="X8" i="44"/>
  <c r="W8" i="44"/>
  <c r="B4" i="44"/>
  <c r="V47" i="43"/>
  <c r="U47" i="43"/>
  <c r="T47" i="43"/>
  <c r="S47" i="43"/>
  <c r="R47" i="43"/>
  <c r="Q47" i="43"/>
  <c r="P47" i="43"/>
  <c r="O47" i="43"/>
  <c r="N47" i="43"/>
  <c r="M47" i="43"/>
  <c r="L47" i="43"/>
  <c r="K47" i="43"/>
  <c r="J47" i="43"/>
  <c r="I47" i="43"/>
  <c r="H47" i="43"/>
  <c r="G47" i="43"/>
  <c r="F47" i="43"/>
  <c r="E47" i="43"/>
  <c r="D47" i="43"/>
  <c r="C47" i="43"/>
  <c r="B47" i="43"/>
  <c r="Y46" i="43"/>
  <c r="X46" i="43"/>
  <c r="W46" i="43"/>
  <c r="Y45" i="43"/>
  <c r="X45" i="43"/>
  <c r="W45" i="43"/>
  <c r="V42" i="43"/>
  <c r="U42" i="43"/>
  <c r="T42" i="43"/>
  <c r="S42" i="43"/>
  <c r="R42" i="43"/>
  <c r="Q42" i="43"/>
  <c r="P42" i="43"/>
  <c r="O42" i="43"/>
  <c r="N42" i="43"/>
  <c r="M42" i="43"/>
  <c r="L42" i="43"/>
  <c r="K42" i="43"/>
  <c r="J42" i="43"/>
  <c r="I42" i="43"/>
  <c r="H42" i="43"/>
  <c r="G42" i="43"/>
  <c r="F42" i="43"/>
  <c r="E42" i="43"/>
  <c r="D42" i="43"/>
  <c r="C42" i="43"/>
  <c r="B42" i="43"/>
  <c r="Y41" i="43"/>
  <c r="X41" i="43"/>
  <c r="W41" i="43"/>
  <c r="Y40" i="43"/>
  <c r="X40" i="43"/>
  <c r="W40" i="43"/>
  <c r="Y39" i="43"/>
  <c r="X39" i="43"/>
  <c r="W39" i="43"/>
  <c r="Y38" i="43"/>
  <c r="X38" i="43"/>
  <c r="W38" i="43"/>
  <c r="Y37" i="43"/>
  <c r="X37" i="43"/>
  <c r="W37" i="43"/>
  <c r="Y36" i="43"/>
  <c r="X36" i="43"/>
  <c r="W36" i="43"/>
  <c r="V34" i="43"/>
  <c r="U34" i="43"/>
  <c r="T34" i="43"/>
  <c r="S34" i="43"/>
  <c r="R34" i="43"/>
  <c r="Q34" i="43"/>
  <c r="P34" i="43"/>
  <c r="O34" i="43"/>
  <c r="N34" i="43"/>
  <c r="M34" i="43"/>
  <c r="L34" i="43"/>
  <c r="K34" i="43"/>
  <c r="J34" i="43"/>
  <c r="I34" i="43"/>
  <c r="H34" i="43"/>
  <c r="G34" i="43"/>
  <c r="F34" i="43"/>
  <c r="E34" i="43"/>
  <c r="D34" i="43"/>
  <c r="C34" i="43"/>
  <c r="B34" i="43"/>
  <c r="Y33" i="43"/>
  <c r="X33" i="43"/>
  <c r="W33" i="43"/>
  <c r="Y32" i="43"/>
  <c r="X32" i="43"/>
  <c r="W32" i="43"/>
  <c r="V30" i="43"/>
  <c r="U30" i="43"/>
  <c r="T30" i="43"/>
  <c r="S30" i="43"/>
  <c r="R30" i="43"/>
  <c r="Q30" i="43"/>
  <c r="P30" i="43"/>
  <c r="O30" i="43"/>
  <c r="N30" i="43"/>
  <c r="M30" i="43"/>
  <c r="L30" i="43"/>
  <c r="K30" i="43"/>
  <c r="J30" i="43"/>
  <c r="I30" i="43"/>
  <c r="H30" i="43"/>
  <c r="G30" i="43"/>
  <c r="F30" i="43"/>
  <c r="E30" i="43"/>
  <c r="D30" i="43"/>
  <c r="C30" i="43"/>
  <c r="B30" i="43"/>
  <c r="Y29" i="43"/>
  <c r="X29" i="43"/>
  <c r="W29" i="43"/>
  <c r="Y28" i="43"/>
  <c r="X28" i="43"/>
  <c r="W28" i="43"/>
  <c r="Y27" i="43"/>
  <c r="X27" i="43"/>
  <c r="W27" i="43"/>
  <c r="Y26" i="43"/>
  <c r="X26" i="43"/>
  <c r="W26" i="43"/>
  <c r="Y25" i="43"/>
  <c r="X25" i="43"/>
  <c r="W25" i="43"/>
  <c r="Y24" i="43"/>
  <c r="X24" i="43"/>
  <c r="W24" i="43"/>
  <c r="Y23" i="43"/>
  <c r="X23" i="43"/>
  <c r="W23" i="43"/>
  <c r="V21" i="43"/>
  <c r="U21" i="43"/>
  <c r="T21" i="43"/>
  <c r="S21" i="43"/>
  <c r="R21" i="43"/>
  <c r="Q21" i="43"/>
  <c r="P21" i="43"/>
  <c r="O21" i="43"/>
  <c r="N21" i="43"/>
  <c r="M21" i="43"/>
  <c r="L21" i="43"/>
  <c r="K21" i="43"/>
  <c r="J21" i="43"/>
  <c r="I21" i="43"/>
  <c r="H21" i="43"/>
  <c r="G21" i="43"/>
  <c r="F21" i="43"/>
  <c r="E21" i="43"/>
  <c r="D21" i="43"/>
  <c r="C21" i="43"/>
  <c r="B21" i="43"/>
  <c r="Y20" i="43"/>
  <c r="X20" i="43"/>
  <c r="W20" i="43"/>
  <c r="Y19" i="43"/>
  <c r="X19" i="43"/>
  <c r="W19" i="43"/>
  <c r="Y18" i="43"/>
  <c r="X18" i="43"/>
  <c r="W18" i="43"/>
  <c r="Y17" i="43"/>
  <c r="X17" i="43"/>
  <c r="W17" i="43"/>
  <c r="Y16" i="43"/>
  <c r="X16" i="43"/>
  <c r="W16" i="43"/>
  <c r="Y15" i="43"/>
  <c r="X15" i="43"/>
  <c r="W15" i="43"/>
  <c r="V12" i="43"/>
  <c r="U12" i="43"/>
  <c r="T12" i="43"/>
  <c r="S12" i="43"/>
  <c r="R12" i="43"/>
  <c r="Q12" i="43"/>
  <c r="P12" i="43"/>
  <c r="O12" i="43"/>
  <c r="N12" i="43"/>
  <c r="M12" i="43"/>
  <c r="L12" i="43"/>
  <c r="K12" i="43"/>
  <c r="J12" i="43"/>
  <c r="I12" i="43"/>
  <c r="H12" i="43"/>
  <c r="G12" i="43"/>
  <c r="F12" i="43"/>
  <c r="E12" i="43"/>
  <c r="D12" i="43"/>
  <c r="C12" i="43"/>
  <c r="B12" i="43"/>
  <c r="Y11" i="43"/>
  <c r="X11" i="43"/>
  <c r="W11" i="43"/>
  <c r="Y10" i="43"/>
  <c r="X10" i="43"/>
  <c r="W10" i="43"/>
  <c r="Y9" i="43"/>
  <c r="X9" i="43"/>
  <c r="W9" i="43"/>
  <c r="Y8" i="43"/>
  <c r="X8" i="43"/>
  <c r="W8" i="43"/>
  <c r="B4" i="43"/>
  <c r="V47" i="42"/>
  <c r="U47" i="42"/>
  <c r="T47" i="42"/>
  <c r="S47" i="42"/>
  <c r="R47" i="42"/>
  <c r="Q47" i="42"/>
  <c r="P47" i="42"/>
  <c r="O47" i="42"/>
  <c r="N47" i="42"/>
  <c r="M47" i="42"/>
  <c r="L47" i="42"/>
  <c r="K47" i="42"/>
  <c r="J47" i="42"/>
  <c r="I47" i="42"/>
  <c r="H47" i="42"/>
  <c r="G47" i="42"/>
  <c r="F47" i="42"/>
  <c r="E47" i="42"/>
  <c r="D47" i="42"/>
  <c r="C47" i="42"/>
  <c r="B47" i="42"/>
  <c r="Y46" i="42"/>
  <c r="X46" i="42"/>
  <c r="W46" i="42"/>
  <c r="Y45" i="42"/>
  <c r="Y47" i="42" s="1"/>
  <c r="X45" i="42"/>
  <c r="W45" i="42"/>
  <c r="V42" i="42"/>
  <c r="U42" i="42"/>
  <c r="T42" i="42"/>
  <c r="S42" i="42"/>
  <c r="R42" i="42"/>
  <c r="Q42" i="42"/>
  <c r="P42" i="42"/>
  <c r="O42" i="42"/>
  <c r="N42" i="42"/>
  <c r="M42" i="42"/>
  <c r="L42" i="42"/>
  <c r="K42" i="42"/>
  <c r="J42" i="42"/>
  <c r="I42" i="42"/>
  <c r="H42" i="42"/>
  <c r="G42" i="42"/>
  <c r="F42" i="42"/>
  <c r="E42" i="42"/>
  <c r="D42" i="42"/>
  <c r="C42" i="42"/>
  <c r="B42" i="42"/>
  <c r="Y41" i="42"/>
  <c r="X41" i="42"/>
  <c r="W41" i="42"/>
  <c r="Y40" i="42"/>
  <c r="X40" i="42"/>
  <c r="W40" i="42"/>
  <c r="Y39" i="42"/>
  <c r="X39" i="42"/>
  <c r="W39" i="42"/>
  <c r="Y38" i="42"/>
  <c r="X38" i="42"/>
  <c r="W38" i="42"/>
  <c r="Y37" i="42"/>
  <c r="X37" i="42"/>
  <c r="W37" i="42"/>
  <c r="Y36" i="42"/>
  <c r="X36" i="42"/>
  <c r="W36" i="42"/>
  <c r="V34" i="42"/>
  <c r="U34" i="42"/>
  <c r="T34" i="42"/>
  <c r="S34" i="42"/>
  <c r="R34" i="42"/>
  <c r="Q34" i="42"/>
  <c r="P34" i="42"/>
  <c r="O34" i="42"/>
  <c r="N34" i="42"/>
  <c r="M34" i="42"/>
  <c r="L34" i="42"/>
  <c r="K34" i="42"/>
  <c r="J34" i="42"/>
  <c r="I34" i="42"/>
  <c r="H34" i="42"/>
  <c r="G34" i="42"/>
  <c r="F34" i="42"/>
  <c r="E34" i="42"/>
  <c r="D34" i="42"/>
  <c r="C34" i="42"/>
  <c r="B34" i="42"/>
  <c r="Y33" i="42"/>
  <c r="X33" i="42"/>
  <c r="W33" i="42"/>
  <c r="Y32" i="42"/>
  <c r="X32" i="42"/>
  <c r="W32" i="42"/>
  <c r="V30" i="42"/>
  <c r="U30" i="42"/>
  <c r="T30" i="42"/>
  <c r="S30" i="42"/>
  <c r="R30" i="42"/>
  <c r="Q30" i="42"/>
  <c r="P30" i="42"/>
  <c r="O30" i="42"/>
  <c r="N30" i="42"/>
  <c r="M30" i="42"/>
  <c r="L30" i="42"/>
  <c r="K30" i="42"/>
  <c r="J30" i="42"/>
  <c r="I30" i="42"/>
  <c r="H30" i="42"/>
  <c r="G30" i="42"/>
  <c r="F30" i="42"/>
  <c r="E30" i="42"/>
  <c r="D30" i="42"/>
  <c r="C30" i="42"/>
  <c r="B30" i="42"/>
  <c r="Y29" i="42"/>
  <c r="X29" i="42"/>
  <c r="W29" i="42"/>
  <c r="Y28" i="42"/>
  <c r="X28" i="42"/>
  <c r="W28" i="42"/>
  <c r="Y27" i="42"/>
  <c r="X27" i="42"/>
  <c r="W27" i="42"/>
  <c r="Y26" i="42"/>
  <c r="X26" i="42"/>
  <c r="W26" i="42"/>
  <c r="Y25" i="42"/>
  <c r="X25" i="42"/>
  <c r="W25" i="42"/>
  <c r="Y24" i="42"/>
  <c r="X24" i="42"/>
  <c r="W24" i="42"/>
  <c r="Y23" i="42"/>
  <c r="X23" i="42"/>
  <c r="W23" i="42"/>
  <c r="V21" i="42"/>
  <c r="U21" i="42"/>
  <c r="T21" i="42"/>
  <c r="S21" i="42"/>
  <c r="R21" i="42"/>
  <c r="Q21" i="42"/>
  <c r="P21" i="42"/>
  <c r="O21" i="42"/>
  <c r="O43" i="42" s="1"/>
  <c r="N21" i="42"/>
  <c r="M21" i="42"/>
  <c r="L21" i="42"/>
  <c r="K21" i="42"/>
  <c r="J21" i="42"/>
  <c r="I21" i="42"/>
  <c r="H21" i="42"/>
  <c r="G21" i="42"/>
  <c r="G43" i="42" s="1"/>
  <c r="F21" i="42"/>
  <c r="E21" i="42"/>
  <c r="D21" i="42"/>
  <c r="C21" i="42"/>
  <c r="B21" i="42"/>
  <c r="Y20" i="42"/>
  <c r="X20" i="42"/>
  <c r="W20" i="42"/>
  <c r="Y19" i="42"/>
  <c r="X19" i="42"/>
  <c r="W19" i="42"/>
  <c r="Y18" i="42"/>
  <c r="X18" i="42"/>
  <c r="W18" i="42"/>
  <c r="Y17" i="42"/>
  <c r="X17" i="42"/>
  <c r="W17" i="42"/>
  <c r="Y16" i="42"/>
  <c r="X16" i="42"/>
  <c r="W16" i="42"/>
  <c r="Y15" i="42"/>
  <c r="X15" i="42"/>
  <c r="W15" i="42"/>
  <c r="V12" i="42"/>
  <c r="U12" i="42"/>
  <c r="T12" i="42"/>
  <c r="S12" i="42"/>
  <c r="R12" i="42"/>
  <c r="Q12" i="42"/>
  <c r="P12" i="42"/>
  <c r="O12" i="42"/>
  <c r="N12" i="42"/>
  <c r="M12" i="42"/>
  <c r="L12" i="42"/>
  <c r="K12" i="42"/>
  <c r="J12" i="42"/>
  <c r="I12" i="42"/>
  <c r="H12" i="42"/>
  <c r="G12" i="42"/>
  <c r="F12" i="42"/>
  <c r="E12" i="42"/>
  <c r="D12" i="42"/>
  <c r="C12" i="42"/>
  <c r="B12" i="42"/>
  <c r="Y11" i="42"/>
  <c r="X11" i="42"/>
  <c r="W11" i="42"/>
  <c r="Y10" i="42"/>
  <c r="X10" i="42"/>
  <c r="W10" i="42"/>
  <c r="Y9" i="42"/>
  <c r="X9" i="42"/>
  <c r="W9" i="42"/>
  <c r="Y8" i="42"/>
  <c r="X8" i="42"/>
  <c r="W8" i="42"/>
  <c r="B4" i="42"/>
  <c r="V47" i="41"/>
  <c r="U47" i="41"/>
  <c r="T47" i="41"/>
  <c r="S47" i="41"/>
  <c r="R47" i="41"/>
  <c r="Q47" i="41"/>
  <c r="P47" i="41"/>
  <c r="O47" i="41"/>
  <c r="N47" i="41"/>
  <c r="M47" i="41"/>
  <c r="L47" i="41"/>
  <c r="K47" i="41"/>
  <c r="J47" i="41"/>
  <c r="I47" i="41"/>
  <c r="H47" i="41"/>
  <c r="G47" i="41"/>
  <c r="F47" i="41"/>
  <c r="E47" i="41"/>
  <c r="D47" i="41"/>
  <c r="C47" i="41"/>
  <c r="B47" i="41"/>
  <c r="Y46" i="41"/>
  <c r="X46" i="41"/>
  <c r="W46" i="41"/>
  <c r="Y45" i="41"/>
  <c r="Y47" i="41" s="1"/>
  <c r="X45" i="41"/>
  <c r="W45" i="41"/>
  <c r="V42" i="41"/>
  <c r="U42" i="41"/>
  <c r="T42" i="41"/>
  <c r="S42" i="41"/>
  <c r="R42" i="41"/>
  <c r="Q42" i="41"/>
  <c r="P42" i="41"/>
  <c r="O42" i="41"/>
  <c r="N42" i="41"/>
  <c r="M42" i="41"/>
  <c r="L42" i="41"/>
  <c r="K42" i="41"/>
  <c r="J42" i="41"/>
  <c r="I42" i="41"/>
  <c r="H42" i="41"/>
  <c r="G42" i="41"/>
  <c r="F42" i="41"/>
  <c r="E42" i="41"/>
  <c r="D42" i="41"/>
  <c r="C42" i="41"/>
  <c r="B42" i="41"/>
  <c r="Y41" i="41"/>
  <c r="X41" i="41"/>
  <c r="W41" i="41"/>
  <c r="Y40" i="41"/>
  <c r="X40" i="41"/>
  <c r="W40" i="41"/>
  <c r="Y39" i="41"/>
  <c r="X39" i="41"/>
  <c r="W39" i="41"/>
  <c r="Y38" i="41"/>
  <c r="X38" i="41"/>
  <c r="W38" i="41"/>
  <c r="Y37" i="41"/>
  <c r="X37" i="41"/>
  <c r="W37" i="41"/>
  <c r="Y36" i="41"/>
  <c r="X36" i="41"/>
  <c r="W36" i="41"/>
  <c r="V34" i="41"/>
  <c r="U34" i="41"/>
  <c r="T34" i="41"/>
  <c r="S34" i="41"/>
  <c r="R34" i="41"/>
  <c r="Q34" i="41"/>
  <c r="P34" i="41"/>
  <c r="O34" i="41"/>
  <c r="N34" i="41"/>
  <c r="M34" i="41"/>
  <c r="L34" i="41"/>
  <c r="K34" i="41"/>
  <c r="J34" i="41"/>
  <c r="I34" i="41"/>
  <c r="H34" i="41"/>
  <c r="G34" i="41"/>
  <c r="F34" i="41"/>
  <c r="E34" i="41"/>
  <c r="D34" i="41"/>
  <c r="C34" i="41"/>
  <c r="B34" i="41"/>
  <c r="Y33" i="41"/>
  <c r="X33" i="41"/>
  <c r="W33" i="41"/>
  <c r="Y32" i="41"/>
  <c r="X32" i="41"/>
  <c r="W32" i="41"/>
  <c r="V30" i="41"/>
  <c r="U30" i="41"/>
  <c r="T30" i="41"/>
  <c r="S30" i="41"/>
  <c r="R30" i="41"/>
  <c r="Q30" i="41"/>
  <c r="P30" i="41"/>
  <c r="O30" i="41"/>
  <c r="N30" i="41"/>
  <c r="M30" i="41"/>
  <c r="L30" i="41"/>
  <c r="K30" i="41"/>
  <c r="J30" i="41"/>
  <c r="I30" i="41"/>
  <c r="H30" i="41"/>
  <c r="G30" i="41"/>
  <c r="F30" i="41"/>
  <c r="E30" i="41"/>
  <c r="D30" i="41"/>
  <c r="C30" i="41"/>
  <c r="B30" i="41"/>
  <c r="Y29" i="41"/>
  <c r="X29" i="41"/>
  <c r="W29" i="41"/>
  <c r="Y28" i="41"/>
  <c r="X28" i="41"/>
  <c r="W28" i="41"/>
  <c r="Y27" i="41"/>
  <c r="X27" i="41"/>
  <c r="W27" i="41"/>
  <c r="Y26" i="41"/>
  <c r="X26" i="41"/>
  <c r="W26" i="41"/>
  <c r="Y25" i="41"/>
  <c r="X25" i="41"/>
  <c r="W25" i="41"/>
  <c r="Y24" i="41"/>
  <c r="X24" i="41"/>
  <c r="W24" i="41"/>
  <c r="Y23" i="41"/>
  <c r="X23" i="41"/>
  <c r="W23" i="41"/>
  <c r="V21" i="41"/>
  <c r="U21" i="41"/>
  <c r="T21" i="41"/>
  <c r="S21" i="41"/>
  <c r="R21" i="41"/>
  <c r="Q21" i="41"/>
  <c r="P21" i="41"/>
  <c r="O21" i="41"/>
  <c r="N21" i="41"/>
  <c r="M21" i="41"/>
  <c r="L21" i="41"/>
  <c r="K21" i="41"/>
  <c r="J21" i="41"/>
  <c r="I21" i="41"/>
  <c r="H21" i="41"/>
  <c r="G21" i="41"/>
  <c r="G43" i="41" s="1"/>
  <c r="F21" i="41"/>
  <c r="E21" i="41"/>
  <c r="D21" i="41"/>
  <c r="C21" i="41"/>
  <c r="B21" i="41"/>
  <c r="Y20" i="41"/>
  <c r="X20" i="41"/>
  <c r="W20" i="41"/>
  <c r="Y19" i="41"/>
  <c r="X19" i="41"/>
  <c r="W19" i="41"/>
  <c r="Y18" i="41"/>
  <c r="X18" i="41"/>
  <c r="W18" i="41"/>
  <c r="Y17" i="41"/>
  <c r="X17" i="41"/>
  <c r="W17" i="41"/>
  <c r="Y16" i="41"/>
  <c r="X16" i="41"/>
  <c r="W16" i="41"/>
  <c r="Y15" i="41"/>
  <c r="X15" i="41"/>
  <c r="W15" i="41"/>
  <c r="V12" i="41"/>
  <c r="U12" i="41"/>
  <c r="T12" i="41"/>
  <c r="S12" i="41"/>
  <c r="R12" i="41"/>
  <c r="Q12" i="41"/>
  <c r="P12" i="41"/>
  <c r="O12" i="41"/>
  <c r="N12" i="41"/>
  <c r="M12" i="41"/>
  <c r="L12" i="41"/>
  <c r="K12" i="41"/>
  <c r="J12" i="41"/>
  <c r="I12" i="41"/>
  <c r="H12" i="41"/>
  <c r="G12" i="41"/>
  <c r="F12" i="41"/>
  <c r="E12" i="41"/>
  <c r="D12" i="41"/>
  <c r="C12" i="41"/>
  <c r="B12" i="41"/>
  <c r="Y11" i="41"/>
  <c r="X11" i="41"/>
  <c r="W11" i="41"/>
  <c r="Y10" i="41"/>
  <c r="X10" i="41"/>
  <c r="W10" i="41"/>
  <c r="Y9" i="41"/>
  <c r="X9" i="41"/>
  <c r="W9" i="41"/>
  <c r="Y8" i="41"/>
  <c r="X8" i="41"/>
  <c r="W8" i="41"/>
  <c r="B4" i="41"/>
  <c r="V47" i="40"/>
  <c r="U47" i="40"/>
  <c r="T47" i="40"/>
  <c r="S47" i="40"/>
  <c r="R47" i="40"/>
  <c r="Q47" i="40"/>
  <c r="P47" i="40"/>
  <c r="O47" i="40"/>
  <c r="N47" i="40"/>
  <c r="M47" i="40"/>
  <c r="L47" i="40"/>
  <c r="K47" i="40"/>
  <c r="J47" i="40"/>
  <c r="I47" i="40"/>
  <c r="H47" i="40"/>
  <c r="G47" i="40"/>
  <c r="F47" i="40"/>
  <c r="E47" i="40"/>
  <c r="D47" i="40"/>
  <c r="C47" i="40"/>
  <c r="B47" i="40"/>
  <c r="Y46" i="40"/>
  <c r="X46" i="40"/>
  <c r="W46" i="40"/>
  <c r="Y45" i="40"/>
  <c r="Y47" i="40" s="1"/>
  <c r="X45" i="40"/>
  <c r="W45" i="40"/>
  <c r="V42" i="40"/>
  <c r="U42" i="40"/>
  <c r="T42" i="40"/>
  <c r="S42" i="40"/>
  <c r="R42" i="40"/>
  <c r="Q42" i="40"/>
  <c r="P42" i="40"/>
  <c r="O42" i="40"/>
  <c r="N42" i="40"/>
  <c r="M42" i="40"/>
  <c r="L42" i="40"/>
  <c r="K42" i="40"/>
  <c r="J42" i="40"/>
  <c r="I42" i="40"/>
  <c r="H42" i="40"/>
  <c r="G42" i="40"/>
  <c r="F42" i="40"/>
  <c r="E42" i="40"/>
  <c r="D42" i="40"/>
  <c r="C42" i="40"/>
  <c r="B42" i="40"/>
  <c r="Y41" i="40"/>
  <c r="X41" i="40"/>
  <c r="W41" i="40"/>
  <c r="Y40" i="40"/>
  <c r="X40" i="40"/>
  <c r="W40" i="40"/>
  <c r="Y39" i="40"/>
  <c r="X39" i="40"/>
  <c r="W39" i="40"/>
  <c r="Y38" i="40"/>
  <c r="X38" i="40"/>
  <c r="W38" i="40"/>
  <c r="Y37" i="40"/>
  <c r="X37" i="40"/>
  <c r="W37" i="40"/>
  <c r="Y36" i="40"/>
  <c r="X36" i="40"/>
  <c r="W36" i="40"/>
  <c r="V34" i="40"/>
  <c r="U34" i="40"/>
  <c r="T34" i="40"/>
  <c r="S34" i="40"/>
  <c r="R34" i="40"/>
  <c r="Q34" i="40"/>
  <c r="P34" i="40"/>
  <c r="O34" i="40"/>
  <c r="N34" i="40"/>
  <c r="M34" i="40"/>
  <c r="L34" i="40"/>
  <c r="K34" i="40"/>
  <c r="J34" i="40"/>
  <c r="I34" i="40"/>
  <c r="H34" i="40"/>
  <c r="G34" i="40"/>
  <c r="F34" i="40"/>
  <c r="E34" i="40"/>
  <c r="D34" i="40"/>
  <c r="C34" i="40"/>
  <c r="B34" i="40"/>
  <c r="Y33" i="40"/>
  <c r="X33" i="40"/>
  <c r="W33" i="40"/>
  <c r="Y32" i="40"/>
  <c r="X32" i="40"/>
  <c r="W32" i="40"/>
  <c r="V30" i="40"/>
  <c r="U30" i="40"/>
  <c r="T30" i="40"/>
  <c r="S30" i="40"/>
  <c r="R30" i="40"/>
  <c r="Q30" i="40"/>
  <c r="P30" i="40"/>
  <c r="O30" i="40"/>
  <c r="N30" i="40"/>
  <c r="M30" i="40"/>
  <c r="L30" i="40"/>
  <c r="K30" i="40"/>
  <c r="J30" i="40"/>
  <c r="I30" i="40"/>
  <c r="H30" i="40"/>
  <c r="G30" i="40"/>
  <c r="F30" i="40"/>
  <c r="E30" i="40"/>
  <c r="D30" i="40"/>
  <c r="C30" i="40"/>
  <c r="B30" i="40"/>
  <c r="Y29" i="40"/>
  <c r="X29" i="40"/>
  <c r="W29" i="40"/>
  <c r="Y28" i="40"/>
  <c r="X28" i="40"/>
  <c r="W28" i="40"/>
  <c r="Y27" i="40"/>
  <c r="X27" i="40"/>
  <c r="W27" i="40"/>
  <c r="Y26" i="40"/>
  <c r="X26" i="40"/>
  <c r="W26" i="40"/>
  <c r="Y25" i="40"/>
  <c r="X25" i="40"/>
  <c r="W25" i="40"/>
  <c r="Y24" i="40"/>
  <c r="X24" i="40"/>
  <c r="W24" i="40"/>
  <c r="Y23" i="40"/>
  <c r="X23" i="40"/>
  <c r="W23" i="40"/>
  <c r="V21" i="40"/>
  <c r="U21" i="40"/>
  <c r="T21" i="40"/>
  <c r="S21" i="40"/>
  <c r="R21" i="40"/>
  <c r="Q21" i="40"/>
  <c r="P21" i="40"/>
  <c r="O21" i="40"/>
  <c r="N21" i="40"/>
  <c r="M21" i="40"/>
  <c r="L21" i="40"/>
  <c r="K21" i="40"/>
  <c r="J21" i="40"/>
  <c r="I21" i="40"/>
  <c r="H21" i="40"/>
  <c r="G21" i="40"/>
  <c r="G43" i="40" s="1"/>
  <c r="F21" i="40"/>
  <c r="E21" i="40"/>
  <c r="D21" i="40"/>
  <c r="C21" i="40"/>
  <c r="B21" i="40"/>
  <c r="Y20" i="40"/>
  <c r="X20" i="40"/>
  <c r="W20" i="40"/>
  <c r="Y19" i="40"/>
  <c r="X19" i="40"/>
  <c r="W19" i="40"/>
  <c r="Y18" i="40"/>
  <c r="X18" i="40"/>
  <c r="W18" i="40"/>
  <c r="Y17" i="40"/>
  <c r="X17" i="40"/>
  <c r="W17" i="40"/>
  <c r="Y16" i="40"/>
  <c r="X16" i="40"/>
  <c r="W16" i="40"/>
  <c r="Y15" i="40"/>
  <c r="X15" i="40"/>
  <c r="W15" i="40"/>
  <c r="V12" i="40"/>
  <c r="U12" i="40"/>
  <c r="T12" i="40"/>
  <c r="S12" i="40"/>
  <c r="R12" i="40"/>
  <c r="Q12" i="40"/>
  <c r="P12" i="40"/>
  <c r="O12" i="40"/>
  <c r="N12" i="40"/>
  <c r="M12" i="40"/>
  <c r="L12" i="40"/>
  <c r="K12" i="40"/>
  <c r="J12" i="40"/>
  <c r="I12" i="40"/>
  <c r="H12" i="40"/>
  <c r="G12" i="40"/>
  <c r="F12" i="40"/>
  <c r="E12" i="40"/>
  <c r="D12" i="40"/>
  <c r="C12" i="40"/>
  <c r="B12" i="40"/>
  <c r="Y11" i="40"/>
  <c r="X11" i="40"/>
  <c r="W11" i="40"/>
  <c r="Y10" i="40"/>
  <c r="X10" i="40"/>
  <c r="W10" i="40"/>
  <c r="Y9" i="40"/>
  <c r="X9" i="40"/>
  <c r="W9" i="40"/>
  <c r="Y8" i="40"/>
  <c r="X8" i="40"/>
  <c r="W8" i="40"/>
  <c r="B4" i="40"/>
  <c r="V47" i="39"/>
  <c r="U47" i="39"/>
  <c r="T47" i="39"/>
  <c r="S47" i="39"/>
  <c r="R47" i="39"/>
  <c r="Q47" i="39"/>
  <c r="P47" i="39"/>
  <c r="O47" i="39"/>
  <c r="N47" i="39"/>
  <c r="M47" i="39"/>
  <c r="L47" i="39"/>
  <c r="K47" i="39"/>
  <c r="J47" i="39"/>
  <c r="I47" i="39"/>
  <c r="H47" i="39"/>
  <c r="G47" i="39"/>
  <c r="F47" i="39"/>
  <c r="E47" i="39"/>
  <c r="D47" i="39"/>
  <c r="C47" i="39"/>
  <c r="B47" i="39"/>
  <c r="Y46" i="39"/>
  <c r="X46" i="39"/>
  <c r="W46" i="39"/>
  <c r="Y45" i="39"/>
  <c r="Y47" i="39" s="1"/>
  <c r="X45" i="39"/>
  <c r="W45" i="39"/>
  <c r="V42" i="39"/>
  <c r="U42" i="39"/>
  <c r="T42" i="39"/>
  <c r="S42" i="39"/>
  <c r="R42" i="39"/>
  <c r="Q42" i="39"/>
  <c r="P42" i="39"/>
  <c r="O42" i="39"/>
  <c r="N42" i="39"/>
  <c r="M42" i="39"/>
  <c r="L42" i="39"/>
  <c r="K42" i="39"/>
  <c r="J42" i="39"/>
  <c r="I42" i="39"/>
  <c r="H42" i="39"/>
  <c r="G42" i="39"/>
  <c r="F42" i="39"/>
  <c r="E42" i="39"/>
  <c r="D42" i="39"/>
  <c r="C42" i="39"/>
  <c r="B42" i="39"/>
  <c r="Y41" i="39"/>
  <c r="X41" i="39"/>
  <c r="W41" i="39"/>
  <c r="Y40" i="39"/>
  <c r="X40" i="39"/>
  <c r="W40" i="39"/>
  <c r="Y39" i="39"/>
  <c r="X39" i="39"/>
  <c r="W39" i="39"/>
  <c r="Y38" i="39"/>
  <c r="X38" i="39"/>
  <c r="W38" i="39"/>
  <c r="Y37" i="39"/>
  <c r="X37" i="39"/>
  <c r="W37" i="39"/>
  <c r="Y36" i="39"/>
  <c r="X36" i="39"/>
  <c r="W36" i="39"/>
  <c r="V34" i="39"/>
  <c r="U34" i="39"/>
  <c r="T34" i="39"/>
  <c r="S34" i="39"/>
  <c r="R34" i="39"/>
  <c r="Q34" i="39"/>
  <c r="P34" i="39"/>
  <c r="O34" i="39"/>
  <c r="N34" i="39"/>
  <c r="M34" i="39"/>
  <c r="L34" i="39"/>
  <c r="K34" i="39"/>
  <c r="J34" i="39"/>
  <c r="I34" i="39"/>
  <c r="H34" i="39"/>
  <c r="G34" i="39"/>
  <c r="F34" i="39"/>
  <c r="E34" i="39"/>
  <c r="D34" i="39"/>
  <c r="C34" i="39"/>
  <c r="B34" i="39"/>
  <c r="Y33" i="39"/>
  <c r="X33" i="39"/>
  <c r="W33" i="39"/>
  <c r="Y32" i="39"/>
  <c r="X32" i="39"/>
  <c r="W32" i="39"/>
  <c r="V30" i="39"/>
  <c r="U30" i="39"/>
  <c r="T30" i="39"/>
  <c r="S30" i="39"/>
  <c r="R30" i="39"/>
  <c r="Q30" i="39"/>
  <c r="P30" i="39"/>
  <c r="O30" i="39"/>
  <c r="N30" i="39"/>
  <c r="M30" i="39"/>
  <c r="L30" i="39"/>
  <c r="K30" i="39"/>
  <c r="J30" i="39"/>
  <c r="I30" i="39"/>
  <c r="H30" i="39"/>
  <c r="G30" i="39"/>
  <c r="F30" i="39"/>
  <c r="E30" i="39"/>
  <c r="D30" i="39"/>
  <c r="C30" i="39"/>
  <c r="B30" i="39"/>
  <c r="Y29" i="39"/>
  <c r="X29" i="39"/>
  <c r="W29" i="39"/>
  <c r="Y28" i="39"/>
  <c r="X28" i="39"/>
  <c r="W28" i="39"/>
  <c r="Y27" i="39"/>
  <c r="X27" i="39"/>
  <c r="W27" i="39"/>
  <c r="Y26" i="39"/>
  <c r="X26" i="39"/>
  <c r="W26" i="39"/>
  <c r="Y25" i="39"/>
  <c r="X25" i="39"/>
  <c r="W25" i="39"/>
  <c r="Y24" i="39"/>
  <c r="X24" i="39"/>
  <c r="W24" i="39"/>
  <c r="Y23" i="39"/>
  <c r="X23" i="39"/>
  <c r="W23" i="39"/>
  <c r="V21" i="39"/>
  <c r="U21" i="39"/>
  <c r="T21" i="39"/>
  <c r="S21" i="39"/>
  <c r="R21" i="39"/>
  <c r="Q21" i="39"/>
  <c r="P21" i="39"/>
  <c r="O21" i="39"/>
  <c r="O43" i="39" s="1"/>
  <c r="N21" i="39"/>
  <c r="M21" i="39"/>
  <c r="L21" i="39"/>
  <c r="K21" i="39"/>
  <c r="J21" i="39"/>
  <c r="I21" i="39"/>
  <c r="H21" i="39"/>
  <c r="G21" i="39"/>
  <c r="G43" i="39" s="1"/>
  <c r="F21" i="39"/>
  <c r="E21" i="39"/>
  <c r="D21" i="39"/>
  <c r="C21" i="39"/>
  <c r="B21" i="39"/>
  <c r="Y20" i="39"/>
  <c r="X20" i="39"/>
  <c r="W20" i="39"/>
  <c r="Y19" i="39"/>
  <c r="X19" i="39"/>
  <c r="W19" i="39"/>
  <c r="Y18" i="39"/>
  <c r="X18" i="39"/>
  <c r="W18" i="39"/>
  <c r="Y17" i="39"/>
  <c r="X17" i="39"/>
  <c r="W17" i="39"/>
  <c r="Y16" i="39"/>
  <c r="X16" i="39"/>
  <c r="W16" i="39"/>
  <c r="Y15" i="39"/>
  <c r="X15" i="39"/>
  <c r="W15" i="39"/>
  <c r="V12" i="39"/>
  <c r="U12" i="39"/>
  <c r="T12" i="39"/>
  <c r="S12" i="39"/>
  <c r="R12" i="39"/>
  <c r="Q12" i="39"/>
  <c r="P12" i="39"/>
  <c r="O12" i="39"/>
  <c r="N12" i="39"/>
  <c r="M12" i="39"/>
  <c r="L12" i="39"/>
  <c r="K12" i="39"/>
  <c r="J12" i="39"/>
  <c r="I12" i="39"/>
  <c r="H12" i="39"/>
  <c r="G12" i="39"/>
  <c r="F12" i="39"/>
  <c r="E12" i="39"/>
  <c r="D12" i="39"/>
  <c r="C12" i="39"/>
  <c r="B12" i="39"/>
  <c r="Y11" i="39"/>
  <c r="X11" i="39"/>
  <c r="W11" i="39"/>
  <c r="Y10" i="39"/>
  <c r="X10" i="39"/>
  <c r="W10" i="39"/>
  <c r="Y9" i="39"/>
  <c r="X9" i="39"/>
  <c r="W9" i="39"/>
  <c r="Y8" i="39"/>
  <c r="X8" i="39"/>
  <c r="W8" i="39"/>
  <c r="B4" i="39"/>
  <c r="V47" i="38"/>
  <c r="U47" i="38"/>
  <c r="T47" i="38"/>
  <c r="S47" i="38"/>
  <c r="R47" i="38"/>
  <c r="Q47" i="38"/>
  <c r="P47" i="38"/>
  <c r="O47" i="38"/>
  <c r="N47" i="38"/>
  <c r="M47" i="38"/>
  <c r="L47" i="38"/>
  <c r="K47" i="38"/>
  <c r="J47" i="38"/>
  <c r="I47" i="38"/>
  <c r="H47" i="38"/>
  <c r="G47" i="38"/>
  <c r="F47" i="38"/>
  <c r="E47" i="38"/>
  <c r="D47" i="38"/>
  <c r="C47" i="38"/>
  <c r="B47" i="38"/>
  <c r="Y46" i="38"/>
  <c r="X46" i="38"/>
  <c r="W46" i="38"/>
  <c r="Y45" i="38"/>
  <c r="Y47" i="38" s="1"/>
  <c r="X45" i="38"/>
  <c r="W45" i="38"/>
  <c r="V42" i="38"/>
  <c r="U42" i="38"/>
  <c r="T42" i="38"/>
  <c r="S42" i="38"/>
  <c r="R42" i="38"/>
  <c r="Q42" i="38"/>
  <c r="P42" i="38"/>
  <c r="O42" i="38"/>
  <c r="N42" i="38"/>
  <c r="M42" i="38"/>
  <c r="L42" i="38"/>
  <c r="K42" i="38"/>
  <c r="J42" i="38"/>
  <c r="I42" i="38"/>
  <c r="H42" i="38"/>
  <c r="G42" i="38"/>
  <c r="F42" i="38"/>
  <c r="E42" i="38"/>
  <c r="D42" i="38"/>
  <c r="C42" i="38"/>
  <c r="B42" i="38"/>
  <c r="Y41" i="38"/>
  <c r="X41" i="38"/>
  <c r="W41" i="38"/>
  <c r="Y40" i="38"/>
  <c r="X40" i="38"/>
  <c r="W40" i="38"/>
  <c r="Y39" i="38"/>
  <c r="X39" i="38"/>
  <c r="W39" i="38"/>
  <c r="Y38" i="38"/>
  <c r="X38" i="38"/>
  <c r="W38" i="38"/>
  <c r="Y37" i="38"/>
  <c r="X37" i="38"/>
  <c r="W37" i="38"/>
  <c r="Y36" i="38"/>
  <c r="X36" i="38"/>
  <c r="W36" i="38"/>
  <c r="V34" i="38"/>
  <c r="U34" i="38"/>
  <c r="T34" i="38"/>
  <c r="S34" i="38"/>
  <c r="R34" i="38"/>
  <c r="Q34" i="38"/>
  <c r="P34" i="38"/>
  <c r="O34" i="38"/>
  <c r="N34" i="38"/>
  <c r="M34" i="38"/>
  <c r="L34" i="38"/>
  <c r="K34" i="38"/>
  <c r="J34" i="38"/>
  <c r="I34" i="38"/>
  <c r="H34" i="38"/>
  <c r="G34" i="38"/>
  <c r="F34" i="38"/>
  <c r="E34" i="38"/>
  <c r="D34" i="38"/>
  <c r="C34" i="38"/>
  <c r="B34" i="38"/>
  <c r="Y33" i="38"/>
  <c r="X33" i="38"/>
  <c r="W33" i="38"/>
  <c r="Y32" i="38"/>
  <c r="X32" i="38"/>
  <c r="W32" i="38"/>
  <c r="V30" i="38"/>
  <c r="U30" i="38"/>
  <c r="T30" i="38"/>
  <c r="S30" i="38"/>
  <c r="R30" i="38"/>
  <c r="Q30" i="38"/>
  <c r="P30" i="38"/>
  <c r="O30" i="38"/>
  <c r="N30" i="38"/>
  <c r="M30" i="38"/>
  <c r="L30" i="38"/>
  <c r="K30" i="38"/>
  <c r="J30" i="38"/>
  <c r="I30" i="38"/>
  <c r="H30" i="38"/>
  <c r="G30" i="38"/>
  <c r="F30" i="38"/>
  <c r="E30" i="38"/>
  <c r="D30" i="38"/>
  <c r="C30" i="38"/>
  <c r="B30" i="38"/>
  <c r="Y29" i="38"/>
  <c r="X29" i="38"/>
  <c r="W29" i="38"/>
  <c r="Y28" i="38"/>
  <c r="X28" i="38"/>
  <c r="W28" i="38"/>
  <c r="Y27" i="38"/>
  <c r="X27" i="38"/>
  <c r="W27" i="38"/>
  <c r="Y26" i="38"/>
  <c r="X26" i="38"/>
  <c r="W26" i="38"/>
  <c r="Y25" i="38"/>
  <c r="X25" i="38"/>
  <c r="W25" i="38"/>
  <c r="Y24" i="38"/>
  <c r="X24" i="38"/>
  <c r="W24" i="38"/>
  <c r="Y23" i="38"/>
  <c r="X23" i="38"/>
  <c r="W23" i="38"/>
  <c r="V21" i="38"/>
  <c r="U21" i="38"/>
  <c r="T21" i="38"/>
  <c r="S21" i="38"/>
  <c r="R21" i="38"/>
  <c r="Q21" i="38"/>
  <c r="P21" i="38"/>
  <c r="O21" i="38"/>
  <c r="N21" i="38"/>
  <c r="M21" i="38"/>
  <c r="L21" i="38"/>
  <c r="K21" i="38"/>
  <c r="J21" i="38"/>
  <c r="I21" i="38"/>
  <c r="H21" i="38"/>
  <c r="G21" i="38"/>
  <c r="F21" i="38"/>
  <c r="E21" i="38"/>
  <c r="D21" i="38"/>
  <c r="C21" i="38"/>
  <c r="B21" i="38"/>
  <c r="Y20" i="38"/>
  <c r="X20" i="38"/>
  <c r="W20" i="38"/>
  <c r="Y19" i="38"/>
  <c r="X19" i="38"/>
  <c r="W19" i="38"/>
  <c r="Y18" i="38"/>
  <c r="X18" i="38"/>
  <c r="W18" i="38"/>
  <c r="Y17" i="38"/>
  <c r="X17" i="38"/>
  <c r="W17" i="38"/>
  <c r="Y16" i="38"/>
  <c r="X16" i="38"/>
  <c r="W16" i="38"/>
  <c r="Y15" i="38"/>
  <c r="X15" i="38"/>
  <c r="W15" i="38"/>
  <c r="V12" i="38"/>
  <c r="U12" i="38"/>
  <c r="T12" i="38"/>
  <c r="S12" i="38"/>
  <c r="R12" i="38"/>
  <c r="Q12" i="38"/>
  <c r="P12" i="38"/>
  <c r="O12" i="38"/>
  <c r="N12" i="38"/>
  <c r="M12" i="38"/>
  <c r="L12" i="38"/>
  <c r="K12" i="38"/>
  <c r="J12" i="38"/>
  <c r="I12" i="38"/>
  <c r="H12" i="38"/>
  <c r="G12" i="38"/>
  <c r="F12" i="38"/>
  <c r="E12" i="38"/>
  <c r="D12" i="38"/>
  <c r="C12" i="38"/>
  <c r="B12" i="38"/>
  <c r="Y11" i="38"/>
  <c r="X11" i="38"/>
  <c r="W11" i="38"/>
  <c r="Y10" i="38"/>
  <c r="X10" i="38"/>
  <c r="W10" i="38"/>
  <c r="Y9" i="38"/>
  <c r="X9" i="38"/>
  <c r="W9" i="38"/>
  <c r="Y8" i="38"/>
  <c r="X8" i="38"/>
  <c r="W8" i="38"/>
  <c r="B4" i="38"/>
  <c r="V47" i="37"/>
  <c r="U47" i="37"/>
  <c r="T47" i="37"/>
  <c r="S47" i="37"/>
  <c r="R47" i="37"/>
  <c r="Q47" i="37"/>
  <c r="P47" i="37"/>
  <c r="O47" i="37"/>
  <c r="N47" i="37"/>
  <c r="M47" i="37"/>
  <c r="L47" i="37"/>
  <c r="K47" i="37"/>
  <c r="J47" i="37"/>
  <c r="I47" i="37"/>
  <c r="H47" i="37"/>
  <c r="G47" i="37"/>
  <c r="F47" i="37"/>
  <c r="E47" i="37"/>
  <c r="D47" i="37"/>
  <c r="C47" i="37"/>
  <c r="B47" i="37"/>
  <c r="Y46" i="37"/>
  <c r="X46" i="37"/>
  <c r="X47" i="37" s="1"/>
  <c r="W46" i="37"/>
  <c r="Y45" i="37"/>
  <c r="Y47" i="37" s="1"/>
  <c r="X45" i="37"/>
  <c r="W45" i="37"/>
  <c r="V42" i="37"/>
  <c r="U42" i="37"/>
  <c r="T42" i="37"/>
  <c r="S42" i="37"/>
  <c r="R42" i="37"/>
  <c r="Q42" i="37"/>
  <c r="P42" i="37"/>
  <c r="O42" i="37"/>
  <c r="N42" i="37"/>
  <c r="M42" i="37"/>
  <c r="L42" i="37"/>
  <c r="K42" i="37"/>
  <c r="J42" i="37"/>
  <c r="I42" i="37"/>
  <c r="H42" i="37"/>
  <c r="G42" i="37"/>
  <c r="F42" i="37"/>
  <c r="E42" i="37"/>
  <c r="D42" i="37"/>
  <c r="C42" i="37"/>
  <c r="B42" i="37"/>
  <c r="Y41" i="37"/>
  <c r="X41" i="37"/>
  <c r="W41" i="37"/>
  <c r="Y40" i="37"/>
  <c r="X40" i="37"/>
  <c r="W40" i="37"/>
  <c r="Y39" i="37"/>
  <c r="X39" i="37"/>
  <c r="W39" i="37"/>
  <c r="Y38" i="37"/>
  <c r="X38" i="37"/>
  <c r="W38" i="37"/>
  <c r="Y37" i="37"/>
  <c r="X37" i="37"/>
  <c r="W37" i="37"/>
  <c r="Y36" i="37"/>
  <c r="X36" i="37"/>
  <c r="W36" i="37"/>
  <c r="V34" i="37"/>
  <c r="U34" i="37"/>
  <c r="T34" i="37"/>
  <c r="S34" i="37"/>
  <c r="R34" i="37"/>
  <c r="Q34" i="37"/>
  <c r="P34" i="37"/>
  <c r="O34" i="37"/>
  <c r="N34" i="37"/>
  <c r="M34" i="37"/>
  <c r="L34" i="37"/>
  <c r="K34" i="37"/>
  <c r="J34" i="37"/>
  <c r="I34" i="37"/>
  <c r="H34" i="37"/>
  <c r="G34" i="37"/>
  <c r="F34" i="37"/>
  <c r="E34" i="37"/>
  <c r="D34" i="37"/>
  <c r="C34" i="37"/>
  <c r="B34" i="37"/>
  <c r="Y33" i="37"/>
  <c r="X33" i="37"/>
  <c r="W33" i="37"/>
  <c r="Y32" i="37"/>
  <c r="X32" i="37"/>
  <c r="W32" i="37"/>
  <c r="W34" i="37" s="1"/>
  <c r="V30" i="37"/>
  <c r="U30" i="37"/>
  <c r="T30" i="37"/>
  <c r="S30" i="37"/>
  <c r="R30" i="37"/>
  <c r="Q30" i="37"/>
  <c r="P30" i="37"/>
  <c r="O30" i="37"/>
  <c r="N30" i="37"/>
  <c r="M30" i="37"/>
  <c r="L30" i="37"/>
  <c r="K30" i="37"/>
  <c r="J30" i="37"/>
  <c r="I30" i="37"/>
  <c r="H30" i="37"/>
  <c r="G30" i="37"/>
  <c r="F30" i="37"/>
  <c r="E30" i="37"/>
  <c r="D30" i="37"/>
  <c r="C30" i="37"/>
  <c r="B30" i="37"/>
  <c r="Y29" i="37"/>
  <c r="X29" i="37"/>
  <c r="W29" i="37"/>
  <c r="Y28" i="37"/>
  <c r="X28" i="37"/>
  <c r="W28" i="37"/>
  <c r="Y27" i="37"/>
  <c r="X27" i="37"/>
  <c r="W27" i="37"/>
  <c r="Y26" i="37"/>
  <c r="X26" i="37"/>
  <c r="W26" i="37"/>
  <c r="Y25" i="37"/>
  <c r="X25" i="37"/>
  <c r="W25" i="37"/>
  <c r="Y24" i="37"/>
  <c r="X24" i="37"/>
  <c r="W24" i="37"/>
  <c r="Y23" i="37"/>
  <c r="X23" i="37"/>
  <c r="W23" i="37"/>
  <c r="V21" i="37"/>
  <c r="U21" i="37"/>
  <c r="T21" i="37"/>
  <c r="S21" i="37"/>
  <c r="R21" i="37"/>
  <c r="Q21" i="37"/>
  <c r="P21" i="37"/>
  <c r="O21" i="37"/>
  <c r="O43" i="37" s="1"/>
  <c r="N21" i="37"/>
  <c r="M21" i="37"/>
  <c r="L21" i="37"/>
  <c r="K21" i="37"/>
  <c r="J21" i="37"/>
  <c r="I21" i="37"/>
  <c r="H21" i="37"/>
  <c r="G21" i="37"/>
  <c r="G43" i="37" s="1"/>
  <c r="F21" i="37"/>
  <c r="E21" i="37"/>
  <c r="D21" i="37"/>
  <c r="C21" i="37"/>
  <c r="B21" i="37"/>
  <c r="Y20" i="37"/>
  <c r="X20" i="37"/>
  <c r="W20" i="37"/>
  <c r="Y19" i="37"/>
  <c r="X19" i="37"/>
  <c r="W19" i="37"/>
  <c r="Y18" i="37"/>
  <c r="X18" i="37"/>
  <c r="W18" i="37"/>
  <c r="Y17" i="37"/>
  <c r="X17" i="37"/>
  <c r="W17" i="37"/>
  <c r="Y16" i="37"/>
  <c r="X16" i="37"/>
  <c r="W16" i="37"/>
  <c r="Y15" i="37"/>
  <c r="X15" i="37"/>
  <c r="W15" i="37"/>
  <c r="V12" i="37"/>
  <c r="U12" i="37"/>
  <c r="T12" i="37"/>
  <c r="S12" i="37"/>
  <c r="R12" i="37"/>
  <c r="Q12" i="37"/>
  <c r="P12" i="37"/>
  <c r="O12" i="37"/>
  <c r="N12" i="37"/>
  <c r="M12" i="37"/>
  <c r="L12" i="37"/>
  <c r="K12" i="37"/>
  <c r="J12" i="37"/>
  <c r="I12" i="37"/>
  <c r="H12" i="37"/>
  <c r="G12" i="37"/>
  <c r="F12" i="37"/>
  <c r="E12" i="37"/>
  <c r="D12" i="37"/>
  <c r="C12" i="37"/>
  <c r="B12" i="37"/>
  <c r="Y11" i="37"/>
  <c r="X11" i="37"/>
  <c r="W11" i="37"/>
  <c r="Y10" i="37"/>
  <c r="X10" i="37"/>
  <c r="W10" i="37"/>
  <c r="Y9" i="37"/>
  <c r="X9" i="37"/>
  <c r="W9" i="37"/>
  <c r="Y8" i="37"/>
  <c r="X8" i="37"/>
  <c r="W8" i="37"/>
  <c r="B4" i="37"/>
  <c r="V47" i="36"/>
  <c r="U47" i="36"/>
  <c r="T47" i="36"/>
  <c r="S47" i="36"/>
  <c r="R47" i="36"/>
  <c r="Q47" i="36"/>
  <c r="P47" i="36"/>
  <c r="O47" i="36"/>
  <c r="N47" i="36"/>
  <c r="M47" i="36"/>
  <c r="L47" i="36"/>
  <c r="K47" i="36"/>
  <c r="J47" i="36"/>
  <c r="I47" i="36"/>
  <c r="H47" i="36"/>
  <c r="G47" i="36"/>
  <c r="F47" i="36"/>
  <c r="E47" i="36"/>
  <c r="D47" i="36"/>
  <c r="C47" i="36"/>
  <c r="B47" i="36"/>
  <c r="Y46" i="36"/>
  <c r="X46" i="36"/>
  <c r="X47" i="36" s="1"/>
  <c r="W46" i="36"/>
  <c r="Y45" i="36"/>
  <c r="Y47" i="36" s="1"/>
  <c r="X45" i="36"/>
  <c r="W45" i="36"/>
  <c r="V42" i="36"/>
  <c r="U42" i="36"/>
  <c r="T42" i="36"/>
  <c r="S42" i="36"/>
  <c r="R42" i="36"/>
  <c r="Q42" i="36"/>
  <c r="P42" i="36"/>
  <c r="O42" i="36"/>
  <c r="N42" i="36"/>
  <c r="M42" i="36"/>
  <c r="L42" i="36"/>
  <c r="K42" i="36"/>
  <c r="J42" i="36"/>
  <c r="I42" i="36"/>
  <c r="H42" i="36"/>
  <c r="G42" i="36"/>
  <c r="F42" i="36"/>
  <c r="E42" i="36"/>
  <c r="D42" i="36"/>
  <c r="C42" i="36"/>
  <c r="B42" i="36"/>
  <c r="Y41" i="36"/>
  <c r="X41" i="36"/>
  <c r="W41" i="36"/>
  <c r="Y40" i="36"/>
  <c r="X40" i="36"/>
  <c r="W40" i="36"/>
  <c r="Y39" i="36"/>
  <c r="X39" i="36"/>
  <c r="W39" i="36"/>
  <c r="Y38" i="36"/>
  <c r="X38" i="36"/>
  <c r="W38" i="36"/>
  <c r="Y37" i="36"/>
  <c r="X37" i="36"/>
  <c r="W37" i="36"/>
  <c r="Y36" i="36"/>
  <c r="X36" i="36"/>
  <c r="W36" i="36"/>
  <c r="V34" i="36"/>
  <c r="U34" i="36"/>
  <c r="T34" i="36"/>
  <c r="S34" i="36"/>
  <c r="R34" i="36"/>
  <c r="Q34" i="36"/>
  <c r="P34" i="36"/>
  <c r="O34" i="36"/>
  <c r="N34" i="36"/>
  <c r="M34" i="36"/>
  <c r="L34" i="36"/>
  <c r="K34" i="36"/>
  <c r="J34" i="36"/>
  <c r="I34" i="36"/>
  <c r="H34" i="36"/>
  <c r="G34" i="36"/>
  <c r="F34" i="36"/>
  <c r="E34" i="36"/>
  <c r="D34" i="36"/>
  <c r="C34" i="36"/>
  <c r="B34" i="36"/>
  <c r="Y33" i="36"/>
  <c r="X33" i="36"/>
  <c r="W33" i="36"/>
  <c r="Y32" i="36"/>
  <c r="X32" i="36"/>
  <c r="W32" i="36"/>
  <c r="W34" i="36" s="1"/>
  <c r="V30" i="36"/>
  <c r="U30" i="36"/>
  <c r="T30" i="36"/>
  <c r="S30" i="36"/>
  <c r="R30" i="36"/>
  <c r="Q30" i="36"/>
  <c r="P30" i="36"/>
  <c r="O30" i="36"/>
  <c r="N30" i="36"/>
  <c r="M30" i="36"/>
  <c r="L30" i="36"/>
  <c r="K30" i="36"/>
  <c r="J30" i="36"/>
  <c r="I30" i="36"/>
  <c r="H30" i="36"/>
  <c r="G30" i="36"/>
  <c r="F30" i="36"/>
  <c r="E30" i="36"/>
  <c r="D30" i="36"/>
  <c r="C30" i="36"/>
  <c r="B30" i="36"/>
  <c r="Y29" i="36"/>
  <c r="X29" i="36"/>
  <c r="W29" i="36"/>
  <c r="Y28" i="36"/>
  <c r="X28" i="36"/>
  <c r="W28" i="36"/>
  <c r="Y27" i="36"/>
  <c r="X27" i="36"/>
  <c r="W27" i="36"/>
  <c r="Y26" i="36"/>
  <c r="X26" i="36"/>
  <c r="W26" i="36"/>
  <c r="Y25" i="36"/>
  <c r="X25" i="36"/>
  <c r="W25" i="36"/>
  <c r="Y24" i="36"/>
  <c r="X24" i="36"/>
  <c r="W24" i="36"/>
  <c r="Y23" i="36"/>
  <c r="X23" i="36"/>
  <c r="W23" i="36"/>
  <c r="V21" i="36"/>
  <c r="U21" i="36"/>
  <c r="T21" i="36"/>
  <c r="S21" i="36"/>
  <c r="R21" i="36"/>
  <c r="Q21" i="36"/>
  <c r="P21" i="36"/>
  <c r="O21" i="36"/>
  <c r="N21" i="36"/>
  <c r="M21" i="36"/>
  <c r="L21" i="36"/>
  <c r="K21" i="36"/>
  <c r="J21" i="36"/>
  <c r="I21" i="36"/>
  <c r="H21" i="36"/>
  <c r="G21" i="36"/>
  <c r="F21" i="36"/>
  <c r="E21" i="36"/>
  <c r="D21" i="36"/>
  <c r="C21" i="36"/>
  <c r="B21" i="36"/>
  <c r="Y20" i="36"/>
  <c r="X20" i="36"/>
  <c r="W20" i="36"/>
  <c r="Y19" i="36"/>
  <c r="X19" i="36"/>
  <c r="W19" i="36"/>
  <c r="Y18" i="36"/>
  <c r="X18" i="36"/>
  <c r="W18" i="36"/>
  <c r="Y17" i="36"/>
  <c r="X17" i="36"/>
  <c r="W17" i="36"/>
  <c r="Y16" i="36"/>
  <c r="X16" i="36"/>
  <c r="W16" i="36"/>
  <c r="Y15" i="36"/>
  <c r="X15" i="36"/>
  <c r="W15" i="36"/>
  <c r="V12" i="36"/>
  <c r="U12" i="36"/>
  <c r="T12" i="36"/>
  <c r="S12" i="36"/>
  <c r="R12" i="36"/>
  <c r="Q12" i="36"/>
  <c r="P12" i="36"/>
  <c r="O12" i="36"/>
  <c r="N12" i="36"/>
  <c r="M12" i="36"/>
  <c r="L12" i="36"/>
  <c r="K12" i="36"/>
  <c r="J12" i="36"/>
  <c r="I12" i="36"/>
  <c r="H12" i="36"/>
  <c r="G12" i="36"/>
  <c r="F12" i="36"/>
  <c r="E12" i="36"/>
  <c r="D12" i="36"/>
  <c r="C12" i="36"/>
  <c r="B12" i="36"/>
  <c r="Y11" i="36"/>
  <c r="X11" i="36"/>
  <c r="W11" i="36"/>
  <c r="Y10" i="36"/>
  <c r="X10" i="36"/>
  <c r="W10" i="36"/>
  <c r="Y9" i="36"/>
  <c r="X9" i="36"/>
  <c r="W9" i="36"/>
  <c r="Y8" i="36"/>
  <c r="X8" i="36"/>
  <c r="W8" i="36"/>
  <c r="B4" i="36"/>
  <c r="V47" i="35"/>
  <c r="U47" i="35"/>
  <c r="T47" i="35"/>
  <c r="S47" i="35"/>
  <c r="R47" i="35"/>
  <c r="Q47" i="35"/>
  <c r="P47" i="35"/>
  <c r="O47" i="35"/>
  <c r="N47" i="35"/>
  <c r="M47" i="35"/>
  <c r="L47" i="35"/>
  <c r="K47" i="35"/>
  <c r="J47" i="35"/>
  <c r="I47" i="35"/>
  <c r="H47" i="35"/>
  <c r="G47" i="35"/>
  <c r="F47" i="35"/>
  <c r="E47" i="35"/>
  <c r="D47" i="35"/>
  <c r="C47" i="35"/>
  <c r="B47" i="35"/>
  <c r="Y46" i="35"/>
  <c r="X46" i="35"/>
  <c r="X47" i="35" s="1"/>
  <c r="W46" i="35"/>
  <c r="Y45" i="35"/>
  <c r="Y47" i="35" s="1"/>
  <c r="X45" i="35"/>
  <c r="W45" i="35"/>
  <c r="V42" i="35"/>
  <c r="U42" i="35"/>
  <c r="T42" i="35"/>
  <c r="S42" i="35"/>
  <c r="R42" i="35"/>
  <c r="Q42" i="35"/>
  <c r="P42" i="35"/>
  <c r="O42" i="35"/>
  <c r="N42" i="35"/>
  <c r="M42" i="35"/>
  <c r="L42" i="35"/>
  <c r="K42" i="35"/>
  <c r="J42" i="35"/>
  <c r="I42" i="35"/>
  <c r="H42" i="35"/>
  <c r="G42" i="35"/>
  <c r="F42" i="35"/>
  <c r="E42" i="35"/>
  <c r="D42" i="35"/>
  <c r="C42" i="35"/>
  <c r="B42" i="35"/>
  <c r="Y41" i="35"/>
  <c r="X41" i="35"/>
  <c r="W41" i="35"/>
  <c r="Y40" i="35"/>
  <c r="X40" i="35"/>
  <c r="W40" i="35"/>
  <c r="Y39" i="35"/>
  <c r="X39" i="35"/>
  <c r="W39" i="35"/>
  <c r="Y38" i="35"/>
  <c r="X38" i="35"/>
  <c r="W38" i="35"/>
  <c r="Y37" i="35"/>
  <c r="X37" i="35"/>
  <c r="W37" i="35"/>
  <c r="Y36" i="35"/>
  <c r="X36" i="35"/>
  <c r="W36" i="35"/>
  <c r="V34" i="35"/>
  <c r="U34" i="35"/>
  <c r="T34" i="35"/>
  <c r="S34" i="35"/>
  <c r="R34" i="35"/>
  <c r="Q34" i="35"/>
  <c r="P34" i="35"/>
  <c r="O34" i="35"/>
  <c r="N34" i="35"/>
  <c r="M34" i="35"/>
  <c r="L34" i="35"/>
  <c r="K34" i="35"/>
  <c r="J34" i="35"/>
  <c r="I34" i="35"/>
  <c r="H34" i="35"/>
  <c r="G34" i="35"/>
  <c r="F34" i="35"/>
  <c r="E34" i="35"/>
  <c r="D34" i="35"/>
  <c r="C34" i="35"/>
  <c r="B34" i="35"/>
  <c r="Y33" i="35"/>
  <c r="X33" i="35"/>
  <c r="W33" i="35"/>
  <c r="Y32" i="35"/>
  <c r="X32" i="35"/>
  <c r="W32" i="35"/>
  <c r="W34" i="35" s="1"/>
  <c r="V30" i="35"/>
  <c r="U30" i="35"/>
  <c r="T30" i="35"/>
  <c r="S30" i="35"/>
  <c r="R30" i="35"/>
  <c r="Q30" i="35"/>
  <c r="P30" i="35"/>
  <c r="O30" i="35"/>
  <c r="N30" i="35"/>
  <c r="M30" i="35"/>
  <c r="L30" i="35"/>
  <c r="K30" i="35"/>
  <c r="J30" i="35"/>
  <c r="I30" i="35"/>
  <c r="H30" i="35"/>
  <c r="G30" i="35"/>
  <c r="F30" i="35"/>
  <c r="E30" i="35"/>
  <c r="D30" i="35"/>
  <c r="C30" i="35"/>
  <c r="B30" i="35"/>
  <c r="Y29" i="35"/>
  <c r="X29" i="35"/>
  <c r="W29" i="35"/>
  <c r="Y28" i="35"/>
  <c r="X28" i="35"/>
  <c r="W28" i="35"/>
  <c r="Y27" i="35"/>
  <c r="X27" i="35"/>
  <c r="W27" i="35"/>
  <c r="Y26" i="35"/>
  <c r="X26" i="35"/>
  <c r="W26" i="35"/>
  <c r="Y25" i="35"/>
  <c r="X25" i="35"/>
  <c r="W25" i="35"/>
  <c r="Y24" i="35"/>
  <c r="X24" i="35"/>
  <c r="W24" i="35"/>
  <c r="Y23" i="35"/>
  <c r="X23" i="35"/>
  <c r="W23" i="35"/>
  <c r="V21" i="35"/>
  <c r="U21" i="35"/>
  <c r="T21" i="35"/>
  <c r="S21" i="35"/>
  <c r="R21" i="35"/>
  <c r="Q21" i="35"/>
  <c r="P21" i="35"/>
  <c r="O21" i="35"/>
  <c r="N21" i="35"/>
  <c r="M21" i="35"/>
  <c r="L21" i="35"/>
  <c r="K21" i="35"/>
  <c r="J21" i="35"/>
  <c r="I21" i="35"/>
  <c r="H21" i="35"/>
  <c r="H43" i="35" s="1"/>
  <c r="G21" i="35"/>
  <c r="F21" i="35"/>
  <c r="E21" i="35"/>
  <c r="D21" i="35"/>
  <c r="C21" i="35"/>
  <c r="B21" i="35"/>
  <c r="Y20" i="35"/>
  <c r="X20" i="35"/>
  <c r="W20" i="35"/>
  <c r="Y19" i="35"/>
  <c r="X19" i="35"/>
  <c r="W19" i="35"/>
  <c r="Y18" i="35"/>
  <c r="X18" i="35"/>
  <c r="W18" i="35"/>
  <c r="Y17" i="35"/>
  <c r="X17" i="35"/>
  <c r="W17" i="35"/>
  <c r="Y16" i="35"/>
  <c r="X16" i="35"/>
  <c r="W16" i="35"/>
  <c r="Y15" i="35"/>
  <c r="X15" i="35"/>
  <c r="W15" i="35"/>
  <c r="V12" i="35"/>
  <c r="U12" i="35"/>
  <c r="T12" i="35"/>
  <c r="S12" i="35"/>
  <c r="R12" i="35"/>
  <c r="Q12" i="35"/>
  <c r="P12" i="35"/>
  <c r="O12" i="35"/>
  <c r="N12" i="35"/>
  <c r="M12" i="35"/>
  <c r="L12" i="35"/>
  <c r="K12" i="35"/>
  <c r="J12" i="35"/>
  <c r="I12" i="35"/>
  <c r="H12" i="35"/>
  <c r="G12" i="35"/>
  <c r="F12" i="35"/>
  <c r="E12" i="35"/>
  <c r="D12" i="35"/>
  <c r="C12" i="35"/>
  <c r="B12" i="35"/>
  <c r="Y11" i="35"/>
  <c r="X11" i="35"/>
  <c r="W11" i="35"/>
  <c r="Y10" i="35"/>
  <c r="X10" i="35"/>
  <c r="W10" i="35"/>
  <c r="Y9" i="35"/>
  <c r="X9" i="35"/>
  <c r="W9" i="35"/>
  <c r="Y8" i="35"/>
  <c r="X8" i="35"/>
  <c r="W8" i="35"/>
  <c r="B4" i="35"/>
  <c r="V47" i="34"/>
  <c r="U47" i="34"/>
  <c r="T47" i="34"/>
  <c r="S47" i="34"/>
  <c r="R47" i="34"/>
  <c r="Q47" i="34"/>
  <c r="P47" i="34"/>
  <c r="O47" i="34"/>
  <c r="N47" i="34"/>
  <c r="M47" i="34"/>
  <c r="L47" i="34"/>
  <c r="K47" i="34"/>
  <c r="J47" i="34"/>
  <c r="I47" i="34"/>
  <c r="H47" i="34"/>
  <c r="G47" i="34"/>
  <c r="F47" i="34"/>
  <c r="E47" i="34"/>
  <c r="D47" i="34"/>
  <c r="C47" i="34"/>
  <c r="B47" i="34"/>
  <c r="Y46" i="34"/>
  <c r="X46" i="34"/>
  <c r="W46" i="34"/>
  <c r="Y45" i="34"/>
  <c r="Y47" i="34" s="1"/>
  <c r="X45" i="34"/>
  <c r="W45" i="34"/>
  <c r="V42" i="34"/>
  <c r="U42" i="34"/>
  <c r="T42" i="34"/>
  <c r="S42" i="34"/>
  <c r="R42" i="34"/>
  <c r="Q42" i="34"/>
  <c r="P42" i="34"/>
  <c r="O42" i="34"/>
  <c r="N42" i="34"/>
  <c r="M42" i="34"/>
  <c r="L42" i="34"/>
  <c r="K42" i="34"/>
  <c r="J42" i="34"/>
  <c r="I42" i="34"/>
  <c r="H42" i="34"/>
  <c r="G42" i="34"/>
  <c r="F42" i="34"/>
  <c r="E42" i="34"/>
  <c r="D42" i="34"/>
  <c r="C42" i="34"/>
  <c r="B42" i="34"/>
  <c r="Y41" i="34"/>
  <c r="X41" i="34"/>
  <c r="W41" i="34"/>
  <c r="Y40" i="34"/>
  <c r="X40" i="34"/>
  <c r="W40" i="34"/>
  <c r="Y39" i="34"/>
  <c r="X39" i="34"/>
  <c r="W39" i="34"/>
  <c r="Y38" i="34"/>
  <c r="X38" i="34"/>
  <c r="W38" i="34"/>
  <c r="Y37" i="34"/>
  <c r="X37" i="34"/>
  <c r="W37" i="34"/>
  <c r="Y36" i="34"/>
  <c r="X36" i="34"/>
  <c r="W36" i="34"/>
  <c r="V34" i="34"/>
  <c r="U34" i="34"/>
  <c r="T34" i="34"/>
  <c r="S34" i="34"/>
  <c r="R34" i="34"/>
  <c r="Q34" i="34"/>
  <c r="P34" i="34"/>
  <c r="O34" i="34"/>
  <c r="N34" i="34"/>
  <c r="M34" i="34"/>
  <c r="L34" i="34"/>
  <c r="K34" i="34"/>
  <c r="J34" i="34"/>
  <c r="I34" i="34"/>
  <c r="H34" i="34"/>
  <c r="G34" i="34"/>
  <c r="F34" i="34"/>
  <c r="E34" i="34"/>
  <c r="D34" i="34"/>
  <c r="C34" i="34"/>
  <c r="B34" i="34"/>
  <c r="Y33" i="34"/>
  <c r="X33" i="34"/>
  <c r="W33" i="34"/>
  <c r="Y32" i="34"/>
  <c r="X32" i="34"/>
  <c r="W32" i="34"/>
  <c r="V30" i="34"/>
  <c r="U30" i="34"/>
  <c r="T30" i="34"/>
  <c r="S30" i="34"/>
  <c r="R30" i="34"/>
  <c r="Q30" i="34"/>
  <c r="P30" i="34"/>
  <c r="O30" i="34"/>
  <c r="N30" i="34"/>
  <c r="M30" i="34"/>
  <c r="L30" i="34"/>
  <c r="K30" i="34"/>
  <c r="J30" i="34"/>
  <c r="I30" i="34"/>
  <c r="H30" i="34"/>
  <c r="G30" i="34"/>
  <c r="F30" i="34"/>
  <c r="E30" i="34"/>
  <c r="D30" i="34"/>
  <c r="C30" i="34"/>
  <c r="B30" i="34"/>
  <c r="Y29" i="34"/>
  <c r="X29" i="34"/>
  <c r="W29" i="34"/>
  <c r="Y28" i="34"/>
  <c r="X28" i="34"/>
  <c r="W28" i="34"/>
  <c r="Y27" i="34"/>
  <c r="X27" i="34"/>
  <c r="W27" i="34"/>
  <c r="Y26" i="34"/>
  <c r="X26" i="34"/>
  <c r="W26" i="34"/>
  <c r="Y25" i="34"/>
  <c r="X25" i="34"/>
  <c r="W25" i="34"/>
  <c r="Y24" i="34"/>
  <c r="X24" i="34"/>
  <c r="W24" i="34"/>
  <c r="Y23" i="34"/>
  <c r="X23" i="34"/>
  <c r="W23" i="34"/>
  <c r="V21" i="34"/>
  <c r="U21" i="34"/>
  <c r="T21" i="34"/>
  <c r="S21" i="34"/>
  <c r="R21" i="34"/>
  <c r="Q21" i="34"/>
  <c r="P21" i="34"/>
  <c r="P43" i="34" s="1"/>
  <c r="O21" i="34"/>
  <c r="O43" i="34" s="1"/>
  <c r="N21" i="34"/>
  <c r="M21" i="34"/>
  <c r="L21" i="34"/>
  <c r="K21" i="34"/>
  <c r="J21" i="34"/>
  <c r="I21" i="34"/>
  <c r="I43" i="34" s="1"/>
  <c r="H21" i="34"/>
  <c r="H43" i="34" s="1"/>
  <c r="G21" i="34"/>
  <c r="G43" i="34" s="1"/>
  <c r="F21" i="34"/>
  <c r="E21" i="34"/>
  <c r="D21" i="34"/>
  <c r="C21" i="34"/>
  <c r="B21" i="34"/>
  <c r="Y20" i="34"/>
  <c r="X20" i="34"/>
  <c r="W20" i="34"/>
  <c r="Y19" i="34"/>
  <c r="X19" i="34"/>
  <c r="W19" i="34"/>
  <c r="Y18" i="34"/>
  <c r="X18" i="34"/>
  <c r="W18" i="34"/>
  <c r="Y17" i="34"/>
  <c r="X17" i="34"/>
  <c r="W17" i="34"/>
  <c r="Y16" i="34"/>
  <c r="X16" i="34"/>
  <c r="W16" i="34"/>
  <c r="Y15" i="34"/>
  <c r="X15" i="34"/>
  <c r="W15" i="34"/>
  <c r="V12" i="34"/>
  <c r="U12" i="34"/>
  <c r="T12" i="34"/>
  <c r="S12" i="34"/>
  <c r="R12" i="34"/>
  <c r="Q12" i="34"/>
  <c r="P12" i="34"/>
  <c r="O12" i="34"/>
  <c r="N12" i="34"/>
  <c r="M12" i="34"/>
  <c r="L12" i="34"/>
  <c r="K12" i="34"/>
  <c r="J12" i="34"/>
  <c r="I12" i="34"/>
  <c r="H12" i="34"/>
  <c r="G12" i="34"/>
  <c r="F12" i="34"/>
  <c r="E12" i="34"/>
  <c r="D12" i="34"/>
  <c r="C12" i="34"/>
  <c r="B12" i="34"/>
  <c r="Y11" i="34"/>
  <c r="X11" i="34"/>
  <c r="W11" i="34"/>
  <c r="Y10" i="34"/>
  <c r="X10" i="34"/>
  <c r="W10" i="34"/>
  <c r="Y9" i="34"/>
  <c r="X9" i="34"/>
  <c r="W9" i="34"/>
  <c r="Y8" i="34"/>
  <c r="X8" i="34"/>
  <c r="W8" i="34"/>
  <c r="B4" i="34"/>
  <c r="V47" i="33"/>
  <c r="U47" i="33"/>
  <c r="T47" i="33"/>
  <c r="S47" i="33"/>
  <c r="R47" i="33"/>
  <c r="Q47" i="33"/>
  <c r="P47" i="33"/>
  <c r="O47" i="33"/>
  <c r="N47" i="33"/>
  <c r="M47" i="33"/>
  <c r="L47" i="33"/>
  <c r="K47" i="33"/>
  <c r="J47" i="33"/>
  <c r="I47" i="33"/>
  <c r="H47" i="33"/>
  <c r="G47" i="33"/>
  <c r="F47" i="33"/>
  <c r="E47" i="33"/>
  <c r="D47" i="33"/>
  <c r="C47" i="33"/>
  <c r="B47" i="33"/>
  <c r="Y46" i="33"/>
  <c r="X46" i="33"/>
  <c r="W46" i="33"/>
  <c r="W47" i="33" s="1"/>
  <c r="Y45" i="33"/>
  <c r="X45" i="33"/>
  <c r="W45" i="33"/>
  <c r="V42" i="33"/>
  <c r="U42" i="33"/>
  <c r="T42" i="33"/>
  <c r="S42" i="33"/>
  <c r="R42" i="33"/>
  <c r="Q42" i="33"/>
  <c r="P42" i="33"/>
  <c r="O42" i="33"/>
  <c r="N42" i="33"/>
  <c r="M42" i="33"/>
  <c r="L42" i="33"/>
  <c r="K42" i="33"/>
  <c r="J42" i="33"/>
  <c r="I42" i="33"/>
  <c r="H42" i="33"/>
  <c r="G42" i="33"/>
  <c r="F42" i="33"/>
  <c r="E42" i="33"/>
  <c r="D42" i="33"/>
  <c r="C42" i="33"/>
  <c r="B42" i="33"/>
  <c r="Y41" i="33"/>
  <c r="X41" i="33"/>
  <c r="W41" i="33"/>
  <c r="Y40" i="33"/>
  <c r="X40" i="33"/>
  <c r="W40" i="33"/>
  <c r="Y39" i="33"/>
  <c r="X39" i="33"/>
  <c r="W39" i="33"/>
  <c r="Y38" i="33"/>
  <c r="X38" i="33"/>
  <c r="W38" i="33"/>
  <c r="Y37" i="33"/>
  <c r="X37" i="33"/>
  <c r="W37" i="33"/>
  <c r="Y36" i="33"/>
  <c r="X36" i="33"/>
  <c r="W36" i="33"/>
  <c r="V34" i="33"/>
  <c r="U34" i="33"/>
  <c r="T34" i="33"/>
  <c r="S34" i="33"/>
  <c r="R34" i="33"/>
  <c r="Q34" i="33"/>
  <c r="P34" i="33"/>
  <c r="O34" i="33"/>
  <c r="N34" i="33"/>
  <c r="M34" i="33"/>
  <c r="L34" i="33"/>
  <c r="K34" i="33"/>
  <c r="J34" i="33"/>
  <c r="I34" i="33"/>
  <c r="H34" i="33"/>
  <c r="G34" i="33"/>
  <c r="F34" i="33"/>
  <c r="E34" i="33"/>
  <c r="D34" i="33"/>
  <c r="C34" i="33"/>
  <c r="B34" i="33"/>
  <c r="Y33" i="33"/>
  <c r="X33" i="33"/>
  <c r="W33" i="33"/>
  <c r="Y32" i="33"/>
  <c r="X32" i="33"/>
  <c r="X34" i="33" s="1"/>
  <c r="W32" i="33"/>
  <c r="V30" i="33"/>
  <c r="U30" i="33"/>
  <c r="T30" i="33"/>
  <c r="S30" i="33"/>
  <c r="R30" i="33"/>
  <c r="Q30" i="33"/>
  <c r="P30" i="33"/>
  <c r="O30" i="33"/>
  <c r="N30" i="33"/>
  <c r="M30" i="33"/>
  <c r="L30" i="33"/>
  <c r="K30" i="33"/>
  <c r="J30" i="33"/>
  <c r="I30" i="33"/>
  <c r="H30" i="33"/>
  <c r="G30" i="33"/>
  <c r="F30" i="33"/>
  <c r="E30" i="33"/>
  <c r="D30" i="33"/>
  <c r="C30" i="33"/>
  <c r="B30" i="33"/>
  <c r="Y29" i="33"/>
  <c r="X29" i="33"/>
  <c r="W29" i="33"/>
  <c r="Y28" i="33"/>
  <c r="X28" i="33"/>
  <c r="W28" i="33"/>
  <c r="Y27" i="33"/>
  <c r="X27" i="33"/>
  <c r="W27" i="33"/>
  <c r="Y26" i="33"/>
  <c r="X26" i="33"/>
  <c r="W26" i="33"/>
  <c r="Y25" i="33"/>
  <c r="X25" i="33"/>
  <c r="W25" i="33"/>
  <c r="Y24" i="33"/>
  <c r="X24" i="33"/>
  <c r="W24" i="33"/>
  <c r="Y23" i="33"/>
  <c r="X23" i="33"/>
  <c r="W23" i="33"/>
  <c r="V21" i="33"/>
  <c r="U21" i="33"/>
  <c r="T21" i="33"/>
  <c r="S21" i="33"/>
  <c r="R21" i="33"/>
  <c r="Q21" i="33"/>
  <c r="P21" i="33"/>
  <c r="P43" i="33" s="1"/>
  <c r="O21" i="33"/>
  <c r="N21" i="33"/>
  <c r="M21" i="33"/>
  <c r="L21" i="33"/>
  <c r="K21" i="33"/>
  <c r="J21" i="33"/>
  <c r="I21" i="33"/>
  <c r="H21" i="33"/>
  <c r="G21" i="33"/>
  <c r="F21" i="33"/>
  <c r="E21" i="33"/>
  <c r="D21" i="33"/>
  <c r="C21" i="33"/>
  <c r="B21" i="33"/>
  <c r="Y20" i="33"/>
  <c r="X20" i="33"/>
  <c r="W20" i="33"/>
  <c r="Y19" i="33"/>
  <c r="X19" i="33"/>
  <c r="W19" i="33"/>
  <c r="Y18" i="33"/>
  <c r="X18" i="33"/>
  <c r="W18" i="33"/>
  <c r="Y17" i="33"/>
  <c r="X17" i="33"/>
  <c r="W17" i="33"/>
  <c r="Y16" i="33"/>
  <c r="X16" i="33"/>
  <c r="W16" i="33"/>
  <c r="Y15" i="33"/>
  <c r="X15" i="33"/>
  <c r="W15" i="33"/>
  <c r="V12" i="33"/>
  <c r="U12" i="33"/>
  <c r="T12" i="33"/>
  <c r="S12" i="33"/>
  <c r="R12" i="33"/>
  <c r="Q12" i="33"/>
  <c r="P12" i="33"/>
  <c r="O12" i="33"/>
  <c r="N12" i="33"/>
  <c r="M12" i="33"/>
  <c r="L12" i="33"/>
  <c r="K12" i="33"/>
  <c r="J12" i="33"/>
  <c r="I12" i="33"/>
  <c r="H12" i="33"/>
  <c r="G12" i="33"/>
  <c r="F12" i="33"/>
  <c r="E12" i="33"/>
  <c r="D12" i="33"/>
  <c r="C12" i="33"/>
  <c r="B12" i="33"/>
  <c r="Y11" i="33"/>
  <c r="X11" i="33"/>
  <c r="W11" i="33"/>
  <c r="Y10" i="33"/>
  <c r="X10" i="33"/>
  <c r="W10" i="33"/>
  <c r="Y9" i="33"/>
  <c r="X9" i="33"/>
  <c r="W9" i="33"/>
  <c r="Y8" i="33"/>
  <c r="X8" i="33"/>
  <c r="W8" i="33"/>
  <c r="B4" i="33"/>
  <c r="V47" i="32"/>
  <c r="U47" i="32"/>
  <c r="T47" i="32"/>
  <c r="S47" i="32"/>
  <c r="R47" i="32"/>
  <c r="Q47" i="32"/>
  <c r="P47" i="32"/>
  <c r="O47" i="32"/>
  <c r="N47" i="32"/>
  <c r="M47" i="32"/>
  <c r="L47" i="32"/>
  <c r="K47" i="32"/>
  <c r="J47" i="32"/>
  <c r="I47" i="32"/>
  <c r="H47" i="32"/>
  <c r="G47" i="32"/>
  <c r="F47" i="32"/>
  <c r="E47" i="32"/>
  <c r="D47" i="32"/>
  <c r="C47" i="32"/>
  <c r="B47" i="32"/>
  <c r="Y46" i="32"/>
  <c r="X46" i="32"/>
  <c r="X47" i="32" s="1"/>
  <c r="W46" i="32"/>
  <c r="Y45" i="32"/>
  <c r="X45" i="32"/>
  <c r="W45" i="32"/>
  <c r="V42" i="32"/>
  <c r="U42" i="32"/>
  <c r="T42" i="32"/>
  <c r="S42" i="32"/>
  <c r="R42" i="32"/>
  <c r="Q42" i="32"/>
  <c r="P42" i="32"/>
  <c r="O42" i="32"/>
  <c r="N42" i="32"/>
  <c r="M42" i="32"/>
  <c r="L42" i="32"/>
  <c r="K42" i="32"/>
  <c r="J42" i="32"/>
  <c r="I42" i="32"/>
  <c r="H42" i="32"/>
  <c r="G42" i="32"/>
  <c r="F42" i="32"/>
  <c r="E42" i="32"/>
  <c r="D42" i="32"/>
  <c r="C42" i="32"/>
  <c r="B42" i="32"/>
  <c r="Y41" i="32"/>
  <c r="X41" i="32"/>
  <c r="W41" i="32"/>
  <c r="Y40" i="32"/>
  <c r="X40" i="32"/>
  <c r="W40" i="32"/>
  <c r="Y39" i="32"/>
  <c r="X39" i="32"/>
  <c r="W39" i="32"/>
  <c r="Y38" i="32"/>
  <c r="X38" i="32"/>
  <c r="W38" i="32"/>
  <c r="Y37" i="32"/>
  <c r="X37" i="32"/>
  <c r="W37" i="32"/>
  <c r="Y36" i="32"/>
  <c r="X36" i="32"/>
  <c r="W36" i="32"/>
  <c r="V34" i="32"/>
  <c r="U34" i="32"/>
  <c r="T34" i="32"/>
  <c r="S34" i="32"/>
  <c r="R34" i="32"/>
  <c r="Q34" i="32"/>
  <c r="P34" i="32"/>
  <c r="O34" i="32"/>
  <c r="N34" i="32"/>
  <c r="M34" i="32"/>
  <c r="L34" i="32"/>
  <c r="K34" i="32"/>
  <c r="J34" i="32"/>
  <c r="I34" i="32"/>
  <c r="H34" i="32"/>
  <c r="G34" i="32"/>
  <c r="F34" i="32"/>
  <c r="E34" i="32"/>
  <c r="D34" i="32"/>
  <c r="C34" i="32"/>
  <c r="B34" i="32"/>
  <c r="Y33" i="32"/>
  <c r="X33" i="32"/>
  <c r="W33" i="32"/>
  <c r="Y32" i="32"/>
  <c r="X32" i="32"/>
  <c r="W32" i="32"/>
  <c r="V30" i="32"/>
  <c r="U30" i="32"/>
  <c r="T30" i="32"/>
  <c r="S30" i="32"/>
  <c r="R30" i="32"/>
  <c r="Q30" i="32"/>
  <c r="P30" i="32"/>
  <c r="O30" i="32"/>
  <c r="N30" i="32"/>
  <c r="M30" i="32"/>
  <c r="L30" i="32"/>
  <c r="K30" i="32"/>
  <c r="J30" i="32"/>
  <c r="I30" i="32"/>
  <c r="H30" i="32"/>
  <c r="G30" i="32"/>
  <c r="F30" i="32"/>
  <c r="E30" i="32"/>
  <c r="D30" i="32"/>
  <c r="C30" i="32"/>
  <c r="B30" i="32"/>
  <c r="Y29" i="32"/>
  <c r="X29" i="32"/>
  <c r="W29" i="32"/>
  <c r="Y28" i="32"/>
  <c r="X28" i="32"/>
  <c r="W28" i="32"/>
  <c r="Y27" i="32"/>
  <c r="X27" i="32"/>
  <c r="W27" i="32"/>
  <c r="Y26" i="32"/>
  <c r="X26" i="32"/>
  <c r="W26" i="32"/>
  <c r="Y25" i="32"/>
  <c r="X25" i="32"/>
  <c r="W25" i="32"/>
  <c r="Y24" i="32"/>
  <c r="X24" i="32"/>
  <c r="W24" i="32"/>
  <c r="Y23" i="32"/>
  <c r="X23" i="32"/>
  <c r="W23" i="32"/>
  <c r="V21" i="32"/>
  <c r="U21" i="32"/>
  <c r="T21" i="32"/>
  <c r="S21" i="32"/>
  <c r="R21" i="32"/>
  <c r="Q21" i="32"/>
  <c r="P21" i="32"/>
  <c r="P43" i="32" s="1"/>
  <c r="O21" i="32"/>
  <c r="N21" i="32"/>
  <c r="M21" i="32"/>
  <c r="L21" i="32"/>
  <c r="K21" i="32"/>
  <c r="J21" i="32"/>
  <c r="I21" i="32"/>
  <c r="H21" i="32"/>
  <c r="G21" i="32"/>
  <c r="F21" i="32"/>
  <c r="E21" i="32"/>
  <c r="D21" i="32"/>
  <c r="C21" i="32"/>
  <c r="B21" i="32"/>
  <c r="Y20" i="32"/>
  <c r="X20" i="32"/>
  <c r="W20" i="32"/>
  <c r="Y19" i="32"/>
  <c r="X19" i="32"/>
  <c r="W19" i="32"/>
  <c r="Y18" i="32"/>
  <c r="X18" i="32"/>
  <c r="W18" i="32"/>
  <c r="Y17" i="32"/>
  <c r="X17" i="32"/>
  <c r="W17" i="32"/>
  <c r="Y16" i="32"/>
  <c r="X16" i="32"/>
  <c r="W16" i="32"/>
  <c r="Y15" i="32"/>
  <c r="X15" i="32"/>
  <c r="W15" i="32"/>
  <c r="V12" i="32"/>
  <c r="U12" i="32"/>
  <c r="T12" i="32"/>
  <c r="S12" i="32"/>
  <c r="R12" i="32"/>
  <c r="Q12" i="32"/>
  <c r="P12" i="32"/>
  <c r="O12" i="32"/>
  <c r="N12" i="32"/>
  <c r="M12" i="32"/>
  <c r="L12" i="32"/>
  <c r="K12" i="32"/>
  <c r="J12" i="32"/>
  <c r="I12" i="32"/>
  <c r="H12" i="32"/>
  <c r="G12" i="32"/>
  <c r="F12" i="32"/>
  <c r="E12" i="32"/>
  <c r="D12" i="32"/>
  <c r="C12" i="32"/>
  <c r="B12" i="32"/>
  <c r="Y11" i="32"/>
  <c r="X11" i="32"/>
  <c r="W11" i="32"/>
  <c r="Y10" i="32"/>
  <c r="X10" i="32"/>
  <c r="W10" i="32"/>
  <c r="Y9" i="32"/>
  <c r="X9" i="32"/>
  <c r="W9" i="32"/>
  <c r="Y8" i="32"/>
  <c r="X8" i="32"/>
  <c r="W8" i="32"/>
  <c r="B4" i="32"/>
  <c r="V47" i="31"/>
  <c r="U47" i="31"/>
  <c r="T47" i="31"/>
  <c r="S47" i="31"/>
  <c r="R47" i="31"/>
  <c r="Q47" i="31"/>
  <c r="P47" i="31"/>
  <c r="O47" i="31"/>
  <c r="N47" i="31"/>
  <c r="M47" i="31"/>
  <c r="L47" i="31"/>
  <c r="K47" i="31"/>
  <c r="J47" i="31"/>
  <c r="I47" i="31"/>
  <c r="H47" i="31"/>
  <c r="G47" i="31"/>
  <c r="F47" i="31"/>
  <c r="E47" i="31"/>
  <c r="D47" i="31"/>
  <c r="C47" i="31"/>
  <c r="B47" i="31"/>
  <c r="Y46" i="31"/>
  <c r="X46" i="31"/>
  <c r="W46" i="31"/>
  <c r="Y45" i="31"/>
  <c r="X45" i="31"/>
  <c r="W45" i="31"/>
  <c r="V42" i="31"/>
  <c r="U42" i="31"/>
  <c r="T42" i="31"/>
  <c r="S42" i="31"/>
  <c r="R42" i="31"/>
  <c r="Q42" i="31"/>
  <c r="P42" i="31"/>
  <c r="O42" i="31"/>
  <c r="N42" i="31"/>
  <c r="M42" i="31"/>
  <c r="L42" i="31"/>
  <c r="K42" i="31"/>
  <c r="J42" i="31"/>
  <c r="I42" i="31"/>
  <c r="H42" i="31"/>
  <c r="G42" i="31"/>
  <c r="F42" i="31"/>
  <c r="E42" i="31"/>
  <c r="D42" i="31"/>
  <c r="C42" i="31"/>
  <c r="B42" i="31"/>
  <c r="Y41" i="31"/>
  <c r="X41" i="31"/>
  <c r="W41" i="31"/>
  <c r="Y40" i="31"/>
  <c r="X40" i="31"/>
  <c r="W40" i="31"/>
  <c r="Y39" i="31"/>
  <c r="X39" i="31"/>
  <c r="W39" i="31"/>
  <c r="Y38" i="31"/>
  <c r="X38" i="31"/>
  <c r="W38" i="31"/>
  <c r="Y37" i="31"/>
  <c r="X37" i="31"/>
  <c r="W37" i="31"/>
  <c r="Y36" i="31"/>
  <c r="X36" i="31"/>
  <c r="W36" i="31"/>
  <c r="V34" i="31"/>
  <c r="U34" i="31"/>
  <c r="T34" i="31"/>
  <c r="S34" i="31"/>
  <c r="R34" i="31"/>
  <c r="Q34" i="31"/>
  <c r="P34" i="31"/>
  <c r="O34" i="31"/>
  <c r="N34" i="31"/>
  <c r="M34" i="31"/>
  <c r="L34" i="31"/>
  <c r="K34" i="31"/>
  <c r="J34" i="31"/>
  <c r="I34" i="31"/>
  <c r="H34" i="31"/>
  <c r="G34" i="31"/>
  <c r="F34" i="31"/>
  <c r="E34" i="31"/>
  <c r="D34" i="31"/>
  <c r="C34" i="31"/>
  <c r="B34" i="31"/>
  <c r="Y33" i="31"/>
  <c r="X33" i="31"/>
  <c r="W33" i="31"/>
  <c r="Y32" i="31"/>
  <c r="X32" i="31"/>
  <c r="W32" i="31"/>
  <c r="V30" i="31"/>
  <c r="U30" i="31"/>
  <c r="T30" i="31"/>
  <c r="S30" i="31"/>
  <c r="R30" i="31"/>
  <c r="Q30" i="31"/>
  <c r="P30" i="31"/>
  <c r="O30" i="31"/>
  <c r="N30" i="31"/>
  <c r="M30" i="31"/>
  <c r="L30" i="31"/>
  <c r="K30" i="31"/>
  <c r="J30" i="31"/>
  <c r="I30" i="31"/>
  <c r="H30" i="31"/>
  <c r="G30" i="31"/>
  <c r="F30" i="31"/>
  <c r="E30" i="31"/>
  <c r="D30" i="31"/>
  <c r="C30" i="31"/>
  <c r="B30" i="31"/>
  <c r="Y29" i="31"/>
  <c r="X29" i="31"/>
  <c r="W29" i="31"/>
  <c r="Y28" i="31"/>
  <c r="X28" i="31"/>
  <c r="W28" i="31"/>
  <c r="Y27" i="31"/>
  <c r="X27" i="31"/>
  <c r="W27" i="31"/>
  <c r="Y26" i="31"/>
  <c r="X26" i="31"/>
  <c r="W26" i="31"/>
  <c r="Y25" i="31"/>
  <c r="X25" i="31"/>
  <c r="W25" i="31"/>
  <c r="Y24" i="31"/>
  <c r="X24" i="31"/>
  <c r="W24" i="31"/>
  <c r="Y23" i="31"/>
  <c r="X23" i="31"/>
  <c r="W23" i="31"/>
  <c r="V21" i="31"/>
  <c r="U21" i="31"/>
  <c r="T21" i="31"/>
  <c r="S21" i="31"/>
  <c r="R21" i="31"/>
  <c r="Q21" i="31"/>
  <c r="P21" i="31"/>
  <c r="O21" i="31"/>
  <c r="N21" i="31"/>
  <c r="M21" i="31"/>
  <c r="L21" i="31"/>
  <c r="K21" i="31"/>
  <c r="J21" i="31"/>
  <c r="I21" i="31"/>
  <c r="H21" i="31"/>
  <c r="G21" i="31"/>
  <c r="F21" i="31"/>
  <c r="E21" i="31"/>
  <c r="D21" i="31"/>
  <c r="C21" i="31"/>
  <c r="B21" i="31"/>
  <c r="Y20" i="31"/>
  <c r="X20" i="31"/>
  <c r="W20" i="31"/>
  <c r="Y19" i="31"/>
  <c r="X19" i="31"/>
  <c r="W19" i="31"/>
  <c r="Y18" i="31"/>
  <c r="X18" i="31"/>
  <c r="W18" i="31"/>
  <c r="Y17" i="31"/>
  <c r="X17" i="31"/>
  <c r="W17" i="31"/>
  <c r="Y16" i="31"/>
  <c r="X16" i="31"/>
  <c r="W16" i="31"/>
  <c r="Y15" i="31"/>
  <c r="X15" i="31"/>
  <c r="W15" i="31"/>
  <c r="V12" i="31"/>
  <c r="U12" i="31"/>
  <c r="T12" i="31"/>
  <c r="S12" i="31"/>
  <c r="R12" i="31"/>
  <c r="Q12" i="31"/>
  <c r="P12" i="31"/>
  <c r="O12" i="31"/>
  <c r="N12" i="31"/>
  <c r="M12" i="31"/>
  <c r="L12" i="31"/>
  <c r="K12" i="31"/>
  <c r="J12" i="31"/>
  <c r="I12" i="31"/>
  <c r="H12" i="31"/>
  <c r="G12" i="31"/>
  <c r="F12" i="31"/>
  <c r="E12" i="31"/>
  <c r="D12" i="31"/>
  <c r="C12" i="31"/>
  <c r="B12" i="31"/>
  <c r="Y11" i="31"/>
  <c r="X11" i="31"/>
  <c r="W11" i="31"/>
  <c r="Y10" i="31"/>
  <c r="X10" i="31"/>
  <c r="W10" i="31"/>
  <c r="Y9" i="31"/>
  <c r="X9" i="31"/>
  <c r="W9" i="31"/>
  <c r="Y8" i="31"/>
  <c r="X8" i="31"/>
  <c r="X12" i="31" s="1"/>
  <c r="W8" i="31"/>
  <c r="B4" i="31"/>
  <c r="V47" i="30"/>
  <c r="U47" i="30"/>
  <c r="T47" i="30"/>
  <c r="S47" i="30"/>
  <c r="R47" i="30"/>
  <c r="Q47" i="30"/>
  <c r="P47" i="30"/>
  <c r="O47" i="30"/>
  <c r="N47" i="30"/>
  <c r="M47" i="30"/>
  <c r="L47" i="30"/>
  <c r="K47" i="30"/>
  <c r="J47" i="30"/>
  <c r="I47" i="30"/>
  <c r="H47" i="30"/>
  <c r="G47" i="30"/>
  <c r="F47" i="30"/>
  <c r="E47" i="30"/>
  <c r="D47" i="30"/>
  <c r="C47" i="30"/>
  <c r="B47" i="30"/>
  <c r="Y46" i="30"/>
  <c r="X46" i="30"/>
  <c r="W46" i="30"/>
  <c r="Y45" i="30"/>
  <c r="X45" i="30"/>
  <c r="W45" i="30"/>
  <c r="V42" i="30"/>
  <c r="U42" i="30"/>
  <c r="T42" i="30"/>
  <c r="S42" i="30"/>
  <c r="R42" i="30"/>
  <c r="Q42" i="30"/>
  <c r="P42" i="30"/>
  <c r="O42" i="30"/>
  <c r="N42" i="30"/>
  <c r="M42" i="30"/>
  <c r="L42" i="30"/>
  <c r="K42" i="30"/>
  <c r="J42" i="30"/>
  <c r="I42" i="30"/>
  <c r="H42" i="30"/>
  <c r="G42" i="30"/>
  <c r="F42" i="30"/>
  <c r="E42" i="30"/>
  <c r="D42" i="30"/>
  <c r="C42" i="30"/>
  <c r="B42" i="30"/>
  <c r="Y41" i="30"/>
  <c r="X41" i="30"/>
  <c r="W41" i="30"/>
  <c r="Y40" i="30"/>
  <c r="X40" i="30"/>
  <c r="W40" i="30"/>
  <c r="Y39" i="30"/>
  <c r="X39" i="30"/>
  <c r="W39" i="30"/>
  <c r="Y38" i="30"/>
  <c r="X38" i="30"/>
  <c r="W38" i="30"/>
  <c r="Y37" i="30"/>
  <c r="X37" i="30"/>
  <c r="W37" i="30"/>
  <c r="Y36" i="30"/>
  <c r="X36" i="30"/>
  <c r="W36" i="30"/>
  <c r="V34" i="30"/>
  <c r="U34" i="30"/>
  <c r="T34" i="30"/>
  <c r="S34" i="30"/>
  <c r="R34" i="30"/>
  <c r="Q34" i="30"/>
  <c r="P34" i="30"/>
  <c r="O34" i="30"/>
  <c r="N34" i="30"/>
  <c r="M34" i="30"/>
  <c r="L34" i="30"/>
  <c r="K34" i="30"/>
  <c r="J34" i="30"/>
  <c r="I34" i="30"/>
  <c r="H34" i="30"/>
  <c r="G34" i="30"/>
  <c r="F34" i="30"/>
  <c r="E34" i="30"/>
  <c r="D34" i="30"/>
  <c r="C34" i="30"/>
  <c r="B34" i="30"/>
  <c r="Y33" i="30"/>
  <c r="X33" i="30"/>
  <c r="W33" i="30"/>
  <c r="Y32" i="30"/>
  <c r="X32" i="30"/>
  <c r="W32" i="30"/>
  <c r="V30" i="30"/>
  <c r="U30" i="30"/>
  <c r="T30" i="30"/>
  <c r="S30" i="30"/>
  <c r="R30" i="30"/>
  <c r="Q30" i="30"/>
  <c r="P30" i="30"/>
  <c r="O30" i="30"/>
  <c r="N30" i="30"/>
  <c r="M30" i="30"/>
  <c r="L30" i="30"/>
  <c r="K30" i="30"/>
  <c r="J30" i="30"/>
  <c r="I30" i="30"/>
  <c r="H30" i="30"/>
  <c r="G30" i="30"/>
  <c r="F30" i="30"/>
  <c r="E30" i="30"/>
  <c r="D30" i="30"/>
  <c r="C30" i="30"/>
  <c r="B30" i="30"/>
  <c r="Y29" i="30"/>
  <c r="X29" i="30"/>
  <c r="W29" i="30"/>
  <c r="Y28" i="30"/>
  <c r="X28" i="30"/>
  <c r="W28" i="30"/>
  <c r="Y27" i="30"/>
  <c r="X27" i="30"/>
  <c r="W27" i="30"/>
  <c r="Y26" i="30"/>
  <c r="X26" i="30"/>
  <c r="W26" i="30"/>
  <c r="Y25" i="30"/>
  <c r="X25" i="30"/>
  <c r="W25" i="30"/>
  <c r="Y24" i="30"/>
  <c r="X24" i="30"/>
  <c r="W24" i="30"/>
  <c r="Y23" i="30"/>
  <c r="X23" i="30"/>
  <c r="W23" i="30"/>
  <c r="V21" i="30"/>
  <c r="U21" i="30"/>
  <c r="T21" i="30"/>
  <c r="S21" i="30"/>
  <c r="R21" i="30"/>
  <c r="Q21" i="30"/>
  <c r="P21" i="30"/>
  <c r="O21" i="30"/>
  <c r="N21" i="30"/>
  <c r="M21" i="30"/>
  <c r="L21" i="30"/>
  <c r="K21" i="30"/>
  <c r="J21" i="30"/>
  <c r="I21" i="30"/>
  <c r="H21" i="30"/>
  <c r="G21" i="30"/>
  <c r="F21" i="30"/>
  <c r="E21" i="30"/>
  <c r="D21" i="30"/>
  <c r="C21" i="30"/>
  <c r="B21" i="30"/>
  <c r="Y20" i="30"/>
  <c r="X20" i="30"/>
  <c r="W20" i="30"/>
  <c r="Y19" i="30"/>
  <c r="X19" i="30"/>
  <c r="W19" i="30"/>
  <c r="Y18" i="30"/>
  <c r="X18" i="30"/>
  <c r="W18" i="30"/>
  <c r="Y17" i="30"/>
  <c r="X17" i="30"/>
  <c r="W17" i="30"/>
  <c r="Y16" i="30"/>
  <c r="X16" i="30"/>
  <c r="W16" i="30"/>
  <c r="Y15" i="30"/>
  <c r="X15" i="30"/>
  <c r="W15" i="30"/>
  <c r="V12" i="30"/>
  <c r="U12" i="30"/>
  <c r="T12" i="30"/>
  <c r="S12" i="30"/>
  <c r="R12" i="30"/>
  <c r="Q12" i="30"/>
  <c r="P12" i="30"/>
  <c r="O12" i="30"/>
  <c r="N12" i="30"/>
  <c r="M12" i="30"/>
  <c r="L12" i="30"/>
  <c r="K12" i="30"/>
  <c r="J12" i="30"/>
  <c r="I12" i="30"/>
  <c r="H12" i="30"/>
  <c r="G12" i="30"/>
  <c r="F12" i="30"/>
  <c r="E12" i="30"/>
  <c r="D12" i="30"/>
  <c r="C12" i="30"/>
  <c r="B12" i="30"/>
  <c r="Y11" i="30"/>
  <c r="X11" i="30"/>
  <c r="W11" i="30"/>
  <c r="Y10" i="30"/>
  <c r="X10" i="30"/>
  <c r="W10" i="30"/>
  <c r="Y9" i="30"/>
  <c r="X9" i="30"/>
  <c r="W9" i="30"/>
  <c r="Y8" i="30"/>
  <c r="X8" i="30"/>
  <c r="W8" i="30"/>
  <c r="B4" i="30"/>
  <c r="V47" i="29"/>
  <c r="U47" i="29"/>
  <c r="T47" i="29"/>
  <c r="S47" i="29"/>
  <c r="R47" i="29"/>
  <c r="Q47" i="29"/>
  <c r="P47" i="29"/>
  <c r="O47" i="29"/>
  <c r="N47" i="29"/>
  <c r="M47" i="29"/>
  <c r="L47" i="29"/>
  <c r="K47" i="29"/>
  <c r="J47" i="29"/>
  <c r="I47" i="29"/>
  <c r="H47" i="29"/>
  <c r="G47" i="29"/>
  <c r="F47" i="29"/>
  <c r="E47" i="29"/>
  <c r="D47" i="29"/>
  <c r="C47" i="29"/>
  <c r="B47" i="29"/>
  <c r="Y46" i="29"/>
  <c r="X46" i="29"/>
  <c r="W46" i="29"/>
  <c r="Y45" i="29"/>
  <c r="X45" i="29"/>
  <c r="W45" i="29"/>
  <c r="V42" i="29"/>
  <c r="U42" i="29"/>
  <c r="T42" i="29"/>
  <c r="S42" i="29"/>
  <c r="R42" i="29"/>
  <c r="Q42" i="29"/>
  <c r="P42" i="29"/>
  <c r="O42" i="29"/>
  <c r="N42" i="29"/>
  <c r="M42" i="29"/>
  <c r="L42" i="29"/>
  <c r="K42" i="29"/>
  <c r="J42" i="29"/>
  <c r="I42" i="29"/>
  <c r="H42" i="29"/>
  <c r="G42" i="29"/>
  <c r="F42" i="29"/>
  <c r="E42" i="29"/>
  <c r="D42" i="29"/>
  <c r="C42" i="29"/>
  <c r="B42" i="29"/>
  <c r="Y41" i="29"/>
  <c r="X41" i="29"/>
  <c r="W41" i="29"/>
  <c r="Y40" i="29"/>
  <c r="X40" i="29"/>
  <c r="W40" i="29"/>
  <c r="Y39" i="29"/>
  <c r="X39" i="29"/>
  <c r="W39" i="29"/>
  <c r="Y38" i="29"/>
  <c r="X38" i="29"/>
  <c r="W38" i="29"/>
  <c r="Y37" i="29"/>
  <c r="X37" i="29"/>
  <c r="W37" i="29"/>
  <c r="Y36" i="29"/>
  <c r="X36" i="29"/>
  <c r="W36" i="29"/>
  <c r="V34" i="29"/>
  <c r="U34" i="29"/>
  <c r="T34" i="29"/>
  <c r="S34" i="29"/>
  <c r="R34" i="29"/>
  <c r="Q34" i="29"/>
  <c r="P34" i="29"/>
  <c r="O34" i="29"/>
  <c r="N34" i="29"/>
  <c r="M34" i="29"/>
  <c r="L34" i="29"/>
  <c r="K34" i="29"/>
  <c r="J34" i="29"/>
  <c r="I34" i="29"/>
  <c r="H34" i="29"/>
  <c r="G34" i="29"/>
  <c r="F34" i="29"/>
  <c r="E34" i="29"/>
  <c r="D34" i="29"/>
  <c r="C34" i="29"/>
  <c r="B34" i="29"/>
  <c r="Y33" i="29"/>
  <c r="X33" i="29"/>
  <c r="W33" i="29"/>
  <c r="W34" i="29" s="1"/>
  <c r="Y32" i="29"/>
  <c r="X32" i="29"/>
  <c r="W32" i="29"/>
  <c r="V30" i="29"/>
  <c r="U30" i="29"/>
  <c r="T30" i="29"/>
  <c r="S30" i="29"/>
  <c r="R30" i="29"/>
  <c r="Q30" i="29"/>
  <c r="P30" i="29"/>
  <c r="O30" i="29"/>
  <c r="N30" i="29"/>
  <c r="M30" i="29"/>
  <c r="L30" i="29"/>
  <c r="K30" i="29"/>
  <c r="J30" i="29"/>
  <c r="I30" i="29"/>
  <c r="H30" i="29"/>
  <c r="G30" i="29"/>
  <c r="F30" i="29"/>
  <c r="E30" i="29"/>
  <c r="D30" i="29"/>
  <c r="C30" i="29"/>
  <c r="B30" i="29"/>
  <c r="Y29" i="29"/>
  <c r="X29" i="29"/>
  <c r="W29" i="29"/>
  <c r="Y28" i="29"/>
  <c r="X28" i="29"/>
  <c r="W28" i="29"/>
  <c r="Y27" i="29"/>
  <c r="X27" i="29"/>
  <c r="W27" i="29"/>
  <c r="Y26" i="29"/>
  <c r="X26" i="29"/>
  <c r="W26" i="29"/>
  <c r="Y25" i="29"/>
  <c r="X25" i="29"/>
  <c r="W25" i="29"/>
  <c r="Y24" i="29"/>
  <c r="X24" i="29"/>
  <c r="W24" i="29"/>
  <c r="Y23" i="29"/>
  <c r="X23" i="29"/>
  <c r="W23" i="29"/>
  <c r="V21" i="29"/>
  <c r="U21" i="29"/>
  <c r="T21" i="29"/>
  <c r="S21" i="29"/>
  <c r="R21" i="29"/>
  <c r="Q21" i="29"/>
  <c r="P21" i="29"/>
  <c r="O21" i="29"/>
  <c r="N21" i="29"/>
  <c r="M21" i="29"/>
  <c r="L21" i="29"/>
  <c r="K21" i="29"/>
  <c r="J21" i="29"/>
  <c r="I21" i="29"/>
  <c r="H21" i="29"/>
  <c r="G21" i="29"/>
  <c r="F21" i="29"/>
  <c r="E21" i="29"/>
  <c r="D21" i="29"/>
  <c r="C21" i="29"/>
  <c r="B21" i="29"/>
  <c r="Y20" i="29"/>
  <c r="X20" i="29"/>
  <c r="W20" i="29"/>
  <c r="Y19" i="29"/>
  <c r="X19" i="29"/>
  <c r="W19" i="29"/>
  <c r="Y18" i="29"/>
  <c r="X18" i="29"/>
  <c r="W18" i="29"/>
  <c r="Y17" i="29"/>
  <c r="X17" i="29"/>
  <c r="W17" i="29"/>
  <c r="Y16" i="29"/>
  <c r="X16" i="29"/>
  <c r="W16" i="29"/>
  <c r="Y15" i="29"/>
  <c r="X15" i="29"/>
  <c r="W15" i="29"/>
  <c r="V12" i="29"/>
  <c r="U12" i="29"/>
  <c r="T12" i="29"/>
  <c r="S12" i="29"/>
  <c r="R12" i="29"/>
  <c r="Q12" i="29"/>
  <c r="P12" i="29"/>
  <c r="O12" i="29"/>
  <c r="N12" i="29"/>
  <c r="M12" i="29"/>
  <c r="L12" i="29"/>
  <c r="K12" i="29"/>
  <c r="J12" i="29"/>
  <c r="I12" i="29"/>
  <c r="H12" i="29"/>
  <c r="G12" i="29"/>
  <c r="F12" i="29"/>
  <c r="E12" i="29"/>
  <c r="D12" i="29"/>
  <c r="C12" i="29"/>
  <c r="B12" i="29"/>
  <c r="Y11" i="29"/>
  <c r="X11" i="29"/>
  <c r="W11" i="29"/>
  <c r="Y10" i="29"/>
  <c r="X10" i="29"/>
  <c r="W10" i="29"/>
  <c r="Y9" i="29"/>
  <c r="X9" i="29"/>
  <c r="W9" i="29"/>
  <c r="Y8" i="29"/>
  <c r="X8" i="29"/>
  <c r="X12" i="29" s="1"/>
  <c r="W8" i="29"/>
  <c r="B4" i="29"/>
  <c r="V47" i="28"/>
  <c r="U47" i="28"/>
  <c r="T47" i="28"/>
  <c r="S47" i="28"/>
  <c r="R47" i="28"/>
  <c r="Q47" i="28"/>
  <c r="P47" i="28"/>
  <c r="O47" i="28"/>
  <c r="N47" i="28"/>
  <c r="M47" i="28"/>
  <c r="L47" i="28"/>
  <c r="K47" i="28"/>
  <c r="J47" i="28"/>
  <c r="I47" i="28"/>
  <c r="H47" i="28"/>
  <c r="G47" i="28"/>
  <c r="F47" i="28"/>
  <c r="E47" i="28"/>
  <c r="D47" i="28"/>
  <c r="C47" i="28"/>
  <c r="B47" i="28"/>
  <c r="Y46" i="28"/>
  <c r="X46" i="28"/>
  <c r="W46" i="28"/>
  <c r="Y45" i="28"/>
  <c r="X45" i="28"/>
  <c r="W45" i="28"/>
  <c r="V42" i="28"/>
  <c r="U42" i="28"/>
  <c r="T42" i="28"/>
  <c r="S42" i="28"/>
  <c r="R42" i="28"/>
  <c r="Q42" i="28"/>
  <c r="P42" i="28"/>
  <c r="O42" i="28"/>
  <c r="N42" i="28"/>
  <c r="M42" i="28"/>
  <c r="L42" i="28"/>
  <c r="K42" i="28"/>
  <c r="J42" i="28"/>
  <c r="I42" i="28"/>
  <c r="H42" i="28"/>
  <c r="G42" i="28"/>
  <c r="F42" i="28"/>
  <c r="E42" i="28"/>
  <c r="D42" i="28"/>
  <c r="C42" i="28"/>
  <c r="B42" i="28"/>
  <c r="Y41" i="28"/>
  <c r="X41" i="28"/>
  <c r="W41" i="28"/>
  <c r="Y40" i="28"/>
  <c r="X40" i="28"/>
  <c r="W40" i="28"/>
  <c r="Y39" i="28"/>
  <c r="X39" i="28"/>
  <c r="W39" i="28"/>
  <c r="Y38" i="28"/>
  <c r="X38" i="28"/>
  <c r="W38" i="28"/>
  <c r="Y37" i="28"/>
  <c r="X37" i="28"/>
  <c r="W37" i="28"/>
  <c r="Y36" i="28"/>
  <c r="X36" i="28"/>
  <c r="W36" i="28"/>
  <c r="V34" i="28"/>
  <c r="U34" i="28"/>
  <c r="T34" i="28"/>
  <c r="S34" i="28"/>
  <c r="R34" i="28"/>
  <c r="Q34" i="28"/>
  <c r="P34" i="28"/>
  <c r="O34" i="28"/>
  <c r="N34" i="28"/>
  <c r="M34" i="28"/>
  <c r="L34" i="28"/>
  <c r="K34" i="28"/>
  <c r="J34" i="28"/>
  <c r="I34" i="28"/>
  <c r="H34" i="28"/>
  <c r="G34" i="28"/>
  <c r="F34" i="28"/>
  <c r="E34" i="28"/>
  <c r="D34" i="28"/>
  <c r="C34" i="28"/>
  <c r="B34" i="28"/>
  <c r="Y33" i="28"/>
  <c r="X33" i="28"/>
  <c r="W33" i="28"/>
  <c r="Y32" i="28"/>
  <c r="X32" i="28"/>
  <c r="W32" i="28"/>
  <c r="V30" i="28"/>
  <c r="U30" i="28"/>
  <c r="T30" i="28"/>
  <c r="S30" i="28"/>
  <c r="R30" i="28"/>
  <c r="Q30" i="28"/>
  <c r="P30" i="28"/>
  <c r="O30" i="28"/>
  <c r="N30" i="28"/>
  <c r="M30" i="28"/>
  <c r="L30" i="28"/>
  <c r="K30" i="28"/>
  <c r="J30" i="28"/>
  <c r="I30" i="28"/>
  <c r="H30" i="28"/>
  <c r="G30" i="28"/>
  <c r="F30" i="28"/>
  <c r="E30" i="28"/>
  <c r="D30" i="28"/>
  <c r="C30" i="28"/>
  <c r="B30" i="28"/>
  <c r="Y29" i="28"/>
  <c r="X29" i="28"/>
  <c r="W29" i="28"/>
  <c r="Y28" i="28"/>
  <c r="X28" i="28"/>
  <c r="W28" i="28"/>
  <c r="Y27" i="28"/>
  <c r="X27" i="28"/>
  <c r="W27" i="28"/>
  <c r="Y26" i="28"/>
  <c r="X26" i="28"/>
  <c r="W26" i="28"/>
  <c r="Y25" i="28"/>
  <c r="X25" i="28"/>
  <c r="W25" i="28"/>
  <c r="Y24" i="28"/>
  <c r="X24" i="28"/>
  <c r="W24" i="28"/>
  <c r="Y23" i="28"/>
  <c r="X23" i="28"/>
  <c r="W23" i="28"/>
  <c r="V21" i="28"/>
  <c r="U21" i="28"/>
  <c r="T21" i="28"/>
  <c r="S21" i="28"/>
  <c r="R21" i="28"/>
  <c r="Q21" i="28"/>
  <c r="P21" i="28"/>
  <c r="P43" i="28" s="1"/>
  <c r="O21" i="28"/>
  <c r="O43" i="28" s="1"/>
  <c r="N21" i="28"/>
  <c r="M21" i="28"/>
  <c r="L21" i="28"/>
  <c r="K21" i="28"/>
  <c r="J21" i="28"/>
  <c r="I21" i="28"/>
  <c r="H21" i="28"/>
  <c r="G21" i="28"/>
  <c r="F21" i="28"/>
  <c r="E21" i="28"/>
  <c r="D21" i="28"/>
  <c r="C21" i="28"/>
  <c r="B21" i="28"/>
  <c r="Y20" i="28"/>
  <c r="X20" i="28"/>
  <c r="W20" i="28"/>
  <c r="Y19" i="28"/>
  <c r="X19" i="28"/>
  <c r="W19" i="28"/>
  <c r="Y18" i="28"/>
  <c r="X18" i="28"/>
  <c r="W18" i="28"/>
  <c r="Y17" i="28"/>
  <c r="X17" i="28"/>
  <c r="W17" i="28"/>
  <c r="Y16" i="28"/>
  <c r="X16" i="28"/>
  <c r="W16" i="28"/>
  <c r="Y15" i="28"/>
  <c r="X15" i="28"/>
  <c r="W15" i="28"/>
  <c r="V12" i="28"/>
  <c r="U12" i="28"/>
  <c r="T12" i="28"/>
  <c r="S12" i="28"/>
  <c r="R12" i="28"/>
  <c r="Q12" i="28"/>
  <c r="P12" i="28"/>
  <c r="O12" i="28"/>
  <c r="N12" i="28"/>
  <c r="M12" i="28"/>
  <c r="L12" i="28"/>
  <c r="K12" i="28"/>
  <c r="J12" i="28"/>
  <c r="I12" i="28"/>
  <c r="H12" i="28"/>
  <c r="G12" i="28"/>
  <c r="F12" i="28"/>
  <c r="E12" i="28"/>
  <c r="D12" i="28"/>
  <c r="C12" i="28"/>
  <c r="B12" i="28"/>
  <c r="Y11" i="28"/>
  <c r="X11" i="28"/>
  <c r="W11" i="28"/>
  <c r="Y10" i="28"/>
  <c r="X10" i="28"/>
  <c r="W10" i="28"/>
  <c r="Y9" i="28"/>
  <c r="X9" i="28"/>
  <c r="W9" i="28"/>
  <c r="Y8" i="28"/>
  <c r="X8" i="28"/>
  <c r="W8" i="28"/>
  <c r="B4" i="28"/>
  <c r="V47" i="27"/>
  <c r="U47" i="27"/>
  <c r="T47" i="27"/>
  <c r="S47" i="27"/>
  <c r="R47" i="27"/>
  <c r="Q47" i="27"/>
  <c r="P47" i="27"/>
  <c r="O47" i="27"/>
  <c r="N47" i="27"/>
  <c r="M47" i="27"/>
  <c r="L47" i="27"/>
  <c r="K47" i="27"/>
  <c r="J47" i="27"/>
  <c r="I47" i="27"/>
  <c r="H47" i="27"/>
  <c r="G47" i="27"/>
  <c r="F47" i="27"/>
  <c r="E47" i="27"/>
  <c r="D47" i="27"/>
  <c r="C47" i="27"/>
  <c r="B47" i="27"/>
  <c r="Y46" i="27"/>
  <c r="X46" i="27"/>
  <c r="W46" i="27"/>
  <c r="Y45" i="27"/>
  <c r="X45" i="27"/>
  <c r="W45" i="27"/>
  <c r="V42" i="27"/>
  <c r="U42" i="27"/>
  <c r="T42" i="27"/>
  <c r="S42" i="27"/>
  <c r="R42" i="27"/>
  <c r="Q42" i="27"/>
  <c r="P42" i="27"/>
  <c r="O42" i="27"/>
  <c r="N42" i="27"/>
  <c r="M42" i="27"/>
  <c r="L42" i="27"/>
  <c r="K42" i="27"/>
  <c r="J42" i="27"/>
  <c r="I42" i="27"/>
  <c r="H42" i="27"/>
  <c r="G42" i="27"/>
  <c r="F42" i="27"/>
  <c r="E42" i="27"/>
  <c r="D42" i="27"/>
  <c r="C42" i="27"/>
  <c r="B42" i="27"/>
  <c r="Y41" i="27"/>
  <c r="X41" i="27"/>
  <c r="W41" i="27"/>
  <c r="Y40" i="27"/>
  <c r="X40" i="27"/>
  <c r="W40" i="27"/>
  <c r="Y39" i="27"/>
  <c r="X39" i="27"/>
  <c r="W39" i="27"/>
  <c r="Y38" i="27"/>
  <c r="X38" i="27"/>
  <c r="W38" i="27"/>
  <c r="Y37" i="27"/>
  <c r="X37" i="27"/>
  <c r="W37" i="27"/>
  <c r="Y36" i="27"/>
  <c r="X36" i="27"/>
  <c r="W36" i="27"/>
  <c r="V34" i="27"/>
  <c r="U34" i="27"/>
  <c r="T34" i="27"/>
  <c r="S34" i="27"/>
  <c r="R34" i="27"/>
  <c r="Q34" i="27"/>
  <c r="P34" i="27"/>
  <c r="O34" i="27"/>
  <c r="N34" i="27"/>
  <c r="M34" i="27"/>
  <c r="L34" i="27"/>
  <c r="K34" i="27"/>
  <c r="J34" i="27"/>
  <c r="I34" i="27"/>
  <c r="H34" i="27"/>
  <c r="G34" i="27"/>
  <c r="F34" i="27"/>
  <c r="E34" i="27"/>
  <c r="D34" i="27"/>
  <c r="C34" i="27"/>
  <c r="B34" i="27"/>
  <c r="Y33" i="27"/>
  <c r="X33" i="27"/>
  <c r="W33" i="27"/>
  <c r="Y32" i="27"/>
  <c r="X32" i="27"/>
  <c r="X34" i="27" s="1"/>
  <c r="W32" i="27"/>
  <c r="W34" i="27" s="1"/>
  <c r="V30" i="27"/>
  <c r="U30" i="27"/>
  <c r="T30" i="27"/>
  <c r="S30" i="27"/>
  <c r="R30" i="27"/>
  <c r="Q30" i="27"/>
  <c r="P30" i="27"/>
  <c r="O30" i="27"/>
  <c r="N30" i="27"/>
  <c r="M30" i="27"/>
  <c r="L30" i="27"/>
  <c r="K30" i="27"/>
  <c r="J30" i="27"/>
  <c r="I30" i="27"/>
  <c r="H30" i="27"/>
  <c r="G30" i="27"/>
  <c r="F30" i="27"/>
  <c r="E30" i="27"/>
  <c r="D30" i="27"/>
  <c r="C30" i="27"/>
  <c r="B30" i="27"/>
  <c r="Y29" i="27"/>
  <c r="X29" i="27"/>
  <c r="W29" i="27"/>
  <c r="Y28" i="27"/>
  <c r="X28" i="27"/>
  <c r="W28" i="27"/>
  <c r="Y27" i="27"/>
  <c r="X27" i="27"/>
  <c r="W27" i="27"/>
  <c r="Y26" i="27"/>
  <c r="X26" i="27"/>
  <c r="W26" i="27"/>
  <c r="Y25" i="27"/>
  <c r="X25" i="27"/>
  <c r="W25" i="27"/>
  <c r="Y24" i="27"/>
  <c r="X24" i="27"/>
  <c r="W24" i="27"/>
  <c r="Y23" i="27"/>
  <c r="X23" i="27"/>
  <c r="W23" i="27"/>
  <c r="V21" i="27"/>
  <c r="U21" i="27"/>
  <c r="T21" i="27"/>
  <c r="S21" i="27"/>
  <c r="R21" i="27"/>
  <c r="Q21" i="27"/>
  <c r="P21" i="27"/>
  <c r="O21" i="27"/>
  <c r="N21" i="27"/>
  <c r="M21" i="27"/>
  <c r="L21" i="27"/>
  <c r="K21" i="27"/>
  <c r="J21" i="27"/>
  <c r="I21" i="27"/>
  <c r="H21" i="27"/>
  <c r="G21" i="27"/>
  <c r="F21" i="27"/>
  <c r="E21" i="27"/>
  <c r="D21" i="27"/>
  <c r="C21" i="27"/>
  <c r="B21" i="27"/>
  <c r="Y20" i="27"/>
  <c r="X20" i="27"/>
  <c r="W20" i="27"/>
  <c r="Y19" i="27"/>
  <c r="X19" i="27"/>
  <c r="W19" i="27"/>
  <c r="Y18" i="27"/>
  <c r="X18" i="27"/>
  <c r="W18" i="27"/>
  <c r="Y17" i="27"/>
  <c r="X17" i="27"/>
  <c r="W17" i="27"/>
  <c r="Y16" i="27"/>
  <c r="X16" i="27"/>
  <c r="W16" i="27"/>
  <c r="Y15" i="27"/>
  <c r="X15" i="27"/>
  <c r="W15" i="27"/>
  <c r="V12" i="27"/>
  <c r="U12" i="27"/>
  <c r="T12" i="27"/>
  <c r="S12" i="27"/>
  <c r="R12" i="27"/>
  <c r="Q12" i="27"/>
  <c r="P12" i="27"/>
  <c r="O12" i="27"/>
  <c r="N12" i="27"/>
  <c r="M12" i="27"/>
  <c r="L12" i="27"/>
  <c r="K12" i="27"/>
  <c r="J12" i="27"/>
  <c r="I12" i="27"/>
  <c r="H12" i="27"/>
  <c r="G12" i="27"/>
  <c r="F12" i="27"/>
  <c r="E12" i="27"/>
  <c r="D12" i="27"/>
  <c r="C12" i="27"/>
  <c r="B12" i="27"/>
  <c r="Y11" i="27"/>
  <c r="X11" i="27"/>
  <c r="W11" i="27"/>
  <c r="Y10" i="27"/>
  <c r="X10" i="27"/>
  <c r="W10" i="27"/>
  <c r="Y9" i="27"/>
  <c r="X9" i="27"/>
  <c r="W9" i="27"/>
  <c r="Y8" i="27"/>
  <c r="X8" i="27"/>
  <c r="W8" i="27"/>
  <c r="B4" i="27"/>
  <c r="Y46" i="6" a="1"/>
  <c r="X46" i="6" a="1"/>
  <c r="W46" i="6" a="1"/>
  <c r="V46" i="6" a="1"/>
  <c r="U46" i="6" a="1"/>
  <c r="T46" i="6" a="1"/>
  <c r="S46" i="6" a="1"/>
  <c r="R46" i="6" a="1"/>
  <c r="Q46" i="6" a="1"/>
  <c r="P46" i="6" a="1"/>
  <c r="O46" i="6" a="1"/>
  <c r="N46" i="6" a="1"/>
  <c r="M46" i="6" a="1"/>
  <c r="L46" i="6" a="1"/>
  <c r="K46" i="6" a="1"/>
  <c r="J46" i="6" a="1"/>
  <c r="I46" i="6" a="1"/>
  <c r="H46" i="6" a="1"/>
  <c r="G46" i="6" a="1"/>
  <c r="F46" i="6" a="1"/>
  <c r="E46" i="6" a="1"/>
  <c r="D46" i="6" a="1"/>
  <c r="C46" i="6" a="1"/>
  <c r="B46" i="6" a="1"/>
  <c r="Y45" i="6" a="1"/>
  <c r="X45" i="6" a="1"/>
  <c r="W45" i="6" a="1"/>
  <c r="V45" i="6" a="1"/>
  <c r="U45" i="6" a="1"/>
  <c r="T45" i="6" a="1"/>
  <c r="S45" i="6" a="1"/>
  <c r="R45" i="6" a="1"/>
  <c r="Q45" i="6" a="1"/>
  <c r="P45" i="6" a="1"/>
  <c r="O45" i="6" a="1"/>
  <c r="N45" i="6" a="1"/>
  <c r="M45" i="6" a="1"/>
  <c r="L45" i="6" a="1"/>
  <c r="K45" i="6" a="1"/>
  <c r="J45" i="6" a="1"/>
  <c r="I45" i="6" a="1"/>
  <c r="H45" i="6" a="1"/>
  <c r="G45" i="6" a="1"/>
  <c r="F45" i="6" a="1"/>
  <c r="E45" i="6" a="1"/>
  <c r="D45" i="6" a="1"/>
  <c r="C45" i="6" a="1"/>
  <c r="B45" i="6" a="1"/>
  <c r="Y41" i="6" a="1"/>
  <c r="X41" i="6" a="1"/>
  <c r="W41" i="6" a="1"/>
  <c r="V41" i="6" a="1"/>
  <c r="U41" i="6" a="1"/>
  <c r="T41" i="6" a="1"/>
  <c r="S41" i="6" a="1"/>
  <c r="R41" i="6" a="1"/>
  <c r="Q41" i="6" a="1"/>
  <c r="P41" i="6" a="1"/>
  <c r="O41" i="6" a="1"/>
  <c r="N41" i="6" a="1"/>
  <c r="M41" i="6" a="1"/>
  <c r="L41" i="6" a="1"/>
  <c r="K41" i="6" a="1"/>
  <c r="J41" i="6" a="1"/>
  <c r="I41" i="6" a="1"/>
  <c r="H41" i="6" a="1"/>
  <c r="G41" i="6" a="1"/>
  <c r="F41" i="6" a="1"/>
  <c r="E41" i="6" a="1"/>
  <c r="D41" i="6" a="1"/>
  <c r="C41" i="6" a="1"/>
  <c r="B41" i="6" a="1"/>
  <c r="Y40" i="6" a="1"/>
  <c r="X40" i="6" a="1"/>
  <c r="W40" i="6" a="1"/>
  <c r="V40" i="6" a="1"/>
  <c r="U40" i="6" a="1"/>
  <c r="T40" i="6" a="1"/>
  <c r="S40" i="6" a="1"/>
  <c r="R40" i="6" a="1"/>
  <c r="Q40" i="6" a="1"/>
  <c r="P40" i="6" a="1"/>
  <c r="O40" i="6" a="1"/>
  <c r="N40" i="6" a="1"/>
  <c r="M40" i="6" a="1"/>
  <c r="L40" i="6" a="1"/>
  <c r="K40" i="6" a="1"/>
  <c r="J40" i="6" a="1"/>
  <c r="I40" i="6" a="1"/>
  <c r="H40" i="6" a="1"/>
  <c r="G40" i="6" a="1"/>
  <c r="F40" i="6" a="1"/>
  <c r="E40" i="6" a="1"/>
  <c r="D40" i="6" a="1"/>
  <c r="C40" i="6" a="1"/>
  <c r="B40" i="6" a="1"/>
  <c r="Y39" i="6" a="1"/>
  <c r="X39" i="6" a="1"/>
  <c r="W39" i="6" a="1"/>
  <c r="V39" i="6" a="1"/>
  <c r="U39" i="6" a="1"/>
  <c r="T39" i="6" a="1"/>
  <c r="S39" i="6" a="1"/>
  <c r="R39" i="6" a="1"/>
  <c r="Q39" i="6" a="1"/>
  <c r="P39" i="6" a="1"/>
  <c r="O39" i="6" a="1"/>
  <c r="N39" i="6" a="1"/>
  <c r="M39" i="6" a="1"/>
  <c r="L39" i="6" a="1"/>
  <c r="K39" i="6" a="1"/>
  <c r="J39" i="6" a="1"/>
  <c r="I39" i="6" a="1"/>
  <c r="H39" i="6" a="1"/>
  <c r="G39" i="6" a="1"/>
  <c r="F39" i="6" a="1"/>
  <c r="E39" i="6" a="1"/>
  <c r="D39" i="6" a="1"/>
  <c r="C39" i="6" a="1"/>
  <c r="B39" i="6" a="1"/>
  <c r="Y38" i="6" a="1"/>
  <c r="X38" i="6" a="1"/>
  <c r="W38" i="6" a="1"/>
  <c r="V38" i="6" a="1"/>
  <c r="U38" i="6" a="1"/>
  <c r="T38" i="6" a="1"/>
  <c r="S38" i="6" a="1"/>
  <c r="R38" i="6" a="1"/>
  <c r="Q38" i="6" a="1"/>
  <c r="P38" i="6" a="1"/>
  <c r="O38" i="6" a="1"/>
  <c r="N38" i="6" a="1"/>
  <c r="M38" i="6" a="1"/>
  <c r="L38" i="6" a="1"/>
  <c r="K38" i="6" a="1"/>
  <c r="J38" i="6" a="1"/>
  <c r="I38" i="6" a="1"/>
  <c r="H38" i="6" a="1"/>
  <c r="G38" i="6" a="1"/>
  <c r="F38" i="6" a="1"/>
  <c r="E38" i="6" a="1"/>
  <c r="D38" i="6" a="1"/>
  <c r="C38" i="6" a="1"/>
  <c r="B38" i="6" a="1"/>
  <c r="Y37" i="6" a="1"/>
  <c r="X37" i="6" a="1"/>
  <c r="W37" i="6" a="1"/>
  <c r="V37" i="6" a="1"/>
  <c r="U37" i="6" a="1"/>
  <c r="T37" i="6" a="1"/>
  <c r="S37" i="6" a="1"/>
  <c r="R37" i="6" a="1"/>
  <c r="Q37" i="6" a="1"/>
  <c r="P37" i="6" a="1"/>
  <c r="O37" i="6" a="1"/>
  <c r="N37" i="6" a="1"/>
  <c r="M37" i="6" a="1"/>
  <c r="L37" i="6" a="1"/>
  <c r="K37" i="6" a="1"/>
  <c r="J37" i="6" a="1"/>
  <c r="I37" i="6" a="1"/>
  <c r="H37" i="6" a="1"/>
  <c r="G37" i="6" a="1"/>
  <c r="F37" i="6" a="1"/>
  <c r="E37" i="6" a="1"/>
  <c r="D37" i="6" a="1"/>
  <c r="C37" i="6" a="1"/>
  <c r="B37" i="6" a="1"/>
  <c r="Y36" i="6" a="1"/>
  <c r="X36" i="6" a="1"/>
  <c r="W36" i="6" a="1"/>
  <c r="V36" i="6" a="1"/>
  <c r="U36" i="6" a="1"/>
  <c r="T36" i="6" a="1"/>
  <c r="S36" i="6" a="1"/>
  <c r="R36" i="6" a="1"/>
  <c r="Q36" i="6" a="1"/>
  <c r="P36" i="6" a="1"/>
  <c r="O36" i="6" a="1"/>
  <c r="N36" i="6" a="1"/>
  <c r="M36" i="6" a="1"/>
  <c r="L36" i="6" a="1"/>
  <c r="K36" i="6" a="1"/>
  <c r="J36" i="6" a="1"/>
  <c r="I36" i="6" a="1"/>
  <c r="H36" i="6" a="1"/>
  <c r="G36" i="6" a="1"/>
  <c r="F36" i="6" a="1"/>
  <c r="E36" i="6" a="1"/>
  <c r="D36" i="6" a="1"/>
  <c r="C36" i="6" a="1"/>
  <c r="B36" i="6" a="1"/>
  <c r="Y33" i="6" a="1"/>
  <c r="X33" i="6" a="1"/>
  <c r="W33" i="6" a="1"/>
  <c r="V33" i="6" a="1"/>
  <c r="U33" i="6" a="1"/>
  <c r="T33" i="6" a="1"/>
  <c r="S33" i="6" a="1"/>
  <c r="R33" i="6" a="1"/>
  <c r="Q33" i="6" a="1"/>
  <c r="P33" i="6" a="1"/>
  <c r="O33" i="6" a="1"/>
  <c r="N33" i="6" a="1"/>
  <c r="M33" i="6" a="1"/>
  <c r="L33" i="6" a="1"/>
  <c r="K33" i="6" a="1"/>
  <c r="J33" i="6" a="1"/>
  <c r="I33" i="6" a="1"/>
  <c r="H33" i="6" a="1"/>
  <c r="G33" i="6" a="1"/>
  <c r="F33" i="6" a="1"/>
  <c r="E33" i="6" a="1"/>
  <c r="D33" i="6" a="1"/>
  <c r="C33" i="6" a="1"/>
  <c r="B33" i="6" a="1"/>
  <c r="Y32" i="6" a="1"/>
  <c r="X32" i="6" a="1"/>
  <c r="W32" i="6" a="1"/>
  <c r="V32" i="6" a="1"/>
  <c r="U32" i="6" a="1"/>
  <c r="T32" i="6" a="1"/>
  <c r="S32" i="6" a="1"/>
  <c r="R32" i="6" a="1"/>
  <c r="Q32" i="6" a="1"/>
  <c r="P32" i="6" a="1"/>
  <c r="O32" i="6" a="1"/>
  <c r="N32" i="6" a="1"/>
  <c r="M32" i="6" a="1"/>
  <c r="L32" i="6" a="1"/>
  <c r="K32" i="6" a="1"/>
  <c r="J32" i="6" a="1"/>
  <c r="I32" i="6" a="1"/>
  <c r="H32" i="6" a="1"/>
  <c r="G32" i="6" a="1"/>
  <c r="F32" i="6" a="1"/>
  <c r="E32" i="6" a="1"/>
  <c r="D32" i="6" a="1"/>
  <c r="C32" i="6" a="1"/>
  <c r="B32" i="6" a="1"/>
  <c r="Y29" i="6" a="1"/>
  <c r="X29" i="6" a="1"/>
  <c r="W29" i="6" a="1"/>
  <c r="V29" i="6" a="1"/>
  <c r="U29" i="6" a="1"/>
  <c r="T29" i="6" a="1"/>
  <c r="S29" i="6" a="1"/>
  <c r="R29" i="6" a="1"/>
  <c r="Q29" i="6" a="1"/>
  <c r="P29" i="6" a="1"/>
  <c r="O29" i="6" a="1"/>
  <c r="N29" i="6" a="1"/>
  <c r="M29" i="6" a="1"/>
  <c r="L29" i="6" a="1"/>
  <c r="K29" i="6" a="1"/>
  <c r="J29" i="6" a="1"/>
  <c r="I29" i="6" a="1"/>
  <c r="H29" i="6" a="1"/>
  <c r="G29" i="6" a="1"/>
  <c r="F29" i="6" a="1"/>
  <c r="E29" i="6" a="1"/>
  <c r="D29" i="6" a="1"/>
  <c r="C29" i="6" a="1"/>
  <c r="B29" i="6" a="1"/>
  <c r="Y28" i="6" a="1"/>
  <c r="X28" i="6" a="1"/>
  <c r="W28" i="6" a="1"/>
  <c r="V28" i="6" a="1"/>
  <c r="U28" i="6" a="1"/>
  <c r="T28" i="6" a="1"/>
  <c r="S28" i="6" a="1"/>
  <c r="R28" i="6" a="1"/>
  <c r="Q28" i="6" a="1"/>
  <c r="P28" i="6" a="1"/>
  <c r="O28" i="6" a="1"/>
  <c r="N28" i="6" a="1"/>
  <c r="M28" i="6" a="1"/>
  <c r="L28" i="6" a="1"/>
  <c r="K28" i="6" a="1"/>
  <c r="J28" i="6" a="1"/>
  <c r="I28" i="6" a="1"/>
  <c r="H28" i="6" a="1"/>
  <c r="G28" i="6" a="1"/>
  <c r="F28" i="6" a="1"/>
  <c r="E28" i="6" a="1"/>
  <c r="D28" i="6" a="1"/>
  <c r="C28" i="6" a="1"/>
  <c r="B28" i="6" a="1"/>
  <c r="Y27" i="6" a="1"/>
  <c r="X27" i="6" a="1"/>
  <c r="W27" i="6" a="1"/>
  <c r="V27" i="6" a="1"/>
  <c r="U27" i="6" a="1"/>
  <c r="T27" i="6" a="1"/>
  <c r="S27" i="6" a="1"/>
  <c r="R27" i="6" a="1"/>
  <c r="Q27" i="6" a="1"/>
  <c r="P27" i="6" a="1"/>
  <c r="O27" i="6" a="1"/>
  <c r="N27" i="6" a="1"/>
  <c r="M27" i="6" a="1"/>
  <c r="L27" i="6" a="1"/>
  <c r="K27" i="6" a="1"/>
  <c r="J27" i="6" a="1"/>
  <c r="I27" i="6" a="1"/>
  <c r="H27" i="6" a="1"/>
  <c r="G27" i="6" a="1"/>
  <c r="F27" i="6" a="1"/>
  <c r="E27" i="6" a="1"/>
  <c r="D27" i="6" a="1"/>
  <c r="C27" i="6" a="1"/>
  <c r="B27" i="6" a="1"/>
  <c r="Y26" i="6" a="1"/>
  <c r="X26" i="6" a="1"/>
  <c r="W26" i="6" a="1"/>
  <c r="V26" i="6" a="1"/>
  <c r="U26" i="6" a="1"/>
  <c r="T26" i="6" a="1"/>
  <c r="S26" i="6" a="1"/>
  <c r="R26" i="6" a="1"/>
  <c r="Q26" i="6" a="1"/>
  <c r="P26" i="6" a="1"/>
  <c r="O26" i="6" a="1"/>
  <c r="N26" i="6" a="1"/>
  <c r="M26" i="6" a="1"/>
  <c r="L26" i="6" a="1"/>
  <c r="K26" i="6" a="1"/>
  <c r="J26" i="6" a="1"/>
  <c r="I26" i="6" a="1"/>
  <c r="H26" i="6" a="1"/>
  <c r="G26" i="6" a="1"/>
  <c r="F26" i="6" a="1"/>
  <c r="E26" i="6" a="1"/>
  <c r="D26" i="6" a="1"/>
  <c r="C26" i="6" a="1"/>
  <c r="B26" i="6" a="1"/>
  <c r="Y25" i="6" a="1"/>
  <c r="X25" i="6" a="1"/>
  <c r="W25" i="6" a="1"/>
  <c r="V25" i="6" a="1"/>
  <c r="U25" i="6" a="1"/>
  <c r="T25" i="6" a="1"/>
  <c r="S25" i="6" a="1"/>
  <c r="R25" i="6" a="1"/>
  <c r="Q25" i="6" a="1"/>
  <c r="P25" i="6" a="1"/>
  <c r="O25" i="6" a="1"/>
  <c r="N25" i="6" a="1"/>
  <c r="M25" i="6" a="1"/>
  <c r="L25" i="6" a="1"/>
  <c r="K25" i="6" a="1"/>
  <c r="J25" i="6" a="1"/>
  <c r="I25" i="6" a="1"/>
  <c r="H25" i="6" a="1"/>
  <c r="G25" i="6" a="1"/>
  <c r="F25" i="6" a="1"/>
  <c r="E25" i="6" a="1"/>
  <c r="D25" i="6" a="1"/>
  <c r="C25" i="6" a="1"/>
  <c r="B25" i="6" a="1"/>
  <c r="Y24" i="6" a="1"/>
  <c r="X24" i="6" a="1"/>
  <c r="W24" i="6" a="1"/>
  <c r="V24" i="6" a="1"/>
  <c r="U24" i="6" a="1"/>
  <c r="T24" i="6" a="1"/>
  <c r="S24" i="6" a="1"/>
  <c r="R24" i="6" a="1"/>
  <c r="Q24" i="6" a="1"/>
  <c r="P24" i="6" a="1"/>
  <c r="O24" i="6" a="1"/>
  <c r="N24" i="6" a="1"/>
  <c r="M24" i="6" a="1"/>
  <c r="L24" i="6" a="1"/>
  <c r="K24" i="6" a="1"/>
  <c r="J24" i="6" a="1"/>
  <c r="I24" i="6" a="1"/>
  <c r="H24" i="6" a="1"/>
  <c r="G24" i="6" a="1"/>
  <c r="F24" i="6" a="1"/>
  <c r="E24" i="6" a="1"/>
  <c r="D24" i="6" a="1"/>
  <c r="C24" i="6" a="1"/>
  <c r="B24" i="6" a="1"/>
  <c r="Y23" i="6" a="1"/>
  <c r="X23" i="6" a="1"/>
  <c r="W23" i="6" a="1"/>
  <c r="V23" i="6" a="1"/>
  <c r="U23" i="6" a="1"/>
  <c r="T23" i="6" a="1"/>
  <c r="S23" i="6" a="1"/>
  <c r="R23" i="6" a="1"/>
  <c r="Q23" i="6" a="1"/>
  <c r="P23" i="6" a="1"/>
  <c r="O23" i="6" a="1"/>
  <c r="N23" i="6" a="1"/>
  <c r="M23" i="6" a="1"/>
  <c r="L23" i="6" a="1"/>
  <c r="K23" i="6" a="1"/>
  <c r="J23" i="6" a="1"/>
  <c r="I23" i="6" a="1"/>
  <c r="H23" i="6" a="1"/>
  <c r="G23" i="6" a="1"/>
  <c r="F23" i="6" a="1"/>
  <c r="E23" i="6" a="1"/>
  <c r="D23" i="6" a="1"/>
  <c r="C23" i="6" a="1"/>
  <c r="B23" i="6" a="1"/>
  <c r="Y20" i="6" a="1"/>
  <c r="X20" i="6" a="1"/>
  <c r="W20" i="6" a="1"/>
  <c r="V20" i="6" a="1"/>
  <c r="U20" i="6" a="1"/>
  <c r="T20" i="6" a="1"/>
  <c r="S20" i="6" a="1"/>
  <c r="R20" i="6" a="1"/>
  <c r="Q20" i="6" a="1"/>
  <c r="P20" i="6" a="1"/>
  <c r="O20" i="6" a="1"/>
  <c r="N20" i="6" a="1"/>
  <c r="M20" i="6" a="1"/>
  <c r="L20" i="6" a="1"/>
  <c r="K20" i="6" a="1"/>
  <c r="J20" i="6" a="1"/>
  <c r="I20" i="6" a="1"/>
  <c r="H20" i="6" a="1"/>
  <c r="G20" i="6" a="1"/>
  <c r="F20" i="6" a="1"/>
  <c r="E20" i="6" a="1"/>
  <c r="D20" i="6" a="1"/>
  <c r="C20" i="6" a="1"/>
  <c r="B20" i="6" a="1"/>
  <c r="Y19" i="6" a="1"/>
  <c r="X19" i="6" a="1"/>
  <c r="W19" i="6" a="1"/>
  <c r="V19" i="6" a="1"/>
  <c r="U19" i="6" a="1"/>
  <c r="T19" i="6" a="1"/>
  <c r="S19" i="6" a="1"/>
  <c r="R19" i="6" a="1"/>
  <c r="Q19" i="6" a="1"/>
  <c r="P19" i="6" a="1"/>
  <c r="O19" i="6" a="1"/>
  <c r="N19" i="6" a="1"/>
  <c r="M19" i="6" a="1"/>
  <c r="L19" i="6" a="1"/>
  <c r="K19" i="6" a="1"/>
  <c r="J19" i="6" a="1"/>
  <c r="I19" i="6" a="1"/>
  <c r="H19" i="6" a="1"/>
  <c r="G19" i="6" a="1"/>
  <c r="F19" i="6" a="1"/>
  <c r="E19" i="6" a="1"/>
  <c r="D19" i="6" a="1"/>
  <c r="C19" i="6" a="1"/>
  <c r="B19" i="6" a="1"/>
  <c r="Y18" i="6" a="1"/>
  <c r="X18" i="6" a="1"/>
  <c r="W18" i="6" a="1"/>
  <c r="V18" i="6" a="1"/>
  <c r="U18" i="6" a="1"/>
  <c r="T18" i="6" a="1"/>
  <c r="S18" i="6" a="1"/>
  <c r="R18" i="6" a="1"/>
  <c r="Q18" i="6" a="1"/>
  <c r="P18" i="6" a="1"/>
  <c r="O18" i="6" a="1"/>
  <c r="N18" i="6" a="1"/>
  <c r="M18" i="6" a="1"/>
  <c r="L18" i="6" a="1"/>
  <c r="K18" i="6" a="1"/>
  <c r="J18" i="6" a="1"/>
  <c r="I18" i="6" a="1"/>
  <c r="H18" i="6" a="1"/>
  <c r="G18" i="6" a="1"/>
  <c r="F18" i="6" a="1"/>
  <c r="E18" i="6" a="1"/>
  <c r="D18" i="6" a="1"/>
  <c r="C18" i="6" a="1"/>
  <c r="B18" i="6" a="1"/>
  <c r="Y17" i="6" a="1"/>
  <c r="X17" i="6" a="1"/>
  <c r="W17" i="6" a="1"/>
  <c r="V17" i="6" a="1"/>
  <c r="U17" i="6" a="1"/>
  <c r="T17" i="6" a="1"/>
  <c r="S17" i="6" a="1"/>
  <c r="R17" i="6" a="1"/>
  <c r="Q17" i="6" a="1"/>
  <c r="P17" i="6" a="1"/>
  <c r="O17" i="6" a="1"/>
  <c r="N17" i="6" a="1"/>
  <c r="M17" i="6" a="1"/>
  <c r="L17" i="6" a="1"/>
  <c r="K17" i="6" a="1"/>
  <c r="J17" i="6" a="1"/>
  <c r="I17" i="6" a="1"/>
  <c r="H17" i="6" a="1"/>
  <c r="G17" i="6" a="1"/>
  <c r="F17" i="6" a="1"/>
  <c r="E17" i="6" a="1"/>
  <c r="D17" i="6" a="1"/>
  <c r="C17" i="6" a="1"/>
  <c r="B17" i="6" a="1"/>
  <c r="Y16" i="6" a="1"/>
  <c r="X16" i="6" a="1"/>
  <c r="W16" i="6" a="1"/>
  <c r="V16" i="6" a="1"/>
  <c r="U16" i="6" a="1"/>
  <c r="T16" i="6" a="1"/>
  <c r="S16" i="6" a="1"/>
  <c r="R16" i="6" a="1"/>
  <c r="Q16" i="6" a="1"/>
  <c r="P16" i="6" a="1"/>
  <c r="O16" i="6" a="1"/>
  <c r="N16" i="6" a="1"/>
  <c r="M16" i="6" a="1"/>
  <c r="L16" i="6" a="1"/>
  <c r="K16" i="6" a="1"/>
  <c r="J16" i="6" a="1"/>
  <c r="I16" i="6" a="1"/>
  <c r="H16" i="6" a="1"/>
  <c r="G16" i="6" a="1"/>
  <c r="F16" i="6" a="1"/>
  <c r="E16" i="6" a="1"/>
  <c r="D16" i="6" a="1"/>
  <c r="C16" i="6" a="1"/>
  <c r="B16" i="6" a="1"/>
  <c r="Y15" i="6" a="1"/>
  <c r="X15" i="6" a="1"/>
  <c r="W15" i="6" a="1"/>
  <c r="V15" i="6" a="1"/>
  <c r="U15" i="6" a="1"/>
  <c r="T15" i="6" a="1"/>
  <c r="S15" i="6" a="1"/>
  <c r="R15" i="6" a="1"/>
  <c r="Q15" i="6" a="1"/>
  <c r="P15" i="6" a="1"/>
  <c r="O15" i="6" a="1"/>
  <c r="N15" i="6" a="1"/>
  <c r="M15" i="6" a="1"/>
  <c r="L15" i="6" a="1"/>
  <c r="K15" i="6" a="1"/>
  <c r="J15" i="6" a="1"/>
  <c r="I15" i="6" a="1"/>
  <c r="H15" i="6" a="1"/>
  <c r="G15" i="6" a="1"/>
  <c r="F15" i="6" a="1"/>
  <c r="E15" i="6" a="1"/>
  <c r="D15" i="6" a="1"/>
  <c r="C15" i="6" a="1"/>
  <c r="B15" i="6" a="1"/>
  <c r="Y11" i="6" a="1"/>
  <c r="X11" i="6" a="1"/>
  <c r="W11" i="6" a="1"/>
  <c r="V11" i="6" a="1"/>
  <c r="U11" i="6" a="1"/>
  <c r="T11" i="6" a="1"/>
  <c r="S11" i="6" a="1"/>
  <c r="R11" i="6" a="1"/>
  <c r="Q11" i="6" a="1"/>
  <c r="P11" i="6" a="1"/>
  <c r="O11" i="6" a="1"/>
  <c r="N11" i="6" a="1"/>
  <c r="M11" i="6" a="1"/>
  <c r="L11" i="6" a="1"/>
  <c r="K11" i="6" a="1"/>
  <c r="J11" i="6" a="1"/>
  <c r="I11" i="6" a="1"/>
  <c r="H11" i="6" a="1"/>
  <c r="G11" i="6" a="1"/>
  <c r="F11" i="6" a="1"/>
  <c r="E11" i="6" a="1"/>
  <c r="D11" i="6" a="1"/>
  <c r="C11" i="6" a="1"/>
  <c r="B11" i="6" a="1"/>
  <c r="Y10" i="6" a="1"/>
  <c r="X10" i="6" a="1"/>
  <c r="W10" i="6" a="1"/>
  <c r="V10" i="6" a="1"/>
  <c r="U10" i="6" a="1"/>
  <c r="T10" i="6" a="1"/>
  <c r="S10" i="6" a="1"/>
  <c r="R10" i="6" a="1"/>
  <c r="Q10" i="6" a="1"/>
  <c r="P10" i="6" a="1"/>
  <c r="O10" i="6" a="1"/>
  <c r="N10" i="6" a="1"/>
  <c r="M10" i="6" a="1"/>
  <c r="L10" i="6" a="1"/>
  <c r="K10" i="6" a="1"/>
  <c r="J10" i="6" a="1"/>
  <c r="I10" i="6" a="1"/>
  <c r="H10" i="6" a="1"/>
  <c r="G10" i="6" a="1"/>
  <c r="F10" i="6" a="1"/>
  <c r="E10" i="6" a="1"/>
  <c r="D10" i="6" a="1"/>
  <c r="C10" i="6" a="1"/>
  <c r="B10" i="6" a="1"/>
  <c r="Y9" i="6" a="1"/>
  <c r="X9" i="6" a="1"/>
  <c r="W9" i="6" a="1"/>
  <c r="V9" i="6" a="1"/>
  <c r="U9" i="6" a="1"/>
  <c r="T9" i="6" a="1"/>
  <c r="S9" i="6" a="1"/>
  <c r="R9" i="6" a="1"/>
  <c r="Q9" i="6" a="1"/>
  <c r="P9" i="6" a="1"/>
  <c r="O9" i="6" a="1"/>
  <c r="N9" i="6" a="1"/>
  <c r="M9" i="6" a="1"/>
  <c r="L9" i="6" a="1"/>
  <c r="K9" i="6" a="1"/>
  <c r="J9" i="6" a="1"/>
  <c r="I9" i="6" a="1"/>
  <c r="H9" i="6" a="1"/>
  <c r="G9" i="6" a="1"/>
  <c r="F9" i="6" a="1"/>
  <c r="E9" i="6" a="1"/>
  <c r="D9" i="6" a="1"/>
  <c r="C9" i="6" a="1"/>
  <c r="B9" i="6" a="1"/>
  <c r="Y8" i="6" a="1"/>
  <c r="X8" i="6" a="1"/>
  <c r="W8" i="6" a="1"/>
  <c r="V8" i="6" a="1"/>
  <c r="U8" i="6" a="1"/>
  <c r="T8" i="6" a="1"/>
  <c r="S8" i="6" a="1"/>
  <c r="R8" i="6" a="1"/>
  <c r="Q8" i="6" a="1"/>
  <c r="P8" i="6" a="1"/>
  <c r="O8" i="6" a="1"/>
  <c r="N8" i="6" a="1"/>
  <c r="M8" i="6" a="1"/>
  <c r="L8" i="6" a="1"/>
  <c r="K8" i="6" a="1"/>
  <c r="J8" i="6" a="1"/>
  <c r="I8" i="6" a="1"/>
  <c r="H8" i="6" a="1"/>
  <c r="G8" i="6" a="1"/>
  <c r="F8" i="6" a="1"/>
  <c r="E8" i="6" a="1"/>
  <c r="D8" i="6" a="1"/>
  <c r="C8" i="6" a="1"/>
  <c r="B8" i="6" a="1"/>
  <c r="A1" i="6" a="1"/>
  <c r="W34" i="28" l="1"/>
  <c r="X34" i="31"/>
  <c r="X34" i="32"/>
  <c r="X34" i="37"/>
  <c r="X34" i="41"/>
  <c r="Y47" i="44"/>
  <c r="L43" i="37"/>
  <c r="T43" i="37"/>
  <c r="X30" i="28"/>
  <c r="X12" i="30"/>
  <c r="W21" i="31"/>
  <c r="X12" i="33"/>
  <c r="G48" i="34"/>
  <c r="O48" i="34"/>
  <c r="W21" i="34"/>
  <c r="X30" i="34"/>
  <c r="Y12" i="27"/>
  <c r="Q43" i="34"/>
  <c r="Q48" i="34" s="1"/>
  <c r="Y12" i="36"/>
  <c r="X21" i="37"/>
  <c r="Y30" i="37"/>
  <c r="Y12" i="41"/>
  <c r="Y12" i="43"/>
  <c r="W34" i="43"/>
  <c r="B43" i="34"/>
  <c r="B48" i="34" s="1"/>
  <c r="Y34" i="34"/>
  <c r="K43" i="37"/>
  <c r="X47" i="27"/>
  <c r="X47" i="31"/>
  <c r="W34" i="33"/>
  <c r="X47" i="34"/>
  <c r="X47" i="38"/>
  <c r="X47" i="39"/>
  <c r="X47" i="40"/>
  <c r="X47" i="42"/>
  <c r="X47" i="43"/>
  <c r="M43" i="28"/>
  <c r="M48" i="28" s="1"/>
  <c r="M43" i="29"/>
  <c r="X34" i="29"/>
  <c r="E43" i="34"/>
  <c r="M43" i="34"/>
  <c r="U43" i="34"/>
  <c r="M43" i="37"/>
  <c r="U43" i="37"/>
  <c r="E43" i="39"/>
  <c r="E48" i="39" s="1"/>
  <c r="M43" i="39"/>
  <c r="M48" i="39" s="1"/>
  <c r="U43" i="39"/>
  <c r="U48" i="39" s="1"/>
  <c r="E43" i="40"/>
  <c r="M43" i="40"/>
  <c r="M48" i="40" s="1"/>
  <c r="U43" i="40"/>
  <c r="U48" i="40" s="1"/>
  <c r="M43" i="42"/>
  <c r="U43" i="42"/>
  <c r="Y34" i="27"/>
  <c r="Y42" i="39"/>
  <c r="Y42" i="40"/>
  <c r="M48" i="42"/>
  <c r="Q43" i="27"/>
  <c r="Q48" i="27" s="1"/>
  <c r="X21" i="29"/>
  <c r="Y12" i="30"/>
  <c r="W34" i="30"/>
  <c r="X21" i="31"/>
  <c r="I43" i="31"/>
  <c r="X21" i="32"/>
  <c r="Q43" i="32"/>
  <c r="Q48" i="32" s="1"/>
  <c r="W34" i="32"/>
  <c r="X21" i="33"/>
  <c r="Y12" i="34"/>
  <c r="X12" i="34"/>
  <c r="X21" i="34"/>
  <c r="W34" i="34"/>
  <c r="W30" i="39"/>
  <c r="X47" i="41"/>
  <c r="W30" i="42"/>
  <c r="W12" i="43"/>
  <c r="W12" i="44"/>
  <c r="O48" i="44"/>
  <c r="W30" i="44"/>
  <c r="X47" i="44"/>
  <c r="Y21" i="27"/>
  <c r="R43" i="27"/>
  <c r="R48" i="27" s="1"/>
  <c r="H43" i="27"/>
  <c r="H48" i="27" s="1"/>
  <c r="P43" i="27"/>
  <c r="Y21" i="28"/>
  <c r="J43" i="28"/>
  <c r="R43" i="28"/>
  <c r="Y12" i="29"/>
  <c r="Y21" i="29"/>
  <c r="P43" i="29"/>
  <c r="P48" i="29" s="1"/>
  <c r="R43" i="30"/>
  <c r="R48" i="30" s="1"/>
  <c r="Y21" i="31"/>
  <c r="W12" i="32"/>
  <c r="Y21" i="32"/>
  <c r="J43" i="32"/>
  <c r="Y21" i="33"/>
  <c r="J43" i="33"/>
  <c r="I48" i="34"/>
  <c r="Y21" i="34"/>
  <c r="X34" i="34"/>
  <c r="X12" i="35"/>
  <c r="X12" i="36"/>
  <c r="X12" i="37"/>
  <c r="W12" i="37"/>
  <c r="O48" i="37"/>
  <c r="N43" i="37"/>
  <c r="N48" i="37" s="1"/>
  <c r="V43" i="37"/>
  <c r="W21" i="38"/>
  <c r="X12" i="39"/>
  <c r="W12" i="39"/>
  <c r="G48" i="39"/>
  <c r="O48" i="39"/>
  <c r="W21" i="39"/>
  <c r="X21" i="39"/>
  <c r="H43" i="39"/>
  <c r="P43" i="39"/>
  <c r="W21" i="40"/>
  <c r="X12" i="41"/>
  <c r="W21" i="41"/>
  <c r="X12" i="42"/>
  <c r="W21" i="42"/>
  <c r="X12" i="43"/>
  <c r="Y47" i="43"/>
  <c r="H43" i="44"/>
  <c r="P43" i="44"/>
  <c r="X30" i="44"/>
  <c r="W47" i="27"/>
  <c r="W21" i="28"/>
  <c r="K43" i="28"/>
  <c r="K48" i="28" s="1"/>
  <c r="Y34" i="28"/>
  <c r="W47" i="28"/>
  <c r="Y34" i="29"/>
  <c r="Y34" i="30"/>
  <c r="W47" i="30"/>
  <c r="K43" i="31"/>
  <c r="K48" i="31" s="1"/>
  <c r="S43" i="31"/>
  <c r="Y34" i="31"/>
  <c r="W47" i="31"/>
  <c r="W21" i="32"/>
  <c r="Y34" i="32"/>
  <c r="W47" i="32"/>
  <c r="Y34" i="33"/>
  <c r="C43" i="34"/>
  <c r="C48" i="34" s="1"/>
  <c r="K43" i="34"/>
  <c r="K48" i="34" s="1"/>
  <c r="S43" i="34"/>
  <c r="S48" i="34" s="1"/>
  <c r="Y30" i="34"/>
  <c r="X21" i="35"/>
  <c r="Q43" i="35"/>
  <c r="Q48" i="35" s="1"/>
  <c r="I43" i="36"/>
  <c r="Q43" i="36"/>
  <c r="I43" i="37"/>
  <c r="Q43" i="37"/>
  <c r="Q48" i="37" s="1"/>
  <c r="X21" i="38"/>
  <c r="Y12" i="39"/>
  <c r="I43" i="39"/>
  <c r="I48" i="39" s="1"/>
  <c r="Q43" i="39"/>
  <c r="Q48" i="39" s="1"/>
  <c r="Y30" i="39"/>
  <c r="Y12" i="40"/>
  <c r="X21" i="40"/>
  <c r="I43" i="40"/>
  <c r="I48" i="40" s="1"/>
  <c r="Q43" i="40"/>
  <c r="Q48" i="40" s="1"/>
  <c r="Y30" i="40"/>
  <c r="X21" i="41"/>
  <c r="Q43" i="41"/>
  <c r="W34" i="41"/>
  <c r="I43" i="42"/>
  <c r="Q43" i="42"/>
  <c r="Y12" i="44"/>
  <c r="X21" i="44"/>
  <c r="D43" i="28"/>
  <c r="D48" i="28" s="1"/>
  <c r="L43" i="28"/>
  <c r="T43" i="28"/>
  <c r="T43" i="31"/>
  <c r="W34" i="31"/>
  <c r="L43" i="32"/>
  <c r="T43" i="33"/>
  <c r="X47" i="33"/>
  <c r="D43" i="34"/>
  <c r="D48" i="34" s="1"/>
  <c r="L43" i="34"/>
  <c r="T43" i="34"/>
  <c r="W42" i="34"/>
  <c r="Y21" i="35"/>
  <c r="H43" i="37"/>
  <c r="P43" i="37"/>
  <c r="Y21" i="38"/>
  <c r="X34" i="38"/>
  <c r="Y21" i="39"/>
  <c r="X30" i="39"/>
  <c r="X34" i="39"/>
  <c r="Y21" i="40"/>
  <c r="X34" i="40"/>
  <c r="Y21" i="41"/>
  <c r="Y21" i="42"/>
  <c r="X21" i="42"/>
  <c r="B43" i="42"/>
  <c r="B48" i="42" s="1"/>
  <c r="H43" i="42"/>
  <c r="P43" i="42"/>
  <c r="P48" i="42" s="1"/>
  <c r="X34" i="42"/>
  <c r="X34" i="43"/>
  <c r="Y21" i="44"/>
  <c r="X34" i="28"/>
  <c r="Y47" i="28"/>
  <c r="Y47" i="29"/>
  <c r="X34" i="30"/>
  <c r="Y47" i="30"/>
  <c r="Y47" i="31"/>
  <c r="Y47" i="32"/>
  <c r="Y47" i="33"/>
  <c r="X42" i="34"/>
  <c r="Y42" i="34"/>
  <c r="W47" i="34"/>
  <c r="W21" i="35"/>
  <c r="Y34" i="35"/>
  <c r="W47" i="35"/>
  <c r="Y34" i="36"/>
  <c r="W47" i="36"/>
  <c r="W21" i="37"/>
  <c r="Y34" i="37"/>
  <c r="W47" i="37"/>
  <c r="Y34" i="38"/>
  <c r="S43" i="39"/>
  <c r="Y34" i="39"/>
  <c r="W47" i="39"/>
  <c r="Y34" i="40"/>
  <c r="Y34" i="41"/>
  <c r="W47" i="41"/>
  <c r="K43" i="42"/>
  <c r="S43" i="42"/>
  <c r="Y34" i="42"/>
  <c r="W47" i="43"/>
  <c r="W21" i="44"/>
  <c r="K43" i="44"/>
  <c r="K48" i="44" s="1"/>
  <c r="S43" i="44"/>
  <c r="S48" i="44" s="1"/>
  <c r="W34" i="38"/>
  <c r="D43" i="39"/>
  <c r="D48" i="39" s="1"/>
  <c r="L43" i="39"/>
  <c r="L48" i="39" s="1"/>
  <c r="T43" i="39"/>
  <c r="W34" i="39"/>
  <c r="W42" i="39"/>
  <c r="X42" i="39"/>
  <c r="W34" i="40"/>
  <c r="L43" i="42"/>
  <c r="L48" i="42" s="1"/>
  <c r="W34" i="42"/>
  <c r="T43" i="44"/>
  <c r="W30" i="28"/>
  <c r="X47" i="28"/>
  <c r="X47" i="29"/>
  <c r="W12" i="31"/>
  <c r="W12" i="34"/>
  <c r="W30" i="34"/>
  <c r="W43" i="34" s="1"/>
  <c r="W48" i="34" s="1"/>
  <c r="X34" i="36"/>
  <c r="L48" i="37"/>
  <c r="T48" i="37"/>
  <c r="Y21" i="37"/>
  <c r="T48" i="39"/>
  <c r="R43" i="34"/>
  <c r="R48" i="34" s="1"/>
  <c r="J43" i="34"/>
  <c r="J48" i="34" s="1"/>
  <c r="R43" i="33"/>
  <c r="J43" i="31"/>
  <c r="J43" i="30"/>
  <c r="J43" i="27"/>
  <c r="J48" i="27" s="1"/>
  <c r="R43" i="44"/>
  <c r="R48" i="44" s="1"/>
  <c r="J43" i="44"/>
  <c r="J48" i="44" s="1"/>
  <c r="V43" i="44"/>
  <c r="N43" i="44"/>
  <c r="N48" i="44" s="1"/>
  <c r="F43" i="44"/>
  <c r="F48" i="44" s="1"/>
  <c r="R43" i="43"/>
  <c r="J43" i="43"/>
  <c r="J48" i="43" s="1"/>
  <c r="V43" i="43"/>
  <c r="V48" i="43" s="1"/>
  <c r="N43" i="43"/>
  <c r="F43" i="43"/>
  <c r="R43" i="42"/>
  <c r="R48" i="42" s="1"/>
  <c r="J43" i="42"/>
  <c r="J48" i="42" s="1"/>
  <c r="V43" i="42"/>
  <c r="N43" i="42"/>
  <c r="N48" i="42" s="1"/>
  <c r="F43" i="42"/>
  <c r="R43" i="41"/>
  <c r="R48" i="41" s="1"/>
  <c r="J43" i="41"/>
  <c r="J48" i="41" s="1"/>
  <c r="V43" i="41"/>
  <c r="V48" i="41" s="1"/>
  <c r="N43" i="41"/>
  <c r="N48" i="41" s="1"/>
  <c r="F43" i="41"/>
  <c r="F48" i="41" s="1"/>
  <c r="J43" i="40"/>
  <c r="J48" i="40" s="1"/>
  <c r="V43" i="40"/>
  <c r="V48" i="40" s="1"/>
  <c r="R43" i="40"/>
  <c r="R48" i="40" s="1"/>
  <c r="N43" i="40"/>
  <c r="N48" i="40" s="1"/>
  <c r="F43" i="40"/>
  <c r="R43" i="39"/>
  <c r="J43" i="39"/>
  <c r="J48" i="39" s="1"/>
  <c r="V43" i="39"/>
  <c r="V48" i="39" s="1"/>
  <c r="N43" i="39"/>
  <c r="N48" i="39" s="1"/>
  <c r="F43" i="39"/>
  <c r="F48" i="39" s="1"/>
  <c r="R43" i="38"/>
  <c r="R48" i="38" s="1"/>
  <c r="J43" i="38"/>
  <c r="J48" i="38" s="1"/>
  <c r="V43" i="38"/>
  <c r="V48" i="38" s="1"/>
  <c r="N43" i="38"/>
  <c r="N48" i="38" s="1"/>
  <c r="F43" i="38"/>
  <c r="F48" i="38" s="1"/>
  <c r="R43" i="37"/>
  <c r="R48" i="37" s="1"/>
  <c r="J43" i="37"/>
  <c r="J48" i="37" s="1"/>
  <c r="F43" i="37"/>
  <c r="F48" i="37" s="1"/>
  <c r="R43" i="36"/>
  <c r="R48" i="36" s="1"/>
  <c r="J43" i="36"/>
  <c r="J48" i="36" s="1"/>
  <c r="V43" i="36"/>
  <c r="V48" i="36" s="1"/>
  <c r="N43" i="36"/>
  <c r="N48" i="36" s="1"/>
  <c r="F43" i="36"/>
  <c r="F48" i="36" s="1"/>
  <c r="R43" i="35"/>
  <c r="J43" i="35"/>
  <c r="J48" i="35" s="1"/>
  <c r="V43" i="35"/>
  <c r="V48" i="35" s="1"/>
  <c r="N43" i="35"/>
  <c r="N48" i="35" s="1"/>
  <c r="F43" i="35"/>
  <c r="F48" i="35" s="1"/>
  <c r="V43" i="34"/>
  <c r="V48" i="34" s="1"/>
  <c r="F43" i="34"/>
  <c r="F48" i="34" s="1"/>
  <c r="N43" i="34"/>
  <c r="N48" i="34" s="1"/>
  <c r="V43" i="33"/>
  <c r="V48" i="33" s="1"/>
  <c r="N43" i="33"/>
  <c r="N48" i="33" s="1"/>
  <c r="F43" i="33"/>
  <c r="F48" i="33" s="1"/>
  <c r="R48" i="33"/>
  <c r="J48" i="33"/>
  <c r="V43" i="32"/>
  <c r="V48" i="32" s="1"/>
  <c r="R43" i="32"/>
  <c r="N43" i="32"/>
  <c r="N48" i="32" s="1"/>
  <c r="F43" i="32"/>
  <c r="F48" i="32" s="1"/>
  <c r="R48" i="32"/>
  <c r="J48" i="32"/>
  <c r="R43" i="31"/>
  <c r="F43" i="31"/>
  <c r="F48" i="31" s="1"/>
  <c r="V43" i="31"/>
  <c r="V48" i="31" s="1"/>
  <c r="N43" i="31"/>
  <c r="N48" i="31" s="1"/>
  <c r="J48" i="31"/>
  <c r="V43" i="30"/>
  <c r="V48" i="30" s="1"/>
  <c r="N43" i="30"/>
  <c r="F43" i="30"/>
  <c r="F48" i="30" s="1"/>
  <c r="J48" i="30"/>
  <c r="V43" i="29"/>
  <c r="V48" i="29" s="1"/>
  <c r="N43" i="29"/>
  <c r="F43" i="29"/>
  <c r="R43" i="29"/>
  <c r="R48" i="29" s="1"/>
  <c r="J43" i="29"/>
  <c r="J48" i="29" s="1"/>
  <c r="N43" i="28"/>
  <c r="N48" i="28" s="1"/>
  <c r="F43" i="28"/>
  <c r="F48" i="28" s="1"/>
  <c r="V43" i="28"/>
  <c r="V48" i="28" s="1"/>
  <c r="R48" i="28"/>
  <c r="J48" i="28"/>
  <c r="N43" i="27"/>
  <c r="F43" i="27"/>
  <c r="F48" i="27" s="1"/>
  <c r="V43" i="27"/>
  <c r="V48" i="27" s="1"/>
  <c r="S48" i="31"/>
  <c r="W47" i="29"/>
  <c r="W47" i="44"/>
  <c r="W47" i="40"/>
  <c r="S48" i="42"/>
  <c r="O48" i="28"/>
  <c r="K48" i="42"/>
  <c r="W47" i="42"/>
  <c r="W47" i="38"/>
  <c r="X47" i="30"/>
  <c r="Y47" i="27"/>
  <c r="U48" i="42"/>
  <c r="W12" i="33"/>
  <c r="W12" i="41"/>
  <c r="W12" i="38"/>
  <c r="W12" i="27"/>
  <c r="W12" i="35"/>
  <c r="W12" i="28"/>
  <c r="X12" i="32"/>
  <c r="X12" i="28"/>
  <c r="X12" i="27"/>
  <c r="X12" i="38"/>
  <c r="X12" i="40"/>
  <c r="Y12" i="31"/>
  <c r="Y12" i="42"/>
  <c r="Y12" i="38"/>
  <c r="K43" i="32"/>
  <c r="U43" i="28"/>
  <c r="U43" i="31"/>
  <c r="Q43" i="33"/>
  <c r="Q48" i="33" s="1"/>
  <c r="Q43" i="28"/>
  <c r="B43" i="37"/>
  <c r="B48" i="37" s="1"/>
  <c r="B43" i="41"/>
  <c r="B48" i="41" s="1"/>
  <c r="W42" i="28"/>
  <c r="W42" i="33"/>
  <c r="H43" i="40"/>
  <c r="H43" i="41"/>
  <c r="X42" i="29"/>
  <c r="U43" i="27"/>
  <c r="U48" i="27" s="1"/>
  <c r="Q43" i="30"/>
  <c r="Q43" i="31"/>
  <c r="Q48" i="31" s="1"/>
  <c r="M43" i="30"/>
  <c r="E43" i="28"/>
  <c r="E48" i="28" s="1"/>
  <c r="I43" i="43"/>
  <c r="B43" i="32"/>
  <c r="B48" i="32" s="1"/>
  <c r="S43" i="28"/>
  <c r="S48" i="28" s="1"/>
  <c r="S43" i="35"/>
  <c r="S43" i="43"/>
  <c r="S48" i="43" s="1"/>
  <c r="S43" i="41"/>
  <c r="O43" i="27"/>
  <c r="O48" i="27" s="1"/>
  <c r="O43" i="35"/>
  <c r="O48" i="35" s="1"/>
  <c r="W42" i="32"/>
  <c r="W42" i="29"/>
  <c r="W42" i="27"/>
  <c r="W42" i="30"/>
  <c r="W42" i="31"/>
  <c r="W42" i="43"/>
  <c r="W42" i="42"/>
  <c r="C43" i="42"/>
  <c r="G43" i="28"/>
  <c r="G48" i="28" s="1"/>
  <c r="W42" i="36"/>
  <c r="W42" i="41"/>
  <c r="W42" i="35"/>
  <c r="W42" i="37"/>
  <c r="C43" i="37"/>
  <c r="C48" i="37" s="1"/>
  <c r="G43" i="29"/>
  <c r="W42" i="38"/>
  <c r="W42" i="40"/>
  <c r="W42" i="44"/>
  <c r="T43" i="42"/>
  <c r="T48" i="42" s="1"/>
  <c r="T43" i="40"/>
  <c r="T48" i="40" s="1"/>
  <c r="T43" i="35"/>
  <c r="T48" i="35" s="1"/>
  <c r="L43" i="40"/>
  <c r="L43" i="38"/>
  <c r="L48" i="38" s="1"/>
  <c r="X42" i="27"/>
  <c r="X42" i="40"/>
  <c r="H43" i="29"/>
  <c r="H48" i="29" s="1"/>
  <c r="X42" i="33"/>
  <c r="X42" i="32"/>
  <c r="X42" i="36"/>
  <c r="X42" i="42"/>
  <c r="X42" i="41"/>
  <c r="X42" i="35"/>
  <c r="X42" i="28"/>
  <c r="X42" i="31"/>
  <c r="X42" i="30"/>
  <c r="X42" i="37"/>
  <c r="D43" i="37"/>
  <c r="D48" i="37" s="1"/>
  <c r="X42" i="38"/>
  <c r="X42" i="43"/>
  <c r="X42" i="44"/>
  <c r="U43" i="38"/>
  <c r="U48" i="38" s="1"/>
  <c r="U48" i="31"/>
  <c r="U43" i="33"/>
  <c r="U48" i="33" s="1"/>
  <c r="Q48" i="41"/>
  <c r="Y42" i="28"/>
  <c r="M43" i="33"/>
  <c r="M48" i="33" s="1"/>
  <c r="M43" i="32"/>
  <c r="M48" i="32" s="1"/>
  <c r="Y42" i="32"/>
  <c r="M43" i="31"/>
  <c r="M48" i="31" s="1"/>
  <c r="E43" i="31"/>
  <c r="E48" i="31" s="1"/>
  <c r="Y42" i="29"/>
  <c r="Y42" i="33"/>
  <c r="E43" i="38"/>
  <c r="E48" i="38" s="1"/>
  <c r="I43" i="30"/>
  <c r="I48" i="30" s="1"/>
  <c r="Y42" i="44"/>
  <c r="Y42" i="36"/>
  <c r="Y42" i="42"/>
  <c r="Y42" i="35"/>
  <c r="Y42" i="27"/>
  <c r="I43" i="27"/>
  <c r="I48" i="27" s="1"/>
  <c r="I43" i="32"/>
  <c r="I48" i="32" s="1"/>
  <c r="I43" i="33"/>
  <c r="E43" i="33"/>
  <c r="E48" i="33" s="1"/>
  <c r="Y42" i="37"/>
  <c r="Y42" i="30"/>
  <c r="Y42" i="43"/>
  <c r="Y42" i="41"/>
  <c r="Y42" i="31"/>
  <c r="Y42" i="38"/>
  <c r="Y34" i="44"/>
  <c r="K43" i="35"/>
  <c r="D43" i="40"/>
  <c r="D48" i="40" s="1"/>
  <c r="Q43" i="44"/>
  <c r="Q48" i="44" s="1"/>
  <c r="K43" i="43"/>
  <c r="K48" i="43" s="1"/>
  <c r="U43" i="44"/>
  <c r="U48" i="44" s="1"/>
  <c r="B43" i="44"/>
  <c r="B48" i="44" s="1"/>
  <c r="G43" i="43"/>
  <c r="G48" i="43" s="1"/>
  <c r="G43" i="44"/>
  <c r="G48" i="44" s="1"/>
  <c r="Y34" i="43"/>
  <c r="X34" i="35"/>
  <c r="T43" i="38"/>
  <c r="T48" i="38" s="1"/>
  <c r="D43" i="38"/>
  <c r="D48" i="38" s="1"/>
  <c r="L43" i="44"/>
  <c r="L48" i="44" s="1"/>
  <c r="M43" i="44"/>
  <c r="M48" i="44" s="1"/>
  <c r="E43" i="44"/>
  <c r="E48" i="44" s="1"/>
  <c r="M43" i="38"/>
  <c r="M48" i="38" s="1"/>
  <c r="W34" i="44"/>
  <c r="C43" i="44"/>
  <c r="C48" i="44" s="1"/>
  <c r="X34" i="44"/>
  <c r="D43" i="44"/>
  <c r="D48" i="44" s="1"/>
  <c r="I43" i="44"/>
  <c r="I48" i="44" s="1"/>
  <c r="B43" i="28"/>
  <c r="B48" i="28" s="1"/>
  <c r="S43" i="33"/>
  <c r="S48" i="33" s="1"/>
  <c r="G43" i="35"/>
  <c r="G48" i="35" s="1"/>
  <c r="C43" i="35"/>
  <c r="C48" i="35" s="1"/>
  <c r="P43" i="35"/>
  <c r="P48" i="35" s="1"/>
  <c r="L43" i="31"/>
  <c r="L48" i="31" s="1"/>
  <c r="L43" i="27"/>
  <c r="L48" i="27" s="1"/>
  <c r="U43" i="35"/>
  <c r="U48" i="35" s="1"/>
  <c r="S43" i="37"/>
  <c r="S48" i="37" s="1"/>
  <c r="K43" i="41"/>
  <c r="K48" i="41" s="1"/>
  <c r="Y30" i="44"/>
  <c r="T43" i="32"/>
  <c r="T48" i="32" s="1"/>
  <c r="W30" i="37"/>
  <c r="D43" i="31"/>
  <c r="D48" i="31" s="1"/>
  <c r="X30" i="42"/>
  <c r="D43" i="42"/>
  <c r="D48" i="42" s="1"/>
  <c r="M43" i="41"/>
  <c r="M48" i="41" s="1"/>
  <c r="P43" i="41"/>
  <c r="U43" i="29"/>
  <c r="U48" i="29" s="1"/>
  <c r="E43" i="29"/>
  <c r="E48" i="29" s="1"/>
  <c r="I43" i="29"/>
  <c r="I48" i="29" s="1"/>
  <c r="W30" i="27"/>
  <c r="S43" i="40"/>
  <c r="S48" i="40" s="1"/>
  <c r="O43" i="40"/>
  <c r="O48" i="40" s="1"/>
  <c r="W30" i="35"/>
  <c r="Q43" i="29"/>
  <c r="Q48" i="29" s="1"/>
  <c r="Y30" i="31"/>
  <c r="X30" i="35"/>
  <c r="L43" i="35"/>
  <c r="L48" i="35" s="1"/>
  <c r="D43" i="35"/>
  <c r="D48" i="35" s="1"/>
  <c r="Y30" i="42"/>
  <c r="Q48" i="42"/>
  <c r="Q48" i="28"/>
  <c r="P48" i="27"/>
  <c r="P43" i="40"/>
  <c r="P48" i="40" s="1"/>
  <c r="O43" i="41"/>
  <c r="O48" i="41" s="1"/>
  <c r="W30" i="41"/>
  <c r="Y30" i="29"/>
  <c r="K43" i="40"/>
  <c r="K48" i="40" s="1"/>
  <c r="T43" i="41"/>
  <c r="T48" i="41" s="1"/>
  <c r="X30" i="41"/>
  <c r="L43" i="41"/>
  <c r="L48" i="41" s="1"/>
  <c r="D43" i="41"/>
  <c r="D48" i="41" s="1"/>
  <c r="O43" i="32"/>
  <c r="O48" i="32" s="1"/>
  <c r="K48" i="32"/>
  <c r="B43" i="31"/>
  <c r="B48" i="31" s="1"/>
  <c r="W30" i="40"/>
  <c r="K43" i="29"/>
  <c r="K48" i="29" s="1"/>
  <c r="L43" i="33"/>
  <c r="L48" i="33" s="1"/>
  <c r="U43" i="32"/>
  <c r="U48" i="32" s="1"/>
  <c r="E43" i="32"/>
  <c r="E48" i="32" s="1"/>
  <c r="C43" i="43"/>
  <c r="C48" i="43" s="1"/>
  <c r="O43" i="43"/>
  <c r="O48" i="43" s="1"/>
  <c r="W30" i="43"/>
  <c r="T43" i="43"/>
  <c r="T48" i="43" s="1"/>
  <c r="P43" i="43"/>
  <c r="P48" i="43" s="1"/>
  <c r="L43" i="43"/>
  <c r="L48" i="43" s="1"/>
  <c r="X30" i="30"/>
  <c r="D43" i="43"/>
  <c r="D48" i="43" s="1"/>
  <c r="H43" i="43"/>
  <c r="H48" i="43" s="1"/>
  <c r="Q43" i="43"/>
  <c r="Q48" i="43" s="1"/>
  <c r="M43" i="36"/>
  <c r="M48" i="36" s="1"/>
  <c r="M43" i="43"/>
  <c r="M48" i="43" s="1"/>
  <c r="Y30" i="30"/>
  <c r="G43" i="38"/>
  <c r="G48" i="38" s="1"/>
  <c r="B43" i="29"/>
  <c r="B48" i="29" s="1"/>
  <c r="B43" i="39"/>
  <c r="B48" i="39" s="1"/>
  <c r="K43" i="30"/>
  <c r="K48" i="30" s="1"/>
  <c r="S43" i="30"/>
  <c r="S48" i="30" s="1"/>
  <c r="O43" i="30"/>
  <c r="O48" i="30" s="1"/>
  <c r="G43" i="30"/>
  <c r="G48" i="30" s="1"/>
  <c r="W30" i="30"/>
  <c r="C43" i="30"/>
  <c r="C48" i="30" s="1"/>
  <c r="B43" i="30"/>
  <c r="B48" i="30" s="1"/>
  <c r="K43" i="27"/>
  <c r="K48" i="27" s="1"/>
  <c r="B43" i="27"/>
  <c r="B48" i="27" s="1"/>
  <c r="S43" i="27"/>
  <c r="S48" i="27" s="1"/>
  <c r="C43" i="27"/>
  <c r="C48" i="27" s="1"/>
  <c r="G43" i="36"/>
  <c r="G48" i="36" s="1"/>
  <c r="S43" i="36"/>
  <c r="S48" i="36" s="1"/>
  <c r="O43" i="36"/>
  <c r="O48" i="36" s="1"/>
  <c r="K43" i="36"/>
  <c r="K48" i="36" s="1"/>
  <c r="B43" i="36"/>
  <c r="B48" i="36" s="1"/>
  <c r="L43" i="30"/>
  <c r="L48" i="30" s="1"/>
  <c r="C43" i="36"/>
  <c r="C48" i="36" s="1"/>
  <c r="W30" i="36"/>
  <c r="T43" i="30"/>
  <c r="T48" i="30" s="1"/>
  <c r="D43" i="30"/>
  <c r="D48" i="30" s="1"/>
  <c r="U43" i="30"/>
  <c r="U48" i="30" s="1"/>
  <c r="E43" i="30"/>
  <c r="E48" i="30" s="1"/>
  <c r="T43" i="36"/>
  <c r="T48" i="36" s="1"/>
  <c r="H43" i="36"/>
  <c r="H48" i="36" s="1"/>
  <c r="P43" i="36"/>
  <c r="P48" i="36" s="1"/>
  <c r="L43" i="36"/>
  <c r="L48" i="36" s="1"/>
  <c r="D43" i="36"/>
  <c r="D48" i="36" s="1"/>
  <c r="X30" i="36"/>
  <c r="Y30" i="36"/>
  <c r="U43" i="36"/>
  <c r="U48" i="36" s="1"/>
  <c r="E43" i="36"/>
  <c r="E48" i="36" s="1"/>
  <c r="O43" i="33"/>
  <c r="O48" i="33" s="1"/>
  <c r="K43" i="33"/>
  <c r="K48" i="33" s="1"/>
  <c r="H43" i="33"/>
  <c r="Y30" i="33"/>
  <c r="K43" i="38"/>
  <c r="K48" i="38" s="1"/>
  <c r="C43" i="41"/>
  <c r="C48" i="41" s="1"/>
  <c r="S43" i="29"/>
  <c r="S48" i="29" s="1"/>
  <c r="O43" i="29"/>
  <c r="O48" i="29" s="1"/>
  <c r="W30" i="29"/>
  <c r="T48" i="31"/>
  <c r="T43" i="29"/>
  <c r="T48" i="29" s="1"/>
  <c r="X30" i="40"/>
  <c r="X30" i="43"/>
  <c r="E43" i="27"/>
  <c r="E48" i="27" s="1"/>
  <c r="X30" i="33"/>
  <c r="D43" i="33"/>
  <c r="D48" i="33" s="1"/>
  <c r="W30" i="33"/>
  <c r="C43" i="33"/>
  <c r="C48" i="33" s="1"/>
  <c r="M43" i="35"/>
  <c r="M48" i="35" s="1"/>
  <c r="S43" i="32"/>
  <c r="S48" i="32" s="1"/>
  <c r="W30" i="32"/>
  <c r="Y30" i="35"/>
  <c r="Q43" i="38"/>
  <c r="Q48" i="38" s="1"/>
  <c r="O43" i="31"/>
  <c r="O48" i="31" s="1"/>
  <c r="W30" i="31"/>
  <c r="P43" i="31"/>
  <c r="P48" i="31" s="1"/>
  <c r="X30" i="31"/>
  <c r="B43" i="33"/>
  <c r="B48" i="33" s="1"/>
  <c r="S43" i="38"/>
  <c r="S48" i="38" s="1"/>
  <c r="C43" i="40"/>
  <c r="C48" i="40" s="1"/>
  <c r="O43" i="38"/>
  <c r="O48" i="38" s="1"/>
  <c r="W30" i="38"/>
  <c r="C43" i="38"/>
  <c r="C48" i="38" s="1"/>
  <c r="T43" i="27"/>
  <c r="T48" i="27" s="1"/>
  <c r="D43" i="27"/>
  <c r="D48" i="27" s="1"/>
  <c r="X30" i="27"/>
  <c r="P43" i="38"/>
  <c r="P48" i="38" s="1"/>
  <c r="L43" i="29"/>
  <c r="L48" i="29" s="1"/>
  <c r="D43" i="29"/>
  <c r="D48" i="29" s="1"/>
  <c r="H43" i="38"/>
  <c r="H48" i="38" s="1"/>
  <c r="H43" i="32"/>
  <c r="H48" i="32" s="1"/>
  <c r="X30" i="32"/>
  <c r="X30" i="38"/>
  <c r="Y30" i="41"/>
  <c r="U43" i="41"/>
  <c r="U48" i="41" s="1"/>
  <c r="Y30" i="43"/>
  <c r="U43" i="43"/>
  <c r="U48" i="43" s="1"/>
  <c r="M43" i="27"/>
  <c r="M48" i="27" s="1"/>
  <c r="Y30" i="27"/>
  <c r="Y30" i="38"/>
  <c r="B43" i="35"/>
  <c r="B48" i="35" s="1"/>
  <c r="B43" i="43"/>
  <c r="B48" i="43" s="1"/>
  <c r="B43" i="38"/>
  <c r="B48" i="38" s="1"/>
  <c r="B43" i="40"/>
  <c r="B48" i="40" s="1"/>
  <c r="C48" i="42"/>
  <c r="C43" i="28"/>
  <c r="C48" i="28" s="1"/>
  <c r="G43" i="33"/>
  <c r="G48" i="33" s="1"/>
  <c r="G43" i="32"/>
  <c r="G48" i="32" s="1"/>
  <c r="C43" i="32"/>
  <c r="C48" i="32" s="1"/>
  <c r="G48" i="41"/>
  <c r="G43" i="31"/>
  <c r="G48" i="31" s="1"/>
  <c r="C43" i="31"/>
  <c r="C48" i="31" s="1"/>
  <c r="G48" i="37"/>
  <c r="C43" i="29"/>
  <c r="C48" i="29" s="1"/>
  <c r="G48" i="40"/>
  <c r="D43" i="32"/>
  <c r="D48" i="32" s="1"/>
  <c r="H48" i="42"/>
  <c r="H43" i="28"/>
  <c r="H43" i="31"/>
  <c r="H48" i="31" s="1"/>
  <c r="X30" i="37"/>
  <c r="X30" i="29"/>
  <c r="I43" i="28"/>
  <c r="I48" i="28" s="1"/>
  <c r="Y30" i="28"/>
  <c r="I48" i="42"/>
  <c r="E43" i="42"/>
  <c r="E48" i="42" s="1"/>
  <c r="I43" i="35"/>
  <c r="I48" i="35" s="1"/>
  <c r="E43" i="35"/>
  <c r="E48" i="35" s="1"/>
  <c r="Y30" i="32"/>
  <c r="I48" i="33"/>
  <c r="I48" i="37"/>
  <c r="E43" i="37"/>
  <c r="E43" i="43"/>
  <c r="E48" i="43" s="1"/>
  <c r="I43" i="41"/>
  <c r="I48" i="41" s="1"/>
  <c r="E43" i="41"/>
  <c r="E48" i="41" s="1"/>
  <c r="I48" i="31"/>
  <c r="I43" i="38"/>
  <c r="I48" i="38" s="1"/>
  <c r="W21" i="29"/>
  <c r="S48" i="39"/>
  <c r="P43" i="30"/>
  <c r="P48" i="30" s="1"/>
  <c r="H43" i="30"/>
  <c r="H48" i="30" s="1"/>
  <c r="X21" i="28"/>
  <c r="X43" i="28" s="1"/>
  <c r="X48" i="28" s="1"/>
  <c r="U48" i="28"/>
  <c r="W21" i="36"/>
  <c r="Q48" i="36"/>
  <c r="Y21" i="30"/>
  <c r="W21" i="30"/>
  <c r="W21" i="27"/>
  <c r="G43" i="27"/>
  <c r="G48" i="27" s="1"/>
  <c r="X21" i="36"/>
  <c r="X21" i="30"/>
  <c r="X21" i="27"/>
  <c r="I48" i="36"/>
  <c r="Y21" i="36"/>
  <c r="W21" i="33"/>
  <c r="M48" i="30"/>
  <c r="Q48" i="30"/>
  <c r="W21" i="43"/>
  <c r="X21" i="43"/>
  <c r="Y21" i="43"/>
  <c r="I48" i="43"/>
  <c r="K43" i="39"/>
  <c r="K48" i="39" s="1"/>
  <c r="C43" i="39"/>
  <c r="C48" i="39" s="1"/>
  <c r="E48" i="40"/>
  <c r="W12" i="36"/>
  <c r="W12" i="42"/>
  <c r="W12" i="30"/>
  <c r="W12" i="29"/>
  <c r="W12" i="40"/>
  <c r="X12" i="44"/>
  <c r="Y12" i="28"/>
  <c r="Y12" i="32"/>
  <c r="Y12" i="35"/>
  <c r="Y12" i="33"/>
  <c r="Y12" i="37"/>
  <c r="Y46" i="6"/>
  <c r="X46" i="6"/>
  <c r="W46" i="6"/>
  <c r="V46" i="6"/>
  <c r="U46" i="6"/>
  <c r="T46" i="6"/>
  <c r="S46" i="6"/>
  <c r="R46" i="6"/>
  <c r="Q46" i="6"/>
  <c r="P46" i="6"/>
  <c r="O46" i="6"/>
  <c r="N46" i="6"/>
  <c r="M46" i="6"/>
  <c r="L46" i="6"/>
  <c r="K46" i="6"/>
  <c r="J46" i="6"/>
  <c r="I46" i="6"/>
  <c r="H46" i="6"/>
  <c r="G46" i="6"/>
  <c r="F46" i="6"/>
  <c r="E46" i="6"/>
  <c r="D46" i="6"/>
  <c r="C46" i="6"/>
  <c r="B46" i="6"/>
  <c r="Y45" i="6"/>
  <c r="X45" i="6"/>
  <c r="W45" i="6"/>
  <c r="V45" i="6"/>
  <c r="V47" i="6" s="1"/>
  <c r="U45" i="6"/>
  <c r="U47" i="6" s="1"/>
  <c r="T45" i="6"/>
  <c r="T47" i="6" s="1"/>
  <c r="S45" i="6"/>
  <c r="S47" i="6" s="1"/>
  <c r="R45" i="6"/>
  <c r="R47" i="6" s="1"/>
  <c r="Q45" i="6"/>
  <c r="Q47" i="6" s="1"/>
  <c r="P45" i="6"/>
  <c r="P47" i="6" s="1"/>
  <c r="O45" i="6"/>
  <c r="O47" i="6" s="1"/>
  <c r="N45" i="6"/>
  <c r="N47" i="6" s="1"/>
  <c r="M45" i="6"/>
  <c r="M47" i="6" s="1"/>
  <c r="L45" i="6"/>
  <c r="L47" i="6" s="1"/>
  <c r="K45" i="6"/>
  <c r="K47" i="6" s="1"/>
  <c r="J45" i="6"/>
  <c r="J47" i="6" s="1"/>
  <c r="I45" i="6"/>
  <c r="H45" i="6"/>
  <c r="G45" i="6"/>
  <c r="F45" i="6"/>
  <c r="F47" i="6" s="1"/>
  <c r="E45" i="6"/>
  <c r="E47" i="6" s="1"/>
  <c r="D45" i="6"/>
  <c r="D47" i="6" s="1"/>
  <c r="C45" i="6"/>
  <c r="C47" i="6" s="1"/>
  <c r="B45" i="6"/>
  <c r="B47" i="6" s="1"/>
  <c r="Y41" i="6"/>
  <c r="X41" i="6"/>
  <c r="W41" i="6"/>
  <c r="V41" i="6"/>
  <c r="U41" i="6"/>
  <c r="T41" i="6"/>
  <c r="S41" i="6"/>
  <c r="R41" i="6"/>
  <c r="Q41" i="6"/>
  <c r="P41" i="6"/>
  <c r="O41" i="6"/>
  <c r="N41" i="6"/>
  <c r="M41" i="6"/>
  <c r="L41" i="6"/>
  <c r="K41" i="6"/>
  <c r="J41" i="6"/>
  <c r="I41" i="6"/>
  <c r="H41" i="6"/>
  <c r="G41" i="6"/>
  <c r="F41" i="6"/>
  <c r="E41" i="6"/>
  <c r="D41" i="6"/>
  <c r="C41" i="6"/>
  <c r="B41" i="6"/>
  <c r="Y40" i="6"/>
  <c r="X40" i="6"/>
  <c r="W40" i="6"/>
  <c r="V40" i="6"/>
  <c r="U40" i="6"/>
  <c r="T40" i="6"/>
  <c r="S40" i="6"/>
  <c r="R40" i="6"/>
  <c r="Q40" i="6"/>
  <c r="P40" i="6"/>
  <c r="O40" i="6"/>
  <c r="N40" i="6"/>
  <c r="M40" i="6"/>
  <c r="L40" i="6"/>
  <c r="K40" i="6"/>
  <c r="J40" i="6"/>
  <c r="I40" i="6"/>
  <c r="H40" i="6"/>
  <c r="G40" i="6"/>
  <c r="F40" i="6"/>
  <c r="E40" i="6"/>
  <c r="D40" i="6"/>
  <c r="C40" i="6"/>
  <c r="B40" i="6"/>
  <c r="Y39" i="6"/>
  <c r="X39" i="6"/>
  <c r="W39" i="6"/>
  <c r="V39" i="6"/>
  <c r="U39" i="6"/>
  <c r="T39" i="6"/>
  <c r="S39" i="6"/>
  <c r="R39" i="6"/>
  <c r="Q39" i="6"/>
  <c r="P39" i="6"/>
  <c r="O39" i="6"/>
  <c r="N39" i="6"/>
  <c r="M39" i="6"/>
  <c r="L39" i="6"/>
  <c r="K39" i="6"/>
  <c r="J39" i="6"/>
  <c r="I39" i="6"/>
  <c r="H39" i="6"/>
  <c r="G39" i="6"/>
  <c r="F39" i="6"/>
  <c r="E39" i="6"/>
  <c r="D39" i="6"/>
  <c r="C39" i="6"/>
  <c r="B39" i="6"/>
  <c r="Y38" i="6"/>
  <c r="X38" i="6"/>
  <c r="W38" i="6"/>
  <c r="V38" i="6"/>
  <c r="U38" i="6"/>
  <c r="T38" i="6"/>
  <c r="S38" i="6"/>
  <c r="R38" i="6"/>
  <c r="Q38" i="6"/>
  <c r="P38" i="6"/>
  <c r="O38" i="6"/>
  <c r="N38" i="6"/>
  <c r="M38" i="6"/>
  <c r="L38" i="6"/>
  <c r="K38" i="6"/>
  <c r="J38" i="6"/>
  <c r="I38" i="6"/>
  <c r="H38" i="6"/>
  <c r="G38" i="6"/>
  <c r="F38" i="6"/>
  <c r="E38" i="6"/>
  <c r="D38" i="6"/>
  <c r="C38" i="6"/>
  <c r="B38" i="6"/>
  <c r="Y37" i="6"/>
  <c r="X37" i="6"/>
  <c r="W37" i="6"/>
  <c r="V37" i="6"/>
  <c r="U37" i="6"/>
  <c r="T37" i="6"/>
  <c r="S37" i="6"/>
  <c r="R37" i="6"/>
  <c r="Q37" i="6"/>
  <c r="P37" i="6"/>
  <c r="O37" i="6"/>
  <c r="N37" i="6"/>
  <c r="M37" i="6"/>
  <c r="L37" i="6"/>
  <c r="K37" i="6"/>
  <c r="J37" i="6"/>
  <c r="I37" i="6"/>
  <c r="H37" i="6"/>
  <c r="G37" i="6"/>
  <c r="F37" i="6"/>
  <c r="E37" i="6"/>
  <c r="D37" i="6"/>
  <c r="C37" i="6"/>
  <c r="B37" i="6"/>
  <c r="Y36" i="6"/>
  <c r="X36" i="6"/>
  <c r="W36" i="6"/>
  <c r="V36" i="6"/>
  <c r="V42" i="6" s="1"/>
  <c r="U36" i="6"/>
  <c r="U42" i="6" s="1"/>
  <c r="T36" i="6"/>
  <c r="T42" i="6" s="1"/>
  <c r="S36" i="6"/>
  <c r="S42" i="6" s="1"/>
  <c r="R36" i="6"/>
  <c r="R42" i="6" s="1"/>
  <c r="Q36" i="6"/>
  <c r="Q42" i="6" s="1"/>
  <c r="P36" i="6"/>
  <c r="P42" i="6" s="1"/>
  <c r="O36" i="6"/>
  <c r="O42" i="6" s="1"/>
  <c r="N36" i="6"/>
  <c r="N42" i="6" s="1"/>
  <c r="M36" i="6"/>
  <c r="M42" i="6" s="1"/>
  <c r="L36" i="6"/>
  <c r="L42" i="6" s="1"/>
  <c r="K36" i="6"/>
  <c r="K42" i="6" s="1"/>
  <c r="J36" i="6"/>
  <c r="J42" i="6" s="1"/>
  <c r="I36" i="6"/>
  <c r="H36" i="6"/>
  <c r="G36" i="6"/>
  <c r="F36" i="6"/>
  <c r="F42" i="6" s="1"/>
  <c r="E36" i="6"/>
  <c r="E42" i="6" s="1"/>
  <c r="D36" i="6"/>
  <c r="C36" i="6"/>
  <c r="C42" i="6" s="1"/>
  <c r="B36" i="6"/>
  <c r="B42" i="6" s="1"/>
  <c r="Y33" i="6"/>
  <c r="X33" i="6"/>
  <c r="W33" i="6"/>
  <c r="V33" i="6"/>
  <c r="U33" i="6"/>
  <c r="T33" i="6"/>
  <c r="S33" i="6"/>
  <c r="R33" i="6"/>
  <c r="Q33" i="6"/>
  <c r="P33" i="6"/>
  <c r="O33" i="6"/>
  <c r="N33" i="6"/>
  <c r="M33" i="6"/>
  <c r="L33" i="6"/>
  <c r="K33" i="6"/>
  <c r="J33" i="6"/>
  <c r="I33" i="6"/>
  <c r="H33" i="6"/>
  <c r="G33" i="6"/>
  <c r="F33" i="6"/>
  <c r="E33" i="6"/>
  <c r="D33" i="6"/>
  <c r="C33" i="6"/>
  <c r="B33" i="6"/>
  <c r="Y32" i="6"/>
  <c r="X32" i="6"/>
  <c r="W32" i="6"/>
  <c r="V32" i="6"/>
  <c r="V34" i="6" s="1"/>
  <c r="U32" i="6"/>
  <c r="U34" i="6" s="1"/>
  <c r="T32" i="6"/>
  <c r="T34" i="6" s="1"/>
  <c r="S32" i="6"/>
  <c r="S34" i="6" s="1"/>
  <c r="R32" i="6"/>
  <c r="R34" i="6" s="1"/>
  <c r="Q32" i="6"/>
  <c r="P32" i="6"/>
  <c r="P34" i="6" s="1"/>
  <c r="O32" i="6"/>
  <c r="O34" i="6" s="1"/>
  <c r="N32" i="6"/>
  <c r="N34" i="6" s="1"/>
  <c r="M32" i="6"/>
  <c r="M34" i="6" s="1"/>
  <c r="L32" i="6"/>
  <c r="L34" i="6" s="1"/>
  <c r="K32" i="6"/>
  <c r="K34" i="6" s="1"/>
  <c r="J32" i="6"/>
  <c r="J34" i="6" s="1"/>
  <c r="I32" i="6"/>
  <c r="H32" i="6"/>
  <c r="G32" i="6"/>
  <c r="F32" i="6"/>
  <c r="F34" i="6" s="1"/>
  <c r="E32" i="6"/>
  <c r="E34" i="6" s="1"/>
  <c r="D32" i="6"/>
  <c r="D34" i="6" s="1"/>
  <c r="C32" i="6"/>
  <c r="C34" i="6" s="1"/>
  <c r="B32" i="6"/>
  <c r="B34" i="6" s="1"/>
  <c r="Y29" i="6"/>
  <c r="X29" i="6"/>
  <c r="W29" i="6"/>
  <c r="V29" i="6"/>
  <c r="U29" i="6"/>
  <c r="T29" i="6"/>
  <c r="S29" i="6"/>
  <c r="R29" i="6"/>
  <c r="Q29" i="6"/>
  <c r="P29" i="6"/>
  <c r="O29" i="6"/>
  <c r="N29" i="6"/>
  <c r="M29" i="6"/>
  <c r="L29" i="6"/>
  <c r="K29" i="6"/>
  <c r="J29" i="6"/>
  <c r="I29" i="6"/>
  <c r="H29" i="6"/>
  <c r="G29" i="6"/>
  <c r="F29" i="6"/>
  <c r="E29" i="6"/>
  <c r="D29" i="6"/>
  <c r="C29" i="6"/>
  <c r="B29" i="6"/>
  <c r="Y28" i="6"/>
  <c r="X28" i="6"/>
  <c r="W28" i="6"/>
  <c r="V28" i="6"/>
  <c r="U28" i="6"/>
  <c r="T28" i="6"/>
  <c r="S28" i="6"/>
  <c r="R28" i="6"/>
  <c r="Q28" i="6"/>
  <c r="P28" i="6"/>
  <c r="O28" i="6"/>
  <c r="N28" i="6"/>
  <c r="M28" i="6"/>
  <c r="L28" i="6"/>
  <c r="K28" i="6"/>
  <c r="J28" i="6"/>
  <c r="I28" i="6"/>
  <c r="H28" i="6"/>
  <c r="G28" i="6"/>
  <c r="F28" i="6"/>
  <c r="E28" i="6"/>
  <c r="D28" i="6"/>
  <c r="C28" i="6"/>
  <c r="B28" i="6"/>
  <c r="Y27" i="6"/>
  <c r="X27" i="6"/>
  <c r="W27" i="6"/>
  <c r="V27" i="6"/>
  <c r="U27" i="6"/>
  <c r="T27" i="6"/>
  <c r="S27" i="6"/>
  <c r="R27" i="6"/>
  <c r="Q27" i="6"/>
  <c r="P27" i="6"/>
  <c r="O27" i="6"/>
  <c r="N27" i="6"/>
  <c r="M27" i="6"/>
  <c r="L27" i="6"/>
  <c r="K27" i="6"/>
  <c r="J27" i="6"/>
  <c r="I27" i="6"/>
  <c r="H27" i="6"/>
  <c r="G27" i="6"/>
  <c r="F27" i="6"/>
  <c r="E27" i="6"/>
  <c r="D27" i="6"/>
  <c r="C27" i="6"/>
  <c r="B27" i="6"/>
  <c r="Y26" i="6"/>
  <c r="X26" i="6"/>
  <c r="W26" i="6"/>
  <c r="V26" i="6"/>
  <c r="U26" i="6"/>
  <c r="T26" i="6"/>
  <c r="S26" i="6"/>
  <c r="R26" i="6"/>
  <c r="Q26" i="6"/>
  <c r="P26" i="6"/>
  <c r="O26" i="6"/>
  <c r="N26" i="6"/>
  <c r="M26" i="6"/>
  <c r="L26" i="6"/>
  <c r="K26" i="6"/>
  <c r="J26" i="6"/>
  <c r="I26" i="6"/>
  <c r="H26" i="6"/>
  <c r="G26" i="6"/>
  <c r="F26" i="6"/>
  <c r="E26" i="6"/>
  <c r="D26" i="6"/>
  <c r="C26" i="6"/>
  <c r="B26" i="6"/>
  <c r="Y25" i="6"/>
  <c r="X25" i="6"/>
  <c r="W25" i="6"/>
  <c r="V25" i="6"/>
  <c r="U25" i="6"/>
  <c r="T25" i="6"/>
  <c r="S25" i="6"/>
  <c r="R25" i="6"/>
  <c r="Q25" i="6"/>
  <c r="P25" i="6"/>
  <c r="O25" i="6"/>
  <c r="N25" i="6"/>
  <c r="M25" i="6"/>
  <c r="L25" i="6"/>
  <c r="K25" i="6"/>
  <c r="J25" i="6"/>
  <c r="I25" i="6"/>
  <c r="H25" i="6"/>
  <c r="G25" i="6"/>
  <c r="F25" i="6"/>
  <c r="E25" i="6"/>
  <c r="D25" i="6"/>
  <c r="C25" i="6"/>
  <c r="B25" i="6"/>
  <c r="Y24" i="6"/>
  <c r="X24" i="6"/>
  <c r="W24" i="6"/>
  <c r="V24" i="6"/>
  <c r="U24" i="6"/>
  <c r="T24" i="6"/>
  <c r="S24" i="6"/>
  <c r="R24" i="6"/>
  <c r="Q24" i="6"/>
  <c r="P24" i="6"/>
  <c r="O24" i="6"/>
  <c r="N24" i="6"/>
  <c r="M24" i="6"/>
  <c r="L24" i="6"/>
  <c r="K24" i="6"/>
  <c r="J24" i="6"/>
  <c r="I24" i="6"/>
  <c r="H24" i="6"/>
  <c r="G24" i="6"/>
  <c r="F24" i="6"/>
  <c r="E24" i="6"/>
  <c r="D24" i="6"/>
  <c r="C24" i="6"/>
  <c r="B24" i="6"/>
  <c r="Y23" i="6"/>
  <c r="X23" i="6"/>
  <c r="W23" i="6"/>
  <c r="V23" i="6"/>
  <c r="V30" i="6" s="1"/>
  <c r="U23" i="6"/>
  <c r="U30" i="6" s="1"/>
  <c r="T23" i="6"/>
  <c r="T30" i="6" s="1"/>
  <c r="S23" i="6"/>
  <c r="S30" i="6" s="1"/>
  <c r="R23" i="6"/>
  <c r="R30" i="6" s="1"/>
  <c r="Q23" i="6"/>
  <c r="Q30" i="6" s="1"/>
  <c r="P23" i="6"/>
  <c r="P30" i="6" s="1"/>
  <c r="O23" i="6"/>
  <c r="O30" i="6" s="1"/>
  <c r="N23" i="6"/>
  <c r="N30" i="6" s="1"/>
  <c r="M23" i="6"/>
  <c r="M30" i="6" s="1"/>
  <c r="L23" i="6"/>
  <c r="L30" i="6" s="1"/>
  <c r="K23" i="6"/>
  <c r="K30" i="6" s="1"/>
  <c r="J23" i="6"/>
  <c r="J30" i="6" s="1"/>
  <c r="I23" i="6"/>
  <c r="H23" i="6"/>
  <c r="G23" i="6"/>
  <c r="F23" i="6"/>
  <c r="F30" i="6" s="1"/>
  <c r="E23" i="6"/>
  <c r="E30" i="6" s="1"/>
  <c r="D23" i="6"/>
  <c r="D30" i="6" s="1"/>
  <c r="C23" i="6"/>
  <c r="C30" i="6" s="1"/>
  <c r="B23" i="6"/>
  <c r="B30" i="6" s="1"/>
  <c r="Y20" i="6"/>
  <c r="X20" i="6"/>
  <c r="W20" i="6"/>
  <c r="V20" i="6"/>
  <c r="U20" i="6"/>
  <c r="T20" i="6"/>
  <c r="S20" i="6"/>
  <c r="R20" i="6"/>
  <c r="Q20" i="6"/>
  <c r="P20" i="6"/>
  <c r="O20" i="6"/>
  <c r="N20" i="6"/>
  <c r="M20" i="6"/>
  <c r="L20" i="6"/>
  <c r="K20" i="6"/>
  <c r="J20" i="6"/>
  <c r="I20" i="6"/>
  <c r="H20" i="6"/>
  <c r="G20" i="6"/>
  <c r="F20" i="6"/>
  <c r="E20" i="6"/>
  <c r="D20" i="6"/>
  <c r="C20" i="6"/>
  <c r="B20" i="6"/>
  <c r="Y19" i="6"/>
  <c r="X19" i="6"/>
  <c r="W19" i="6"/>
  <c r="V19" i="6"/>
  <c r="U19" i="6"/>
  <c r="T19" i="6"/>
  <c r="S19" i="6"/>
  <c r="R19" i="6"/>
  <c r="Q19" i="6"/>
  <c r="P19" i="6"/>
  <c r="O19" i="6"/>
  <c r="N19" i="6"/>
  <c r="M19" i="6"/>
  <c r="L19" i="6"/>
  <c r="K19" i="6"/>
  <c r="J19" i="6"/>
  <c r="I19" i="6"/>
  <c r="H19" i="6"/>
  <c r="G19" i="6"/>
  <c r="F19" i="6"/>
  <c r="E19" i="6"/>
  <c r="D19" i="6"/>
  <c r="C19" i="6"/>
  <c r="B19" i="6"/>
  <c r="Y18" i="6"/>
  <c r="X18" i="6"/>
  <c r="W18" i="6"/>
  <c r="V18" i="6"/>
  <c r="U18" i="6"/>
  <c r="T18" i="6"/>
  <c r="S18" i="6"/>
  <c r="R18" i="6"/>
  <c r="Q18" i="6"/>
  <c r="P18" i="6"/>
  <c r="O18" i="6"/>
  <c r="N18" i="6"/>
  <c r="M18" i="6"/>
  <c r="L18" i="6"/>
  <c r="K18" i="6"/>
  <c r="J18" i="6"/>
  <c r="I18" i="6"/>
  <c r="H18" i="6"/>
  <c r="G18" i="6"/>
  <c r="F18" i="6"/>
  <c r="E18" i="6"/>
  <c r="D18" i="6"/>
  <c r="C18" i="6"/>
  <c r="B18" i="6"/>
  <c r="Y17" i="6"/>
  <c r="X17" i="6"/>
  <c r="W17" i="6"/>
  <c r="V17" i="6"/>
  <c r="U17" i="6"/>
  <c r="T17" i="6"/>
  <c r="S17" i="6"/>
  <c r="R17" i="6"/>
  <c r="Q17" i="6"/>
  <c r="P17" i="6"/>
  <c r="O17" i="6"/>
  <c r="N17" i="6"/>
  <c r="M17" i="6"/>
  <c r="L17" i="6"/>
  <c r="K17" i="6"/>
  <c r="J17" i="6"/>
  <c r="I17" i="6"/>
  <c r="H17" i="6"/>
  <c r="G17" i="6"/>
  <c r="F17" i="6"/>
  <c r="E17" i="6"/>
  <c r="D17" i="6"/>
  <c r="C17" i="6"/>
  <c r="B17" i="6"/>
  <c r="Y16" i="6"/>
  <c r="X16" i="6"/>
  <c r="W16" i="6"/>
  <c r="V16" i="6"/>
  <c r="U16" i="6"/>
  <c r="T16" i="6"/>
  <c r="S16" i="6"/>
  <c r="R16" i="6"/>
  <c r="Q16" i="6"/>
  <c r="P16" i="6"/>
  <c r="O16" i="6"/>
  <c r="N16" i="6"/>
  <c r="M16" i="6"/>
  <c r="L16" i="6"/>
  <c r="K16" i="6"/>
  <c r="J16" i="6"/>
  <c r="I16" i="6"/>
  <c r="H16" i="6"/>
  <c r="G16" i="6"/>
  <c r="F16" i="6"/>
  <c r="E16" i="6"/>
  <c r="D16" i="6"/>
  <c r="C16" i="6"/>
  <c r="B16" i="6"/>
  <c r="Y15" i="6"/>
  <c r="X15" i="6"/>
  <c r="W15" i="6"/>
  <c r="V15" i="6"/>
  <c r="V21" i="6" s="1"/>
  <c r="V43" i="6" s="1"/>
  <c r="U15" i="6"/>
  <c r="U21" i="6" s="1"/>
  <c r="U43" i="6" s="1"/>
  <c r="T15" i="6"/>
  <c r="T21" i="6" s="1"/>
  <c r="T43" i="6" s="1"/>
  <c r="S15" i="6"/>
  <c r="S21" i="6" s="1"/>
  <c r="S43" i="6" s="1"/>
  <c r="R15" i="6"/>
  <c r="R21" i="6" s="1"/>
  <c r="R43" i="6" s="1"/>
  <c r="Q15" i="6"/>
  <c r="P15" i="6"/>
  <c r="P21" i="6" s="1"/>
  <c r="P43" i="6" s="1"/>
  <c r="O15" i="6"/>
  <c r="O21" i="6" s="1"/>
  <c r="O43" i="6" s="1"/>
  <c r="N15" i="6"/>
  <c r="N21" i="6" s="1"/>
  <c r="N43" i="6" s="1"/>
  <c r="M15" i="6"/>
  <c r="M21" i="6" s="1"/>
  <c r="L15" i="6"/>
  <c r="K15" i="6"/>
  <c r="K21" i="6" s="1"/>
  <c r="J15" i="6"/>
  <c r="J21" i="6" s="1"/>
  <c r="J43" i="6" s="1"/>
  <c r="I15" i="6"/>
  <c r="H15" i="6"/>
  <c r="G15" i="6"/>
  <c r="F15" i="6"/>
  <c r="E15" i="6"/>
  <c r="E21" i="6" s="1"/>
  <c r="E43" i="6" s="1"/>
  <c r="D15" i="6"/>
  <c r="C15" i="6"/>
  <c r="C21" i="6" s="1"/>
  <c r="C43" i="6" s="1"/>
  <c r="B15" i="6"/>
  <c r="B21" i="6" s="1"/>
  <c r="B43" i="6" s="1"/>
  <c r="Y11" i="6"/>
  <c r="X11" i="6"/>
  <c r="W11" i="6"/>
  <c r="V11" i="6"/>
  <c r="U11" i="6"/>
  <c r="T11" i="6"/>
  <c r="S11" i="6"/>
  <c r="R11" i="6"/>
  <c r="Q11" i="6"/>
  <c r="P11" i="6"/>
  <c r="O11" i="6"/>
  <c r="N11" i="6"/>
  <c r="M11" i="6"/>
  <c r="L11" i="6"/>
  <c r="K11" i="6"/>
  <c r="J11" i="6"/>
  <c r="I11" i="6"/>
  <c r="H11" i="6"/>
  <c r="G11" i="6"/>
  <c r="F11" i="6"/>
  <c r="E11" i="6"/>
  <c r="D11" i="6"/>
  <c r="C11" i="6"/>
  <c r="B11" i="6"/>
  <c r="Y10" i="6"/>
  <c r="X10" i="6"/>
  <c r="W10" i="6"/>
  <c r="V10" i="6"/>
  <c r="U10" i="6"/>
  <c r="T10" i="6"/>
  <c r="S10" i="6"/>
  <c r="R10" i="6"/>
  <c r="Q10" i="6"/>
  <c r="P10" i="6"/>
  <c r="O10" i="6"/>
  <c r="N10" i="6"/>
  <c r="M10" i="6"/>
  <c r="L10" i="6"/>
  <c r="K10" i="6"/>
  <c r="J10" i="6"/>
  <c r="I10" i="6"/>
  <c r="H10" i="6"/>
  <c r="G10" i="6"/>
  <c r="F10" i="6"/>
  <c r="E10" i="6"/>
  <c r="D10" i="6"/>
  <c r="C10" i="6"/>
  <c r="B10" i="6"/>
  <c r="Y9" i="6"/>
  <c r="X9" i="6"/>
  <c r="W9" i="6"/>
  <c r="V9" i="6"/>
  <c r="U9" i="6"/>
  <c r="T9" i="6"/>
  <c r="S9" i="6"/>
  <c r="R9" i="6"/>
  <c r="Q9" i="6"/>
  <c r="P9" i="6"/>
  <c r="O9" i="6"/>
  <c r="N9" i="6"/>
  <c r="M9" i="6"/>
  <c r="L9" i="6"/>
  <c r="K9" i="6"/>
  <c r="J9" i="6"/>
  <c r="I9" i="6"/>
  <c r="H9" i="6"/>
  <c r="G9" i="6"/>
  <c r="F9" i="6"/>
  <c r="E9" i="6"/>
  <c r="D9" i="6"/>
  <c r="C9" i="6"/>
  <c r="B9" i="6"/>
  <c r="Y8" i="6"/>
  <c r="X8" i="6"/>
  <c r="W8" i="6"/>
  <c r="V8" i="6"/>
  <c r="V12" i="6" s="1"/>
  <c r="U8" i="6"/>
  <c r="U12" i="6" s="1"/>
  <c r="T8" i="6"/>
  <c r="T12" i="6" s="1"/>
  <c r="S8" i="6"/>
  <c r="S12" i="6" s="1"/>
  <c r="R8" i="6"/>
  <c r="R12" i="6" s="1"/>
  <c r="Q8" i="6"/>
  <c r="Q12" i="6" s="1"/>
  <c r="P8" i="6"/>
  <c r="P12" i="6" s="1"/>
  <c r="O8" i="6"/>
  <c r="O12" i="6" s="1"/>
  <c r="N8" i="6"/>
  <c r="N12" i="6" s="1"/>
  <c r="M8" i="6"/>
  <c r="M12" i="6" s="1"/>
  <c r="L8" i="6"/>
  <c r="L12" i="6" s="1"/>
  <c r="K8" i="6"/>
  <c r="K12" i="6" s="1"/>
  <c r="J8" i="6"/>
  <c r="J12" i="6" s="1"/>
  <c r="I8" i="6"/>
  <c r="H8" i="6"/>
  <c r="G8" i="6"/>
  <c r="F8" i="6"/>
  <c r="F12" i="6" s="1"/>
  <c r="E8" i="6"/>
  <c r="E12" i="6" s="1"/>
  <c r="D8" i="6"/>
  <c r="D12" i="6" s="1"/>
  <c r="C8" i="6"/>
  <c r="C12" i="6" s="1"/>
  <c r="B8" i="6"/>
  <c r="B12" i="6" s="1"/>
  <c r="A1" i="6"/>
  <c r="V48" i="44"/>
  <c r="H48" i="44"/>
  <c r="P48" i="44"/>
  <c r="T48" i="44"/>
  <c r="F48" i="43"/>
  <c r="N48" i="43"/>
  <c r="R48" i="43"/>
  <c r="F48" i="42"/>
  <c r="V48" i="42"/>
  <c r="G48" i="42"/>
  <c r="O48" i="42"/>
  <c r="H48" i="41"/>
  <c r="P48" i="41"/>
  <c r="S48" i="41"/>
  <c r="F48" i="40"/>
  <c r="H48" i="40"/>
  <c r="L48" i="40"/>
  <c r="H48" i="39"/>
  <c r="P48" i="39"/>
  <c r="R48" i="39"/>
  <c r="E48" i="37"/>
  <c r="M48" i="37"/>
  <c r="U48" i="37"/>
  <c r="V48" i="37"/>
  <c r="H48" i="37"/>
  <c r="P48" i="37"/>
  <c r="K48" i="37"/>
  <c r="Y43" i="37"/>
  <c r="Y48" i="37" s="1"/>
  <c r="H48" i="35"/>
  <c r="R48" i="35"/>
  <c r="K48" i="35"/>
  <c r="S48" i="35"/>
  <c r="H48" i="34"/>
  <c r="L48" i="34"/>
  <c r="T48" i="34"/>
  <c r="P48" i="34"/>
  <c r="E48" i="34"/>
  <c r="M48" i="34"/>
  <c r="U48" i="34"/>
  <c r="H48" i="33"/>
  <c r="P48" i="33"/>
  <c r="T48" i="33"/>
  <c r="P48" i="32"/>
  <c r="L48" i="32"/>
  <c r="R48" i="31"/>
  <c r="N48" i="30"/>
  <c r="N48" i="29"/>
  <c r="G48" i="29"/>
  <c r="M48" i="29"/>
  <c r="F48" i="29"/>
  <c r="H48" i="28"/>
  <c r="P48" i="28"/>
  <c r="W43" i="28"/>
  <c r="W48" i="28" s="1"/>
  <c r="L48" i="28"/>
  <c r="T48" i="28"/>
  <c r="N48" i="27"/>
  <c r="X43" i="34" l="1"/>
  <c r="X48" i="34" s="1"/>
  <c r="X43" i="37"/>
  <c r="X48" i="37" s="1"/>
  <c r="W43" i="41"/>
  <c r="W48" i="41" s="1"/>
  <c r="W43" i="42"/>
  <c r="W43" i="39"/>
  <c r="W48" i="39" s="1"/>
  <c r="N48" i="6"/>
  <c r="V48" i="6"/>
  <c r="X43" i="42"/>
  <c r="X48" i="42" s="1"/>
  <c r="Y43" i="39"/>
  <c r="Y48" i="39" s="1"/>
  <c r="D21" i="6"/>
  <c r="R48" i="6"/>
  <c r="Y43" i="42"/>
  <c r="Y48" i="42" s="1"/>
  <c r="L21" i="6"/>
  <c r="L43" i="6" s="1"/>
  <c r="D42" i="6"/>
  <c r="Y43" i="40"/>
  <c r="Y48" i="40" s="1"/>
  <c r="F21" i="6"/>
  <c r="X43" i="41"/>
  <c r="X48" i="41" s="1"/>
  <c r="Y43" i="28"/>
  <c r="Y48" i="28" s="1"/>
  <c r="Y43" i="34"/>
  <c r="Y48" i="34" s="1"/>
  <c r="Q34" i="6"/>
  <c r="J48" i="6"/>
  <c r="X43" i="39"/>
  <c r="X48" i="39" s="1"/>
  <c r="W48" i="42"/>
  <c r="W43" i="33"/>
  <c r="W48" i="33" s="1"/>
  <c r="W43" i="37"/>
  <c r="W48" i="37" s="1"/>
  <c r="W43" i="35"/>
  <c r="W48" i="35" s="1"/>
  <c r="X43" i="29"/>
  <c r="X48" i="29" s="1"/>
  <c r="W43" i="32"/>
  <c r="W48" i="32" s="1"/>
  <c r="W43" i="40"/>
  <c r="W48" i="40" s="1"/>
  <c r="W43" i="31"/>
  <c r="W48" i="31" s="1"/>
  <c r="W43" i="29"/>
  <c r="W48" i="29" s="1"/>
  <c r="W43" i="27"/>
  <c r="W48" i="27" s="1"/>
  <c r="W43" i="38"/>
  <c r="W48" i="38" s="1"/>
  <c r="W43" i="44"/>
  <c r="W48" i="44" s="1"/>
  <c r="X43" i="44"/>
  <c r="X48" i="44" s="1"/>
  <c r="X43" i="33"/>
  <c r="X48" i="33" s="1"/>
  <c r="X43" i="32"/>
  <c r="X48" i="32" s="1"/>
  <c r="X43" i="40"/>
  <c r="X48" i="40" s="1"/>
  <c r="X43" i="31"/>
  <c r="X48" i="31" s="1"/>
  <c r="X43" i="38"/>
  <c r="X48" i="38" s="1"/>
  <c r="Y43" i="32"/>
  <c r="Y48" i="32" s="1"/>
  <c r="Y43" i="27"/>
  <c r="Y48" i="27" s="1"/>
  <c r="Y43" i="29"/>
  <c r="Y48" i="29" s="1"/>
  <c r="Y43" i="35"/>
  <c r="Y48" i="35" s="1"/>
  <c r="Y43" i="33"/>
  <c r="Y48" i="33" s="1"/>
  <c r="Y43" i="44"/>
  <c r="Y48" i="44" s="1"/>
  <c r="Y43" i="41"/>
  <c r="Y48" i="41" s="1"/>
  <c r="Y43" i="31"/>
  <c r="Y48" i="31" s="1"/>
  <c r="Y43" i="38"/>
  <c r="Y48" i="38" s="1"/>
  <c r="X43" i="35"/>
  <c r="X48" i="35" s="1"/>
  <c r="W43" i="43"/>
  <c r="W48" i="43" s="1"/>
  <c r="X43" i="30"/>
  <c r="X48" i="30" s="1"/>
  <c r="X43" i="43"/>
  <c r="X48" i="43" s="1"/>
  <c r="Y43" i="30"/>
  <c r="Y48" i="30" s="1"/>
  <c r="W43" i="30"/>
  <c r="W48" i="30" s="1"/>
  <c r="W43" i="36"/>
  <c r="W48" i="36" s="1"/>
  <c r="X43" i="36"/>
  <c r="X48" i="36" s="1"/>
  <c r="Y43" i="36"/>
  <c r="Y48" i="36" s="1"/>
  <c r="X43" i="27"/>
  <c r="X48" i="27" s="1"/>
  <c r="Y43" i="43"/>
  <c r="Y48" i="43" s="1"/>
  <c r="Y47" i="6"/>
  <c r="I47" i="6"/>
  <c r="H47" i="6"/>
  <c r="X47" i="6"/>
  <c r="G47" i="6"/>
  <c r="W47" i="6"/>
  <c r="Y42" i="6"/>
  <c r="K43" i="6"/>
  <c r="K48" i="6" s="1"/>
  <c r="F43" i="6"/>
  <c r="F48" i="6" s="1"/>
  <c r="I42" i="6"/>
  <c r="H42" i="6"/>
  <c r="X42" i="6"/>
  <c r="G42" i="6"/>
  <c r="W42" i="6"/>
  <c r="I34" i="6"/>
  <c r="Y34" i="6"/>
  <c r="H34" i="6"/>
  <c r="X34" i="6"/>
  <c r="W34" i="6"/>
  <c r="G34" i="6"/>
  <c r="M43" i="6"/>
  <c r="M48" i="6" s="1"/>
  <c r="U48" i="6"/>
  <c r="O48" i="6"/>
  <c r="I30" i="6"/>
  <c r="Y30" i="6"/>
  <c r="X30" i="6"/>
  <c r="H30" i="6"/>
  <c r="W30" i="6"/>
  <c r="G30" i="6"/>
  <c r="C48" i="6"/>
  <c r="P48" i="6"/>
  <c r="T48" i="6"/>
  <c r="S48" i="6"/>
  <c r="Q21" i="6"/>
  <c r="E48" i="6"/>
  <c r="L48" i="6"/>
  <c r="I21" i="6"/>
  <c r="Y21" i="6"/>
  <c r="X21" i="6"/>
  <c r="H21" i="6"/>
  <c r="G21" i="6"/>
  <c r="W21" i="6"/>
  <c r="B48" i="6"/>
  <c r="Y12" i="6"/>
  <c r="I12" i="6"/>
  <c r="X12" i="6"/>
  <c r="H12" i="6"/>
  <c r="G12" i="6"/>
  <c r="W12" i="6"/>
  <c r="B4" i="5"/>
  <c r="A1" i="5" a="1"/>
  <c r="Q43" i="6" l="1"/>
  <c r="Q48" i="6" s="1"/>
  <c r="D43" i="6"/>
  <c r="D48" i="6" s="1"/>
  <c r="H43" i="6"/>
  <c r="H48" i="6" s="1"/>
  <c r="I43" i="6"/>
  <c r="I48" i="6" s="1"/>
  <c r="G43" i="6"/>
  <c r="G48" i="6" s="1"/>
  <c r="Y43" i="6"/>
  <c r="Y48" i="6" s="1"/>
  <c r="X43" i="6"/>
  <c r="X48" i="6" s="1"/>
  <c r="W43" i="6"/>
  <c r="W48" i="6" s="1"/>
  <c r="A1" i="5"/>
  <c r="M46" i="5"/>
  <c r="M45" i="5"/>
  <c r="M41" i="5"/>
  <c r="M40" i="5"/>
  <c r="M39" i="5"/>
  <c r="M38" i="5"/>
  <c r="M37" i="5"/>
  <c r="M36" i="5"/>
  <c r="M33" i="5"/>
  <c r="M32" i="5"/>
  <c r="M29" i="5"/>
  <c r="M28" i="5"/>
  <c r="M27" i="5"/>
  <c r="M26" i="5"/>
  <c r="M25" i="5"/>
  <c r="M24" i="5"/>
  <c r="M23" i="5"/>
  <c r="M20" i="5"/>
  <c r="M19" i="5"/>
  <c r="M18" i="5"/>
  <c r="M17" i="5"/>
  <c r="M16" i="5"/>
  <c r="M15" i="5"/>
  <c r="M11" i="5"/>
  <c r="M10" i="5"/>
  <c r="M9" i="5"/>
  <c r="M8" i="5"/>
  <c r="L47" i="5"/>
  <c r="L42" i="5"/>
  <c r="L34" i="5"/>
  <c r="L30" i="5"/>
  <c r="L21" i="5"/>
  <c r="M34" i="5" l="1"/>
  <c r="M47" i="5"/>
  <c r="M21" i="5"/>
  <c r="M42" i="5"/>
  <c r="M30" i="5"/>
  <c r="M12" i="5"/>
  <c r="L12" i="5"/>
  <c r="L43" i="5"/>
  <c r="C12" i="5"/>
  <c r="D12" i="5"/>
  <c r="E12" i="5"/>
  <c r="F12" i="5"/>
  <c r="G12" i="5"/>
  <c r="H12" i="5"/>
  <c r="I12" i="5"/>
  <c r="J12" i="5"/>
  <c r="K12" i="5"/>
  <c r="K47" i="5"/>
  <c r="K42" i="5"/>
  <c r="K34" i="5"/>
  <c r="K30" i="5"/>
  <c r="K21" i="5"/>
  <c r="J47" i="5"/>
  <c r="J42" i="5"/>
  <c r="J34" i="5"/>
  <c r="J30" i="5"/>
  <c r="J21" i="5"/>
  <c r="I47" i="5"/>
  <c r="H47" i="5"/>
  <c r="I42" i="5"/>
  <c r="H42" i="5"/>
  <c r="I34" i="5"/>
  <c r="H34" i="5"/>
  <c r="I30" i="5"/>
  <c r="H30" i="5"/>
  <c r="I21" i="5"/>
  <c r="H21" i="5"/>
  <c r="G47" i="5"/>
  <c r="F47" i="5"/>
  <c r="G42" i="5"/>
  <c r="F42" i="5"/>
  <c r="G34" i="5"/>
  <c r="F34" i="5"/>
  <c r="G30" i="5"/>
  <c r="F30" i="5"/>
  <c r="G21" i="5"/>
  <c r="F21" i="5"/>
  <c r="E47" i="5"/>
  <c r="D47" i="5"/>
  <c r="E42" i="5"/>
  <c r="D42" i="5"/>
  <c r="E34" i="5"/>
  <c r="D34" i="5"/>
  <c r="E30" i="5"/>
  <c r="D30" i="5"/>
  <c r="E21" i="5"/>
  <c r="D21" i="5"/>
  <c r="C47" i="5"/>
  <c r="B47" i="5"/>
  <c r="C42" i="5"/>
  <c r="B42" i="5"/>
  <c r="C34" i="5"/>
  <c r="B34" i="5"/>
  <c r="C30" i="5"/>
  <c r="B30" i="5"/>
  <c r="C21" i="5"/>
  <c r="B21" i="5"/>
  <c r="B12" i="5"/>
  <c r="M43" i="5" l="1"/>
  <c r="M48" i="5" s="1"/>
  <c r="L48" i="5"/>
  <c r="K43" i="5"/>
  <c r="K48" i="5" s="1"/>
  <c r="D43" i="5"/>
  <c r="D48" i="5" s="1"/>
  <c r="E43" i="5"/>
  <c r="E48" i="5" s="1"/>
  <c r="J43" i="5"/>
  <c r="J48" i="5" s="1"/>
  <c r="F43" i="5"/>
  <c r="F48" i="5" s="1"/>
  <c r="I43" i="5"/>
  <c r="I48" i="5" s="1"/>
  <c r="C43" i="5"/>
  <c r="C48" i="5" s="1"/>
  <c r="G43" i="5"/>
  <c r="G48" i="5" s="1"/>
  <c r="H43" i="5"/>
  <c r="H48" i="5" s="1"/>
  <c r="B43" i="5"/>
  <c r="B48" i="5"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<sst xmlns="http://schemas.openxmlformats.org/spreadsheetml/2006/main" count="3919" uniqueCount="811">
  <si>
    <t>Cost Center</t>
  </si>
  <si>
    <t>CUSG</t>
  </si>
  <si>
    <t>Useful Keyboard Shortcuts</t>
  </si>
  <si>
    <t>Ctrl + Shift + A</t>
  </si>
  <si>
    <t>Returns you to this sheet</t>
  </si>
  <si>
    <t>Ctrl + Shift + Z</t>
  </si>
  <si>
    <t>972000 - 994999 MISCELLANEOUS DEBT</t>
  </si>
  <si>
    <t>Debt Management</t>
  </si>
  <si>
    <t>971300 - 971399 ENDOWMENT DEDUCTION</t>
  </si>
  <si>
    <t>971200 - 971299 LOAN CANCELLATION</t>
  </si>
  <si>
    <t>971100 - 971199 OTHER FUND DEDUCTIONS</t>
  </si>
  <si>
    <t>971000 - 971099 LONG-TERM NOTE INTEREST</t>
  </si>
  <si>
    <t>970900 - 970999 BOND INTEREST</t>
  </si>
  <si>
    <t>970800 - 970899 LONG-TERM NOTE RETIREMENT</t>
  </si>
  <si>
    <t>970700 - 970799 BOND RETIREMENT</t>
  </si>
  <si>
    <t>970600 - 970699 CAPITALIZED ASSET-DEBT</t>
  </si>
  <si>
    <t>970500 - 970599 LONG-TERM LIABILITY ASSUMED</t>
  </si>
  <si>
    <t>970400 - 970499 FIXED ASSET INVENTORY ADJUST</t>
  </si>
  <si>
    <t>970300 - 970399 DISPOSAL OF PLANT FACILITIES</t>
  </si>
  <si>
    <t>970000 - 970099 OTHER DEDUCTIONS GEN BUDGET</t>
  </si>
  <si>
    <t>811400 - 812399 DEPR-AMORT EXPENSE</t>
  </si>
  <si>
    <t>542500 - 544999 INTEREST, ROYALTIES &amp; PATENTS</t>
  </si>
  <si>
    <t>997000 - 999997 VOLUNTARY TRANSFERS OUT</t>
  </si>
  <si>
    <t>Transfers Out</t>
  </si>
  <si>
    <t>960200 - 960299 GENERAL INFRASTRUCTURE RECHARG</t>
  </si>
  <si>
    <t>GIR</t>
  </si>
  <si>
    <t>960400 - 960499 OTHER ALLOCATIONS</t>
  </si>
  <si>
    <t>GAR</t>
  </si>
  <si>
    <t>960100 - 960199 GEN ADMIN RECHARGE</t>
  </si>
  <si>
    <t>790276 - 790399 LIBRARY-PERIODICALS RECHARGE</t>
  </si>
  <si>
    <t>950600 - 950699 F-A OTHER OFF-CAMPUS</t>
  </si>
  <si>
    <t>Facilities &amp; Admin.</t>
  </si>
  <si>
    <t>950500 - 950599 F-A OTHER ON-CAMPUS</t>
  </si>
  <si>
    <t>950400 - 950499 F-A INSTRUCTIONAL OFF-CAMPUS</t>
  </si>
  <si>
    <t>950300 - 950399 F-A INSTRUCTIONAL ON-CAMPUS</t>
  </si>
  <si>
    <t>950200 - 950299 F-A - RESEARCH OFF-CAMPUS</t>
  </si>
  <si>
    <t>950100 - 950199 FACILITIES&amp;ADMINSTRATION COSTS</t>
  </si>
  <si>
    <t>950000 - 950099 F-A GENERAL BUDGET</t>
  </si>
  <si>
    <t>970200 - 970299 CAPITALIZE CONSTRUCT-IN-PROGRE</t>
  </si>
  <si>
    <t>Capital</t>
  </si>
  <si>
    <t>970100 - 970199 EXPANDED PLANT FACILITIES</t>
  </si>
  <si>
    <t>811300 - 811399 CONSTRUCTION COSTS</t>
  </si>
  <si>
    <t>811200 - 811299 1998 COP EQUIP OVER $5,000</t>
  </si>
  <si>
    <t>811100 - 811199 BUILDING ACQUISITION</t>
  </si>
  <si>
    <t>811000 - 811099 LAND-SITE ACQUISITION</t>
  </si>
  <si>
    <t>810900 - 810999 EQUIP LESS THAN $5,000 FA EXMP</t>
  </si>
  <si>
    <t>810800 - 810899 FEDERAL EQUIPMENT COMPONENTS</t>
  </si>
  <si>
    <t>810700 - 810799 EQUIPMENT COMPONENTS</t>
  </si>
  <si>
    <t>810600 - 810699 LEASE PURCHASE INTEREST</t>
  </si>
  <si>
    <t>810500 - 810599 LEASE PURCHASE PRINCIPAL</t>
  </si>
  <si>
    <t>810400 - 810499 NON-DEPRECIABLE COLLECTIONS</t>
  </si>
  <si>
    <t>810350 - 810399 INTANGIBLE ASSETS</t>
  </si>
  <si>
    <t>810300 - 810349 EQUIP OVER $5,000 PRIVATE TTLE</t>
  </si>
  <si>
    <t>810200 - 810299 EQUIP OVER $5,000 GOVT TITLE</t>
  </si>
  <si>
    <t>810100 - 810199 EQUIPMENT OVER $5,000</t>
  </si>
  <si>
    <t>810000 - 810099 FIXED ASSETS GENERAL BUDGET</t>
  </si>
  <si>
    <t>792501 CAPITAL DISTRIBUTION</t>
  </si>
  <si>
    <t>792500 NONOPERATING EXPENSE MISC</t>
  </si>
  <si>
    <t>752496 ID - SEWER</t>
  </si>
  <si>
    <t>Utilities</t>
  </si>
  <si>
    <t>752495 ID - WATER</t>
  </si>
  <si>
    <t>752494 ID - ELECTRIC</t>
  </si>
  <si>
    <t>752493 ID - OTHER UTILITIES</t>
  </si>
  <si>
    <t>752492 ID - CHILLED WATER</t>
  </si>
  <si>
    <t>751100 - 751199 AHEC UTILITIES</t>
  </si>
  <si>
    <t>751000 - 751099 OTHER UTILITIES</t>
  </si>
  <si>
    <t>750900 - 750999 FLOOD CONTROL</t>
  </si>
  <si>
    <t>750800 - 750899 CHILLED WATER</t>
  </si>
  <si>
    <t>750700 - 750799 FUEL OIL</t>
  </si>
  <si>
    <t>750600 - 750699 NATURAL GAS</t>
  </si>
  <si>
    <t>750500 - 750599 SEWER</t>
  </si>
  <si>
    <t>750400 - 750499 WATER</t>
  </si>
  <si>
    <t>750300 - 750399 ELECTRICITY</t>
  </si>
  <si>
    <t>750200 - 750299 STEAM</t>
  </si>
  <si>
    <t>750100 - 750199 UTILITIES</t>
  </si>
  <si>
    <t>750000 - 750099 UTILITIES GENERAL BUDGET</t>
  </si>
  <si>
    <t>545000 - 545499 INSURANCE</t>
  </si>
  <si>
    <t>Insurance</t>
  </si>
  <si>
    <t>702000 - 703999 NON-EMPLOYEE TRAVEL</t>
  </si>
  <si>
    <t>Non-Employee Travel</t>
  </si>
  <si>
    <t>700100 - 701999 EMPLOYEE TRAVEL</t>
  </si>
  <si>
    <t>Employee Travel</t>
  </si>
  <si>
    <t>700000 - 700099 TRAVEL GENERAL BUDGET</t>
  </si>
  <si>
    <t>950700 - 950799 STUDENT AID ADMIN ALLOWANCE</t>
  </si>
  <si>
    <t>Other Operating Expense</t>
  </si>
  <si>
    <t>557500 - 699999 PLACEHOLDER</t>
  </si>
  <si>
    <t>552500 - 557499 OTHER OPERATING EXPENSES</t>
  </si>
  <si>
    <t>547500 - 549999 DONATIONS &amp; COMMUNITY SUPPORT</t>
  </si>
  <si>
    <t>537500 - 539999 EQUIPMENT - NON-CAPITAL</t>
  </si>
  <si>
    <t>535000 - 537499 MEDICAL SUPPLIES AND SERVICES</t>
  </si>
  <si>
    <t>532500 - 534999 FIELD RESEARCH EXPENSES</t>
  </si>
  <si>
    <t>520000 - 522499 HOSPITALIZATION COSTS</t>
  </si>
  <si>
    <t>515000 - 517499 PHYSICAL PLANT MAINT &amp; REPAIR</t>
  </si>
  <si>
    <t>510000 - 512499 DUES AND MEMBERSHIPS</t>
  </si>
  <si>
    <t>497500 - 499999 MOTOR VEHICLE MAINT &amp; SUPPLIES</t>
  </si>
  <si>
    <t>495000 - 497499 HONOR, FELLWSHPS &amp; PART. COSTS</t>
  </si>
  <si>
    <t>492500 - 494999 GRANTS AND SUBCONTRACTS</t>
  </si>
  <si>
    <t>507500 - 509999 ADVERTISING AND PUBLICITY</t>
  </si>
  <si>
    <t>Promotional Materials &amp; Services</t>
  </si>
  <si>
    <t>490000 - 492499 MICROFORM,PHOTOGR&amp;GRAPHICSUPPL</t>
  </si>
  <si>
    <t>487500 - 489999 PRINT, PUBLICATIONS&amp;REPRODUCTN</t>
  </si>
  <si>
    <t>502500 - 504999 RENTALS, BUILDING, SPACE, LAND</t>
  </si>
  <si>
    <t>Rentals</t>
  </si>
  <si>
    <t>550000 - 552499 OFFICIAL FUNCTIONS</t>
  </si>
  <si>
    <t>Official Functions</t>
  </si>
  <si>
    <t>522500 - 524999 FOOD SUPPLIES AND SERVICES</t>
  </si>
  <si>
    <t>790110 - 790275 NONCAP BKS-PERIODICALS LIBRARY</t>
  </si>
  <si>
    <t>Office Administration</t>
  </si>
  <si>
    <t>790100 - 790109 CAP. BKS-PERIODICALS LIBRARY</t>
  </si>
  <si>
    <t>790000 - 790099 BKS-PER LIBRARY GEN BDGT</t>
  </si>
  <si>
    <t>540000 - 542499 FREIGHT, MOVING AND STORAGE</t>
  </si>
  <si>
    <t>530000 - 532499 LABORATORY &amp; TECHNICAL SHOP</t>
  </si>
  <si>
    <t>527500 - 529999 INSTRUCTIONAL SUPPLIES &amp; SRVS</t>
  </si>
  <si>
    <t>517500 - 519999 CUSTODIAL AND LAUNDRY</t>
  </si>
  <si>
    <t>512500 - 514999 SUBSCRIPT,BKS,PERIODCLS,SCORS</t>
  </si>
  <si>
    <t>500000 - 502499 INFORMATION TECHNOLOGY</t>
  </si>
  <si>
    <t>485000 - 487499 POSTAL COSTS</t>
  </si>
  <si>
    <t>482500 - 484999 TELECOMMUNICATIONS</t>
  </si>
  <si>
    <t>480000 - 482499 OFFICE ADMINSTRATION</t>
  </si>
  <si>
    <t>450600 - 459999 PLACEHOLDER</t>
  </si>
  <si>
    <t>COGS</t>
  </si>
  <si>
    <t>450500 - 450599 FREIGHT RETURNED PURCHASES</t>
  </si>
  <si>
    <t>450400 - 450499 COST OF GOODS SOLD ADJUSTMENTS</t>
  </si>
  <si>
    <t>450300 - 450399 PHYSICAL INVENTORY ADJUSTMENT</t>
  </si>
  <si>
    <t>450200 - 450299 COGS-COST OF GOODS SOLD</t>
  </si>
  <si>
    <t>450100 - 450199 COGS-GENERAL BUDGET</t>
  </si>
  <si>
    <t>460000 - 479999 OPERATING EXPENSE GEN BUDGET</t>
  </si>
  <si>
    <t>Operating Expense Budget</t>
  </si>
  <si>
    <t>431001 - 439999 PLACEHOLDER</t>
  </si>
  <si>
    <t>Hourly Benefits</t>
  </si>
  <si>
    <t>431000 - 431000 PERA PENSION EXPENSE OFFSET</t>
  </si>
  <si>
    <t>430900 - 430999 SUSPENSE BEN</t>
  </si>
  <si>
    <t>430200 - 430899 PLACEHOLDER</t>
  </si>
  <si>
    <t>430000 - 430199 PBS SUSPENSE</t>
  </si>
  <si>
    <t>429200 - 429999 PLACEHOLDER</t>
  </si>
  <si>
    <t>428290 - 429199 ALL STD-OTH PER BEN</t>
  </si>
  <si>
    <t>428260 - 428289 OTH PER BEN</t>
  </si>
  <si>
    <t>427500 - 428259 STD HR BEN</t>
  </si>
  <si>
    <t>426400 - 427499 PLACEHOLDER</t>
  </si>
  <si>
    <t>Classified Benefits</t>
  </si>
  <si>
    <t>425400 - 426399 ALLCLASS BEN</t>
  </si>
  <si>
    <t>425300 - 425399 CLASS PTT BEN</t>
  </si>
  <si>
    <t>425200 - 425299 CLASS FTT BEN</t>
  </si>
  <si>
    <t>425100 - 425199 CLASS PTP BEN</t>
  </si>
  <si>
    <t>425000 - 425099 CLASS FTP BEN</t>
  </si>
  <si>
    <t>422900 - 424999 PLACEHOLDER</t>
  </si>
  <si>
    <t>Professional Benefits</t>
  </si>
  <si>
    <t>422800 - 422899 MDRS BEN (HSC)</t>
  </si>
  <si>
    <t>422500 - 422799 O-E BEN</t>
  </si>
  <si>
    <t>422440 - 422499 ALLSTD FAC MISC BEN</t>
  </si>
  <si>
    <t>422410 - 422439 ALLSTD FAC TTN BEN</t>
  </si>
  <si>
    <t>422400 - 422409 ALLSTD FAC BEN</t>
  </si>
  <si>
    <t>422360 - 422399 STDFAC PTT BEN</t>
  </si>
  <si>
    <t>422300 - 422359 STDFAC PTP BEN</t>
  </si>
  <si>
    <t>422260 - 422299 STDFAC FTT BEN</t>
  </si>
  <si>
    <t>422210 - 422259 STDFAC FTP BEN</t>
  </si>
  <si>
    <t>422100 - 422204 ALLFAC P-TGR BEN</t>
  </si>
  <si>
    <t>422000 - 422099 FELL PT BEN</t>
  </si>
  <si>
    <t>421800 - 421999 RSASFAC P-TGR BEN</t>
  </si>
  <si>
    <t>421600 - 421799 PRAFAC P-TGR BEN</t>
  </si>
  <si>
    <t>421400 - 421599 OTHFAC P-TGR BEN</t>
  </si>
  <si>
    <t>421200 - 421399 RSCHFAC P-TGR BEN</t>
  </si>
  <si>
    <t>421000 - 421199 CLNFAC P-TGR BEN</t>
  </si>
  <si>
    <t>420500 - 420999 FAC P-TGR BEN</t>
  </si>
  <si>
    <t>419900 - 420499 PLACEHOLDER</t>
  </si>
  <si>
    <t>419090 - 419899 ALLFAC FTP BEN</t>
  </si>
  <si>
    <t>419000 - 419089 FELL FT BEN</t>
  </si>
  <si>
    <t>418900 - 418999 OTHFAC FTP BEN</t>
  </si>
  <si>
    <t>418800 - 418899 RSASFAC FTP BEN</t>
  </si>
  <si>
    <t>418700 - 418799 PRAFAC FTP BEN</t>
  </si>
  <si>
    <t>418600 - 418699 RSCHFAC FTP BEN</t>
  </si>
  <si>
    <t>418500 - 418599 CLNFAC FTP BEN</t>
  </si>
  <si>
    <t>418400 - 418499 FAC FTP BEN</t>
  </si>
  <si>
    <t>408200 - 408299 ALL STD PAY</t>
  </si>
  <si>
    <t>Hourly Wages</t>
  </si>
  <si>
    <t>408100 - 408199 OTH PER PAY</t>
  </si>
  <si>
    <t>407900 - 407999 STD HR OVERTIME</t>
  </si>
  <si>
    <t>407800 - 407899 STD OFFC WS PAY</t>
  </si>
  <si>
    <t>407700 - 407799 STD ONC WS PAY</t>
  </si>
  <si>
    <t>407500 - 407699 STD HR PAY</t>
  </si>
  <si>
    <t>406000 - 407499 PLACEHOLDER</t>
  </si>
  <si>
    <t>Classified Salaries</t>
  </si>
  <si>
    <t>405450 - 405999 ALLCLASS SAL</t>
  </si>
  <si>
    <t>405350 - 405449 CLASS PTT SAL</t>
  </si>
  <si>
    <t>405250 - 405349 CLASS FTT SAL</t>
  </si>
  <si>
    <t>405150 - 405249 CLASS PTP SAL</t>
  </si>
  <si>
    <t>405000 - 405149 CLASS FTP SAL</t>
  </si>
  <si>
    <t>403100 - 404999 PLACEHOLDER</t>
  </si>
  <si>
    <t>Professional Salaries</t>
  </si>
  <si>
    <t>402500 - 403099 O-E SAL</t>
  </si>
  <si>
    <t>402400 - 402499 ALLSTD FAC SAL</t>
  </si>
  <si>
    <t>402350 - 402399 STDFAC PTT SAL</t>
  </si>
  <si>
    <t>402300 - 402349 STDFAC PTP SAL</t>
  </si>
  <si>
    <t>402250 - 402299 STDFAC FTT SAL</t>
  </si>
  <si>
    <t>402200 - 402249 STDFAC FTP SAL</t>
  </si>
  <si>
    <t>401850 - 402099 OTHFAC P-TGR SAL</t>
  </si>
  <si>
    <t>401750 - 401849 RSASFAC P-TGR FAC SAL</t>
  </si>
  <si>
    <t>401450 - 401649 PRA P-TGR FAC SAL</t>
  </si>
  <si>
    <t>401200 - 401449 FAC P-TGR SAL</t>
  </si>
  <si>
    <t>401100 - 401199 CLNFAC P-TGR SAL</t>
  </si>
  <si>
    <t>401000 - 401099 RSCHFAC P-TGR SAL</t>
  </si>
  <si>
    <t>400890 - 400999 ALLFAC FTP SAL</t>
  </si>
  <si>
    <t>400790 - 400889 FELL FT PAY</t>
  </si>
  <si>
    <t>400690 - 400789 OTHFAC FTP SAL</t>
  </si>
  <si>
    <t>400550 - 400689 RSASFAC FTP SAL</t>
  </si>
  <si>
    <t>400390 - 400549 PRAFAC FTP SAL</t>
  </si>
  <si>
    <t>400290 - 400389 RSCHFAC FTP SAL</t>
  </si>
  <si>
    <t>400190 - 400289 CLNFAC FTP SAL</t>
  </si>
  <si>
    <t>400000 - 400189 FAC FTP SAL</t>
  </si>
  <si>
    <t>995000 - 996999 VOLUNTARY TRANSFERS IN</t>
  </si>
  <si>
    <t>Transfers In</t>
  </si>
  <si>
    <t>971101 - 971101 REFUNDED TO GRANTORS-FEDERAL</t>
  </si>
  <si>
    <t>Gift &amp; Grant</t>
  </si>
  <si>
    <t>390097 ID GIFT - ATHLETIC SUPPORT</t>
  </si>
  <si>
    <t>390028 ID GIFT REVENUE - COLEMAN</t>
  </si>
  <si>
    <t>240000 - 240997 PRIVATE GIFTS-GRANTS-CONTRACTS</t>
  </si>
  <si>
    <t>237000 - 237499 GRANT-CONTRACT - GOVT</t>
  </si>
  <si>
    <t>236500 - 236999 GRANT-CONTRACT - STATE OF COLO</t>
  </si>
  <si>
    <t>235400 - 236499 GRANT-CONTRACT - FED SUB-RECIP</t>
  </si>
  <si>
    <t>235100 - 235399 GRANTS-CONTRACT - FEDERAL</t>
  </si>
  <si>
    <t>235000 - 235099 GRANTS-CONTRACTS-GFTS-GEN BDGT</t>
  </si>
  <si>
    <t>390126 ID ALCOHOL SALES</t>
  </si>
  <si>
    <t>Self-Generated Revenues</t>
  </si>
  <si>
    <t>390125 ID SURPLUS PROPERTY PROCEEDS</t>
  </si>
  <si>
    <t>390124 ID TTO CMMIZ SVC-FEDERAL AWDS</t>
  </si>
  <si>
    <t xml:space="preserve">390123 ID SALES TO GRANTS-CONTRACTS		</t>
  </si>
  <si>
    <t>390122 ID SSEA CAPE-SPACE RENTALS</t>
  </si>
  <si>
    <t>390121 ID SSEA CAPE-STD PT RENTALS</t>
  </si>
  <si>
    <t>390120 ID SSEA CAPE-STUDENT GROUPS</t>
  </si>
  <si>
    <t>390119 ID SSEA CAPE-SOP-AMC</t>
  </si>
  <si>
    <t>390118 ID SSEA CAPE-SDM-AMC</t>
  </si>
  <si>
    <t>390117 ID SSEA CAPE-INTERPROFSSNL-AMC</t>
  </si>
  <si>
    <t>390116 ID SSEA CAPE-GME-AMC SOM</t>
  </si>
  <si>
    <t>390115 ID SSEA CAPE-CON-AMC</t>
  </si>
  <si>
    <t>390114 ID SSEA CAPE-UME-AMC</t>
  </si>
  <si>
    <t>390113 ID SSEA CAPE-PHYSTHERAPY-AMC</t>
  </si>
  <si>
    <t>390112 ID SSEA CAPE-CHA-PA-AMC SOM</t>
  </si>
  <si>
    <t>390111 ID CU TRASH PICKUP MISC</t>
  </si>
  <si>
    <t>390110 ID CU TRASH PICKUP HSG</t>
  </si>
  <si>
    <t>390109 ID CAMPUS NETWORK REVENUE</t>
  </si>
  <si>
    <t>390108 ID PROGRAM INCOME</t>
  </si>
  <si>
    <t>390107 ID-SPECIAL EVENT ADMISSION REV</t>
  </si>
  <si>
    <t>390106 ID RENT - PEACE CORPS</t>
  </si>
  <si>
    <t>390105 ID MEMBERSHIP-DUES REVENUE</t>
  </si>
  <si>
    <t>390104 ID CME MISC ADMIN FEE</t>
  </si>
  <si>
    <t>390103 ID CME CONFERENCE BALANCE FEE</t>
  </si>
  <si>
    <t>390102 ID CME PER-PERSON FEE</t>
  </si>
  <si>
    <t>390101 ID CME ADMINISTRATIVE FEE</t>
  </si>
  <si>
    <t>390100 ID CME CONFERENCE SERVICE FEE</t>
  </si>
  <si>
    <t>390098 ID GRAD STUDNT TUITION PAYBACK</t>
  </si>
  <si>
    <t>390096 ID - LOGGIA RENT</t>
  </si>
  <si>
    <t>390095 ID IRB REVENUE</t>
  </si>
  <si>
    <t>390094 ID NETWORK SERVICES</t>
  </si>
  <si>
    <t>390093 ID BLDG OPER REVENUE</t>
  </si>
  <si>
    <t>390092 ID REVENUE REFUND</t>
  </si>
  <si>
    <t>390091 ID ROYALTY REVENUE ALLOCATION</t>
  </si>
  <si>
    <t>390090 ID - FLOOD CONTROL</t>
  </si>
  <si>
    <t>390089 ID - NATURAL GAS</t>
  </si>
  <si>
    <t>390088 ID - SEWER</t>
  </si>
  <si>
    <t>390087 ID - WATER</t>
  </si>
  <si>
    <t>390086 ID - ELECTRICITY</t>
  </si>
  <si>
    <t>390085 ID SSE PROMOTIONAL SUPPORT</t>
  </si>
  <si>
    <t>390084 ID CME ADMIN FEE REVENUE</t>
  </si>
  <si>
    <t>390083 ID CME CONFERENCE FEE REVENUE</t>
  </si>
  <si>
    <t>390081 ID ASSESSMENT REVENUE</t>
  </si>
  <si>
    <t>390080 ID CONCERT REVENUE</t>
  </si>
  <si>
    <t>390079 ID LABOR REVENUE</t>
  </si>
  <si>
    <t>390078 ID EQUIPMENT RENTAL</t>
  </si>
  <si>
    <t>390077 ID FACILITY RENTAL</t>
  </si>
  <si>
    <t>390076 ID CONFERENCE REVENUE</t>
  </si>
  <si>
    <t>390075 ID RENT - CAREER SERVICES</t>
  </si>
  <si>
    <t>390074 ID KEY FEES</t>
  </si>
  <si>
    <t>390073 ID ROOM RENTAL - CONFERENCES</t>
  </si>
  <si>
    <t>390072 ID ROOM RENTAL - NON-ACADEMIC</t>
  </si>
  <si>
    <t>390071 ID ROOM RENTAL - UMC</t>
  </si>
  <si>
    <t>390070 ID DISCOUNTS</t>
  </si>
  <si>
    <t>390069 ID RENT - HONOR CODE</t>
  </si>
  <si>
    <t>390067 ID RENT - STAFF COUNCIL</t>
  </si>
  <si>
    <t>390066 ID RENT - PHARMACY</t>
  </si>
  <si>
    <t>390065 ID RENT - GREEK AFFAIRS</t>
  </si>
  <si>
    <t>390064 ID RENT - FA-STUDENT EMPLOYMNT</t>
  </si>
  <si>
    <t>390063 ID RENT - IMAGING SERVICES</t>
  </si>
  <si>
    <t>390062 ID RENT - BOOKSTORE</t>
  </si>
  <si>
    <t>390061 ID INTRNL LOAN INTEREST REV</t>
  </si>
  <si>
    <t>390060 ID GENERAL REVENUE FROM SYS</t>
  </si>
  <si>
    <t>390059 ID GENERAL REVENUE FROM UCCS</t>
  </si>
  <si>
    <t>390058 ID GENERAL REVENUE FROM UCD</t>
  </si>
  <si>
    <t>390057 ID GENERAL REVENUE FROM HSC</t>
  </si>
  <si>
    <t>390056 ID GENERAL REVENUE FROM UCB</t>
  </si>
  <si>
    <t>390055 ID TTO MGMT FEE</t>
  </si>
  <si>
    <t>390054 ID LICENSE DISTRIBUTION-TTO</t>
  </si>
  <si>
    <t>390053 ID LICENSE DISBURSEMENT-UCCS</t>
  </si>
  <si>
    <t>390052 ID LICENSE DISBURSMT-UCDDENVER</t>
  </si>
  <si>
    <t>390051 ID LICENSE DISBURSMT-UCDANSCHZ</t>
  </si>
  <si>
    <t>390050 ID LICENSE DISBURSEMENT-UCB</t>
  </si>
  <si>
    <t>390049 ID LEGAL REIMBURSEMENT</t>
  </si>
  <si>
    <t>390032 ID TRASH ROLLOFF REVENUE</t>
  </si>
  <si>
    <t>390031 ID LABOR REVENUE</t>
  </si>
  <si>
    <t>390030 ID ISISCOLLECTIONSERVICES REV</t>
  </si>
  <si>
    <t>390029 ID ISIS BILLING SERVICE REV</t>
  </si>
  <si>
    <t>390027 ID GME - ADMINISTRATIVE FEE</t>
  </si>
  <si>
    <t>390026 ID GME-OFF-CAMP MALPRACT PREM</t>
  </si>
  <si>
    <t>390025 ID GME-OFF-CAMP DISAB PREM</t>
  </si>
  <si>
    <t>390024 ID GME-OFF-CAMP LIFE INS PREM</t>
  </si>
  <si>
    <t>390023 ID GME-HLTH BEN-DENTAL PREM</t>
  </si>
  <si>
    <t>390022 ID GME-HLTH BEN-MEDICAL PREM</t>
  </si>
  <si>
    <t>390021 ID LABORATORY SALES</t>
  </si>
  <si>
    <t>390020 ID ADVERTISING REVENUES</t>
  </si>
  <si>
    <t>390019 ID LAB SERVICES</t>
  </si>
  <si>
    <t>390018 ID INSTRUCTIONAL FEES</t>
  </si>
  <si>
    <t>390017 ID TUITION</t>
  </si>
  <si>
    <t>390016 ID MEDICAL SERVICES</t>
  </si>
  <si>
    <t>390015 ID SSEA REVENUE</t>
  </si>
  <si>
    <t>390014 ID RENTAL REVENUE</t>
  </si>
  <si>
    <t>390013 ID MOVING REVENUE</t>
  </si>
  <si>
    <t>390012 ID INSURANCE REVENUE</t>
  </si>
  <si>
    <t>390011 ID PRINTING SERVICES</t>
  </si>
  <si>
    <t>390010 ID STORAGE REVENUE</t>
  </si>
  <si>
    <t>390009 ID INFORMATION TECHNOLOGY REV</t>
  </si>
  <si>
    <t>390008 ID CUSTODIAL SERVICES</t>
  </si>
  <si>
    <t>390007 ID SUPPLIES SALES</t>
  </si>
  <si>
    <t>390006 ID PROFESSIONAL SERVICES</t>
  </si>
  <si>
    <t>390005 ID FOOD SERVICES</t>
  </si>
  <si>
    <t>390004 ID RECYCLING SERVICES</t>
  </si>
  <si>
    <t>390003 ID PHYSICAL PLANT SERVICES</t>
  </si>
  <si>
    <t>390002 ID SECURITY SERVICES</t>
  </si>
  <si>
    <t>390001 ID MISC REVENUE</t>
  </si>
  <si>
    <t>390000 ID REVENUE GENERAL BUDGET</t>
  </si>
  <si>
    <t>385000 - 389999 REFUND SERVICE CENTER IN REV</t>
  </si>
  <si>
    <t>380100 - 384999 SERVICE CENTER IN REVENUE</t>
  </si>
  <si>
    <t>380000 - 380099 SERVICE CENTER IN GENERAL BUDG</t>
  </si>
  <si>
    <t>355700 - 355799 ADDITIONS TO ENDOWMENT FUND</t>
  </si>
  <si>
    <t>355500 - 355599 AURARIA LIBRARY-MEDIA REVENUE</t>
  </si>
  <si>
    <t>355400 - 355499 REFINANCING NET GAINS-LOSSES</t>
  </si>
  <si>
    <t>355300 - 355399 RETIREMENT OF DEBT</t>
  </si>
  <si>
    <t>355200 - 355299 ADDITIONS TO PLANT</t>
  </si>
  <si>
    <t>355100 - 355199 US GOVERNMENT ADVANCES</t>
  </si>
  <si>
    <t>355000 - 355099 OTHER FUND ADDL GENERAL BUDGET</t>
  </si>
  <si>
    <t>334997 - 334997 MISC FEES BAD DEBT CONTRA</t>
  </si>
  <si>
    <t>333000 - 334996 RFND-PROCEEDS PROPERTY SALES</t>
  </si>
  <si>
    <t>325100 - 332999 MISCELLANEOUS INCOME</t>
  </si>
  <si>
    <t>325000 - 325099 MISC INCOME-GEN BUDGET</t>
  </si>
  <si>
    <t>321000 - 321997 REFUND RENTAL INCOME</t>
  </si>
  <si>
    <t>320100 - 320999 RENTAL INCOME</t>
  </si>
  <si>
    <t>320000 - 320099 RENTAL INCOME GENERAL BUDGET</t>
  </si>
  <si>
    <t>315700 - 315799 STUDENT AID ADMIN ALLOWANCE</t>
  </si>
  <si>
    <t>315600 - 315699 F-A REV-OTHER OFF-CAMPUS</t>
  </si>
  <si>
    <t>315500 - 315599 F-A REV-OTHER ON-CAMPUS</t>
  </si>
  <si>
    <t>315400 - 315499 F-A REV-INSTRUCTION OFF-CAMPUS</t>
  </si>
  <si>
    <t>315300 - 315399 F-A REV-INSTRUCTION ON-CAMPUS</t>
  </si>
  <si>
    <t>315200 - 315299 F-A REV-RESEARCH OFF-CAMPUS</t>
  </si>
  <si>
    <t>315100 - 315199 F-A REV-RESEARCH ON-CAMPUS</t>
  </si>
  <si>
    <t>315000 - 315099 F-A GENERAL BUDGET</t>
  </si>
  <si>
    <t>311000 - 311999 RFND HEALTH SERVICES REVENUE</t>
  </si>
  <si>
    <t>310100 - 310999 HEALTH SERVICES REVENUE</t>
  </si>
  <si>
    <t>310000 - 310099 HEALTH SERVICES REV-GEN BUDGET</t>
  </si>
  <si>
    <t>289999 AUX REV SCHOL ALLOW EXMPT</t>
  </si>
  <si>
    <t>289998 AUX REV SCHOL ALLOW NONEXMPT</t>
  </si>
  <si>
    <t>285000 - 289997 REFUND-AUX ENTERPRISE REVENUE</t>
  </si>
  <si>
    <t>280100 - 284999 AUXILLIARY ENTERPRISE REVENUE</t>
  </si>
  <si>
    <t>280000 - 280099 AUX ENTERPRISE REV-GEN BDGT</t>
  </si>
  <si>
    <t>255000 - 259997 REFUND - SALES-SRVS EDUC ACTIV</t>
  </si>
  <si>
    <t>250100 - 254999 SALES&amp;SRVS EDUCATIONAL ACTIVTS</t>
  </si>
  <si>
    <t>250000 - 250099 SALES-SERV ED ACT GEN BDGT</t>
  </si>
  <si>
    <t>237500 - 237999 REVENUE-PROGRAM INCOME</t>
  </si>
  <si>
    <t>202006 COP 2008 CAP CONT INTEREST REV</t>
  </si>
  <si>
    <t>202005 COP 2008 CAPITAL CONTRIBUTION</t>
  </si>
  <si>
    <t>202004 COP CAP CONTRIBUT-ISS COSTS</t>
  </si>
  <si>
    <t>202003 COP CAP CONTRIBUT-INT REV</t>
  </si>
  <si>
    <t>202002 COP CAP CONTRIBUT-INT EXP</t>
  </si>
  <si>
    <t>202001 COP CAPITAL CONTRIBUT TRANSFER</t>
  </si>
  <si>
    <t>202000 CONTRIBUTN FROM STATE GEN BUDG</t>
  </si>
  <si>
    <t>201000 - 201997 REFUNDS ON APPROPRIATIONS</t>
  </si>
  <si>
    <t>200100 - 200999 APPROPRIATIONS</t>
  </si>
  <si>
    <t>200000 REVENUE GENERAL BUDGET</t>
  </si>
  <si>
    <t>229999 FEES SCHOL ALLOW-EXMPT</t>
  </si>
  <si>
    <t>Student Fee Revenues</t>
  </si>
  <si>
    <t>229998 FEES SCHOL ALLOW-NONEXMPT</t>
  </si>
  <si>
    <t>229997 - 229997 FEES BAD DEBT CONTRA</t>
  </si>
  <si>
    <t>225000 - 229996 REFUND STUDENT ACTIVITY FEES</t>
  </si>
  <si>
    <t>220000 - 224999 STUDENT FEES</t>
  </si>
  <si>
    <t>Upper</t>
  </si>
  <si>
    <t>Lower</t>
  </si>
  <si>
    <t>Account Code</t>
  </si>
  <si>
    <t>Line Item Account</t>
  </si>
  <si>
    <t>Row #</t>
  </si>
  <si>
    <t>Speedtype</t>
  </si>
  <si>
    <t>Consolidate Into</t>
  </si>
  <si>
    <t>Fund Balance</t>
  </si>
  <si>
    <t>12010675 -- CUSG APPELLATE COURT</t>
  </si>
  <si>
    <t>Appellate Court</t>
  </si>
  <si>
    <t>Main</t>
  </si>
  <si>
    <t>12019481 -- CUSG CCS/LEG</t>
  </si>
  <si>
    <t>CCS</t>
  </si>
  <si>
    <t>12016579 -- CUSG ELECTIONS</t>
  </si>
  <si>
    <t>Elections</t>
  </si>
  <si>
    <t>12016931 -- CUSG PAYROLL</t>
  </si>
  <si>
    <t>Exec Staff Payroll</t>
  </si>
  <si>
    <t>12017973 -- CUSG FINANCE BOARD</t>
  </si>
  <si>
    <t>Finance Board</t>
  </si>
  <si>
    <t>12061257 -- CUSG FRESHMAN COUNCIL</t>
  </si>
  <si>
    <t>Freshman Council</t>
  </si>
  <si>
    <t>12061258 -- CUSG HOMECOMING</t>
  </si>
  <si>
    <t>Homecoming</t>
  </si>
  <si>
    <t>12001808 -- INCIDENT RESPONSE - CUSG CCS</t>
  </si>
  <si>
    <t>Incident Response</t>
  </si>
  <si>
    <t>12020244 -- CUSG LEG CNCL DISC</t>
  </si>
  <si>
    <t>Leg Cncl Disc</t>
  </si>
  <si>
    <t>12020250 -- CUSG LEG CNCL DISC</t>
  </si>
  <si>
    <t>12028619 -- CUSG LEG CNCL STAFF</t>
  </si>
  <si>
    <t>Leg Cncl Staff</t>
  </si>
  <si>
    <t>12016858 -- CUSG LEGIS AFFAIRS COMM</t>
  </si>
  <si>
    <t>Legis Affairs Comm</t>
  </si>
  <si>
    <t>12016565 -- CUSG OPERATIONS</t>
  </si>
  <si>
    <t>Operations</t>
  </si>
  <si>
    <t>12016648 -- CUSG OPERATIONS</t>
  </si>
  <si>
    <t>12001363 -- CUSG PAYROLL SUSPENSE</t>
  </si>
  <si>
    <t>Payroll Suspense</t>
  </si>
  <si>
    <t>12000984 -- CUSG PROGRAMMING</t>
  </si>
  <si>
    <t>Programming</t>
  </si>
  <si>
    <t>12020378 -- CUSG PUBLIC RELATION</t>
  </si>
  <si>
    <t>Public Relations</t>
  </si>
  <si>
    <t>12026382 -- CUSG REP COUNCIL</t>
  </si>
  <si>
    <t>Rep Council</t>
  </si>
  <si>
    <t>Rep</t>
  </si>
  <si>
    <t>12026391 -- CUSG REP COUNCIL</t>
  </si>
  <si>
    <t>12016081 -- CUSG STAFF SUPPORT</t>
  </si>
  <si>
    <t>Staff Support</t>
  </si>
  <si>
    <t>12010476 -- CUSG TRAVEL</t>
  </si>
  <si>
    <t>Travel</t>
  </si>
  <si>
    <t>REC</t>
  </si>
  <si>
    <t>12021453 -- CLEARING</t>
  </si>
  <si>
    <t>12021496 -- CLIMBING GYM</t>
  </si>
  <si>
    <t>12028667 -- CLUB SPORTS (FR) ADM</t>
  </si>
  <si>
    <t>12001035 -- CLUBS ADMIN</t>
  </si>
  <si>
    <t>12001036 -- CLUBS EMT/TRAINERS</t>
  </si>
  <si>
    <t>12001037 -- CLUBS FACILITY RENTAL</t>
  </si>
  <si>
    <t>12051681 -- COLORADO CREW (FR)</t>
  </si>
  <si>
    <t>12001039 -- CREW SF</t>
  </si>
  <si>
    <t>12023546 -- CYCLING (FR)</t>
  </si>
  <si>
    <t>12001071 -- CYCLING SF</t>
  </si>
  <si>
    <t>12023549 -- DANCE (FR)</t>
  </si>
  <si>
    <t>12001040 -- DANCE SF</t>
  </si>
  <si>
    <t>12001387 -- DISCOVERY SUMMER CAMPS</t>
  </si>
  <si>
    <t>12023551 -- EQUESTRIAN (FR)</t>
  </si>
  <si>
    <t>12086362 -- FAC ADMIN SPECIAL PROJECTS</t>
  </si>
  <si>
    <t>12012402 -- FACILITY RENTAL</t>
  </si>
  <si>
    <t>12023553 -- FENCING (FR)</t>
  </si>
  <si>
    <t>12001042 -- FENCING SF</t>
  </si>
  <si>
    <t>12023568 -- FIELD HOCKEY (FR)</t>
  </si>
  <si>
    <t>12001043 -- FIELD HOCKEY SF</t>
  </si>
  <si>
    <t>12030457 -- FITNESS EQPMNT/WEIGHT RM</t>
  </si>
  <si>
    <t>12023567 -- FLY FISHING (FR)</t>
  </si>
  <si>
    <t>12001044 -- FLY FISHING SF</t>
  </si>
  <si>
    <t>12022392 -- FOOD SERVICE</t>
  </si>
  <si>
    <t>12057297 -- FREE STYLE SKI (FR)</t>
  </si>
  <si>
    <t>12001045 -- FREESTYLE SKIING SF</t>
  </si>
  <si>
    <t>12000355 -- FWP CYCLE</t>
  </si>
  <si>
    <t>12014027 -- GROUP FITNESS</t>
  </si>
  <si>
    <t>12001247 -- HOCKEY, MEN'S 2ND TEAM SF</t>
  </si>
  <si>
    <t>12001046 -- HOCKEY, MEN'S SF</t>
  </si>
  <si>
    <t>12001047 -- HOCKEY, WOMEN'S SF</t>
  </si>
  <si>
    <t>12001807 -- INCIDENT RESPONSE - CLUB SPRTS</t>
  </si>
  <si>
    <t>12001373 -- INCLUSIVE SPORTS SUMMIT</t>
  </si>
  <si>
    <t>12018472 -- INSTRUCTION ADMIN</t>
  </si>
  <si>
    <t>12015461 -- INSTRUCTION AQUA</t>
  </si>
  <si>
    <t>12017991 -- INSTRUCTION DANCE</t>
  </si>
  <si>
    <t>12027600 -- INSTRUCTION MART ART</t>
  </si>
  <si>
    <t>12011344 -- INSTRUCTION RACQUET</t>
  </si>
  <si>
    <t>12028225 -- INTRAMURALS</t>
  </si>
  <si>
    <t>12031662 -- IT SUPPORT</t>
  </si>
  <si>
    <t>12023566 -- KAYAK (FR)</t>
  </si>
  <si>
    <t>12001048 -- KAYAK, SF</t>
  </si>
  <si>
    <t>12001049 -- LACROSSE, MEN'S SF</t>
  </si>
  <si>
    <t>12001050 -- LACROSSE, WOMEN'S SF</t>
  </si>
  <si>
    <t>12051682 -- LATE NIGHT - STUDENT FEES</t>
  </si>
  <si>
    <t>12014182 -- LOCKER RENTAL</t>
  </si>
  <si>
    <t>12053296 -- MAINTENANCE - CUSTODIAL</t>
  </si>
  <si>
    <t>12086896 -- MAINTENANCE - PARTS/SUPPLIES</t>
  </si>
  <si>
    <t>12001643 -- MARKETING: EVENTS</t>
  </si>
  <si>
    <t>12023696 -- MEMBERSHIP/USE FEE</t>
  </si>
  <si>
    <t>12023552 -- MEN'S HOCKEY (FR)</t>
  </si>
  <si>
    <t>12001246 -- MEN'S HOCKEY 2ND TEAM (FR)</t>
  </si>
  <si>
    <t>12023563 -- MEN'S LACROSSE (FR)</t>
  </si>
  <si>
    <t>12023550 -- MEN'S RUGBY (FR)</t>
  </si>
  <si>
    <t>12023561 -- MEN'S SOCCER (FR)</t>
  </si>
  <si>
    <t>12023556 -- MEN'S ULTIMATE (FR)</t>
  </si>
  <si>
    <t>12030805 -- MEN'S VOLLEYBALL (FR)</t>
  </si>
  <si>
    <t>12023555 -- MEN'S WATER POLO (FR)</t>
  </si>
  <si>
    <t>12017103 -- MIND BODY</t>
  </si>
  <si>
    <t>12024188 -- MISC FW ACTIVITIES</t>
  </si>
  <si>
    <t>12001290 -- MISC. TRIPS AND CLINICS</t>
  </si>
  <si>
    <t>12031666 -- NIRSA</t>
  </si>
  <si>
    <t>12001557 -- NIRSA SPORTS TOURNAMENTS</t>
  </si>
  <si>
    <t>12025353 -- OP GENERAL OPS</t>
  </si>
  <si>
    <t>12001289 -- OUTDOOR EQUIPMENT RENTAL</t>
  </si>
  <si>
    <t>12015774 -- PERSONAL TRAINING</t>
  </si>
  <si>
    <t>12000582 -- PRO SHOP OPERATION</t>
  </si>
  <si>
    <t>12086363 -- PROG ADMIN SPECIAL PROJECTS</t>
  </si>
  <si>
    <t>12023562 -- RACQUETBALL (FR)</t>
  </si>
  <si>
    <t>12021495 -- REC CTR MARKETING</t>
  </si>
  <si>
    <t>12027282 -- REC FAC-ADMINISTRATN</t>
  </si>
  <si>
    <t>12015453 -- REC FAC-CAPITAL EQUP</t>
  </si>
  <si>
    <t>12022391 -- REC FAC-EQUIPMENT SERVICES</t>
  </si>
  <si>
    <t>12020915 -- REC FAC-ICE RINK</t>
  </si>
  <si>
    <t>12020830 -- REC FAC-MAINTENANCE</t>
  </si>
  <si>
    <t>12020098 -- REC FAC-SECURITY</t>
  </si>
  <si>
    <t>12025203 -- REC FAC-STUDENT FEES</t>
  </si>
  <si>
    <t>12016519 -- REC FAC-SWIMMING POOLS</t>
  </si>
  <si>
    <t>12072536 -- REC FIELD INITIATIVE</t>
  </si>
  <si>
    <t>12014439 -- REC PROG-UNPLGD REV</t>
  </si>
  <si>
    <t>12023548 -- ROLLER HOCKEY (FR)</t>
  </si>
  <si>
    <t>12001052 -- ROLLER HOCKEY SF</t>
  </si>
  <si>
    <t>12080880 -- ROPES COURSE</t>
  </si>
  <si>
    <t>12001053 -- RUGBY, MEN'S SF</t>
  </si>
  <si>
    <t>12001054 -- RUGBY, WOMEN'S SF</t>
  </si>
  <si>
    <t>12028595 -- SHORTAGE/OVERAGE</t>
  </si>
  <si>
    <t>12043771 -- SNOWBOARDING (FR)</t>
  </si>
  <si>
    <t>12001055 -- SNOWBOARDING SF</t>
  </si>
  <si>
    <t>12001056 -- SOCCER, MEN'S SF</t>
  </si>
  <si>
    <t>12001057 -- SOCCER, WOMEN'S SF</t>
  </si>
  <si>
    <t>12001058 -- SOFTBALL SF</t>
  </si>
  <si>
    <t>12031651 -- SPECIAL PROJECT #3</t>
  </si>
  <si>
    <t>12000016 -- SPECIAL PROJECT: STUDENT DEVEL</t>
  </si>
  <si>
    <t>12010647 -- SPECIAL USE MEMBERSHIP</t>
  </si>
  <si>
    <t>12000210 -- SPORT CLUBS UNIFORMS</t>
  </si>
  <si>
    <t>12001033 -- STAFF CPR</t>
  </si>
  <si>
    <t>12046857 -- SUMMER TRIPS</t>
  </si>
  <si>
    <t>12030803 -- SWIMMING &amp; DIVING (FR)</t>
  </si>
  <si>
    <t>12001059 -- SWIMMING/DIVING SF</t>
  </si>
  <si>
    <t>12030804 -- TAE KWON DO (FR)</t>
  </si>
  <si>
    <t>12001061 -- TAE KWON DO SF</t>
  </si>
  <si>
    <t>12024013 -- TA/PT</t>
  </si>
  <si>
    <t>12046082 -- TENNIS (FR)</t>
  </si>
  <si>
    <t>12001062 -- TENNIS SF</t>
  </si>
  <si>
    <t>12000759 -- TRAINING ROOM OPERATION</t>
  </si>
  <si>
    <t>12023557 -- TRIATHLON (FR)</t>
  </si>
  <si>
    <t>12001063 -- TRIATHLON SF</t>
  </si>
  <si>
    <t>12001064 -- ULTIMATE, MEN'S SF</t>
  </si>
  <si>
    <t>12001065 -- ULTIMATE, WOMEN'S SF</t>
  </si>
  <si>
    <t>12001066 -- VOLLEYBALL, MEN'S SF</t>
  </si>
  <si>
    <t>12001067 -- VOLLEYBALL, WOMEN'S SF</t>
  </si>
  <si>
    <t>12001068 -- WATER POLO, MEN'S SF</t>
  </si>
  <si>
    <t>12001069 -- WATER POLO, WOMEN'S SF</t>
  </si>
  <si>
    <t>12000583 -- WILDERNESS FIRST RESPONDER</t>
  </si>
  <si>
    <t>12023564 -- WOMEN'S HOCKEY (FR)</t>
  </si>
  <si>
    <t>12030802 -- WOMEN'S LACROSSE (FR)</t>
  </si>
  <si>
    <t>12023565 -- WOMEN'S RUGBY (FR)</t>
  </si>
  <si>
    <t>12023560 -- WOMEN'S SOCCER (FR)</t>
  </si>
  <si>
    <t>12030806 -- WOMEN'S SOFTBALL (FR)</t>
  </si>
  <si>
    <t>12030801 -- WOMEN'S ULTIMATE (FR)</t>
  </si>
  <si>
    <t>12019402 -- WOMEN'S VOLLEYBALL (FR)</t>
  </si>
  <si>
    <t>12000343 -- WOMEN'S WATER POLO (FR)</t>
  </si>
  <si>
    <t>12046855 -- WRESTLING (FR)</t>
  </si>
  <si>
    <t>Speedtype / Program</t>
  </si>
  <si>
    <t>Budget</t>
  </si>
  <si>
    <t>Revenue</t>
  </si>
  <si>
    <t>Student Fees</t>
  </si>
  <si>
    <t>Self-Generated</t>
  </si>
  <si>
    <t>Total Revenue</t>
  </si>
  <si>
    <t>Salaries &amp; Benefits</t>
  </si>
  <si>
    <t>Subtotal Salaries &amp; Benefits</t>
  </si>
  <si>
    <t>Operating Expenses</t>
  </si>
  <si>
    <t>Subtotal Operating Expenses</t>
  </si>
  <si>
    <t>Subtotal Travel</t>
  </si>
  <si>
    <t>Other Fund Deductions</t>
  </si>
  <si>
    <t>Subtotal Other Deductions</t>
  </si>
  <si>
    <t>Total Expenses</t>
  </si>
  <si>
    <t>Transfers Out &amp; Debt Management</t>
  </si>
  <si>
    <t>Subtotal Transfers Out &amp; Debt</t>
  </si>
  <si>
    <t>Net Position</t>
  </si>
  <si>
    <t>FY XX</t>
  </si>
  <si>
    <t>Annual</t>
  </si>
  <si>
    <t>Quarter One</t>
  </si>
  <si>
    <t>YTD Average</t>
  </si>
  <si>
    <t>Quarter Two</t>
  </si>
  <si>
    <t>Quarter Three</t>
  </si>
  <si>
    <t>Quarter Four</t>
  </si>
  <si>
    <t>Fiscal Year Start</t>
  </si>
  <si>
    <t>Years of Data</t>
  </si>
  <si>
    <t>410000 - 418399 SUSPENSE SAL</t>
  </si>
  <si>
    <t>FY</t>
  </si>
  <si>
    <t>Weight</t>
  </si>
  <si>
    <t xml:space="preserve">Ctrl + Shift + Q </t>
  </si>
  <si>
    <t>YTD Actuals</t>
  </si>
  <si>
    <t>FY Total</t>
  </si>
  <si>
    <t>FY 17</t>
  </si>
  <si>
    <t>FY 18</t>
  </si>
  <si>
    <t>Roll Up</t>
  </si>
  <si>
    <t>Annual Budget</t>
  </si>
  <si>
    <t>FY 16</t>
  </si>
  <si>
    <t>Table of Contents</t>
  </si>
  <si>
    <t>1) Roll Up</t>
  </si>
  <si>
    <t>Selects the range A1 of the active sheet</t>
  </si>
  <si>
    <t>Has Negative Averages</t>
  </si>
  <si>
    <t>Export Type</t>
  </si>
  <si>
    <t>Instructions</t>
  </si>
  <si>
    <t>There are 3 reference sheets in this workbook that are essential to creating the report:</t>
  </si>
  <si>
    <t>1 - Account Codes</t>
  </si>
  <si>
    <t>Within this sheet, the level 6 account codes have been grouped and assigned to a specific row number. The function "IdentifyRow" will take a level 6 account code and return what row within the Draft sheet it has been assigned to.</t>
  </si>
  <si>
    <t>2 - Consolidation Lists</t>
  </si>
  <si>
    <t>This sheet contains a table of each speedtype for each Cost Center. Each unique speedtype will consolidate into a single program. The program sheets also need to be assigned to a Fund Balance for the Cost Center. All columns in the CL table need to be assigned values.</t>
  </si>
  <si>
    <t>3 - Draft</t>
  </si>
  <si>
    <t>The Draft sheet should generally not be changed in any way. The VBA code is set up to</t>
  </si>
  <si>
    <t>If the program finds a speedtype in the Fin. Detail II report that is not included in CL table, you will be prompted to tell the program to skip that speedtype or provide necessary info for appending the speedtype to the CL table.</t>
  </si>
  <si>
    <t>1 - Financail Detail II Report from CU Data (CSV file)</t>
  </si>
  <si>
    <t>Make sure this report is downloaded for the entire orgnode and includes level 6 account codes for revenues, expenses, and transfers. Include columns for Account Tree Level 6 codes, Speedtype codes, Annual Budget and Actuals data.</t>
  </si>
  <si>
    <t>There is 1 workbook you will need to create a new Seasonal Budget report:</t>
  </si>
  <si>
    <t>Speedtypes can be manually appended to the CL table. There should be no empty values in any of the columns. After appending new data, press Ctrl + Alt + L to reapply the table filter. When the CL table is updated in this report, the changes need to also be made to the Quarterly Report program.</t>
  </si>
  <si>
    <t xml:space="preserve">assign the Budget and Actuals data to the specific rows and columns laid out in the </t>
  </si>
  <si>
    <t>draft sheet. In addition, important formulas for FY Totals are copied from this sheet to</t>
  </si>
  <si>
    <t xml:space="preserve"> the program sheets. The background fill of each cell should never be changed</t>
  </si>
  <si>
    <t>without also updating the VBA color number in several modules.</t>
  </si>
  <si>
    <t>It does not matter where this workbook is saved as long as it can be found in your File Explorer/Finder application. If the Fin. Detail II CSV file is open prior to creating a report, it will be heavily modified.</t>
  </si>
  <si>
    <t>User input needed on Create Report sheet:</t>
  </si>
  <si>
    <r>
      <rPr>
        <b/>
        <sz val="11"/>
        <color theme="1"/>
        <rFont val="Calibri"/>
        <family val="2"/>
        <scheme val="minor"/>
      </rPr>
      <t xml:space="preserve">Cost Center: </t>
    </r>
    <r>
      <rPr>
        <sz val="11"/>
        <color theme="1"/>
        <rFont val="Calibri"/>
        <family val="2"/>
        <scheme val="minor"/>
      </rPr>
      <t>Identify Cost Center to create report for</t>
    </r>
  </si>
  <si>
    <r>
      <t>Years of Historical Data:</t>
    </r>
    <r>
      <rPr>
        <sz val="11"/>
        <color theme="1"/>
        <rFont val="Calibri"/>
        <family val="2"/>
        <scheme val="minor"/>
      </rPr>
      <t xml:space="preserve">  Identify how many years of historical data to gather</t>
    </r>
  </si>
  <si>
    <r>
      <t>FY Start:</t>
    </r>
    <r>
      <rPr>
        <sz val="11"/>
        <color theme="1"/>
        <rFont val="Calibri"/>
        <family val="2"/>
        <scheme val="minor"/>
      </rPr>
      <t xml:space="preserve"> Identify first year of historical FY data</t>
    </r>
  </si>
  <si>
    <r>
      <t xml:space="preserve">FY Weights Table: </t>
    </r>
    <r>
      <rPr>
        <sz val="11"/>
        <color theme="1"/>
        <rFont val="Calibri"/>
        <family val="2"/>
        <scheme val="minor"/>
      </rPr>
      <t>Each FY of historical data needs a % weight assigned to it</t>
    </r>
  </si>
  <si>
    <t>In the above example, you would input 18.</t>
  </si>
  <si>
    <t>In the above example, you would input 3.</t>
  </si>
  <si>
    <r>
      <t>Negative Expenses:</t>
    </r>
    <r>
      <rPr>
        <sz val="11"/>
        <color theme="1"/>
        <rFont val="Calibri"/>
        <family val="2"/>
        <scheme val="minor"/>
      </rPr>
      <t xml:space="preserve"> After creating a report the table of contents will be updated.</t>
    </r>
  </si>
  <si>
    <t>If a program sheet has negative expenses in the quarterly avg</t>
  </si>
  <si>
    <t>columns, the number of negative expenses will be displayed</t>
  </si>
  <si>
    <r>
      <t>Export Report:</t>
    </r>
    <r>
      <rPr>
        <sz val="11"/>
        <color theme="1"/>
        <rFont val="Calibri"/>
        <family val="2"/>
        <scheme val="minor"/>
      </rPr>
      <t xml:space="preserve"> The Seasonal Budget can be exported in a standard or compact format</t>
    </r>
  </si>
  <si>
    <t>FY historical columns included.</t>
  </si>
  <si>
    <r>
      <t xml:space="preserve">The </t>
    </r>
    <r>
      <rPr>
        <b/>
        <sz val="11"/>
        <color theme="1"/>
        <rFont val="Calibri"/>
        <family val="2"/>
        <scheme val="minor"/>
      </rPr>
      <t>compact</t>
    </r>
    <r>
      <rPr>
        <sz val="11"/>
        <color theme="1"/>
        <rFont val="Calibri"/>
        <family val="2"/>
        <scheme val="minor"/>
      </rPr>
      <t xml:space="preserve"> format will export the program sheets </t>
    </r>
    <r>
      <rPr>
        <i/>
        <sz val="11"/>
        <color theme="1"/>
        <rFont val="Calibri"/>
        <family val="2"/>
        <scheme val="minor"/>
      </rPr>
      <t>without</t>
    </r>
    <r>
      <rPr>
        <sz val="11"/>
        <color theme="1"/>
        <rFont val="Calibri"/>
        <family val="2"/>
        <scheme val="minor"/>
      </rPr>
      <t xml:space="preserve"> any of the </t>
    </r>
  </si>
  <si>
    <r>
      <t xml:space="preserve">The </t>
    </r>
    <r>
      <rPr>
        <b/>
        <sz val="11"/>
        <color theme="1"/>
        <rFont val="Calibri"/>
        <family val="2"/>
        <scheme val="minor"/>
      </rPr>
      <t>standard</t>
    </r>
    <r>
      <rPr>
        <sz val="11"/>
        <color theme="1"/>
        <rFont val="Calibri"/>
        <family val="2"/>
        <scheme val="minor"/>
      </rPr>
      <t xml:space="preserve"> format will export the program sheets </t>
    </r>
    <r>
      <rPr>
        <i/>
        <sz val="11"/>
        <color theme="1"/>
        <rFont val="Calibri"/>
        <family val="2"/>
        <scheme val="minor"/>
      </rPr>
      <t>with</t>
    </r>
    <r>
      <rPr>
        <sz val="11"/>
        <color theme="1"/>
        <rFont val="Calibri"/>
        <family val="2"/>
        <scheme val="minor"/>
      </rPr>
      <t xml:space="preserve"> the grouped </t>
    </r>
  </si>
  <si>
    <t xml:space="preserve">grouped FY historical columns included. This is the SB report that will be </t>
  </si>
  <si>
    <t xml:space="preserve">to the right of the table of contents. Selecting a cell in the </t>
  </si>
  <si>
    <t>Has Negative Expenses column will refresh the column values.</t>
  </si>
  <si>
    <t>used in the Quarterly Report program and can not include negative</t>
  </si>
  <si>
    <t xml:space="preserve">expenses. </t>
  </si>
  <si>
    <t>Input weights for quarterly averages</t>
  </si>
  <si>
    <t>Programs</t>
  </si>
  <si>
    <t>Fund Balances</t>
  </si>
  <si>
    <t>Click this button to view lvl 6 acct code references or speedtype consolidation lists. Do not change the Draft sheet in any way.</t>
  </si>
  <si>
    <t>Data for all FY's need to be included in this one report.
e.g. To create a 3 year SB for FY 21, the Fin. Detail II report needs to be run from the start of FY 18 to the start of FY 21 (July 2017 to July 2020). 
Both the Budget and historical Actuals data are compiled for FY 18, 19, 20. 
Only the Budget data is compiled for FY 21.</t>
  </si>
  <si>
    <t>Fills selected cells with 0 (only works in gold cells)</t>
  </si>
  <si>
    <t>FWP</t>
  </si>
  <si>
    <t>Fields</t>
  </si>
  <si>
    <t>Pools</t>
  </si>
  <si>
    <t>Security</t>
  </si>
  <si>
    <t>Ccs-leg</t>
  </si>
  <si>
    <t>12000692 -- 2011 EXPANSION OUTSTNDNG ITEMS</t>
  </si>
  <si>
    <t>12023554 -- BASEBALL (FR)</t>
  </si>
  <si>
    <t>12001038 -- BASEBALL SF</t>
  </si>
  <si>
    <t>12086898 -- BEAR CREEK FACILITIES RENTAL</t>
  </si>
  <si>
    <t>12060718 -- BEAR CREEK FITNESS</t>
  </si>
  <si>
    <t>12023633 -- CERTIFICATIONS</t>
  </si>
  <si>
    <t>IT Support</t>
  </si>
  <si>
    <t>Maintenance</t>
  </si>
  <si>
    <t>Marketing</t>
  </si>
  <si>
    <t>Ice Rink</t>
  </si>
  <si>
    <t>UMC</t>
  </si>
  <si>
    <t>12000852 -- SPACE REMODEL PROJECT</t>
  </si>
  <si>
    <t>2nd&amp;3rd Floor Renovation</t>
  </si>
  <si>
    <t>12000896 -- 3RD FLOOR REN LOAN</t>
  </si>
  <si>
    <t>12000961 -- OCHNR OFFICE REMODEL</t>
  </si>
  <si>
    <t>12001029 -- OFFICE SPACE REMODEL</t>
  </si>
  <si>
    <t>12001072 -- WDININGROOM CARPET</t>
  </si>
  <si>
    <t>12001076 -- E DINING ROOM INSULATION</t>
  </si>
  <si>
    <t>12001210 -- DDC CONTROLS 2ND/3RD FLOOR</t>
  </si>
  <si>
    <t>12001494 -- REMODEL PROGRAM SPACE</t>
  </si>
  <si>
    <t>12020401 -- UMC ADMINISTRATION</t>
  </si>
  <si>
    <t>Administration</t>
  </si>
  <si>
    <t>12001556 -- ALCOHOL AGENT-TIPS</t>
  </si>
  <si>
    <t>Alcohol Agent - TIPS</t>
  </si>
  <si>
    <t>12046905 -- UMC EXPANSION BONDS FEES</t>
  </si>
  <si>
    <t>Bond</t>
  </si>
  <si>
    <t>12000746 -- SF5&amp;6 BOOKSTORE</t>
  </si>
  <si>
    <t>Bookstore</t>
  </si>
  <si>
    <t>12000188 -- REPAIR OF FREIGHT ELEVATOR-UMC</t>
  </si>
  <si>
    <t>Building Operations</t>
  </si>
  <si>
    <t>12000960 -- UMC FLOOR REPLACEMENT</t>
  </si>
  <si>
    <t>12000979 -- CARPET REPLACEMENT</t>
  </si>
  <si>
    <t>12001010 -- PROGRAM PLAN ROOF</t>
  </si>
  <si>
    <t>12001200 -- DOOR COUNTERS</t>
  </si>
  <si>
    <t>12001201 -- PAINT AND SIGNAGE</t>
  </si>
  <si>
    <t>12001202 -- SMART ROOMS</t>
  </si>
  <si>
    <t>12001302 -- EAST DOCK SNOWMELT</t>
  </si>
  <si>
    <t>12001569 -- WIRELESS/CELLULAR</t>
  </si>
  <si>
    <t>12012155 -- UMC COPY CENTER</t>
  </si>
  <si>
    <t>12015850 -- UMC MAINT &amp; OP I</t>
  </si>
  <si>
    <t>12016650 -- UMC OPERATIONS</t>
  </si>
  <si>
    <t>12021719 -- UMC MAINT &amp; OP III</t>
  </si>
  <si>
    <t>12030742 -- UMC MAINT &amp; OP II</t>
  </si>
  <si>
    <t>12035033 -- UMC-RENT-UMC EQUIPMENT</t>
  </si>
  <si>
    <t>12035036 -- UMC-VENDING</t>
  </si>
  <si>
    <t>12035037 -- UMC-BUILDING SP-1</t>
  </si>
  <si>
    <t>12064888 -- TIMEKEEPING SYSTEM</t>
  </si>
  <si>
    <t>12022390 -- UMC BUSINESS OFFICE</t>
  </si>
  <si>
    <t>Business Office</t>
  </si>
  <si>
    <t>12000318 -- UMC TENT - SOR</t>
  </si>
  <si>
    <t>Capital Projects</t>
  </si>
  <si>
    <t>12000736 -- SUSTAINABLE PROJECTS</t>
  </si>
  <si>
    <t>12000878 -- HVAC&amp;ENERGY PROJECTS</t>
  </si>
  <si>
    <t>12001074 -- 5TH FLOOR AIR CONDITIONING</t>
  </si>
  <si>
    <t>12001077 -- N&amp;E DINING ROOM HVAC PROJ</t>
  </si>
  <si>
    <t>12001078 -- DECK REPAIR</t>
  </si>
  <si>
    <t>12001237 -- DDC CONTROLS ALL UMC</t>
  </si>
  <si>
    <t>12001287 -- RECOMM MECH SYSTEMS</t>
  </si>
  <si>
    <t>12001301 -- WRC AIR/DX SYSTEM</t>
  </si>
  <si>
    <t>12001304 -- ELECTRICAL PANEL PROJECT</t>
  </si>
  <si>
    <t>12001305 -- CR1740-KITCHEN HALLWAY UPGRADE</t>
  </si>
  <si>
    <t>12001495 -- UMC401 REMODEL PROJECT</t>
  </si>
  <si>
    <t>12001496 -- 4TH FLOOR DDC CONTROLS</t>
  </si>
  <si>
    <t>12001497 -- ELECTRICAL SWITCHGEAR</t>
  </si>
  <si>
    <t>12031643 -- SF CAPITAL PROJECTS</t>
  </si>
  <si>
    <t>12052201 -- UMC FINISH PROJECTS</t>
  </si>
  <si>
    <t>12058418 -- GENDER NEUTRAL RESTROOM</t>
  </si>
  <si>
    <t>12061490 -- UMC ROOF REPAIR</t>
  </si>
  <si>
    <t>12068871 -- UMC ESCO PROJECTS</t>
  </si>
  <si>
    <t>12001204 -- SHOE RENTAL</t>
  </si>
  <si>
    <t>Connection Games</t>
  </si>
  <si>
    <t>12001303 -- CONNECTION PROGRAM PLAN</t>
  </si>
  <si>
    <t>12014693 -- UMC GAMES AREA</t>
  </si>
  <si>
    <t>12028972 -- UMC GAMES AREA I</t>
  </si>
  <si>
    <t>12030744 -- UMC GAMES AREA II</t>
  </si>
  <si>
    <t>12035027 -- UMC GAMES-FOOD AND DRINK</t>
  </si>
  <si>
    <t>12035028 -- UMC GAMES-VIDEO GAMES</t>
  </si>
  <si>
    <t>12035030 -- UMC-GAMES SP1</t>
  </si>
  <si>
    <t>12001075 -- CONNECTION RESTROOM REMODEL</t>
  </si>
  <si>
    <t>Connection Remodel</t>
  </si>
  <si>
    <t>12069287 -- CONNECTION INSULATION</t>
  </si>
  <si>
    <t>12001500 -- BUSINESS CONTINUITY</t>
  </si>
  <si>
    <t>12014330 -- NIGHT WALK NIGHT RID</t>
  </si>
  <si>
    <t>CU Night Ride</t>
  </si>
  <si>
    <t>12000897 -- CUSG DISCOUNTS</t>
  </si>
  <si>
    <t>CUSG Discounts</t>
  </si>
  <si>
    <t>12000202 -- ECRF BUNDLE #2</t>
  </si>
  <si>
    <t>ECRF Bundle #2</t>
  </si>
  <si>
    <t>12001286 -- EVENING PROG/ASSESSMENT</t>
  </si>
  <si>
    <t>Evening Programming</t>
  </si>
  <si>
    <t>12000745 -- SF4 UNIT FOR FOOD SERVICES</t>
  </si>
  <si>
    <t>Events Planning</t>
  </si>
  <si>
    <t>12021440 -- UMC SCHEDULING</t>
  </si>
  <si>
    <t>12021718 -- UMC FOOD SERV III</t>
  </si>
  <si>
    <t>12025532 -- UMC FOOD SERVICE I</t>
  </si>
  <si>
    <t>12030748 -- UMC FOOD SERVICE II</t>
  </si>
  <si>
    <t>12035029 -- UMC - SUMMER CAMPS</t>
  </si>
  <si>
    <t>12035031 -- UMC-RENT-UMC ROOMS</t>
  </si>
  <si>
    <t>12017912 -- ASIAN FOOD</t>
  </si>
  <si>
    <t>HDS Rent</t>
  </si>
  <si>
    <t>12035034 -- UMC-RENT UMC OPERATOR</t>
  </si>
  <si>
    <t>12047508 -- UMC MARKETING</t>
  </si>
  <si>
    <t>12000851 -- NIGHTRIDE DISPATCH SYS</t>
  </si>
  <si>
    <t>Nightride</t>
  </si>
  <si>
    <t>12000780 -- PRIOR YEAR EARMARKS</t>
  </si>
  <si>
    <t>12024213 -- UMC RECEPTION DESK</t>
  </si>
  <si>
    <t>Reception Desk</t>
  </si>
  <si>
    <t>12017680 -- UMC SALARY SAVINGS</t>
  </si>
  <si>
    <t>Salary Savings</t>
  </si>
  <si>
    <t>12052067 -- UMC BOARD SCHOLARSHIP</t>
  </si>
  <si>
    <t>Scholarships</t>
  </si>
  <si>
    <t>12000454 -- SOR SECURITY CAMERAS</t>
  </si>
  <si>
    <t>12001639 -- UMC SECURITY</t>
  </si>
  <si>
    <t>12001034 -- ART PROGRAM</t>
  </si>
  <si>
    <t>Student Art Program</t>
  </si>
  <si>
    <t>12019440 -- UMC ART SALES</t>
  </si>
  <si>
    <t>12016080 -- UMC SUPPORT</t>
  </si>
  <si>
    <t>Student Fee Support</t>
  </si>
  <si>
    <t>12000874 -- PANDA STU LEADERSHIP FUNDS</t>
  </si>
  <si>
    <t>Student Leadership Training</t>
  </si>
  <si>
    <t>12000875 -- PIZZA STU LEADERSHIP FUNDS</t>
  </si>
  <si>
    <t>12000876 -- SUBWAY STU LEADERSHIP FUNDS</t>
  </si>
  <si>
    <t>12035038 -- UMC-FS-TENANT CLEARING</t>
  </si>
  <si>
    <t>Tenant Clearing</t>
  </si>
  <si>
    <t>12010045 -- PIZZA VENDOR</t>
  </si>
  <si>
    <t>Tenant Rent</t>
  </si>
  <si>
    <t>12010275 -- SUBWAY</t>
  </si>
  <si>
    <t>12035032 -- UMC-RENT-UMC ATMS</t>
  </si>
  <si>
    <t>12074529 -- JAMBA JUICE</t>
  </si>
  <si>
    <t>Will Vill Rec</t>
  </si>
  <si>
    <t>Building Services</t>
  </si>
  <si>
    <t>Sport Clubs Program</t>
  </si>
  <si>
    <t>Special Events</t>
  </si>
  <si>
    <t>Equipment Services</t>
  </si>
  <si>
    <t>Stud Fee Rev - 2011 Expansion</t>
  </si>
  <si>
    <t>Membership Service</t>
  </si>
  <si>
    <t>Itramural Program</t>
  </si>
  <si>
    <t>Locker Services</t>
  </si>
  <si>
    <t>Intramural Program</t>
  </si>
  <si>
    <t>Outdoor Program</t>
  </si>
  <si>
    <t>Training Room</t>
  </si>
  <si>
    <t>Vending Pro Shop</t>
  </si>
  <si>
    <t>Fields Initiative</t>
  </si>
  <si>
    <t>Stud Fee Rev - pre-2011</t>
  </si>
  <si>
    <t>Average Actuals</t>
  </si>
  <si>
    <t>Actuals</t>
  </si>
  <si>
    <t>CU Student Government - Proper</t>
  </si>
  <si>
    <t>If a level 6 code is identified in the Fin. Detail II workbook that does not correspond to any values in this sheet, the IdentifyRow function will return 0 and a runtime error of 1004. A message box will be displayed with what the level 6 code is that has caused the error. The VBA editor will then be brought up and a row of text will be highlighted yellow. Press the "End" button and you will be returned to the Create Report sheet. The Account Codes table will need to be updated so that this level 6 code can be classified. Notify the Finance Board Chair of the error and what the level 6 code is.</t>
  </si>
  <si>
    <t>2) Appellate Court</t>
  </si>
  <si>
    <t>3) Ccs-leg</t>
  </si>
  <si>
    <t>4) Elections</t>
  </si>
  <si>
    <t>5) Exec Staff Payroll</t>
  </si>
  <si>
    <t>6) Finance Board</t>
  </si>
  <si>
    <t>7) Freshman Council</t>
  </si>
  <si>
    <t>8) Homecoming</t>
  </si>
  <si>
    <t>9) Incident Response</t>
  </si>
  <si>
    <t>10) Leg Cncl Disc</t>
  </si>
  <si>
    <t>11) Leg Cncl Staff</t>
  </si>
  <si>
    <t>12) Legis Affairs Comm</t>
  </si>
  <si>
    <t>13) Operations</t>
  </si>
  <si>
    <t>14) Payroll Suspense</t>
  </si>
  <si>
    <t>15) Programming</t>
  </si>
  <si>
    <t>16) Public Relations</t>
  </si>
  <si>
    <t>17) Rep Council</t>
  </si>
  <si>
    <t>18) Staff Support</t>
  </si>
  <si>
    <t>19) Travel</t>
  </si>
  <si>
    <t>Compact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</si>
</sst>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2" formatCode="_(&quot;$&quot;* #,##0_);_(&quot;$&quot;* \(#,##0\);_(&quot;$&quot;* &quot;-&quot;_);_(@_)"/>
    <numFmt numFmtId="164" formatCode="mm/dd/yy;@"/>
  </numFmts>
  <fonts count="22">
    <font>
      <sz val="11"/>
      <color theme="1"/>
      <name val="Calibri"/>
      <family val="2"/>
      <scheme val="minor"/>
    </font>
    <font>
      <sz val="11"/>
      <color theme="1"/>
      <name val="Calibri"/>
      <family val="2"/>
      <scheme val="minor"/>
    </font>
    <font>
      <b/>
      <sz val="11"/>
      <color theme="1"/>
      <name val="Calibri"/>
      <family val="2"/>
      <scheme val="minor"/>
    </font>
    <font>
      <sz val="11"/>
      <color rgb="FF000000"/>
      <name val="Calibri"/>
      <family val="2"/>
    </font>
    <font>
      <b/>
      <sz val="12"/>
      <color theme="1"/>
      <name val="Calibri"/>
      <family val="2"/>
      <scheme val="minor"/>
    </font>
    <font>
      <u/>
      <sz val="11"/>
      <color theme="1"/>
      <name val="Calibri"/>
      <family val="2"/>
      <scheme val="minor"/>
    </font>
    <font>
      <b/>
      <u/>
      <sz val="11"/>
      <color theme="1"/>
      <name val="Calibri"/>
      <family val="2"/>
      <scheme val="minor"/>
    </font>
    <font>
      <b/>
      <u/>
      <sz val="12"/>
      <color theme="1"/>
      <name val="Calibri"/>
      <family val="2"/>
      <scheme val="minor"/>
    </font>
    <font>
      <sz val="10"/>
      <name val="Arial MT"/>
    </font>
    <font>
      <b/>
      <u/>
      <sz val="12"/>
      <name val="Calibri"/>
      <family val="2"/>
      <scheme val="minor"/>
    </font>
    <font>
      <sz val="11"/>
      <name val="Calibri"/>
      <family val="2"/>
      <scheme val="minor"/>
    </font>
    <font>
      <u/>
      <sz val="11"/>
      <name val="Calibri"/>
      <family val="2"/>
      <scheme val="minor"/>
    </font>
    <font>
      <b/>
      <u/>
      <sz val="11"/>
      <name val="Calibri"/>
      <family val="2"/>
      <scheme val="minor"/>
    </font>
    <font>
      <sz val="10"/>
      <name val="Calibri"/>
      <family val="2"/>
      <scheme val="minor"/>
    </font>
    <font>
      <b/>
      <sz val="11"/>
      <name val="Calibri"/>
      <family val="2"/>
      <scheme val="minor"/>
    </font>
    <font>
      <b/>
      <sz val="12"/>
      <name val="Calibri"/>
      <family val="2"/>
      <scheme val="minor"/>
    </font>
    <font>
      <sz val="12"/>
      <name val="Calibri"/>
      <family val="2"/>
      <scheme val="minor"/>
    </font>
    <font>
      <u/>
      <sz val="11"/>
      <color theme="10"/>
      <name val="Calibri"/>
      <family val="2"/>
      <scheme val="minor"/>
    </font>
    <font>
      <i/>
      <sz val="11"/>
      <color theme="1"/>
      <name val="Calibri"/>
      <family val="2"/>
      <scheme val="minor"/>
    </font>
    <font>
      <b/>
      <sz val="11"/>
      <color theme="0"/>
      <name val="Calibri"/>
      <family val="2"/>
      <scheme val="minor"/>
    </font>
    <font>
      <sz val="11"/>
      <color theme="0"/>
      <name val="Calibri"/>
      <family val="2"/>
      <scheme val="minor"/>
    </font>
    <font>
      <u/>
      <sz val="11"/>
      <color theme="0"/>
      <name val="Calibri"/>
      <family val="2"/>
      <scheme val="minor"/>
    </font>
  </fonts>
  <fills count="12">
    <fill>
      <patternFill patternType="none"/>
    </fill>
    <fill>
      <patternFill patternType="gray125"/>
    </fill>
    <fill>
      <patternFill patternType="solid">
        <fgColor theme="9"/>
        <bgColor indexed="64"/>
      </patternFill>
    </fill>
    <fill>
      <patternFill patternType="solid">
        <fgColor theme="6"/>
        <bgColor indexed="64"/>
      </patternFill>
    </fill>
    <fill>
      <patternFill patternType="solid">
        <fgColor theme="7"/>
        <bgColor indexed="64"/>
      </patternFill>
    </fill>
    <fill>
      <patternFill patternType="solid">
        <fgColor theme="6" tint="0.79998168889431442"/>
        <bgColor indexed="64"/>
      </patternFill>
    </fill>
    <fill>
      <patternFill patternType="solid">
        <fgColor theme="9" tint="0.79998168889431442"/>
        <bgColor indexed="64"/>
      </patternFill>
    </fill>
    <fill>
      <patternFill patternType="solid">
        <fgColor rgb="FFCFB87C"/>
        <bgColor indexed="64"/>
      </patternFill>
    </fill>
    <fill>
      <patternFill patternType="solid">
        <fgColor rgb="FFDCCBA0"/>
        <bgColor indexed="64"/>
      </patternFill>
    </fill>
    <fill>
      <patternFill patternType="solid">
        <fgColor rgb="FFBBBBBB"/>
        <bgColor indexed="64"/>
      </patternFill>
    </fill>
    <fill>
      <patternFill patternType="solid">
        <fgColor rgb="FFD4D4D4"/>
        <bgColor indexed="64"/>
      </patternFill>
    </fill>
    <fill>
      <patternFill patternType="solid">
        <fgColor theme="0" tint="-0.14999847407452621"/>
        <bgColor indexed="64"/>
      </patternFill>
    </fill>
  </fills>
  <borders count="20">
    <border>
      <left/>
      <right/>
      <top/>
      <bottom/>
      <diagonal/>
    </border>
    <border>
      <left/>
      <right/>
      <top/>
      <bottom style="dotted">
        <color indexed="64"/>
      </bottom>
      <diagonal/>
    </border>
    <border>
      <left style="dotted">
        <color indexed="64"/>
      </left>
      <right style="dotted">
        <color indexed="64"/>
      </right>
      <top style="dotted">
        <color indexed="64"/>
      </top>
      <bottom/>
      <diagonal/>
    </border>
    <border>
      <left style="dotted">
        <color indexed="64"/>
      </left>
      <right style="dotted">
        <color indexed="64"/>
      </right>
      <top/>
      <bottom/>
      <diagonal/>
    </border>
    <border>
      <left/>
      <right/>
      <top style="thin">
        <color indexed="64"/>
      </top>
      <bottom/>
      <diagonal/>
    </border>
    <border>
      <left style="dotted">
        <color indexed="64"/>
      </left>
      <right style="dotted">
        <color indexed="64"/>
      </right>
      <top style="thin">
        <color indexed="64"/>
      </top>
      <bottom/>
      <diagonal/>
    </border>
    <border>
      <left/>
      <right/>
      <top/>
      <bottom style="thin">
        <color auto="1"/>
      </bottom>
      <diagonal/>
    </border>
    <border>
      <left style="dotted">
        <color indexed="64"/>
      </left>
      <right style="dotted">
        <color indexed="64"/>
      </right>
      <top/>
      <bottom style="thin">
        <color indexed="64"/>
      </bottom>
      <diagonal/>
    </border>
    <border>
      <left/>
      <right/>
      <top style="thin">
        <color indexed="64"/>
      </top>
      <bottom style="double">
        <color indexed="64"/>
      </bottom>
      <diagonal/>
    </border>
    <border>
      <left style="dotted">
        <color indexed="64"/>
      </left>
      <right style="dotted">
        <color indexed="64"/>
      </right>
      <top style="thin">
        <color indexed="64"/>
      </top>
      <bottom style="double">
        <color indexed="64"/>
      </bottom>
      <diagonal/>
    </border>
    <border>
      <left/>
      <right/>
      <top style="double">
        <color indexed="64"/>
      </top>
      <bottom/>
      <diagonal/>
    </border>
    <border>
      <left/>
      <right style="dotted">
        <color indexed="64"/>
      </right>
      <top/>
      <bottom/>
      <diagonal/>
    </border>
    <border>
      <left/>
      <right/>
      <top style="thin">
        <color indexed="64"/>
      </top>
      <bottom style="thin">
        <color indexed="64"/>
      </bottom>
      <diagonal/>
    </border>
    <border>
      <left style="dotted">
        <color indexed="64"/>
      </left>
      <right style="dotted">
        <color indexed="64"/>
      </right>
      <top style="thin">
        <color indexed="64"/>
      </top>
      <bottom style="thin">
        <color indexed="64"/>
      </bottom>
      <diagonal/>
    </border>
    <border>
      <left/>
      <right/>
      <top style="double">
        <color indexed="64"/>
      </top>
      <bottom style="thin">
        <color auto="1"/>
      </bottom>
      <diagonal/>
    </border>
    <border>
      <left style="dotted">
        <color indexed="64"/>
      </left>
      <right style="dotted">
        <color indexed="64"/>
      </right>
      <top style="dotted">
        <color indexed="64"/>
      </top>
      <bottom style="thin">
        <color indexed="64"/>
      </bottom>
      <diagonal/>
    </border>
    <border>
      <left/>
      <right/>
      <top style="dotted">
        <color indexed="64"/>
      </top>
      <bottom style="thin">
        <color indexed="64"/>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rgb="FF000000"/>
      </top>
      <bottom style="thin">
        <color rgb="FF000000"/>
      </bottom>
      <diagonal/>
    </border>
    <border>
      <left style="dotted">
        <color indexed="64"/>
      </left>
      <right style="dotted">
        <color indexed="64"/>
      </right>
      <top/>
      <bottom style="dotted">
        <color indexed="64"/>
      </bottom>
      <diagonal/>
    </border>
  </borders>
  <cellStyleXfs count="5">
    <xf numFmtId="0" fontId="0" fillId="0" borderId="0"/>
    <xf numFmtId="9" fontId="1" fillId="0" borderId="0" applyFont="0" applyFill="0" applyBorder="0" applyAlignment="0" applyProtection="0"/>
    <xf numFmtId="0" fontId="8" fillId="0" borderId="0"/>
    <xf numFmtId="9" fontId="8" fillId="0" borderId="0" applyFont="0" applyFill="0" applyBorder="0" applyAlignment="0" applyProtection="0"/>
    <xf numFmtId="0" fontId="17" fillId="0" borderId="0" applyNumberFormat="0" applyFill="0" applyBorder="0" applyAlignment="0" applyProtection="0"/>
  </cellStyleXfs>
  <cellXfs count="161">
    <xf numFmtId="0" fontId="0" fillId="0" borderId="0" xfId="0"/>
    <xf numFmtId="0" fontId="0" fillId="2" borderId="0" xfId="0" applyFill="1"/>
    <xf numFmtId="0" fontId="4" fillId="2" borderId="0" xfId="0" applyFont="1" applyFill="1" applyAlignment="1">
      <alignment horizontal="right" vertical="center"/>
    </xf>
    <xf numFmtId="0" fontId="0" fillId="2" borderId="0" xfId="0" applyFill="1" applyAlignment="1">
      <alignment horizontal="center" vertical="center"/>
    </xf>
    <xf numFmtId="0" fontId="0" fillId="3" borderId="0" xfId="0" applyFill="1"/>
    <xf numFmtId="0" fontId="0" fillId="4" borderId="0" xfId="0" applyFill="1"/>
    <xf numFmtId="0" fontId="4" fillId="4" borderId="0" xfId="0" applyFont="1" applyFill="1" applyAlignment="1">
      <alignment horizontal="right"/>
    </xf>
    <xf numFmtId="0" fontId="0" fillId="4" borderId="0" xfId="0" applyFill="1" applyAlignment="1">
      <alignment horizontal="center"/>
    </xf>
    <xf numFmtId="0" fontId="4" fillId="0" borderId="0" xfId="0" applyFont="1" applyAlignment="1">
      <alignment horizontal="right"/>
    </xf>
    <xf numFmtId="0" fontId="0" fillId="0" borderId="0" xfId="0" applyAlignment="1">
      <alignment horizontal="center"/>
    </xf>
    <xf numFmtId="0" fontId="2" fillId="0" borderId="0" xfId="0" applyFont="1"/>
    <xf numFmtId="1" fontId="0" fillId="0" borderId="0" xfId="0" applyNumberFormat="1" applyAlignment="1">
      <alignment horizontal="center"/>
    </xf>
    <xf numFmtId="0" fontId="6" fillId="0" borderId="0" xfId="0" applyFont="1" applyAlignment="1">
      <alignment horizontal="right"/>
    </xf>
    <xf numFmtId="0" fontId="0" fillId="0" borderId="0" xfId="0" applyAlignment="1">
      <alignment horizontal="right"/>
    </xf>
    <xf numFmtId="0" fontId="7" fillId="0" borderId="0" xfId="0" applyFont="1" applyAlignment="1">
      <alignment horizontal="left"/>
    </xf>
    <xf numFmtId="0" fontId="2" fillId="0" borderId="0" xfId="0" applyFont="1" applyAlignment="1">
      <alignment horizontal="left"/>
    </xf>
    <xf numFmtId="164" fontId="11" fillId="0" borderId="0" xfId="2" applyNumberFormat="1" applyFont="1" applyAlignment="1">
      <alignment vertical="center"/>
    </xf>
    <xf numFmtId="0" fontId="11" fillId="0" borderId="0" xfId="2" applyFont="1" applyAlignment="1">
      <alignment horizontal="center"/>
    </xf>
    <xf numFmtId="0" fontId="14" fillId="0" borderId="0" xfId="2" applyFont="1" applyAlignment="1">
      <alignment horizontal="left"/>
    </xf>
    <xf numFmtId="42" fontId="13" fillId="0" borderId="10" xfId="2" applyNumberFormat="1" applyFont="1" applyBorder="1"/>
    <xf numFmtId="42" fontId="10" fillId="0" borderId="6" xfId="2" applyNumberFormat="1" applyFont="1" applyBorder="1"/>
    <xf numFmtId="42" fontId="10" fillId="0" borderId="0" xfId="2" applyNumberFormat="1" applyFont="1"/>
    <xf numFmtId="42" fontId="10" fillId="5" borderId="3" xfId="2" applyNumberFormat="1" applyFont="1" applyFill="1" applyBorder="1"/>
    <xf numFmtId="0" fontId="14" fillId="0" borderId="12" xfId="2" applyFont="1" applyBorder="1" applyAlignment="1">
      <alignment horizontal="right"/>
    </xf>
    <xf numFmtId="0" fontId="14" fillId="0" borderId="12" xfId="2" applyFont="1" applyBorder="1" applyAlignment="1">
      <alignment horizontal="left"/>
    </xf>
    <xf numFmtId="42" fontId="1" fillId="0" borderId="12" xfId="0" applyNumberFormat="1" applyFont="1" applyBorder="1"/>
    <xf numFmtId="42" fontId="10" fillId="0" borderId="12" xfId="2" applyNumberFormat="1" applyFont="1" applyBorder="1"/>
    <xf numFmtId="42" fontId="10" fillId="0" borderId="13" xfId="2" applyNumberFormat="1" applyFont="1" applyBorder="1"/>
    <xf numFmtId="42" fontId="10" fillId="0" borderId="14" xfId="2" applyNumberFormat="1" applyFont="1" applyBorder="1"/>
    <xf numFmtId="0" fontId="0" fillId="0" borderId="10" xfId="0" applyBorder="1"/>
    <xf numFmtId="0" fontId="6" fillId="0" borderId="0" xfId="0" applyFont="1" applyAlignment="1">
      <alignment horizontal="center" vertical="center"/>
    </xf>
    <xf numFmtId="42" fontId="12" fillId="0" borderId="3" xfId="2" applyNumberFormat="1" applyFont="1" applyBorder="1" applyAlignment="1">
      <alignment horizontal="center"/>
    </xf>
    <xf numFmtId="42" fontId="10" fillId="5" borderId="5" xfId="2" applyNumberFormat="1" applyFont="1" applyFill="1" applyBorder="1"/>
    <xf numFmtId="42" fontId="10" fillId="5" borderId="3" xfId="2" applyNumberFormat="1" applyFont="1" applyFill="1" applyBorder="1" applyAlignment="1">
      <alignment horizontal="right"/>
    </xf>
    <xf numFmtId="42" fontId="16" fillId="6" borderId="9" xfId="2" applyNumberFormat="1" applyFont="1" applyFill="1" applyBorder="1"/>
    <xf numFmtId="42" fontId="10" fillId="5" borderId="7" xfId="2" applyNumberFormat="1" applyFont="1" applyFill="1" applyBorder="1"/>
    <xf numFmtId="42" fontId="10" fillId="0" borderId="13" xfId="2" quotePrefix="1" applyNumberFormat="1" applyFont="1" applyBorder="1"/>
    <xf numFmtId="42" fontId="10" fillId="0" borderId="3" xfId="2" quotePrefix="1" applyNumberFormat="1" applyFont="1" applyBorder="1"/>
    <xf numFmtId="42" fontId="12" fillId="0" borderId="2" xfId="2" applyNumberFormat="1" applyFont="1" applyBorder="1" applyAlignment="1">
      <alignment horizontal="center" vertical="center"/>
    </xf>
    <xf numFmtId="42" fontId="10" fillId="7" borderId="3" xfId="2" applyNumberFormat="1" applyFont="1" applyFill="1" applyBorder="1"/>
    <xf numFmtId="0" fontId="10" fillId="0" borderId="4" xfId="2" applyFont="1" applyFill="1" applyBorder="1" applyAlignment="1">
      <alignment horizontal="left" indent="1"/>
    </xf>
    <xf numFmtId="0" fontId="10" fillId="0" borderId="0" xfId="2" applyFont="1" applyFill="1" applyAlignment="1">
      <alignment horizontal="left" indent="1"/>
    </xf>
    <xf numFmtId="0" fontId="10" fillId="0" borderId="6" xfId="2" applyFont="1" applyFill="1" applyBorder="1" applyAlignment="1">
      <alignment horizontal="left" indent="1"/>
    </xf>
    <xf numFmtId="0" fontId="15" fillId="0" borderId="8" xfId="2" applyFont="1" applyFill="1" applyBorder="1" applyAlignment="1">
      <alignment horizontal="right"/>
    </xf>
    <xf numFmtId="0" fontId="14" fillId="0" borderId="14" xfId="2" applyFont="1" applyFill="1" applyBorder="1" applyAlignment="1">
      <alignment horizontal="left"/>
    </xf>
    <xf numFmtId="0" fontId="14" fillId="0" borderId="0" xfId="2" applyFont="1" applyFill="1" applyAlignment="1">
      <alignment horizontal="right"/>
    </xf>
    <xf numFmtId="0" fontId="9" fillId="0" borderId="0" xfId="2" applyFont="1" applyAlignment="1">
      <alignment horizontal="center"/>
    </xf>
    <xf numFmtId="0" fontId="7" fillId="0" borderId="1" xfId="0" applyFont="1" applyBorder="1" applyAlignment="1">
      <alignment horizontal="center"/>
    </xf>
    <xf numFmtId="42" fontId="13" fillId="0" borderId="0" xfId="2" applyNumberFormat="1" applyFont="1" applyBorder="1"/>
    <xf numFmtId="42" fontId="10" fillId="0" borderId="3" xfId="2" applyNumberFormat="1" applyFont="1" applyBorder="1"/>
    <xf numFmtId="42" fontId="12" fillId="0" borderId="0" xfId="2" applyNumberFormat="1" applyFont="1" applyBorder="1" applyAlignment="1">
      <alignment horizontal="center" vertical="center"/>
    </xf>
    <xf numFmtId="42" fontId="12" fillId="0" borderId="0" xfId="2" applyNumberFormat="1" applyFont="1" applyBorder="1" applyAlignment="1">
      <alignment horizontal="center"/>
    </xf>
    <xf numFmtId="42" fontId="16" fillId="6" borderId="8" xfId="2" applyNumberFormat="1" applyFont="1" applyFill="1" applyBorder="1"/>
    <xf numFmtId="42" fontId="10" fillId="0" borderId="0" xfId="2" applyNumberFormat="1" applyFont="1" applyBorder="1" applyAlignment="1">
      <alignment horizontal="center"/>
    </xf>
    <xf numFmtId="42" fontId="10" fillId="5" borderId="0" xfId="2" applyNumberFormat="1" applyFont="1" applyFill="1" applyBorder="1"/>
    <xf numFmtId="42" fontId="10" fillId="5" borderId="0" xfId="2" applyNumberFormat="1" applyFont="1" applyFill="1" applyBorder="1" applyAlignment="1">
      <alignment horizontal="right"/>
    </xf>
    <xf numFmtId="42" fontId="10" fillId="0" borderId="0" xfId="2" quotePrefix="1" applyNumberFormat="1" applyFont="1" applyBorder="1"/>
    <xf numFmtId="0" fontId="0" fillId="0" borderId="0" xfId="0" applyBorder="1"/>
    <xf numFmtId="42" fontId="10" fillId="0" borderId="16" xfId="2" applyNumberFormat="1" applyFont="1" applyBorder="1"/>
    <xf numFmtId="42" fontId="10" fillId="5" borderId="6" xfId="2" applyNumberFormat="1" applyFont="1" applyFill="1" applyBorder="1"/>
    <xf numFmtId="42" fontId="10" fillId="0" borderId="12" xfId="2" quotePrefix="1" applyNumberFormat="1" applyFont="1" applyBorder="1"/>
    <xf numFmtId="42" fontId="12" fillId="0" borderId="3" xfId="2" applyNumberFormat="1" applyFont="1" applyBorder="1" applyAlignment="1">
      <alignment horizontal="center" vertical="center"/>
    </xf>
    <xf numFmtId="42" fontId="10" fillId="0" borderId="3" xfId="2" applyNumberFormat="1" applyFont="1" applyBorder="1" applyAlignment="1">
      <alignment horizontal="center"/>
    </xf>
    <xf numFmtId="42" fontId="10" fillId="0" borderId="15" xfId="2" applyNumberFormat="1" applyFont="1" applyBorder="1"/>
    <xf numFmtId="42" fontId="10" fillId="7" borderId="7" xfId="2" applyNumberFormat="1" applyFont="1" applyFill="1" applyBorder="1"/>
    <xf numFmtId="42" fontId="10" fillId="7" borderId="5" xfId="2" applyNumberFormat="1" applyFont="1" applyFill="1" applyBorder="1"/>
    <xf numFmtId="42" fontId="10" fillId="0" borderId="7" xfId="2" applyNumberFormat="1" applyFont="1" applyBorder="1"/>
    <xf numFmtId="0" fontId="10" fillId="0" borderId="0" xfId="2" applyFont="1" applyAlignment="1">
      <alignment horizontal="center"/>
    </xf>
    <xf numFmtId="0" fontId="9" fillId="0" borderId="0" xfId="2" applyFont="1" applyAlignment="1">
      <alignment horizontal="left"/>
    </xf>
    <xf numFmtId="0" fontId="7" fillId="0" borderId="1" xfId="0" applyFont="1" applyBorder="1" applyAlignment="1">
      <alignment horizontal="left"/>
    </xf>
    <xf numFmtId="0" fontId="11" fillId="0" borderId="11" xfId="2" applyFont="1" applyBorder="1" applyAlignment="1">
      <alignment horizontal="right"/>
    </xf>
    <xf numFmtId="0" fontId="6" fillId="0" borderId="0" xfId="0" applyFont="1" applyAlignment="1">
      <alignment horizontal="right" vertical="center"/>
    </xf>
    <xf numFmtId="42" fontId="10" fillId="8" borderId="3" xfId="2" applyNumberFormat="1" applyFont="1" applyFill="1" applyBorder="1"/>
    <xf numFmtId="42" fontId="10" fillId="8" borderId="7" xfId="2" applyNumberFormat="1" applyFont="1" applyFill="1" applyBorder="1"/>
    <xf numFmtId="0" fontId="6" fillId="0" borderId="17" xfId="0" applyFont="1" applyBorder="1" applyAlignment="1">
      <alignment horizontal="right" vertical="center"/>
    </xf>
    <xf numFmtId="0" fontId="0" fillId="0" borderId="0" xfId="0" applyFill="1" applyBorder="1" applyAlignment="1">
      <alignment horizontal="center" vertical="center"/>
    </xf>
    <xf numFmtId="9" fontId="0" fillId="0" borderId="18" xfId="1" applyFont="1" applyFill="1" applyBorder="1" applyAlignment="1">
      <alignment horizontal="center" vertical="center"/>
    </xf>
    <xf numFmtId="9" fontId="0" fillId="0" borderId="0" xfId="1" applyFont="1" applyFill="1" applyBorder="1" applyAlignment="1">
      <alignment horizontal="center" vertical="center"/>
    </xf>
    <xf numFmtId="42" fontId="10" fillId="9" borderId="3" xfId="2" applyNumberFormat="1" applyFont="1" applyFill="1" applyBorder="1"/>
    <xf numFmtId="42" fontId="10" fillId="9" borderId="3" xfId="2" applyNumberFormat="1" applyFont="1" applyFill="1" applyBorder="1" applyAlignment="1">
      <alignment horizontal="right"/>
    </xf>
    <xf numFmtId="42" fontId="10" fillId="9" borderId="5" xfId="2" applyNumberFormat="1" applyFont="1" applyFill="1" applyBorder="1"/>
    <xf numFmtId="42" fontId="10" fillId="9" borderId="7" xfId="2" applyNumberFormat="1" applyFont="1" applyFill="1" applyBorder="1"/>
    <xf numFmtId="42" fontId="10" fillId="10" borderId="3" xfId="2" applyNumberFormat="1" applyFont="1" applyFill="1" applyBorder="1"/>
    <xf numFmtId="42" fontId="10" fillId="10" borderId="3" xfId="2" applyNumberFormat="1" applyFont="1" applyFill="1" applyBorder="1" applyAlignment="1">
      <alignment horizontal="right"/>
    </xf>
    <xf numFmtId="42" fontId="10" fillId="10" borderId="5" xfId="2" applyNumberFormat="1" applyFont="1" applyFill="1" applyBorder="1"/>
    <xf numFmtId="42" fontId="10" fillId="10" borderId="7" xfId="2" applyNumberFormat="1" applyFont="1" applyFill="1" applyBorder="1"/>
    <xf numFmtId="42" fontId="10" fillId="9" borderId="0" xfId="2" applyNumberFormat="1" applyFont="1" applyFill="1" applyBorder="1"/>
    <xf numFmtId="42" fontId="10" fillId="9" borderId="0" xfId="2" applyNumberFormat="1" applyFont="1" applyFill="1" applyBorder="1" applyAlignment="1">
      <alignment horizontal="right"/>
    </xf>
    <xf numFmtId="42" fontId="10" fillId="9" borderId="6" xfId="2" applyNumberFormat="1" applyFont="1" applyFill="1" applyBorder="1"/>
    <xf numFmtId="42" fontId="10" fillId="10" borderId="0" xfId="2" applyNumberFormat="1" applyFont="1" applyFill="1" applyBorder="1"/>
    <xf numFmtId="42" fontId="10" fillId="10" borderId="0" xfId="2" applyNumberFormat="1" applyFont="1" applyFill="1" applyBorder="1" applyAlignment="1">
      <alignment horizontal="right"/>
    </xf>
    <xf numFmtId="42" fontId="10" fillId="10" borderId="6" xfId="2" applyNumberFormat="1" applyFont="1" applyFill="1" applyBorder="1"/>
    <xf numFmtId="0" fontId="10" fillId="0" borderId="1" xfId="2" applyFont="1" applyFill="1" applyBorder="1" applyAlignment="1">
      <alignment horizontal="left" indent="1"/>
    </xf>
    <xf numFmtId="42" fontId="10" fillId="7" borderId="19" xfId="2" applyNumberFormat="1" applyFont="1" applyFill="1" applyBorder="1"/>
    <xf numFmtId="42" fontId="10" fillId="5" borderId="1" xfId="2" applyNumberFormat="1" applyFont="1" applyFill="1" applyBorder="1"/>
    <xf numFmtId="42" fontId="10" fillId="8" borderId="19" xfId="2" applyNumberFormat="1" applyFont="1" applyFill="1" applyBorder="1"/>
    <xf numFmtId="42" fontId="10" fillId="5" borderId="19" xfId="2" applyNumberFormat="1" applyFont="1" applyFill="1" applyBorder="1"/>
    <xf numFmtId="42" fontId="10" fillId="9" borderId="19" xfId="2" applyNumberFormat="1" applyFont="1" applyFill="1" applyBorder="1"/>
    <xf numFmtId="42" fontId="10" fillId="10" borderId="19" xfId="2" applyNumberFormat="1" applyFont="1" applyFill="1" applyBorder="1"/>
    <xf numFmtId="42" fontId="10" fillId="9" borderId="1" xfId="2" applyNumberFormat="1" applyFont="1" applyFill="1" applyBorder="1"/>
    <xf numFmtId="42" fontId="10" fillId="10" borderId="1" xfId="2" applyNumberFormat="1" applyFont="1" applyFill="1" applyBorder="1"/>
    <xf numFmtId="0" fontId="5" fillId="0" borderId="18" xfId="0" applyFont="1" applyFill="1" applyBorder="1" applyAlignment="1">
      <alignment horizontal="center" vertical="center"/>
    </xf>
    <xf numFmtId="0" fontId="5" fillId="0" borderId="0" xfId="0" applyFont="1" applyFill="1" applyBorder="1" applyAlignment="1">
      <alignment horizontal="center" vertical="center"/>
    </xf>
    <xf numFmtId="0" fontId="4" fillId="0" borderId="0" xfId="0" applyFont="1" applyAlignment="1">
      <alignment horizontal="center"/>
    </xf>
    <xf numFmtId="0" fontId="6" fillId="0" borderId="0" xfId="0" applyFont="1" applyAlignment="1">
      <alignment horizontal="center"/>
    </xf>
    <xf numFmtId="0" fontId="7" fillId="0" borderId="0" xfId="0" applyFont="1"/>
    <xf numFmtId="0" fontId="0" fillId="4" borderId="0" xfId="0" applyFill="1" applyAlignment="1">
      <alignment horizontal="center" vertical="center"/>
    </xf>
    <xf numFmtId="0" fontId="4" fillId="4" borderId="0" xfId="0" applyFont="1" applyFill="1" applyAlignment="1">
      <alignment horizontal="right" vertical="center"/>
    </xf>
    <xf numFmtId="0" fontId="2" fillId="0" borderId="0" xfId="0" applyFont="1" applyAlignment="1">
      <alignment vertical="center"/>
    </xf>
    <xf numFmtId="0" fontId="0" fillId="0" borderId="0" xfId="0" applyAlignment="1">
      <alignment vertical="center"/>
    </xf>
    <xf numFmtId="0" fontId="0" fillId="11" borderId="0" xfId="0" applyFill="1"/>
    <xf numFmtId="0" fontId="0" fillId="11" borderId="0" xfId="0" applyFill="1" applyAlignment="1">
      <alignment vertical="top" wrapText="1"/>
    </xf>
    <xf numFmtId="0" fontId="0" fillId="11" borderId="0" xfId="0" applyFill="1" applyAlignment="1">
      <alignment horizontal="left" vertical="top" wrapText="1" indent="2"/>
    </xf>
    <xf numFmtId="0" fontId="0" fillId="11" borderId="0" xfId="0" applyFill="1" applyAlignment="1">
      <alignment wrapText="1"/>
    </xf>
    <xf numFmtId="0" fontId="0" fillId="11" borderId="0" xfId="0" applyFill="1" applyAlignment="1"/>
    <xf numFmtId="0" fontId="0" fillId="0" borderId="0" xfId="0" applyFill="1" applyAlignment="1">
      <alignment wrapText="1"/>
    </xf>
    <xf numFmtId="0" fontId="0" fillId="0" borderId="0" xfId="0" applyFill="1"/>
    <xf numFmtId="0" fontId="2" fillId="0" borderId="0" xfId="0" applyFont="1" applyAlignment="1">
      <alignment horizontal="center" vertical="center" wrapText="1"/>
    </xf>
    <xf numFmtId="0" fontId="0" fillId="0" borderId="0" xfId="0" applyAlignment="1">
      <alignment horizontal="left" vertical="center" indent="3"/>
    </xf>
    <xf numFmtId="0" fontId="20" fillId="0" borderId="0" xfId="0" applyFont="1"/>
    <xf numFmtId="0" fontId="20" fillId="0" borderId="0" xfId="0" applyFont="1" applyAlignment="1">
      <alignment horizontal="left" vertical="center" indent="1"/>
    </xf>
    <xf numFmtId="0" fontId="20" fillId="0" borderId="0" xfId="0" applyFont="1" applyAlignment="1">
      <alignment horizontal="center"/>
    </xf>
    <xf numFmtId="0" fontId="20" fillId="0" borderId="0" xfId="0" applyFont="1" applyAlignment="1">
      <alignment horizontal="left" indent="4"/>
    </xf>
    <xf numFmtId="0" fontId="21" fillId="0" borderId="0" xfId="4" applyFont="1"/>
    <xf numFmtId="0" fontId="19" fillId="0" borderId="0" xfId="0" applyFont="1" applyBorder="1" applyAlignment="1">
      <alignment horizontal="center" vertical="center"/>
    </xf>
    <xf numFmtId="0" fontId="20" fillId="0" borderId="0" xfId="0" applyFont="1" applyAlignment="1"/>
    <xf numFmtId="0" fontId="10" fillId="0" borderId="0" xfId="0" applyFont="1"/>
    <xf numFmtId="0" fontId="10" fillId="0" borderId="0" xfId="0" applyFont="1" applyAlignment="1"/>
    <xf numFmtId="0" fontId="20" fillId="0" borderId="0" xfId="4" applyFont="1" applyAlignment="1"/>
    <xf numFmtId="0" fontId="20" fillId="0" borderId="0" xfId="4" applyFont="1" applyAlignment="1">
      <alignment horizontal="left" indent="4"/>
    </xf>
    <xf numFmtId="0" fontId="20" fillId="0" borderId="0" xfId="4" applyFont="1"/>
    <xf numFmtId="0" fontId="20" fillId="2" borderId="0" xfId="0" applyFont="1" applyFill="1"/>
    <xf numFmtId="0" fontId="20" fillId="3" borderId="0" xfId="0" applyFont="1" applyFill="1"/>
    <xf numFmtId="0" fontId="20" fillId="4" borderId="0" xfId="0" applyFont="1" applyFill="1"/>
    <xf numFmtId="0" fontId="0" fillId="0" borderId="0" xfId="0" applyAlignment="1">
      <alignment horizontal="left" indent="2"/>
    </xf>
    <xf numFmtId="0" fontId="0" fillId="0" borderId="0" xfId="0" applyAlignment="1">
      <alignment horizontal="left"/>
    </xf>
    <xf numFmtId="0" fontId="6" fillId="0" borderId="0" xfId="0" applyFont="1" applyAlignment="1">
      <alignment horizontal="center" vertical="center"/>
    </xf>
    <xf numFmtId="0" fontId="0" fillId="11" borderId="0" xfId="0" applyFill="1" applyAlignment="1">
      <alignment horizontal="left" wrapText="1" indent="14"/>
    </xf>
    <xf numFmtId="0" fontId="0" fillId="11" borderId="0" xfId="0" applyFill="1" applyAlignment="1">
      <alignment horizontal="left" wrapText="1" indent="11"/>
    </xf>
    <xf numFmtId="0" fontId="2" fillId="11" borderId="0" xfId="0" applyFont="1" applyFill="1" applyAlignment="1">
      <alignment horizontal="left"/>
    </xf>
    <xf numFmtId="0" fontId="0" fillId="11" borderId="0" xfId="0" applyFill="1" applyAlignment="1">
      <alignment horizontal="left" indent="2"/>
    </xf>
    <xf numFmtId="0" fontId="6" fillId="11" borderId="0" xfId="0" applyFont="1" applyFill="1" applyAlignment="1">
      <alignment horizontal="left" indent="1"/>
    </xf>
    <xf numFmtId="0" fontId="0" fillId="11" borderId="0" xfId="0" applyFill="1" applyAlignment="1">
      <alignment horizontal="left"/>
    </xf>
    <xf numFmtId="0" fontId="2" fillId="11" borderId="0" xfId="0" applyFont="1" applyFill="1" applyAlignment="1">
      <alignment horizontal="left" vertical="top" wrapText="1"/>
    </xf>
    <xf numFmtId="0" fontId="0" fillId="11" borderId="0" xfId="0" applyFill="1" applyAlignment="1">
      <alignment horizontal="left" vertical="top" wrapText="1" indent="1"/>
    </xf>
    <xf numFmtId="0" fontId="2" fillId="11" borderId="0" xfId="0" applyFont="1" applyFill="1" applyAlignment="1">
      <alignment horizontal="left" wrapText="1"/>
    </xf>
    <xf numFmtId="0" fontId="0" fillId="11" borderId="0" xfId="0" applyFill="1" applyAlignment="1">
      <alignment horizontal="left" vertical="top" wrapText="1" indent="2"/>
    </xf>
    <xf numFmtId="0" fontId="0" fillId="11" borderId="0" xfId="0" applyFill="1" applyAlignment="1">
      <alignment horizontal="left" vertical="center" indent="2"/>
    </xf>
    <xf numFmtId="0" fontId="0" fillId="11" borderId="0" xfId="0" applyFill="1" applyAlignment="1">
      <alignment horizontal="left" vertical="top" wrapText="1" indent="6"/>
    </xf>
    <xf numFmtId="0" fontId="4" fillId="0" borderId="6" xfId="0" applyFont="1" applyBorder="1" applyAlignment="1">
      <alignment horizontal="center"/>
    </xf>
    <xf numFmtId="0" fontId="6" fillId="11" borderId="0" xfId="0" applyFont="1" applyFill="1" applyAlignment="1">
      <alignment horizontal="left" wrapText="1" indent="1"/>
    </xf>
    <xf numFmtId="0" fontId="2" fillId="11" borderId="0" xfId="0" applyFont="1" applyFill="1" applyAlignment="1">
      <alignment horizontal="left" vertical="center"/>
    </xf>
    <xf numFmtId="0" fontId="2" fillId="11" borderId="0" xfId="0" applyFont="1" applyFill="1" applyAlignment="1">
      <alignment horizontal="left" vertical="top"/>
    </xf>
    <xf numFmtId="0" fontId="17" fillId="0" borderId="0" xfId="4" applyAlignment="1">
      <alignment horizontal="left" vertical="center" indent="3"/>
    </xf>
    <xf numFmtId="0" fontId="0" fillId="0" borderId="0" xfId="0" applyFont="1" applyAlignment="1">
      <alignment horizontal="left" vertical="center" indent="3"/>
    </xf>
    <xf numFmtId="0" fontId="0" fillId="3" borderId="0" xfId="0" applyFont="1" applyFill="1" applyAlignment="1">
      <alignment horizontal="center" vertical="center" wrapText="1"/>
    </xf>
    <xf numFmtId="0" fontId="6" fillId="0" borderId="0" xfId="0" applyFont="1" applyAlignment="1">
      <alignment horizontal="center" vertical="center"/>
    </xf>
    <xf numFmtId="0" fontId="17" fillId="0" borderId="0" xfId="4" applyFill="1" applyBorder="1" applyAlignment="1">
      <alignment horizontal="left" vertical="center" indent="3"/>
    </xf>
    <xf numFmtId="0" fontId="0" fillId="0" borderId="0" xfId="0" applyFont="1" applyFill="1" applyBorder="1" applyAlignment="1">
      <alignment horizontal="left" vertical="center" indent="3"/>
    </xf>
    <xf numFmtId="0" fontId="0" fillId="0" borderId="0" xfId="0" applyAlignment="1">
      <alignment horizontal="left" vertical="center" wrapText="1"/>
    </xf>
    <xf numFmtId="0" fontId="2" fillId="0" borderId="0" xfId="0" applyFont="1" applyAlignment="1">
      <alignment horizontal="center" vertical="center" wrapText="1"/>
    </xf>
  </cellXfs>
  <cellStyles count="5">
    <cellStyle name="Hyperlink" xfId="4" builtinId="8"/>
    <cellStyle name="Normal" xfId="0" builtinId="0"/>
    <cellStyle name="Normal 2" xfId="2" xr:uid="{B130AE93-F09F-45FA-8FCB-B539C498421C}"/>
    <cellStyle name="Percent" xfId="1" builtinId="5"/>
    <cellStyle name="Percent 2" xfId="3" xr:uid="{2F92CCCC-7E91-4FF2-B188-F8A07080687A}"/>
  </cellStyles>
  <dxfs count="256">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alignment horizontal="center" vertical="bottom" textRotation="0" wrapText="0" indent="0" justifyLastLine="0" shrinkToFit="0" readingOrder="0"/>
    </dxf>
    <dxf>
      <alignment horizontal="left" vertical="bottom" textRotation="0" wrapText="0" indent="2" justifyLastLine="0" shrinkToFit="0" readingOrder="0"/>
    </dxf>
    <dxf>
      <font>
        <b/>
        <i val="0"/>
        <strike val="0"/>
        <condense val="0"/>
        <extend val="0"/>
        <outline val="0"/>
        <shadow val="0"/>
        <u val="none"/>
        <vertAlign val="baseline"/>
        <sz val="11"/>
        <color theme="1"/>
        <name val="Calibri"/>
        <family val="2"/>
        <scheme val="minor"/>
      </font>
    </dxf>
    <dxf>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i val="0"/>
        <strike val="0"/>
        <condense val="0"/>
        <extend val="0"/>
        <outline val="0"/>
        <shadow val="0"/>
        <u/>
        <vertAlign val="baseline"/>
        <sz val="11"/>
        <color theme="1"/>
        <name val="Calibri"/>
        <family val="2"/>
        <scheme val="minor"/>
      </font>
      <alignment horizontal="right" vertical="bottom" textRotation="0" wrapText="0" indent="0" justifyLastLine="0" shrinkToFit="0" readingOrder="0"/>
    </dxf>
    <dxf>
      <alignment horizontal="right" vertical="bottom" textRotation="0" wrapText="0" indent="0" justifyLastLine="0" shrinkToFit="0" readingOrder="0"/>
    </dxf>
    <dxf>
      <font>
        <b/>
        <i val="0"/>
        <strike val="0"/>
        <condense val="0"/>
        <extend val="0"/>
        <outline val="0"/>
        <shadow val="0"/>
        <u/>
        <vertAlign val="baseline"/>
        <sz val="12"/>
        <color theme="1"/>
        <name val="Calibri"/>
        <family val="2"/>
        <scheme val="minor"/>
      </font>
      <alignment horizontal="left" vertical="bottom" textRotation="0" wrapText="0" indent="0" justifyLastLine="0" shrinkToFit="0" readingOrder="0"/>
    </dxf>
  </dxfs>
  <tableStyles count="0" defaultTableStyle="TableStyleMedium2" defaultPivotStyle="PivotStyleLight16"/>
  <colors>
    <mruColors>
      <color rgb="FFDCCBA0"/>
      <color rgb="FFCFB87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xdr:colOff>
          <xdr:row>10</xdr:row>
          <xdr:rowOff>160020</xdr:rowOff>
        </xdr:from>
        <xdr:to>
          <xdr:col>3</xdr:col>
          <xdr:colOff>510540</xdr:colOff>
          <xdr:row>12</xdr:row>
          <xdr:rowOff>114300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Export Report to .xlsx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15240</xdr:colOff>
          <xdr:row>6</xdr:row>
          <xdr:rowOff>198120</xdr:rowOff>
        </xdr:from>
        <xdr:to>
          <xdr:col>3</xdr:col>
          <xdr:colOff>518160</xdr:colOff>
          <xdr:row>8</xdr:row>
          <xdr:rowOff>152400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View Reference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7620</xdr:colOff>
          <xdr:row>2</xdr:row>
          <xdr:rowOff>144780</xdr:rowOff>
        </xdr:from>
        <xdr:to>
          <xdr:col>3</xdr:col>
          <xdr:colOff>510540</xdr:colOff>
          <xdr:row>4</xdr:row>
          <xdr:rowOff>99060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Create New Report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02687F6-C4C0-4014-BDDC-A2B7F19E7F72}" name="Table2" displayName="Table2" ref="A1:E350" totalsRowShown="0" headerRowDxfId="255">
  <autoFilter ref="A1:E350" xr:uid="{D1EB6663-4705-4869-A367-19C97BD9DB6B}"/>
  <sortState xmlns:xlrd2="http://schemas.microsoft.com/office/spreadsheetml/2017/richdata2" ref="A2:E350">
    <sortCondition ref="A2:A350"/>
    <sortCondition ref="B2:B350"/>
    <sortCondition ref="D2:D350"/>
  </sortState>
  <tableColumns count="5">
    <tableColumn id="1" xr3:uid="{7EFA4BF7-D4B0-475C-9AD9-F0C65E27A31C}" name="Row #" dataDxfId="254"/>
    <tableColumn id="2" xr3:uid="{C32D64FC-6858-4342-824D-78BAA8C7C326}" name="Line Item Account" dataDxfId="253"/>
    <tableColumn id="3" xr3:uid="{78A6070E-9F7F-4D4A-918F-73A34AC4BB39}" name="Account Code"/>
    <tableColumn id="4" xr3:uid="{65032639-92C9-4CE3-AFC3-4D7DD9EB7FE7}" name="Lower" dataDxfId="252"/>
    <tableColumn id="5" xr3:uid="{3EAB66A5-89F7-4A27-AD9F-BB87E4E0B983}" name="Upper" dataDxfId="251"/>
  </tableColumns>
  <tableStyleInfo name="TableStyleLight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F6B9CF0-119E-424A-89A9-193D49A85F83}" name="CLtable" displayName="CLtable" ref="A1:D244" totalsRowShown="0" headerRowDxfId="250">
  <autoFilter ref="A1:D244" xr:uid="{BFE81F4F-2B48-492C-8906-60C6AAC49C08}">
    <filterColumn colId="0">
      <filters>
        <filter val="CUSG"/>
      </filters>
    </filterColumn>
  </autoFilter>
  <sortState xmlns:xlrd2="http://schemas.microsoft.com/office/spreadsheetml/2017/richdata2" ref="A23:D151">
    <sortCondition ref="A2:A151"/>
    <sortCondition ref="C2:C151"/>
    <sortCondition ref="B2:B151"/>
  </sortState>
  <tableColumns count="4">
    <tableColumn id="1" xr3:uid="{BBCB3103-33C4-4C68-BD70-DFCF15A23770}" name="Cost Center"/>
    <tableColumn id="2" xr3:uid="{0ABB6B25-015D-4CD7-8A32-0EBD3C5F3222}" name="Speedtype"/>
    <tableColumn id="3" xr3:uid="{26EF472B-F9CB-4AA7-B125-FEF1A7EC190E}" name="Consolidate Into" dataDxfId="249"/>
    <tableColumn id="4" xr3:uid="{36CE69E0-FD46-4722-946C-2709B805BE0C}" name="Fund Balance" dataDxfId="248"/>
  </tableColumns>
  <tableStyleInfo name="TableStyleLight1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D7C1A0-0EAE-4924-906E-2CBE7851C319}">
  <sheetPr codeName="Sheet25">
    <tabColor theme="2" tint="-0.249977111117893"/>
  </sheetPr>
  <dimension ref="A1:T45"/>
  <sheetViews>
    <sheetView showGridLines="0" showRowColHeaders="0" workbookViewId="0"/>
  </sheetViews>
  <sheetFormatPr defaultColWidth="0" defaultRowHeight="14.4" zeroHeight="1"/>
  <cols>
    <col min="1" max="1" width="3" customWidth="1"/>
    <col min="2" max="17" width="10" customWidth="1"/>
    <col min="18" max="19" width="8.88671875" customWidth="1"/>
    <col min="20" max="20" width="3" customWidth="1"/>
    <col min="21" max="16384" width="8.88671875" hidden="1"/>
  </cols>
  <sheetData>
    <row r="1" spans="2:19" ht="15.6">
      <c r="B1" s="149" t="s">
        <v>596</v>
      </c>
      <c r="C1" s="149"/>
      <c r="D1" s="149"/>
      <c r="E1" s="149"/>
      <c r="F1" s="149"/>
      <c r="G1" s="149"/>
      <c r="H1" s="149"/>
      <c r="I1" s="149"/>
      <c r="J1" s="149"/>
      <c r="K1" s="149"/>
      <c r="L1" s="149"/>
      <c r="M1" s="149"/>
      <c r="N1" s="149"/>
      <c r="O1" s="149"/>
      <c r="P1" s="149"/>
      <c r="Q1" s="149"/>
      <c r="R1" s="149"/>
      <c r="S1" s="149"/>
    </row>
    <row r="2" spans="2:19">
      <c r="B2" s="150" t="s">
        <v>607</v>
      </c>
      <c r="C2" s="150"/>
      <c r="D2" s="150"/>
      <c r="E2" s="150"/>
      <c r="F2" s="150"/>
      <c r="G2" s="150"/>
      <c r="H2" s="150"/>
      <c r="I2" s="150"/>
      <c r="J2" s="150"/>
      <c r="K2" s="141" t="s">
        <v>597</v>
      </c>
      <c r="L2" s="141"/>
      <c r="M2" s="141"/>
      <c r="N2" s="141"/>
      <c r="O2" s="141"/>
      <c r="P2" s="141"/>
      <c r="Q2" s="141"/>
      <c r="R2" s="141"/>
      <c r="S2" s="141"/>
    </row>
    <row r="3" spans="2:19">
      <c r="B3" s="113"/>
      <c r="C3" s="151" t="s">
        <v>605</v>
      </c>
      <c r="D3" s="151"/>
      <c r="E3" s="151"/>
      <c r="F3" s="151"/>
      <c r="G3" s="151"/>
      <c r="H3" s="151"/>
      <c r="I3" s="151"/>
      <c r="J3" s="151"/>
      <c r="K3" s="110"/>
      <c r="L3" s="152" t="s">
        <v>598</v>
      </c>
      <c r="M3" s="152"/>
      <c r="N3" s="152"/>
      <c r="O3" s="152"/>
      <c r="P3" s="152"/>
      <c r="Q3" s="152"/>
      <c r="R3" s="152"/>
      <c r="S3" s="152"/>
    </row>
    <row r="4" spans="2:19" ht="14.4" customHeight="1">
      <c r="B4" s="113"/>
      <c r="C4" s="146" t="s">
        <v>606</v>
      </c>
      <c r="D4" s="146"/>
      <c r="E4" s="146"/>
      <c r="F4" s="146"/>
      <c r="G4" s="146"/>
      <c r="H4" s="146"/>
      <c r="I4" s="146"/>
      <c r="J4" s="111"/>
      <c r="K4" s="110"/>
      <c r="L4" s="146" t="s">
        <v>599</v>
      </c>
      <c r="M4" s="146"/>
      <c r="N4" s="146"/>
      <c r="O4" s="146"/>
      <c r="P4" s="146"/>
      <c r="Q4" s="146"/>
      <c r="R4" s="146"/>
      <c r="S4" s="146"/>
    </row>
    <row r="5" spans="2:19">
      <c r="B5" s="113"/>
      <c r="C5" s="146"/>
      <c r="D5" s="146"/>
      <c r="E5" s="146"/>
      <c r="F5" s="146"/>
      <c r="G5" s="146"/>
      <c r="H5" s="146"/>
      <c r="I5" s="146"/>
      <c r="J5" s="111"/>
      <c r="K5" s="110"/>
      <c r="L5" s="146"/>
      <c r="M5" s="146"/>
      <c r="N5" s="146"/>
      <c r="O5" s="146"/>
      <c r="P5" s="146"/>
      <c r="Q5" s="146"/>
      <c r="R5" s="146"/>
      <c r="S5" s="146"/>
    </row>
    <row r="6" spans="2:19">
      <c r="B6" s="113"/>
      <c r="C6" s="146"/>
      <c r="D6" s="146"/>
      <c r="E6" s="146"/>
      <c r="F6" s="146"/>
      <c r="G6" s="146"/>
      <c r="H6" s="146"/>
      <c r="I6" s="146"/>
      <c r="J6" s="111"/>
      <c r="K6" s="110"/>
      <c r="L6" s="146"/>
      <c r="M6" s="146"/>
      <c r="N6" s="146"/>
      <c r="O6" s="146"/>
      <c r="P6" s="146"/>
      <c r="Q6" s="146"/>
      <c r="R6" s="146"/>
      <c r="S6" s="146"/>
    </row>
    <row r="7" spans="2:19">
      <c r="B7" s="113"/>
      <c r="C7" s="146"/>
      <c r="D7" s="146"/>
      <c r="E7" s="146"/>
      <c r="F7" s="146"/>
      <c r="G7" s="146"/>
      <c r="H7" s="146"/>
      <c r="I7" s="146"/>
      <c r="J7" s="111"/>
      <c r="K7" s="110"/>
      <c r="L7" s="110"/>
      <c r="M7" s="111"/>
      <c r="N7" s="111"/>
      <c r="O7" s="111"/>
      <c r="P7" s="111"/>
      <c r="Q7" s="111"/>
      <c r="R7" s="111"/>
      <c r="S7" s="111"/>
    </row>
    <row r="8" spans="2:19">
      <c r="B8" s="113"/>
      <c r="C8" s="111"/>
      <c r="D8" s="111"/>
      <c r="E8" s="111"/>
      <c r="F8" s="111"/>
      <c r="G8" s="111"/>
      <c r="H8" s="111"/>
      <c r="I8" s="111"/>
      <c r="J8" s="111"/>
      <c r="K8" s="110"/>
      <c r="L8" s="146" t="s">
        <v>791</v>
      </c>
      <c r="M8" s="146"/>
      <c r="N8" s="146"/>
      <c r="O8" s="146"/>
      <c r="P8" s="146"/>
      <c r="Q8" s="146"/>
      <c r="R8" s="146"/>
      <c r="S8" s="146"/>
    </row>
    <row r="9" spans="2:19" ht="14.4" customHeight="1">
      <c r="B9" s="113"/>
      <c r="C9" s="146" t="s">
        <v>637</v>
      </c>
      <c r="D9" s="146"/>
      <c r="E9" s="146"/>
      <c r="F9" s="146"/>
      <c r="G9" s="146"/>
      <c r="H9" s="146"/>
      <c r="I9" s="146"/>
      <c r="J9" s="111"/>
      <c r="K9" s="110"/>
      <c r="L9" s="146"/>
      <c r="M9" s="146"/>
      <c r="N9" s="146"/>
      <c r="O9" s="146"/>
      <c r="P9" s="146"/>
      <c r="Q9" s="146"/>
      <c r="R9" s="146"/>
      <c r="S9" s="146"/>
    </row>
    <row r="10" spans="2:19">
      <c r="B10" s="113"/>
      <c r="C10" s="146"/>
      <c r="D10" s="146"/>
      <c r="E10" s="146"/>
      <c r="F10" s="146"/>
      <c r="G10" s="146"/>
      <c r="H10" s="146"/>
      <c r="I10" s="146"/>
      <c r="J10" s="111"/>
      <c r="K10" s="110"/>
      <c r="L10" s="146"/>
      <c r="M10" s="146"/>
      <c r="N10" s="146"/>
      <c r="O10" s="146"/>
      <c r="P10" s="146"/>
      <c r="Q10" s="146"/>
      <c r="R10" s="146"/>
      <c r="S10" s="146"/>
    </row>
    <row r="11" spans="2:19">
      <c r="B11" s="113"/>
      <c r="C11" s="146"/>
      <c r="D11" s="146"/>
      <c r="E11" s="146"/>
      <c r="F11" s="146"/>
      <c r="G11" s="146"/>
      <c r="H11" s="146"/>
      <c r="I11" s="146"/>
      <c r="J11" s="111"/>
      <c r="K11" s="110"/>
      <c r="L11" s="146"/>
      <c r="M11" s="146"/>
      <c r="N11" s="146"/>
      <c r="O11" s="146"/>
      <c r="P11" s="146"/>
      <c r="Q11" s="146"/>
      <c r="R11" s="146"/>
      <c r="S11" s="146"/>
    </row>
    <row r="12" spans="2:19">
      <c r="B12" s="113"/>
      <c r="C12" s="146"/>
      <c r="D12" s="146"/>
      <c r="E12" s="146"/>
      <c r="F12" s="146"/>
      <c r="G12" s="146"/>
      <c r="H12" s="146"/>
      <c r="I12" s="146"/>
      <c r="J12" s="111"/>
      <c r="K12" s="110"/>
      <c r="L12" s="146"/>
      <c r="M12" s="146"/>
      <c r="N12" s="146"/>
      <c r="O12" s="146"/>
      <c r="P12" s="146"/>
      <c r="Q12" s="146"/>
      <c r="R12" s="146"/>
      <c r="S12" s="146"/>
    </row>
    <row r="13" spans="2:19">
      <c r="B13" s="113"/>
      <c r="C13" s="146"/>
      <c r="D13" s="146"/>
      <c r="E13" s="146"/>
      <c r="F13" s="146"/>
      <c r="G13" s="146"/>
      <c r="H13" s="146"/>
      <c r="I13" s="146"/>
      <c r="J13" s="111"/>
      <c r="K13" s="110"/>
      <c r="L13" s="146"/>
      <c r="M13" s="146"/>
      <c r="N13" s="146"/>
      <c r="O13" s="146"/>
      <c r="P13" s="146"/>
      <c r="Q13" s="146"/>
      <c r="R13" s="146"/>
      <c r="S13" s="146"/>
    </row>
    <row r="14" spans="2:19">
      <c r="B14" s="113"/>
      <c r="C14" s="146"/>
      <c r="D14" s="146"/>
      <c r="E14" s="146"/>
      <c r="F14" s="146"/>
      <c r="G14" s="146"/>
      <c r="H14" s="146"/>
      <c r="I14" s="146"/>
      <c r="J14" s="111"/>
      <c r="K14" s="110"/>
      <c r="L14" s="146"/>
      <c r="M14" s="146"/>
      <c r="N14" s="146"/>
      <c r="O14" s="146"/>
      <c r="P14" s="146"/>
      <c r="Q14" s="146"/>
      <c r="R14" s="146"/>
      <c r="S14" s="146"/>
    </row>
    <row r="15" spans="2:19">
      <c r="B15" s="144" t="s">
        <v>613</v>
      </c>
      <c r="C15" s="144"/>
      <c r="D15" s="144"/>
      <c r="E15" s="144"/>
      <c r="F15" s="144"/>
      <c r="G15" s="144"/>
      <c r="H15" s="144"/>
      <c r="I15" s="144"/>
      <c r="J15" s="144"/>
      <c r="K15" s="110"/>
      <c r="L15" s="146"/>
      <c r="M15" s="146"/>
      <c r="N15" s="146"/>
      <c r="O15" s="146"/>
      <c r="P15" s="146"/>
      <c r="Q15" s="146"/>
      <c r="R15" s="146"/>
      <c r="S15" s="146"/>
    </row>
    <row r="16" spans="2:19" ht="14.4" customHeight="1">
      <c r="B16" s="144"/>
      <c r="C16" s="144"/>
      <c r="D16" s="144"/>
      <c r="E16" s="144"/>
      <c r="F16" s="144"/>
      <c r="G16" s="144"/>
      <c r="H16" s="144"/>
      <c r="I16" s="144"/>
      <c r="J16" s="144"/>
      <c r="K16" s="110"/>
      <c r="L16" s="112"/>
      <c r="M16" s="112"/>
      <c r="N16" s="112"/>
      <c r="O16" s="112"/>
      <c r="P16" s="112"/>
      <c r="Q16" s="112"/>
      <c r="R16" s="112"/>
      <c r="S16" s="112"/>
    </row>
    <row r="17" spans="2:19">
      <c r="B17" s="111"/>
      <c r="C17" s="111"/>
      <c r="D17" s="111"/>
      <c r="E17" s="111"/>
      <c r="F17" s="111"/>
      <c r="G17" s="111"/>
      <c r="H17" s="111"/>
      <c r="I17" s="111"/>
      <c r="J17" s="111"/>
      <c r="K17" s="110"/>
      <c r="L17" s="139" t="s">
        <v>600</v>
      </c>
      <c r="M17" s="139"/>
      <c r="N17" s="139"/>
      <c r="O17" s="139"/>
      <c r="P17" s="139"/>
      <c r="Q17" s="139"/>
      <c r="R17" s="139"/>
      <c r="S17" s="139"/>
    </row>
    <row r="18" spans="2:19">
      <c r="B18" s="141" t="s">
        <v>614</v>
      </c>
      <c r="C18" s="141"/>
      <c r="D18" s="141"/>
      <c r="E18" s="141"/>
      <c r="F18" s="141"/>
      <c r="G18" s="141"/>
      <c r="H18" s="141"/>
      <c r="I18" s="141"/>
      <c r="J18" s="141"/>
      <c r="K18" s="110"/>
      <c r="L18" s="146" t="s">
        <v>601</v>
      </c>
      <c r="M18" s="146"/>
      <c r="N18" s="146"/>
      <c r="O18" s="146"/>
      <c r="P18" s="146"/>
      <c r="Q18" s="146"/>
      <c r="R18" s="146"/>
      <c r="S18" s="146"/>
    </row>
    <row r="19" spans="2:19">
      <c r="B19" s="114"/>
      <c r="C19" s="142" t="s">
        <v>615</v>
      </c>
      <c r="D19" s="142"/>
      <c r="E19" s="142"/>
      <c r="F19" s="142"/>
      <c r="G19" s="142"/>
      <c r="H19" s="142"/>
      <c r="I19" s="142"/>
      <c r="J19" s="113"/>
      <c r="K19" s="110"/>
      <c r="L19" s="146"/>
      <c r="M19" s="146"/>
      <c r="N19" s="146"/>
      <c r="O19" s="146"/>
      <c r="P19" s="146"/>
      <c r="Q19" s="146"/>
      <c r="R19" s="146"/>
      <c r="S19" s="146"/>
    </row>
    <row r="20" spans="2:19">
      <c r="B20" s="113"/>
      <c r="C20" s="111"/>
      <c r="D20" s="111"/>
      <c r="E20" s="111"/>
      <c r="F20" s="111"/>
      <c r="G20" s="111"/>
      <c r="H20" s="111"/>
      <c r="I20" s="111"/>
      <c r="J20" s="111"/>
      <c r="K20" s="110"/>
      <c r="L20" s="146"/>
      <c r="M20" s="146"/>
      <c r="N20" s="146"/>
      <c r="O20" s="146"/>
      <c r="P20" s="146"/>
      <c r="Q20" s="146"/>
      <c r="R20" s="146"/>
      <c r="S20" s="146"/>
    </row>
    <row r="21" spans="2:19">
      <c r="B21" s="113"/>
      <c r="C21" s="143" t="s">
        <v>616</v>
      </c>
      <c r="D21" s="143"/>
      <c r="E21" s="143"/>
      <c r="F21" s="143"/>
      <c r="G21" s="143"/>
      <c r="H21" s="143"/>
      <c r="I21" s="143"/>
      <c r="J21" s="111"/>
      <c r="K21" s="110"/>
      <c r="L21" s="111"/>
      <c r="M21" s="111"/>
      <c r="N21" s="111"/>
      <c r="O21" s="111"/>
      <c r="P21" s="111"/>
      <c r="Q21" s="111"/>
      <c r="R21" s="111"/>
      <c r="S21" s="111"/>
    </row>
    <row r="22" spans="2:19">
      <c r="B22" s="113"/>
      <c r="C22" s="111"/>
      <c r="D22" s="111"/>
      <c r="E22" s="144" t="s">
        <v>620</v>
      </c>
      <c r="F22" s="144"/>
      <c r="G22" s="144"/>
      <c r="H22" s="144"/>
      <c r="I22" s="144"/>
      <c r="J22" s="111"/>
      <c r="K22" s="110"/>
      <c r="L22" s="146" t="s">
        <v>604</v>
      </c>
      <c r="M22" s="146"/>
      <c r="N22" s="146"/>
      <c r="O22" s="146"/>
      <c r="P22" s="146"/>
      <c r="Q22" s="146"/>
      <c r="R22" s="146"/>
      <c r="S22" s="146"/>
    </row>
    <row r="23" spans="2:19">
      <c r="B23" s="113"/>
      <c r="C23" s="111"/>
      <c r="D23" s="111"/>
      <c r="E23" s="111"/>
      <c r="F23" s="111"/>
      <c r="G23" s="111"/>
      <c r="H23" s="111"/>
      <c r="I23" s="111"/>
      <c r="J23" s="111"/>
      <c r="K23" s="110"/>
      <c r="L23" s="146"/>
      <c r="M23" s="146"/>
      <c r="N23" s="146"/>
      <c r="O23" s="146"/>
      <c r="P23" s="146"/>
      <c r="Q23" s="146"/>
      <c r="R23" s="146"/>
      <c r="S23" s="146"/>
    </row>
    <row r="24" spans="2:19">
      <c r="B24" s="113"/>
      <c r="C24" s="145" t="s">
        <v>617</v>
      </c>
      <c r="D24" s="145"/>
      <c r="E24" s="145"/>
      <c r="F24" s="145"/>
      <c r="G24" s="145"/>
      <c r="H24" s="145"/>
      <c r="I24" s="145"/>
      <c r="J24" s="110"/>
      <c r="K24" s="110"/>
      <c r="L24" s="146"/>
      <c r="M24" s="146"/>
      <c r="N24" s="146"/>
      <c r="O24" s="146"/>
      <c r="P24" s="146"/>
      <c r="Q24" s="146"/>
      <c r="R24" s="146"/>
      <c r="S24" s="146"/>
    </row>
    <row r="25" spans="2:19">
      <c r="B25" s="111"/>
      <c r="C25" s="148" t="s">
        <v>619</v>
      </c>
      <c r="D25" s="148"/>
      <c r="E25" s="148"/>
      <c r="F25" s="148"/>
      <c r="G25" s="148"/>
      <c r="H25" s="148"/>
      <c r="I25" s="148"/>
      <c r="J25" s="111"/>
      <c r="K25" s="110"/>
      <c r="L25" s="112"/>
      <c r="M25" s="112"/>
      <c r="N25" s="112"/>
      <c r="O25" s="112"/>
      <c r="P25" s="112"/>
      <c r="Q25" s="112"/>
      <c r="R25" s="112"/>
      <c r="S25" s="112"/>
    </row>
    <row r="26" spans="2:19">
      <c r="B26" s="111"/>
      <c r="C26" s="111"/>
      <c r="D26" s="111"/>
      <c r="E26" s="111"/>
      <c r="F26" s="111"/>
      <c r="G26" s="111"/>
      <c r="H26" s="111"/>
      <c r="I26" s="111"/>
      <c r="J26" s="111"/>
      <c r="K26" s="110"/>
      <c r="L26" s="146" t="s">
        <v>608</v>
      </c>
      <c r="M26" s="146"/>
      <c r="N26" s="146"/>
      <c r="O26" s="146"/>
      <c r="P26" s="146"/>
      <c r="Q26" s="146"/>
      <c r="R26" s="146"/>
      <c r="S26" s="146"/>
    </row>
    <row r="27" spans="2:19">
      <c r="B27" s="113"/>
      <c r="C27" s="139" t="s">
        <v>618</v>
      </c>
      <c r="D27" s="139"/>
      <c r="E27" s="139"/>
      <c r="F27" s="139"/>
      <c r="G27" s="139"/>
      <c r="H27" s="139"/>
      <c r="I27" s="139"/>
      <c r="J27" s="113"/>
      <c r="K27" s="110"/>
      <c r="L27" s="146"/>
      <c r="M27" s="146"/>
      <c r="N27" s="146"/>
      <c r="O27" s="146"/>
      <c r="P27" s="146"/>
      <c r="Q27" s="146"/>
      <c r="R27" s="146"/>
      <c r="S27" s="146"/>
    </row>
    <row r="28" spans="2:19">
      <c r="B28" s="113"/>
      <c r="C28" s="113"/>
      <c r="D28" s="113"/>
      <c r="E28" s="113"/>
      <c r="F28" s="113"/>
      <c r="G28" s="113"/>
      <c r="H28" s="113"/>
      <c r="I28" s="113"/>
      <c r="J28" s="113"/>
      <c r="K28" s="110"/>
      <c r="L28" s="146"/>
      <c r="M28" s="146"/>
      <c r="N28" s="146"/>
      <c r="O28" s="146"/>
      <c r="P28" s="146"/>
      <c r="Q28" s="146"/>
      <c r="R28" s="146"/>
      <c r="S28" s="146"/>
    </row>
    <row r="29" spans="2:19">
      <c r="B29" s="113"/>
      <c r="C29" s="139" t="s">
        <v>621</v>
      </c>
      <c r="D29" s="139"/>
      <c r="E29" s="139"/>
      <c r="F29" s="139"/>
      <c r="G29" s="139"/>
      <c r="H29" s="139"/>
      <c r="I29" s="139"/>
      <c r="J29" s="110"/>
      <c r="K29" s="110"/>
      <c r="L29" s="146"/>
      <c r="M29" s="146"/>
      <c r="N29" s="146"/>
      <c r="O29" s="146"/>
      <c r="P29" s="146"/>
      <c r="Q29" s="146"/>
      <c r="R29" s="146"/>
      <c r="S29" s="146"/>
    </row>
    <row r="30" spans="2:19" ht="14.4" customHeight="1">
      <c r="B30" s="113"/>
      <c r="C30" s="137" t="s">
        <v>622</v>
      </c>
      <c r="D30" s="137"/>
      <c r="E30" s="137"/>
      <c r="F30" s="137"/>
      <c r="G30" s="137"/>
      <c r="H30" s="137"/>
      <c r="I30" s="137"/>
      <c r="J30" s="137"/>
      <c r="K30" s="110"/>
      <c r="L30" s="110"/>
      <c r="M30" s="110"/>
      <c r="N30" s="110"/>
      <c r="O30" s="110"/>
      <c r="P30" s="110"/>
      <c r="Q30" s="110"/>
      <c r="R30" s="110"/>
      <c r="S30" s="110"/>
    </row>
    <row r="31" spans="2:19" ht="14.4" customHeight="1">
      <c r="B31" s="113"/>
      <c r="C31" s="137" t="s">
        <v>623</v>
      </c>
      <c r="D31" s="137"/>
      <c r="E31" s="137"/>
      <c r="F31" s="137"/>
      <c r="G31" s="137"/>
      <c r="H31" s="137"/>
      <c r="I31" s="137"/>
      <c r="J31" s="137"/>
      <c r="K31" s="110"/>
      <c r="L31" s="139" t="s">
        <v>602</v>
      </c>
      <c r="M31" s="139"/>
      <c r="N31" s="139"/>
      <c r="O31" s="139"/>
      <c r="P31" s="139"/>
      <c r="Q31" s="139"/>
      <c r="R31" s="139"/>
      <c r="S31" s="139"/>
    </row>
    <row r="32" spans="2:19" ht="14.4" customHeight="1">
      <c r="B32" s="113"/>
      <c r="C32" s="137" t="s">
        <v>629</v>
      </c>
      <c r="D32" s="137"/>
      <c r="E32" s="137"/>
      <c r="F32" s="137"/>
      <c r="G32" s="137"/>
      <c r="H32" s="137"/>
      <c r="I32" s="137"/>
      <c r="J32" s="137"/>
      <c r="K32" s="110"/>
      <c r="L32" s="147" t="s">
        <v>603</v>
      </c>
      <c r="M32" s="147"/>
      <c r="N32" s="147"/>
      <c r="O32" s="147"/>
      <c r="P32" s="147"/>
      <c r="Q32" s="147"/>
      <c r="R32" s="147"/>
      <c r="S32" s="147"/>
    </row>
    <row r="33" spans="2:19">
      <c r="B33" s="113"/>
      <c r="C33" s="137" t="s">
        <v>630</v>
      </c>
      <c r="D33" s="137"/>
      <c r="E33" s="137"/>
      <c r="F33" s="137"/>
      <c r="G33" s="137"/>
      <c r="H33" s="137"/>
      <c r="I33" s="137"/>
      <c r="J33" s="137"/>
      <c r="K33" s="110"/>
      <c r="L33" s="147" t="s">
        <v>609</v>
      </c>
      <c r="M33" s="147"/>
      <c r="N33" s="147"/>
      <c r="O33" s="147"/>
      <c r="P33" s="147"/>
      <c r="Q33" s="147"/>
      <c r="R33" s="147"/>
      <c r="S33" s="147"/>
    </row>
    <row r="34" spans="2:19">
      <c r="B34" s="113"/>
      <c r="C34" s="113"/>
      <c r="D34" s="113"/>
      <c r="E34" s="113"/>
      <c r="F34" s="113"/>
      <c r="G34" s="113"/>
      <c r="H34" s="113"/>
      <c r="I34" s="110"/>
      <c r="J34" s="110"/>
      <c r="K34" s="110"/>
      <c r="L34" s="147" t="s">
        <v>610</v>
      </c>
      <c r="M34" s="147"/>
      <c r="N34" s="147"/>
      <c r="O34" s="147"/>
      <c r="P34" s="147"/>
      <c r="Q34" s="147"/>
      <c r="R34" s="147"/>
      <c r="S34" s="147"/>
    </row>
    <row r="35" spans="2:19">
      <c r="B35" s="113"/>
      <c r="C35" s="139" t="s">
        <v>624</v>
      </c>
      <c r="D35" s="139"/>
      <c r="E35" s="139"/>
      <c r="F35" s="139"/>
      <c r="G35" s="139"/>
      <c r="H35" s="139"/>
      <c r="I35" s="139"/>
      <c r="J35" s="139"/>
      <c r="K35" s="110"/>
      <c r="L35" s="140" t="s">
        <v>611</v>
      </c>
      <c r="M35" s="140"/>
      <c r="N35" s="140"/>
      <c r="O35" s="140"/>
      <c r="P35" s="140"/>
      <c r="Q35" s="140"/>
      <c r="R35" s="140"/>
      <c r="S35" s="140"/>
    </row>
    <row r="36" spans="2:19">
      <c r="B36" s="113"/>
      <c r="C36" s="138" t="s">
        <v>627</v>
      </c>
      <c r="D36" s="138"/>
      <c r="E36" s="138"/>
      <c r="F36" s="138"/>
      <c r="G36" s="138"/>
      <c r="H36" s="138"/>
      <c r="I36" s="138"/>
      <c r="J36" s="138"/>
      <c r="K36" s="110"/>
      <c r="L36" s="140" t="s">
        <v>612</v>
      </c>
      <c r="M36" s="140"/>
      <c r="N36" s="140"/>
      <c r="O36" s="140"/>
      <c r="P36" s="140"/>
      <c r="Q36" s="140"/>
      <c r="R36" s="140"/>
      <c r="S36" s="140"/>
    </row>
    <row r="37" spans="2:19">
      <c r="B37" s="113"/>
      <c r="C37" s="138" t="s">
        <v>625</v>
      </c>
      <c r="D37" s="138"/>
      <c r="E37" s="138"/>
      <c r="F37" s="138"/>
      <c r="G37" s="138"/>
      <c r="H37" s="138"/>
      <c r="I37" s="138"/>
      <c r="J37" s="138"/>
      <c r="K37" s="110"/>
      <c r="L37" s="140"/>
      <c r="M37" s="140"/>
      <c r="N37" s="140"/>
      <c r="O37" s="140"/>
      <c r="P37" s="140"/>
      <c r="Q37" s="140"/>
      <c r="R37" s="140"/>
      <c r="S37" s="140"/>
    </row>
    <row r="38" spans="2:19">
      <c r="B38" s="113"/>
      <c r="C38" s="138"/>
      <c r="D38" s="138"/>
      <c r="E38" s="138"/>
      <c r="F38" s="138"/>
      <c r="G38" s="138"/>
      <c r="H38" s="138"/>
      <c r="I38" s="138"/>
      <c r="J38" s="138"/>
      <c r="K38" s="110"/>
      <c r="L38" s="110"/>
      <c r="M38" s="110"/>
      <c r="N38" s="110"/>
      <c r="O38" s="110"/>
      <c r="P38" s="110"/>
      <c r="Q38" s="110"/>
      <c r="R38" s="110"/>
      <c r="S38" s="110"/>
    </row>
    <row r="39" spans="2:19">
      <c r="B39" s="113"/>
      <c r="C39" s="138" t="s">
        <v>626</v>
      </c>
      <c r="D39" s="138"/>
      <c r="E39" s="138"/>
      <c r="F39" s="138"/>
      <c r="G39" s="138"/>
      <c r="H39" s="138"/>
      <c r="I39" s="138"/>
      <c r="J39" s="138"/>
      <c r="K39" s="110"/>
      <c r="L39" s="110"/>
      <c r="M39" s="110"/>
      <c r="N39" s="110"/>
      <c r="O39" s="110"/>
      <c r="P39" s="110"/>
      <c r="Q39" s="110"/>
      <c r="R39" s="110"/>
      <c r="S39" s="110"/>
    </row>
    <row r="40" spans="2:19">
      <c r="B40" s="113"/>
      <c r="C40" s="138" t="s">
        <v>628</v>
      </c>
      <c r="D40" s="138"/>
      <c r="E40" s="138"/>
      <c r="F40" s="138"/>
      <c r="G40" s="138"/>
      <c r="H40" s="138"/>
      <c r="I40" s="138"/>
      <c r="J40" s="138"/>
      <c r="K40" s="110"/>
      <c r="L40" s="110"/>
      <c r="M40" s="110"/>
      <c r="N40" s="110"/>
      <c r="O40" s="110"/>
      <c r="P40" s="110"/>
      <c r="Q40" s="110"/>
      <c r="R40" s="110"/>
      <c r="S40" s="110"/>
    </row>
    <row r="41" spans="2:19">
      <c r="B41" s="113"/>
      <c r="C41" s="138" t="s">
        <v>631</v>
      </c>
      <c r="D41" s="138"/>
      <c r="E41" s="138"/>
      <c r="F41" s="138"/>
      <c r="G41" s="138"/>
      <c r="H41" s="138"/>
      <c r="I41" s="138"/>
      <c r="J41" s="138"/>
      <c r="K41" s="110"/>
      <c r="L41" s="110"/>
      <c r="M41" s="110"/>
      <c r="N41" s="110"/>
      <c r="O41" s="110"/>
      <c r="P41" s="110"/>
      <c r="Q41" s="110"/>
      <c r="R41" s="110"/>
      <c r="S41" s="110"/>
    </row>
    <row r="42" spans="2:19">
      <c r="B42" s="113"/>
      <c r="C42" s="138" t="s">
        <v>632</v>
      </c>
      <c r="D42" s="138"/>
      <c r="E42" s="138"/>
      <c r="F42" s="138"/>
      <c r="G42" s="138"/>
      <c r="H42" s="138"/>
      <c r="I42" s="138"/>
      <c r="J42" s="138"/>
      <c r="K42" s="110"/>
      <c r="L42" s="110"/>
      <c r="M42" s="110"/>
      <c r="N42" s="110"/>
      <c r="O42" s="110"/>
      <c r="P42" s="110"/>
      <c r="Q42" s="110"/>
      <c r="R42" s="110"/>
      <c r="S42" s="110"/>
    </row>
    <row r="43" spans="2:19">
      <c r="B43" s="113"/>
      <c r="C43" s="113"/>
      <c r="D43" s="113"/>
      <c r="E43" s="113"/>
      <c r="F43" s="113"/>
      <c r="G43" s="113"/>
      <c r="H43" s="113"/>
      <c r="I43" s="110"/>
      <c r="J43" s="110"/>
      <c r="K43" s="110"/>
      <c r="L43" s="110"/>
      <c r="M43" s="110"/>
      <c r="N43" s="110"/>
      <c r="O43" s="110"/>
      <c r="P43" s="110"/>
      <c r="Q43" s="110"/>
      <c r="R43" s="110"/>
      <c r="S43" s="110"/>
    </row>
    <row r="44" spans="2:19">
      <c r="B44" s="115"/>
      <c r="C44" s="115"/>
      <c r="D44" s="115"/>
      <c r="E44" s="115"/>
      <c r="F44" s="115"/>
      <c r="G44" s="115"/>
      <c r="H44" s="115"/>
      <c r="I44" s="116"/>
      <c r="J44" s="116"/>
      <c r="K44" s="116"/>
      <c r="L44" s="116"/>
      <c r="M44" s="116"/>
      <c r="N44" s="116"/>
      <c r="O44" s="116"/>
      <c r="P44" s="116"/>
      <c r="Q44" s="116"/>
      <c r="R44" s="116"/>
      <c r="S44" s="116"/>
    </row>
    <row r="45" spans="2:19" hidden="1">
      <c r="C45" s="115"/>
      <c r="D45" s="115"/>
      <c r="E45" s="115"/>
      <c r="F45" s="115"/>
      <c r="G45" s="115"/>
      <c r="H45" s="115"/>
      <c r="I45" s="116"/>
      <c r="J45" s="116"/>
    </row>
  </sheetData>
  <mergeCells count="42">
    <mergeCell ref="B1:S1"/>
    <mergeCell ref="B2:J2"/>
    <mergeCell ref="K2:S2"/>
    <mergeCell ref="C3:J3"/>
    <mergeCell ref="L3:S3"/>
    <mergeCell ref="C4:I7"/>
    <mergeCell ref="L22:S24"/>
    <mergeCell ref="L8:S15"/>
    <mergeCell ref="L17:S17"/>
    <mergeCell ref="L18:S20"/>
    <mergeCell ref="L4:S6"/>
    <mergeCell ref="C14:I14"/>
    <mergeCell ref="B15:J16"/>
    <mergeCell ref="C9:I13"/>
    <mergeCell ref="L36:S36"/>
    <mergeCell ref="L37:S37"/>
    <mergeCell ref="B18:J18"/>
    <mergeCell ref="C19:I19"/>
    <mergeCell ref="C21:I21"/>
    <mergeCell ref="E22:I22"/>
    <mergeCell ref="C24:I24"/>
    <mergeCell ref="L35:S35"/>
    <mergeCell ref="L26:S29"/>
    <mergeCell ref="L31:S31"/>
    <mergeCell ref="L32:S32"/>
    <mergeCell ref="L33:S33"/>
    <mergeCell ref="L34:S34"/>
    <mergeCell ref="C25:I25"/>
    <mergeCell ref="C27:I27"/>
    <mergeCell ref="C29:I29"/>
    <mergeCell ref="C30:J30"/>
    <mergeCell ref="C31:J31"/>
    <mergeCell ref="C32:J32"/>
    <mergeCell ref="C33:J33"/>
    <mergeCell ref="C42:J42"/>
    <mergeCell ref="C35:J35"/>
    <mergeCell ref="C36:J36"/>
    <mergeCell ref="C37:J37"/>
    <mergeCell ref="C38:J38"/>
    <mergeCell ref="C39:J39"/>
    <mergeCell ref="C40:J40"/>
    <mergeCell ref="C41:J41"/>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465C19-D810-4837-AC30-B26DB6201365}">
  <sheetPr codeName="Sheet1">
    <tabColor theme="2" tint="-0.249977111117893"/>
  </sheetPr>
  <dimension ref="A1:S1048576"/>
  <sheetViews>
    <sheetView showGridLines="0" showRowColHeaders="0" tabSelected="1" workbookViewId="0">
      <selection activeCell="F12" sqref="F12"/>
    </sheetView>
  </sheetViews>
  <sheetFormatPr defaultRowHeight="15.6"/>
  <cols>
    <col min="1" max="3" width="10.33203125" style="119" customWidth="1"/>
    <col min="4" max="4" width="10.33203125" customWidth="1"/>
    <col min="5" max="5" width="21" style="103" bestFit="1" customWidth="1"/>
    <col min="6" max="6" width="9.88671875" style="9" customWidth="1"/>
    <col min="7" max="7" width="3.44140625" customWidth="1"/>
    <col min="8" max="8" width="12.88671875" style="71" customWidth="1"/>
    <col min="9" max="14" width="8.21875" customWidth="1"/>
    <col min="15" max="18" width="8.88671875" style="118"/>
    <col min="19" max="19" width="21" bestFit="1" customWidth="1"/>
  </cols>
  <sheetData>
    <row r="1" spans="1:19" ht="19.95" customHeight="1">
      <c r="E1" s="8"/>
    </row>
    <row r="2" spans="1:19" ht="19.95" customHeight="1">
      <c r="E2" s="8"/>
      <c r="O2" s="156" t="s">
        <v>591</v>
      </c>
      <c r="P2" s="156"/>
      <c r="Q2" s="156"/>
      <c r="R2" s="156"/>
      <c r="S2" s="104" t="s">
        <v>594</v>
      </c>
    </row>
    <row r="3" spans="1:19" ht="19.95" customHeight="1">
      <c r="A3" s="131"/>
      <c r="B3" s="131"/>
      <c r="C3" s="131"/>
      <c r="D3" s="1"/>
      <c r="E3" s="2" t="s">
        <v>0</v>
      </c>
      <c r="F3" s="3" t="s">
        <v>1</v>
      </c>
      <c r="H3" s="160" t="s">
        <v>633</v>
      </c>
      <c r="I3" s="160"/>
      <c r="J3" s="160"/>
      <c r="K3" s="160"/>
      <c r="L3" s="160"/>
      <c r="M3" s="160"/>
      <c r="N3" s="117"/>
      <c r="O3" s="157" t="s">
        <v>592</v>
      </c>
      <c r="P3" s="157"/>
      <c r="Q3" s="157"/>
      <c r="R3" s="157"/>
      <c r="S3" s="103"/>
    </row>
    <row r="4" spans="1:19" ht="19.95" customHeight="1">
      <c r="A4" s="131"/>
      <c r="B4" s="131"/>
      <c r="C4" s="131"/>
      <c r="D4" s="1"/>
      <c r="E4" s="2" t="s">
        <v>579</v>
      </c>
      <c r="F4" s="3">
        <v>3</v>
      </c>
      <c r="H4" s="74" t="s">
        <v>581</v>
      </c>
      <c r="I4" s="101">
        <v>18</v>
      </c>
      <c r="J4" s="101">
        <v>17</v>
      </c>
      <c r="K4" s="101">
        <v>16</v>
      </c>
      <c r="L4" s="102"/>
      <c r="M4" s="75"/>
      <c r="N4" s="75"/>
      <c r="O4" s="157" t="s">
        <v>792</v>
      </c>
      <c r="P4" s="158"/>
      <c r="Q4" s="158"/>
      <c r="R4" s="158"/>
      <c r="S4" s="103"/>
    </row>
    <row r="5" spans="1:19" ht="19.95" customHeight="1">
      <c r="A5" s="131"/>
      <c r="B5" s="131"/>
      <c r="C5" s="131"/>
      <c r="D5" s="1"/>
      <c r="E5" s="2" t="s">
        <v>578</v>
      </c>
      <c r="F5" s="3">
        <v>16</v>
      </c>
      <c r="H5" s="74" t="s">
        <v>582</v>
      </c>
      <c r="I5" s="76">
        <v>0.33333000000000002</v>
      </c>
      <c r="J5" s="76">
        <v>0.33333000000000002</v>
      </c>
      <c r="K5" s="76">
        <v>0.33333000000000002</v>
      </c>
      <c r="L5" s="77"/>
      <c r="M5" s="77"/>
      <c r="N5" s="77"/>
      <c r="O5" s="153" t="s">
        <v>793</v>
      </c>
      <c r="P5" s="154"/>
      <c r="Q5" s="154"/>
      <c r="R5" s="154"/>
      <c r="S5" s="103">
        <v>4</v>
      </c>
    </row>
    <row r="6" spans="1:19" ht="19.95" customHeight="1">
      <c r="E6" s="8"/>
      <c r="O6" s="153" t="s">
        <v>794</v>
      </c>
      <c r="P6" s="154"/>
      <c r="Q6" s="154"/>
      <c r="R6" s="154"/>
      <c r="S6" s="103">
        <v>5</v>
      </c>
    </row>
    <row r="7" spans="1:19" ht="19.95" customHeight="1">
      <c r="A7" s="132"/>
      <c r="B7" s="132"/>
      <c r="C7" s="132"/>
      <c r="D7" s="4"/>
      <c r="E7" s="155" t="s">
        <v>636</v>
      </c>
      <c r="F7" s="155"/>
      <c r="H7" s="105" t="s">
        <v>2</v>
      </c>
      <c r="O7" s="153" t="s">
        <v>795</v>
      </c>
      <c r="P7" s="154"/>
      <c r="Q7" s="154"/>
      <c r="R7" s="154"/>
      <c r="S7" s="103"/>
    </row>
    <row r="8" spans="1:19" ht="19.95" customHeight="1">
      <c r="A8" s="132"/>
      <c r="B8" s="132"/>
      <c r="C8" s="132"/>
      <c r="D8" s="4"/>
      <c r="E8" s="155"/>
      <c r="F8" s="155"/>
      <c r="H8" s="108" t="s">
        <v>3</v>
      </c>
      <c r="I8" s="109" t="s">
        <v>4</v>
      </c>
      <c r="O8" s="153" t="s">
        <v>796</v>
      </c>
      <c r="P8" s="154"/>
      <c r="Q8" s="154"/>
      <c r="R8" s="154"/>
      <c r="S8" s="103"/>
    </row>
    <row r="9" spans="1:19" ht="27" customHeight="1">
      <c r="A9" s="132"/>
      <c r="B9" s="132"/>
      <c r="C9" s="132"/>
      <c r="D9" s="4"/>
      <c r="E9" s="155"/>
      <c r="F9" s="155"/>
      <c r="H9" s="108" t="s">
        <v>5</v>
      </c>
      <c r="I9" s="159" t="s">
        <v>638</v>
      </c>
      <c r="J9" s="159"/>
      <c r="K9" s="159"/>
      <c r="L9" s="159"/>
      <c r="M9" s="159"/>
      <c r="O9" s="153" t="s">
        <v>797</v>
      </c>
      <c r="P9" s="154"/>
      <c r="Q9" s="154"/>
      <c r="R9" s="154"/>
      <c r="S9" s="103">
        <v>1</v>
      </c>
    </row>
    <row r="10" spans="1:19" ht="19.95" customHeight="1">
      <c r="E10" s="8"/>
      <c r="H10" s="108" t="s">
        <v>583</v>
      </c>
      <c r="I10" s="109" t="s">
        <v>593</v>
      </c>
      <c r="O10" s="153" t="s">
        <v>798</v>
      </c>
      <c r="P10" s="154"/>
      <c r="Q10" s="154"/>
      <c r="R10" s="154"/>
      <c r="S10" s="103">
        <v>2</v>
      </c>
    </row>
    <row r="11" spans="1:19" ht="19.95" customHeight="1">
      <c r="A11" s="133"/>
      <c r="B11" s="133"/>
      <c r="C11" s="133"/>
      <c r="D11" s="5"/>
      <c r="E11" s="6"/>
      <c r="F11" s="7"/>
      <c r="O11" s="153" t="s">
        <v>799</v>
      </c>
      <c r="P11" s="154"/>
      <c r="Q11" s="154"/>
      <c r="R11" s="154"/>
      <c r="S11" s="103"/>
    </row>
    <row r="12" spans="1:19" ht="19.95" customHeight="1">
      <c r="A12" s="133"/>
      <c r="B12" s="133"/>
      <c r="C12" s="133"/>
      <c r="D12" s="5"/>
      <c r="E12" s="107" t="s">
        <v>595</v>
      </c>
      <c r="F12" s="106" t="s">
        <v>810</v>
      </c>
      <c r="O12" s="153" t="s">
        <v>800</v>
      </c>
      <c r="P12" s="154"/>
      <c r="Q12" s="154"/>
      <c r="R12" s="154"/>
      <c r="S12" s="103"/>
    </row>
    <row r="13" spans="1:19" ht="19.95" customHeight="1">
      <c r="A13" s="133"/>
      <c r="B13" s="133"/>
      <c r="C13" s="133"/>
      <c r="D13" s="5"/>
      <c r="E13" s="6"/>
      <c r="F13" s="7"/>
      <c r="O13" s="153" t="s">
        <v>801</v>
      </c>
      <c r="P13" s="154"/>
      <c r="Q13" s="154"/>
      <c r="R13" s="154"/>
      <c r="S13" s="103">
        <v>2</v>
      </c>
    </row>
    <row r="14" spans="1:19" ht="19.95" customHeight="1">
      <c r="E14" s="8"/>
      <c r="O14" s="153" t="s">
        <v>802</v>
      </c>
      <c r="P14" s="154"/>
      <c r="Q14" s="154"/>
      <c r="R14" s="154"/>
      <c r="S14" s="103"/>
    </row>
    <row r="15" spans="1:19" ht="19.95" customHeight="1">
      <c r="D15" s="126"/>
      <c r="O15" s="153" t="s">
        <v>803</v>
      </c>
      <c r="P15" s="154"/>
      <c r="Q15" s="154"/>
      <c r="R15" s="154"/>
      <c r="S15" s="103">
        <v>2</v>
      </c>
    </row>
    <row r="16" spans="1:19" ht="19.95" customHeight="1">
      <c r="A16" s="124" t="s">
        <v>634</v>
      </c>
      <c r="C16" s="124" t="s">
        <v>635</v>
      </c>
      <c r="D16" s="126"/>
      <c r="O16" s="153" t="s">
        <v>804</v>
      </c>
      <c r="P16" s="154"/>
      <c r="Q16" s="154"/>
      <c r="R16" s="154"/>
      <c r="S16" s="103"/>
    </row>
    <row r="17" spans="1:19" ht="19.95" customHeight="1">
      <c r="A17" s="120" t="s">
        <v>390</v>
      </c>
      <c r="B17" s="119" t="s">
        <v>391</v>
      </c>
      <c r="C17" s="121" t="s">
        <v>391</v>
      </c>
      <c r="D17" s="126"/>
      <c r="O17" s="153" t="s">
        <v>805</v>
      </c>
      <c r="P17" s="154"/>
      <c r="Q17" s="154"/>
      <c r="R17" s="154"/>
      <c r="S17" s="103"/>
    </row>
    <row r="18" spans="1:19" ht="19.95" customHeight="1">
      <c r="A18" s="120" t="s">
        <v>643</v>
      </c>
      <c r="B18" s="119" t="s">
        <v>393</v>
      </c>
      <c r="C18" s="121" t="s">
        <v>393</v>
      </c>
      <c r="D18" s="126"/>
      <c r="O18" s="153" t="s">
        <v>806</v>
      </c>
      <c r="P18" s="154"/>
      <c r="Q18" s="154"/>
      <c r="R18" s="154"/>
      <c r="S18" s="103">
        <v>1</v>
      </c>
    </row>
    <row r="19" spans="1:19" ht="19.95" customHeight="1">
      <c r="A19" s="120" t="s">
        <v>395</v>
      </c>
      <c r="B19" s="119" t="s">
        <v>391</v>
      </c>
      <c r="C19" s="121" t="s">
        <v>424</v>
      </c>
      <c r="D19" s="126"/>
      <c r="O19" s="153" t="s">
        <v>807</v>
      </c>
      <c r="P19" s="154"/>
      <c r="Q19" s="154"/>
      <c r="R19" s="154"/>
      <c r="S19" s="103"/>
    </row>
    <row r="20" spans="1:19" ht="19.95" customHeight="1">
      <c r="A20" s="120" t="s">
        <v>397</v>
      </c>
      <c r="B20" s="119" t="s">
        <v>391</v>
      </c>
      <c r="C20" s="121"/>
      <c r="D20" s="126"/>
      <c r="O20" s="153" t="s">
        <v>808</v>
      </c>
      <c r="P20" s="154"/>
      <c r="Q20" s="154"/>
      <c r="R20" s="154"/>
      <c r="S20" s="103"/>
    </row>
    <row r="21" spans="1:19" ht="19.95" customHeight="1">
      <c r="A21" s="120" t="s">
        <v>399</v>
      </c>
      <c r="B21" s="119" t="s">
        <v>391</v>
      </c>
      <c r="C21" s="121"/>
      <c r="D21" s="126"/>
      <c r="O21" s="153" t="s">
        <v>809</v>
      </c>
      <c r="P21" s="154"/>
      <c r="Q21" s="154"/>
      <c r="R21" s="154"/>
      <c r="S21" s="103"/>
    </row>
    <row r="22" spans="1:19" ht="19.95" customHeight="1">
      <c r="A22" s="120" t="s">
        <v>401</v>
      </c>
      <c r="B22" s="119" t="s">
        <v>391</v>
      </c>
      <c r="C22" s="121"/>
      <c r="D22" s="126"/>
      <c r="O22" s="153"/>
      <c r="P22" s="154"/>
      <c r="Q22" s="154"/>
      <c r="R22" s="154"/>
    </row>
    <row r="23" spans="1:19" ht="19.95" customHeight="1">
      <c r="A23" s="120" t="s">
        <v>403</v>
      </c>
      <c r="B23" s="119" t="s">
        <v>391</v>
      </c>
      <c r="C23" s="121"/>
      <c r="D23" s="126"/>
      <c r="O23" s="153"/>
      <c r="P23" s="154"/>
      <c r="Q23" s="154"/>
      <c r="R23" s="154"/>
    </row>
    <row r="24" spans="1:19" ht="19.95" customHeight="1">
      <c r="A24" s="120" t="s">
        <v>405</v>
      </c>
      <c r="B24" s="119" t="s">
        <v>391</v>
      </c>
      <c r="C24" s="121"/>
      <c r="D24" s="126"/>
      <c r="O24" s="153"/>
      <c r="P24" s="154"/>
      <c r="Q24" s="154"/>
      <c r="R24" s="154"/>
    </row>
    <row r="25" spans="1:19" ht="19.95" customHeight="1">
      <c r="A25" s="120" t="s">
        <v>407</v>
      </c>
      <c r="B25" s="119" t="s">
        <v>391</v>
      </c>
      <c r="C25" s="121"/>
      <c r="D25" s="126"/>
      <c r="O25" s="153"/>
      <c r="P25" s="154"/>
      <c r="Q25" s="154"/>
      <c r="R25" s="154"/>
    </row>
    <row r="26" spans="1:19" ht="19.95" customHeight="1">
      <c r="A26" s="120" t="s">
        <v>410</v>
      </c>
      <c r="B26" s="119" t="s">
        <v>391</v>
      </c>
      <c r="C26" s="121"/>
      <c r="D26" s="126"/>
      <c r="O26" s="153"/>
      <c r="P26" s="154"/>
      <c r="Q26" s="154"/>
      <c r="R26" s="154"/>
    </row>
    <row r="27" spans="1:19" ht="19.95" customHeight="1">
      <c r="A27" s="120" t="s">
        <v>412</v>
      </c>
      <c r="B27" s="119" t="s">
        <v>391</v>
      </c>
      <c r="C27" s="121"/>
      <c r="D27" s="126"/>
      <c r="O27" s="153"/>
      <c r="P27" s="154"/>
      <c r="Q27" s="154"/>
      <c r="R27" s="154"/>
    </row>
    <row r="28" spans="1:19" ht="19.95" customHeight="1">
      <c r="A28" s="120" t="s">
        <v>414</v>
      </c>
      <c r="B28" s="119" t="s">
        <v>391</v>
      </c>
      <c r="C28" s="121"/>
      <c r="D28" s="126"/>
      <c r="O28" s="153"/>
      <c r="P28" s="154"/>
      <c r="Q28" s="154"/>
      <c r="R28" s="154"/>
    </row>
    <row r="29" spans="1:19" ht="15" customHeight="1">
      <c r="A29" s="120" t="s">
        <v>417</v>
      </c>
      <c r="B29" s="119" t="s">
        <v>391</v>
      </c>
      <c r="C29" s="121"/>
      <c r="D29" s="126"/>
      <c r="O29" s="153"/>
      <c r="P29" s="154"/>
      <c r="Q29" s="154"/>
      <c r="R29" s="154"/>
    </row>
    <row r="30" spans="1:19" ht="15" customHeight="1">
      <c r="A30" s="120" t="s">
        <v>419</v>
      </c>
      <c r="B30" s="119" t="s">
        <v>391</v>
      </c>
      <c r="C30" s="121"/>
      <c r="D30" s="126"/>
      <c r="O30" s="153"/>
      <c r="P30" s="154"/>
      <c r="Q30" s="154"/>
      <c r="R30" s="154"/>
    </row>
    <row r="31" spans="1:19" ht="15" customHeight="1">
      <c r="A31" s="120" t="s">
        <v>421</v>
      </c>
      <c r="B31" s="119" t="s">
        <v>391</v>
      </c>
      <c r="C31" s="121"/>
      <c r="D31" s="126"/>
      <c r="O31" s="153"/>
      <c r="P31" s="154"/>
      <c r="Q31" s="154"/>
      <c r="R31" s="154"/>
    </row>
    <row r="32" spans="1:19" ht="15" customHeight="1">
      <c r="A32" s="120" t="s">
        <v>423</v>
      </c>
      <c r="B32" s="119" t="s">
        <v>424</v>
      </c>
      <c r="C32" s="121"/>
      <c r="D32" s="126"/>
      <c r="O32" s="153"/>
      <c r="P32" s="154"/>
      <c r="Q32" s="154"/>
      <c r="R32" s="154"/>
    </row>
    <row r="33" spans="1:18" ht="15" customHeight="1">
      <c r="A33" s="120" t="s">
        <v>427</v>
      </c>
      <c r="B33" s="119" t="s">
        <v>391</v>
      </c>
      <c r="C33" s="121"/>
      <c r="D33" s="126"/>
      <c r="O33" s="153"/>
      <c r="P33" s="154"/>
      <c r="Q33" s="154"/>
      <c r="R33" s="154"/>
    </row>
    <row r="34" spans="1:18">
      <c r="A34" s="120" t="s">
        <v>429</v>
      </c>
      <c r="B34" s="119" t="s">
        <v>391</v>
      </c>
      <c r="C34" s="121"/>
      <c r="D34" s="126"/>
      <c r="O34" s="153"/>
      <c r="P34" s="154"/>
      <c r="Q34" s="154"/>
      <c r="R34" s="154"/>
    </row>
    <row r="35" spans="1:18">
      <c r="A35" s="128"/>
      <c r="B35" s="125"/>
      <c r="C35" s="125"/>
      <c r="D35" s="127"/>
      <c r="O35" s="153"/>
      <c r="P35" s="154"/>
      <c r="Q35" s="154"/>
      <c r="R35" s="154"/>
    </row>
    <row r="36" spans="1:18">
      <c r="A36" s="128"/>
      <c r="B36" s="125"/>
      <c r="C36" s="125"/>
      <c r="D36" s="125"/>
      <c r="O36" s="153"/>
      <c r="P36" s="154"/>
      <c r="Q36" s="154"/>
      <c r="R36" s="154"/>
    </row>
    <row r="37" spans="1:18">
      <c r="A37" s="128"/>
      <c r="B37" s="125"/>
      <c r="C37" s="125"/>
      <c r="D37" s="125"/>
      <c r="O37" s="153"/>
      <c r="P37" s="154"/>
      <c r="Q37" s="154"/>
      <c r="R37" s="154"/>
    </row>
    <row r="38" spans="1:18">
      <c r="A38" s="128"/>
      <c r="B38" s="125"/>
      <c r="C38" s="125"/>
      <c r="D38" s="125"/>
      <c r="O38" s="153"/>
      <c r="P38" s="154"/>
      <c r="Q38" s="154"/>
      <c r="R38" s="154"/>
    </row>
    <row r="39" spans="1:18">
      <c r="A39" s="128"/>
      <c r="B39" s="125"/>
      <c r="C39" s="125"/>
      <c r="D39" s="125"/>
      <c r="O39" s="153"/>
      <c r="P39" s="154"/>
      <c r="Q39" s="154"/>
      <c r="R39" s="154"/>
    </row>
    <row r="40" spans="1:18">
      <c r="A40" s="128"/>
      <c r="B40" s="125"/>
      <c r="C40" s="125"/>
      <c r="D40" s="125"/>
      <c r="O40" s="153"/>
      <c r="P40" s="154"/>
      <c r="Q40" s="154"/>
      <c r="R40" s="154"/>
    </row>
    <row r="41" spans="1:18">
      <c r="A41" s="128"/>
      <c r="B41" s="125"/>
      <c r="C41" s="125"/>
      <c r="D41" s="125"/>
      <c r="O41" s="153"/>
      <c r="P41" s="154"/>
      <c r="Q41" s="154"/>
      <c r="R41" s="154"/>
    </row>
    <row r="42" spans="1:18">
      <c r="A42" s="128"/>
      <c r="B42" s="125"/>
      <c r="C42" s="125"/>
      <c r="D42" s="125"/>
      <c r="O42" s="153"/>
      <c r="P42" s="154"/>
      <c r="Q42" s="154"/>
      <c r="R42" s="154"/>
    </row>
    <row r="43" spans="1:18">
      <c r="A43" s="128"/>
      <c r="B43" s="125"/>
      <c r="C43" s="125"/>
      <c r="D43" s="125"/>
      <c r="O43" s="153"/>
      <c r="P43" s="154"/>
      <c r="Q43" s="154"/>
      <c r="R43" s="154"/>
    </row>
    <row r="44" spans="1:18">
      <c r="A44" s="128"/>
      <c r="B44" s="125"/>
      <c r="C44" s="125"/>
      <c r="D44" s="125"/>
      <c r="O44" s="153"/>
      <c r="P44" s="154"/>
      <c r="Q44" s="154"/>
      <c r="R44" s="154"/>
    </row>
    <row r="45" spans="1:18">
      <c r="A45" s="128"/>
      <c r="B45" s="125"/>
      <c r="C45" s="125"/>
      <c r="D45" s="125"/>
      <c r="O45" s="153"/>
      <c r="P45" s="154"/>
      <c r="Q45" s="154"/>
      <c r="R45" s="154"/>
    </row>
    <row r="46" spans="1:18">
      <c r="A46" s="128"/>
      <c r="B46" s="125"/>
      <c r="C46" s="125"/>
      <c r="D46" s="125"/>
      <c r="O46" s="153"/>
      <c r="P46" s="154"/>
      <c r="Q46" s="154"/>
      <c r="R46" s="154"/>
    </row>
    <row r="47" spans="1:18">
      <c r="A47" s="128"/>
      <c r="B47" s="125"/>
      <c r="C47" s="125"/>
      <c r="D47" s="125"/>
      <c r="O47" s="153"/>
      <c r="P47" s="154"/>
      <c r="Q47" s="154"/>
      <c r="R47" s="154"/>
    </row>
    <row r="48" spans="1:18">
      <c r="A48" s="128"/>
      <c r="B48" s="125"/>
      <c r="C48" s="125"/>
      <c r="D48" s="125"/>
      <c r="O48" s="153"/>
      <c r="P48" s="154"/>
      <c r="Q48" s="154"/>
      <c r="R48" s="154"/>
    </row>
    <row r="49" spans="1:18">
      <c r="A49" s="129"/>
      <c r="B49" s="122"/>
      <c r="C49" s="122"/>
      <c r="D49" s="122"/>
      <c r="O49" s="153"/>
      <c r="P49" s="154"/>
      <c r="Q49" s="154"/>
      <c r="R49" s="154"/>
    </row>
    <row r="50" spans="1:18">
      <c r="A50" s="130"/>
      <c r="D50" s="119"/>
      <c r="O50" s="153"/>
      <c r="P50" s="154"/>
      <c r="Q50" s="154"/>
      <c r="R50" s="154"/>
    </row>
    <row r="51" spans="1:18">
      <c r="A51" s="130"/>
      <c r="D51" s="119"/>
      <c r="O51" s="153"/>
      <c r="P51" s="154"/>
      <c r="Q51" s="154"/>
      <c r="R51" s="154"/>
    </row>
    <row r="52" spans="1:18">
      <c r="A52" s="130"/>
      <c r="D52" s="119"/>
      <c r="O52" s="153"/>
      <c r="P52" s="154"/>
      <c r="Q52" s="154"/>
      <c r="R52" s="154"/>
    </row>
    <row r="53" spans="1:18">
      <c r="A53" s="130"/>
      <c r="D53" s="119"/>
      <c r="O53" s="153"/>
      <c r="P53" s="154"/>
      <c r="Q53" s="154"/>
      <c r="R53" s="154"/>
    </row>
    <row r="54" spans="1:18">
      <c r="A54" s="130"/>
      <c r="D54" s="119"/>
      <c r="O54" s="153"/>
      <c r="P54" s="154"/>
      <c r="Q54" s="154"/>
      <c r="R54" s="154"/>
    </row>
    <row r="55" spans="1:18">
      <c r="A55" s="130"/>
      <c r="D55" s="119"/>
    </row>
    <row r="56" spans="1:18">
      <c r="A56" s="130"/>
      <c r="D56" s="119"/>
    </row>
    <row r="57" spans="1:18">
      <c r="A57" s="130"/>
      <c r="D57" s="119"/>
    </row>
    <row r="58" spans="1:18">
      <c r="A58" s="130"/>
      <c r="D58" s="119"/>
    </row>
    <row r="59" spans="1:18">
      <c r="D59" s="119"/>
    </row>
    <row r="60" spans="1:18">
      <c r="D60" s="119"/>
    </row>
    <row r="61" spans="1:18">
      <c r="D61" s="119"/>
    </row>
    <row r="62" spans="1:18">
      <c r="D62" s="119"/>
    </row>
    <row r="63" spans="1:18">
      <c r="D63" s="119"/>
    </row>
    <row r="64" spans="1:18">
      <c r="D64" s="119"/>
    </row>
    <row r="65" spans="4:4">
      <c r="D65" s="119"/>
    </row>
    <row r="66" spans="4:4">
      <c r="D66" s="119"/>
    </row>
    <row r="67" spans="4:4">
      <c r="D67" s="119"/>
    </row>
    <row r="68" spans="4:4">
      <c r="D68" s="119"/>
    </row>
    <row r="69" spans="4:4">
      <c r="D69" s="119"/>
    </row>
    <row r="70" spans="4:4">
      <c r="D70" s="119"/>
    </row>
    <row r="71" spans="4:4">
      <c r="D71" s="119"/>
    </row>
    <row r="72" spans="4:4">
      <c r="D72" s="119"/>
    </row>
    <row r="73" spans="4:4">
      <c r="D73" s="119"/>
    </row>
    <row r="74" spans="4:4">
      <c r="D74" s="119"/>
    </row>
    <row r="75" spans="4:4">
      <c r="D75" s="119"/>
    </row>
    <row r="76" spans="4:4">
      <c r="D76" s="119"/>
    </row>
    <row r="1048576" spans="1:1">
      <c r="A1048576" s="123"/>
    </row>
  </sheetData>
  <mergeCells count="56">
    <mergeCell ref="O52:R52"/>
    <mergeCell ref="O53:R53"/>
    <mergeCell ref="O54:R54"/>
    <mergeCell ref="O47:R47"/>
    <mergeCell ref="O48:R48"/>
    <mergeCell ref="O49:R49"/>
    <mergeCell ref="O50:R50"/>
    <mergeCell ref="O51:R51"/>
    <mergeCell ref="O42:R42"/>
    <mergeCell ref="O43:R43"/>
    <mergeCell ref="O44:R44"/>
    <mergeCell ref="O45:R45"/>
    <mergeCell ref="O46:R46"/>
    <mergeCell ref="O37:R37"/>
    <mergeCell ref="O38:R38"/>
    <mergeCell ref="O39:R39"/>
    <mergeCell ref="O40:R40"/>
    <mergeCell ref="O41:R41"/>
    <mergeCell ref="O32:R32"/>
    <mergeCell ref="O33:R33"/>
    <mergeCell ref="O34:R34"/>
    <mergeCell ref="O35:R35"/>
    <mergeCell ref="O36:R36"/>
    <mergeCell ref="O27:R27"/>
    <mergeCell ref="O28:R28"/>
    <mergeCell ref="O29:R29"/>
    <mergeCell ref="O30:R30"/>
    <mergeCell ref="O31:R31"/>
    <mergeCell ref="O22:R22"/>
    <mergeCell ref="O23:R23"/>
    <mergeCell ref="O24:R24"/>
    <mergeCell ref="O25:R25"/>
    <mergeCell ref="O26:R26"/>
    <mergeCell ref="E7:F9"/>
    <mergeCell ref="O2:R2"/>
    <mergeCell ref="O3:R3"/>
    <mergeCell ref="O4:R4"/>
    <mergeCell ref="O5:R5"/>
    <mergeCell ref="I9:M9"/>
    <mergeCell ref="H3:M3"/>
    <mergeCell ref="O9:R9"/>
    <mergeCell ref="O19:R19"/>
    <mergeCell ref="O20:R20"/>
    <mergeCell ref="O21:R21"/>
    <mergeCell ref="O14:R14"/>
    <mergeCell ref="O15:R15"/>
    <mergeCell ref="O16:R16"/>
    <mergeCell ref="O17:R17"/>
    <mergeCell ref="O18:R18"/>
    <mergeCell ref="O10:R10"/>
    <mergeCell ref="O11:R11"/>
    <mergeCell ref="O12:R12"/>
    <mergeCell ref="O13:R13"/>
    <mergeCell ref="O6:R6"/>
    <mergeCell ref="O7:R7"/>
    <mergeCell ref="O8:R8"/>
  </mergeCells>
  <dataValidations count="5">
    <dataValidation type="whole" showInputMessage="1" showErrorMessage="1" sqref="F5" xr:uid="{9253C4B0-D925-45EE-82A1-831530457958}">
      <formula1>10</formula1>
      <formula2>35</formula2>
    </dataValidation>
    <dataValidation type="list" showInputMessage="1" showErrorMessage="1" sqref="F4" xr:uid="{C304AA80-F411-437D-8820-85308ECCF0FD}">
      <formula1>"1,2,3,4,5"</formula1>
    </dataValidation>
    <dataValidation type="list" allowBlank="1" showInputMessage="1" showErrorMessage="1" sqref="F3" xr:uid="{B2EF00E5-F346-4AF1-B3F0-687FB19DB58B}">
      <formula1>"CEB,CSI,CUSG,DSB,ECNTR,KVCU,OCHNR,REC,SLS,SOAC,UMC,VRC"</formula1>
    </dataValidation>
    <dataValidation type="list" showInputMessage="1" showErrorMessage="1" sqref="F12" xr:uid="{F16081D3-4C7A-4CF8-8C0A-0536EBEE1E21}">
      <formula1>"Standard,Compact"</formula1>
    </dataValidation>
    <dataValidation type="decimal" allowBlank="1" showInputMessage="1" showErrorMessage="1" sqref="I5:N5" xr:uid="{AA4B89D5-A453-416E-B4C1-D3D85E7DA079}">
      <formula1>0</formula1>
      <formula2>1</formula2>
    </dataValidation>
  </dataValidations>
  <hyperlinks>
    <hyperlink ref="O3" location="'Roll Up'!A1" tooltip="Roll Up" display="1) Roll Up" xr:uid="{569684D0-BEDB-48A6-B39C-EF3BA4C0C259}"/>
    <hyperlink ref="O4" location="'Appellate Court'!A1" tooltip="Appellate Court" display="2) Appellate Court" xr:uid="{359AF13A-5D89-4977-9C09-5B1DF2C321F8}"/>
    <hyperlink ref="O5" location="'Ccs-leg'!A1" tooltip="Ccs-leg" display="3) Ccs-leg" xr:uid="{91D745E0-DA79-4A53-98C8-1705308C8557}"/>
    <hyperlink ref="O6" location="'Elections'!A1" tooltip="Elections" display="4) Elections" xr:uid="{C609A3CA-DBBF-4182-9415-06950306C367}"/>
    <hyperlink ref="O7" location="'Exec Staff Payroll'!A1" tooltip="Exec Staff Payroll" display="5) Exec Staff Payroll" xr:uid="{98BFECEE-70A6-4FE5-BA30-A9149302343D}"/>
    <hyperlink ref="O8" location="'Finance Board'!A1" tooltip="Finance Board" display="6) Finance Board" xr:uid="{D64C1406-1BF4-46C7-AB2E-2FF55F65D6DA}"/>
    <hyperlink ref="O9" location="'Freshman Council'!A1" tooltip="Freshman Council" display="7) Freshman Council" xr:uid="{EC86B4A2-B814-4E1D-BCCB-EF03B4131924}"/>
    <hyperlink ref="O10" location="'Homecoming'!A1" tooltip="Homecoming" display="8) Homecoming" xr:uid="{AEF0ABD4-AA1C-467D-BBFD-51A4BE065AA1}"/>
    <hyperlink ref="O11" location="'Incident Response'!A1" tooltip="Incident Response" display="9) Incident Response" xr:uid="{33B22CF9-C811-4789-B6FC-60C5C51D876E}"/>
    <hyperlink ref="O12" location="'Leg Cncl Disc'!A1" tooltip="Leg Cncl Disc" display="10) Leg Cncl Disc" xr:uid="{1F82521C-1A95-42AD-BAAF-C26A68A744F1}"/>
    <hyperlink ref="O13" location="'Leg Cncl Staff'!A1" tooltip="Leg Cncl Staff" display="11) Leg Cncl Staff" xr:uid="{D441B2BD-B45B-4AA6-AEC6-A43DE3153807}"/>
    <hyperlink ref="O14" location="'Legis Affairs Comm'!A1" tooltip="Legis Affairs Comm" display="12) Legis Affairs Comm" xr:uid="{8F8443FF-38A0-481F-B0AC-E480A2DEE5AC}"/>
    <hyperlink ref="O15" location="'Operations'!A1" tooltip="Operations" display="13) Operations" xr:uid="{6FDEDDDD-D792-4573-AB96-177602088120}"/>
    <hyperlink ref="O16" location="'Payroll Suspense'!A1" tooltip="Payroll Suspense" display="14) Payroll Suspense" xr:uid="{8A59F415-9DEF-456F-8656-B250BDA13B80}"/>
    <hyperlink ref="O17" location="'Programming'!A1" tooltip="Programming" display="15) Programming" xr:uid="{94FF847D-9479-4C4F-ABCA-56DD3BEF08A9}"/>
    <hyperlink ref="O18" location="'Public Relations'!A1" tooltip="Public Relations" display="16) Public Relations" xr:uid="{1FC4C524-50FA-440A-A30A-79CE4196F431}"/>
    <hyperlink ref="O19" location="'Rep Council'!A1" tooltip="Rep Council" display="17) Rep Council" xr:uid="{D88F4812-B426-4CB7-B615-C17282FBCD0C}"/>
    <hyperlink ref="O20" location="'Staff Support'!A1" tooltip="Staff Support" display="18) Staff Support" xr:uid="{DF92CCC0-01B1-4C5D-BA81-AFF0A9FEF1A3}"/>
    <hyperlink ref="O21" location="'Travel'!A1" tooltip="Travel" display="19) Travel" xr:uid="{98F3DA24-8134-4D0E-AB49-91FAF38AD219}"/>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ExportClick">
                <anchor moveWithCells="1">
                  <from>
                    <xdr:col>1</xdr:col>
                    <xdr:colOff>7620</xdr:colOff>
                    <xdr:row>10</xdr:row>
                    <xdr:rowOff>160020</xdr:rowOff>
                  </from>
                  <to>
                    <xdr:col>3</xdr:col>
                    <xdr:colOff>510540</xdr:colOff>
                    <xdr:row>12</xdr:row>
                    <xdr:rowOff>114300</xdr:rowOff>
                  </to>
                </anchor>
              </controlPr>
            </control>
          </mc:Choice>
        </mc:AlternateContent>
        <mc:AlternateContent xmlns:mc="http://schemas.openxmlformats.org/markup-compatibility/2006">
          <mc:Choice Requires="x14">
            <control shapeId="1028" r:id="rId5" name="Button 4">
              <controlPr defaultSize="0" print="0" autoFill="0" autoPict="0" macro="[0]!_xludf.unhide">
                <anchor moveWithCells="1">
                  <from>
                    <xdr:col>1</xdr:col>
                    <xdr:colOff>15240</xdr:colOff>
                    <xdr:row>6</xdr:row>
                    <xdr:rowOff>198120</xdr:rowOff>
                  </from>
                  <to>
                    <xdr:col>3</xdr:col>
                    <xdr:colOff>518160</xdr:colOff>
                    <xdr:row>8</xdr:row>
                    <xdr:rowOff>152400</xdr:rowOff>
                  </to>
                </anchor>
              </controlPr>
            </control>
          </mc:Choice>
        </mc:AlternateContent>
        <mc:AlternateContent xmlns:mc="http://schemas.openxmlformats.org/markup-compatibility/2006">
          <mc:Choice Requires="x14">
            <control shapeId="1029" r:id="rId6" name="Button 5">
              <controlPr defaultSize="0" print="0" autoFill="0" autoPict="0" macro="[0]!NewReportClick">
                <anchor moveWithCells="1">
                  <from>
                    <xdr:col>1</xdr:col>
                    <xdr:colOff>7620</xdr:colOff>
                    <xdr:row>2</xdr:row>
                    <xdr:rowOff>144780</xdr:rowOff>
                  </from>
                  <to>
                    <xdr:col>3</xdr:col>
                    <xdr:colOff>510540</xdr:colOff>
                    <xdr:row>4</xdr:row>
                    <xdr:rowOff>99060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21F2F0-A4AA-40F1-8B33-621624354265}">
  <sheetPr codeName="Sheet9">
    <tabColor theme="4" tint="0.59999389629810485"/>
  </sheetPr>
  <dimension ref="A1:E350"/>
  <sheetViews>
    <sheetView showGridLines="0" showRowColHeaders="0" workbookViewId="0"/>
  </sheetViews>
  <sheetFormatPr defaultRowHeight="14.4"/>
  <cols>
    <col min="2" max="2" width="29.21875" bestFit="1" customWidth="1"/>
    <col min="3" max="3" width="49.21875" bestFit="1" customWidth="1"/>
  </cols>
  <sheetData>
    <row r="1" spans="1:5" ht="15.6">
      <c r="A1" s="14" t="s">
        <v>385</v>
      </c>
      <c r="B1" s="14" t="s">
        <v>384</v>
      </c>
      <c r="C1" s="14" t="s">
        <v>383</v>
      </c>
      <c r="D1" s="14" t="s">
        <v>382</v>
      </c>
      <c r="E1" s="14" t="s">
        <v>381</v>
      </c>
    </row>
    <row r="2" spans="1:5">
      <c r="A2" s="13">
        <v>8</v>
      </c>
      <c r="B2" s="12" t="s">
        <v>376</v>
      </c>
      <c r="C2" t="s">
        <v>380</v>
      </c>
      <c r="D2" s="11">
        <v>220000</v>
      </c>
      <c r="E2" s="11">
        <v>224999</v>
      </c>
    </row>
    <row r="3" spans="1:5">
      <c r="A3" s="13">
        <v>8</v>
      </c>
      <c r="B3" s="12" t="s">
        <v>376</v>
      </c>
      <c r="C3" t="s">
        <v>379</v>
      </c>
      <c r="D3" s="11">
        <v>225000</v>
      </c>
      <c r="E3" s="11">
        <v>229996</v>
      </c>
    </row>
    <row r="4" spans="1:5">
      <c r="A4" s="13">
        <v>8</v>
      </c>
      <c r="B4" s="12" t="s">
        <v>376</v>
      </c>
      <c r="C4" t="s">
        <v>378</v>
      </c>
      <c r="D4" s="11">
        <v>229997</v>
      </c>
      <c r="E4" s="11">
        <v>229997</v>
      </c>
    </row>
    <row r="5" spans="1:5">
      <c r="A5" s="13">
        <v>8</v>
      </c>
      <c r="B5" s="12" t="s">
        <v>376</v>
      </c>
      <c r="C5" t="s">
        <v>377</v>
      </c>
      <c r="D5" s="11">
        <v>229998</v>
      </c>
      <c r="E5" s="11">
        <v>229998</v>
      </c>
    </row>
    <row r="6" spans="1:5">
      <c r="A6" s="13">
        <v>8</v>
      </c>
      <c r="B6" s="12" t="s">
        <v>376</v>
      </c>
      <c r="C6" t="s">
        <v>375</v>
      </c>
      <c r="D6" s="11">
        <v>229999</v>
      </c>
      <c r="E6" s="11">
        <v>229999</v>
      </c>
    </row>
    <row r="7" spans="1:5">
      <c r="A7" s="13">
        <v>9</v>
      </c>
      <c r="B7" s="12" t="s">
        <v>222</v>
      </c>
      <c r="C7" t="s">
        <v>374</v>
      </c>
      <c r="D7" s="11">
        <v>200000</v>
      </c>
      <c r="E7" s="11">
        <v>200000</v>
      </c>
    </row>
    <row r="8" spans="1:5">
      <c r="A8" s="13">
        <v>9</v>
      </c>
      <c r="B8" s="12" t="s">
        <v>222</v>
      </c>
      <c r="C8" t="s">
        <v>373</v>
      </c>
      <c r="D8" s="11">
        <v>200100</v>
      </c>
      <c r="E8" s="11">
        <v>200999</v>
      </c>
    </row>
    <row r="9" spans="1:5">
      <c r="A9" s="13">
        <v>9</v>
      </c>
      <c r="B9" s="12" t="s">
        <v>222</v>
      </c>
      <c r="C9" t="s">
        <v>372</v>
      </c>
      <c r="D9" s="11">
        <v>201000</v>
      </c>
      <c r="E9" s="11">
        <v>201997</v>
      </c>
    </row>
    <row r="10" spans="1:5">
      <c r="A10" s="13">
        <v>9</v>
      </c>
      <c r="B10" s="12" t="s">
        <v>222</v>
      </c>
      <c r="C10" t="s">
        <v>371</v>
      </c>
      <c r="D10" s="11">
        <v>202000</v>
      </c>
      <c r="E10" s="11">
        <v>202000</v>
      </c>
    </row>
    <row r="11" spans="1:5">
      <c r="A11" s="13">
        <v>9</v>
      </c>
      <c r="B11" s="12" t="s">
        <v>222</v>
      </c>
      <c r="C11" t="s">
        <v>370</v>
      </c>
      <c r="D11" s="11">
        <v>202001</v>
      </c>
      <c r="E11" s="11">
        <v>202001</v>
      </c>
    </row>
    <row r="12" spans="1:5">
      <c r="A12" s="13">
        <v>9</v>
      </c>
      <c r="B12" s="12" t="s">
        <v>222</v>
      </c>
      <c r="C12" t="s">
        <v>369</v>
      </c>
      <c r="D12" s="11">
        <v>202002</v>
      </c>
      <c r="E12" s="11">
        <v>202002</v>
      </c>
    </row>
    <row r="13" spans="1:5">
      <c r="A13" s="13">
        <v>9</v>
      </c>
      <c r="B13" s="12" t="s">
        <v>222</v>
      </c>
      <c r="C13" t="s">
        <v>368</v>
      </c>
      <c r="D13" s="11">
        <v>202003</v>
      </c>
      <c r="E13" s="11">
        <v>202003</v>
      </c>
    </row>
    <row r="14" spans="1:5">
      <c r="A14" s="13">
        <v>9</v>
      </c>
      <c r="B14" s="12" t="s">
        <v>222</v>
      </c>
      <c r="C14" t="s">
        <v>367</v>
      </c>
      <c r="D14" s="11">
        <v>202004</v>
      </c>
      <c r="E14" s="11">
        <v>202004</v>
      </c>
    </row>
    <row r="15" spans="1:5">
      <c r="A15" s="13">
        <v>9</v>
      </c>
      <c r="B15" s="12" t="s">
        <v>222</v>
      </c>
      <c r="C15" t="s">
        <v>366</v>
      </c>
      <c r="D15" s="11">
        <v>202005</v>
      </c>
      <c r="E15" s="11">
        <v>202005</v>
      </c>
    </row>
    <row r="16" spans="1:5">
      <c r="A16" s="13">
        <v>9</v>
      </c>
      <c r="B16" s="12" t="s">
        <v>222</v>
      </c>
      <c r="C16" t="s">
        <v>365</v>
      </c>
      <c r="D16" s="11">
        <v>202006</v>
      </c>
      <c r="E16" s="11">
        <v>202006</v>
      </c>
    </row>
    <row r="17" spans="1:5">
      <c r="A17" s="13">
        <v>9</v>
      </c>
      <c r="B17" s="12" t="s">
        <v>222</v>
      </c>
      <c r="C17" t="s">
        <v>364</v>
      </c>
      <c r="D17" s="11">
        <v>230000</v>
      </c>
      <c r="E17" s="11">
        <v>237999</v>
      </c>
    </row>
    <row r="18" spans="1:5">
      <c r="A18" s="13">
        <v>9</v>
      </c>
      <c r="B18" s="12" t="s">
        <v>222</v>
      </c>
      <c r="C18" t="s">
        <v>363</v>
      </c>
      <c r="D18" s="11">
        <v>250000</v>
      </c>
      <c r="E18" s="11">
        <v>250099</v>
      </c>
    </row>
    <row r="19" spans="1:5">
      <c r="A19" s="13">
        <v>9</v>
      </c>
      <c r="B19" s="12" t="s">
        <v>222</v>
      </c>
      <c r="C19" t="s">
        <v>362</v>
      </c>
      <c r="D19" s="11">
        <v>250100</v>
      </c>
      <c r="E19" s="11">
        <v>254999</v>
      </c>
    </row>
    <row r="20" spans="1:5">
      <c r="A20" s="13">
        <v>9</v>
      </c>
      <c r="B20" s="12" t="s">
        <v>222</v>
      </c>
      <c r="C20" t="s">
        <v>361</v>
      </c>
      <c r="D20" s="11">
        <v>255000</v>
      </c>
      <c r="E20" s="11">
        <v>259997</v>
      </c>
    </row>
    <row r="21" spans="1:5">
      <c r="A21" s="13">
        <v>9</v>
      </c>
      <c r="B21" s="12" t="s">
        <v>222</v>
      </c>
      <c r="C21" t="s">
        <v>360</v>
      </c>
      <c r="D21" s="11">
        <v>280000</v>
      </c>
      <c r="E21" s="11">
        <v>280099</v>
      </c>
    </row>
    <row r="22" spans="1:5">
      <c r="A22" s="13">
        <v>9</v>
      </c>
      <c r="B22" s="12" t="s">
        <v>222</v>
      </c>
      <c r="C22" t="s">
        <v>359</v>
      </c>
      <c r="D22" s="11">
        <v>280100</v>
      </c>
      <c r="E22" s="11">
        <v>284999</v>
      </c>
    </row>
    <row r="23" spans="1:5">
      <c r="A23" s="13">
        <v>9</v>
      </c>
      <c r="B23" s="12" t="s">
        <v>222</v>
      </c>
      <c r="C23" t="s">
        <v>358</v>
      </c>
      <c r="D23" s="11">
        <v>285000</v>
      </c>
      <c r="E23" s="11">
        <v>289997</v>
      </c>
    </row>
    <row r="24" spans="1:5">
      <c r="A24" s="13">
        <v>9</v>
      </c>
      <c r="B24" s="12" t="s">
        <v>222</v>
      </c>
      <c r="C24" t="s">
        <v>357</v>
      </c>
      <c r="D24" s="11">
        <v>289998</v>
      </c>
      <c r="E24" s="11">
        <v>289998</v>
      </c>
    </row>
    <row r="25" spans="1:5">
      <c r="A25" s="13">
        <v>9</v>
      </c>
      <c r="B25" s="12" t="s">
        <v>222</v>
      </c>
      <c r="C25" t="s">
        <v>356</v>
      </c>
      <c r="D25" s="11">
        <v>289999</v>
      </c>
      <c r="E25" s="11">
        <v>289999</v>
      </c>
    </row>
    <row r="26" spans="1:5">
      <c r="A26" s="13">
        <v>9</v>
      </c>
      <c r="B26" s="12" t="s">
        <v>222</v>
      </c>
      <c r="C26" t="s">
        <v>355</v>
      </c>
      <c r="D26" s="11">
        <v>310000</v>
      </c>
      <c r="E26" s="11">
        <v>310099</v>
      </c>
    </row>
    <row r="27" spans="1:5">
      <c r="A27" s="13">
        <v>9</v>
      </c>
      <c r="B27" s="12" t="s">
        <v>222</v>
      </c>
      <c r="C27" t="s">
        <v>354</v>
      </c>
      <c r="D27" s="11">
        <v>310100</v>
      </c>
      <c r="E27" s="11">
        <v>310999</v>
      </c>
    </row>
    <row r="28" spans="1:5">
      <c r="A28" s="13">
        <v>9</v>
      </c>
      <c r="B28" s="12" t="s">
        <v>222</v>
      </c>
      <c r="C28" t="s">
        <v>353</v>
      </c>
      <c r="D28" s="11">
        <v>311000</v>
      </c>
      <c r="E28" s="11">
        <v>311999</v>
      </c>
    </row>
    <row r="29" spans="1:5">
      <c r="A29" s="13">
        <v>9</v>
      </c>
      <c r="B29" s="12" t="s">
        <v>222</v>
      </c>
      <c r="C29" t="s">
        <v>352</v>
      </c>
      <c r="D29" s="11">
        <v>315000</v>
      </c>
      <c r="E29" s="11">
        <v>315099</v>
      </c>
    </row>
    <row r="30" spans="1:5">
      <c r="A30" s="13">
        <v>9</v>
      </c>
      <c r="B30" s="12" t="s">
        <v>222</v>
      </c>
      <c r="C30" t="s">
        <v>351</v>
      </c>
      <c r="D30" s="11">
        <v>315100</v>
      </c>
      <c r="E30" s="11">
        <v>315199</v>
      </c>
    </row>
    <row r="31" spans="1:5">
      <c r="A31" s="13">
        <v>9</v>
      </c>
      <c r="B31" s="12" t="s">
        <v>222</v>
      </c>
      <c r="C31" t="s">
        <v>350</v>
      </c>
      <c r="D31" s="11">
        <v>315200</v>
      </c>
      <c r="E31" s="11">
        <v>315299</v>
      </c>
    </row>
    <row r="32" spans="1:5">
      <c r="A32" s="13">
        <v>9</v>
      </c>
      <c r="B32" s="12" t="s">
        <v>222</v>
      </c>
      <c r="C32" t="s">
        <v>349</v>
      </c>
      <c r="D32" s="11">
        <v>315300</v>
      </c>
      <c r="E32" s="11">
        <v>315399</v>
      </c>
    </row>
    <row r="33" spans="1:5">
      <c r="A33" s="13">
        <v>9</v>
      </c>
      <c r="B33" s="12" t="s">
        <v>222</v>
      </c>
      <c r="C33" t="s">
        <v>348</v>
      </c>
      <c r="D33" s="11">
        <v>315400</v>
      </c>
      <c r="E33" s="11">
        <v>315499</v>
      </c>
    </row>
    <row r="34" spans="1:5">
      <c r="A34" s="13">
        <v>9</v>
      </c>
      <c r="B34" s="12" t="s">
        <v>222</v>
      </c>
      <c r="C34" t="s">
        <v>347</v>
      </c>
      <c r="D34" s="11">
        <v>315500</v>
      </c>
      <c r="E34" s="11">
        <v>315599</v>
      </c>
    </row>
    <row r="35" spans="1:5">
      <c r="A35" s="13">
        <v>9</v>
      </c>
      <c r="B35" s="12" t="s">
        <v>222</v>
      </c>
      <c r="C35" t="s">
        <v>346</v>
      </c>
      <c r="D35" s="11">
        <v>315600</v>
      </c>
      <c r="E35" s="11">
        <v>315699</v>
      </c>
    </row>
    <row r="36" spans="1:5">
      <c r="A36" s="13">
        <v>9</v>
      </c>
      <c r="B36" s="12" t="s">
        <v>222</v>
      </c>
      <c r="C36" t="s">
        <v>345</v>
      </c>
      <c r="D36" s="11">
        <v>315700</v>
      </c>
      <c r="E36" s="11">
        <v>315799</v>
      </c>
    </row>
    <row r="37" spans="1:5">
      <c r="A37" s="13">
        <v>9</v>
      </c>
      <c r="B37" s="12" t="s">
        <v>222</v>
      </c>
      <c r="C37" t="s">
        <v>344</v>
      </c>
      <c r="D37" s="11">
        <v>320000</v>
      </c>
      <c r="E37" s="11">
        <v>320099</v>
      </c>
    </row>
    <row r="38" spans="1:5">
      <c r="A38" s="13">
        <v>9</v>
      </c>
      <c r="B38" s="12" t="s">
        <v>222</v>
      </c>
      <c r="C38" t="s">
        <v>343</v>
      </c>
      <c r="D38" s="11">
        <v>320100</v>
      </c>
      <c r="E38" s="11">
        <v>320999</v>
      </c>
    </row>
    <row r="39" spans="1:5">
      <c r="A39" s="13">
        <v>9</v>
      </c>
      <c r="B39" s="12" t="s">
        <v>222</v>
      </c>
      <c r="C39" t="s">
        <v>342</v>
      </c>
      <c r="D39" s="11">
        <v>321000</v>
      </c>
      <c r="E39" s="11">
        <v>321997</v>
      </c>
    </row>
    <row r="40" spans="1:5">
      <c r="A40" s="13">
        <v>9</v>
      </c>
      <c r="B40" s="12" t="s">
        <v>222</v>
      </c>
      <c r="C40" t="s">
        <v>341</v>
      </c>
      <c r="D40" s="11">
        <v>325000</v>
      </c>
      <c r="E40" s="11">
        <v>325099</v>
      </c>
    </row>
    <row r="41" spans="1:5">
      <c r="A41" s="13">
        <v>9</v>
      </c>
      <c r="B41" s="12" t="s">
        <v>222</v>
      </c>
      <c r="C41" t="s">
        <v>340</v>
      </c>
      <c r="D41" s="11">
        <v>325100</v>
      </c>
      <c r="E41" s="11">
        <v>332999</v>
      </c>
    </row>
    <row r="42" spans="1:5">
      <c r="A42" s="13">
        <v>9</v>
      </c>
      <c r="B42" s="12" t="s">
        <v>222</v>
      </c>
      <c r="C42" t="s">
        <v>339</v>
      </c>
      <c r="D42" s="11">
        <v>333000</v>
      </c>
      <c r="E42" s="11">
        <v>334996</v>
      </c>
    </row>
    <row r="43" spans="1:5">
      <c r="A43" s="13">
        <v>9</v>
      </c>
      <c r="B43" s="12" t="s">
        <v>222</v>
      </c>
      <c r="C43" t="s">
        <v>338</v>
      </c>
      <c r="D43" s="11">
        <v>334997</v>
      </c>
      <c r="E43" s="11">
        <v>334997</v>
      </c>
    </row>
    <row r="44" spans="1:5">
      <c r="A44" s="13">
        <v>9</v>
      </c>
      <c r="B44" s="12" t="s">
        <v>222</v>
      </c>
      <c r="C44" t="s">
        <v>337</v>
      </c>
      <c r="D44" s="11">
        <v>355000</v>
      </c>
      <c r="E44" s="11">
        <v>355099</v>
      </c>
    </row>
    <row r="45" spans="1:5">
      <c r="A45" s="13">
        <v>9</v>
      </c>
      <c r="B45" s="12" t="s">
        <v>222</v>
      </c>
      <c r="C45" t="s">
        <v>336</v>
      </c>
      <c r="D45" s="11">
        <v>355100</v>
      </c>
      <c r="E45" s="11">
        <v>355199</v>
      </c>
    </row>
    <row r="46" spans="1:5">
      <c r="A46" s="13">
        <v>9</v>
      </c>
      <c r="B46" s="12" t="s">
        <v>222</v>
      </c>
      <c r="C46" t="s">
        <v>335</v>
      </c>
      <c r="D46" s="11">
        <v>355200</v>
      </c>
      <c r="E46" s="11">
        <v>355299</v>
      </c>
    </row>
    <row r="47" spans="1:5">
      <c r="A47" s="13">
        <v>9</v>
      </c>
      <c r="B47" s="12" t="s">
        <v>222</v>
      </c>
      <c r="C47" t="s">
        <v>334</v>
      </c>
      <c r="D47" s="11">
        <v>355300</v>
      </c>
      <c r="E47" s="11">
        <v>355399</v>
      </c>
    </row>
    <row r="48" spans="1:5">
      <c r="A48" s="13">
        <v>9</v>
      </c>
      <c r="B48" s="12" t="s">
        <v>222</v>
      </c>
      <c r="C48" t="s">
        <v>333</v>
      </c>
      <c r="D48" s="11">
        <v>355400</v>
      </c>
      <c r="E48" s="11">
        <v>355499</v>
      </c>
    </row>
    <row r="49" spans="1:5">
      <c r="A49" s="13">
        <v>9</v>
      </c>
      <c r="B49" s="12" t="s">
        <v>222</v>
      </c>
      <c r="C49" t="s">
        <v>332</v>
      </c>
      <c r="D49" s="11">
        <v>355500</v>
      </c>
      <c r="E49" s="11">
        <v>355599</v>
      </c>
    </row>
    <row r="50" spans="1:5">
      <c r="A50" s="13">
        <v>9</v>
      </c>
      <c r="B50" s="12" t="s">
        <v>222</v>
      </c>
      <c r="C50" t="s">
        <v>331</v>
      </c>
      <c r="D50" s="11">
        <v>355700</v>
      </c>
      <c r="E50" s="11">
        <v>355799</v>
      </c>
    </row>
    <row r="51" spans="1:5">
      <c r="A51" s="13">
        <v>9</v>
      </c>
      <c r="B51" s="12" t="s">
        <v>222</v>
      </c>
      <c r="C51" t="s">
        <v>330</v>
      </c>
      <c r="D51" s="11">
        <v>380000</v>
      </c>
      <c r="E51" s="11">
        <v>380099</v>
      </c>
    </row>
    <row r="52" spans="1:5">
      <c r="A52" s="13">
        <v>9</v>
      </c>
      <c r="B52" s="12" t="s">
        <v>222</v>
      </c>
      <c r="C52" t="s">
        <v>329</v>
      </c>
      <c r="D52" s="11">
        <v>380100</v>
      </c>
      <c r="E52" s="11">
        <v>384999</v>
      </c>
    </row>
    <row r="53" spans="1:5">
      <c r="A53" s="13">
        <v>9</v>
      </c>
      <c r="B53" s="12" t="s">
        <v>222</v>
      </c>
      <c r="C53" t="s">
        <v>328</v>
      </c>
      <c r="D53" s="11">
        <v>385000</v>
      </c>
      <c r="E53" s="11">
        <v>389999</v>
      </c>
    </row>
    <row r="54" spans="1:5">
      <c r="A54" s="13">
        <v>9</v>
      </c>
      <c r="B54" s="12" t="s">
        <v>222</v>
      </c>
      <c r="C54" t="s">
        <v>327</v>
      </c>
      <c r="D54" s="11">
        <v>390000</v>
      </c>
      <c r="E54" s="11">
        <v>390000</v>
      </c>
    </row>
    <row r="55" spans="1:5">
      <c r="A55" s="13">
        <v>9</v>
      </c>
      <c r="B55" s="12" t="s">
        <v>222</v>
      </c>
      <c r="C55" t="s">
        <v>326</v>
      </c>
      <c r="D55" s="11">
        <v>390001</v>
      </c>
      <c r="E55" s="11">
        <v>390001</v>
      </c>
    </row>
    <row r="56" spans="1:5">
      <c r="A56" s="13">
        <v>9</v>
      </c>
      <c r="B56" s="12" t="s">
        <v>222</v>
      </c>
      <c r="C56" t="s">
        <v>325</v>
      </c>
      <c r="D56" s="11">
        <v>390002</v>
      </c>
      <c r="E56" s="11">
        <v>390002</v>
      </c>
    </row>
    <row r="57" spans="1:5">
      <c r="A57" s="13">
        <v>9</v>
      </c>
      <c r="B57" s="12" t="s">
        <v>222</v>
      </c>
      <c r="C57" t="s">
        <v>324</v>
      </c>
      <c r="D57" s="11">
        <v>390003</v>
      </c>
      <c r="E57" s="11">
        <v>390003</v>
      </c>
    </row>
    <row r="58" spans="1:5">
      <c r="A58" s="13">
        <v>9</v>
      </c>
      <c r="B58" s="12" t="s">
        <v>222</v>
      </c>
      <c r="C58" t="s">
        <v>323</v>
      </c>
      <c r="D58" s="11">
        <v>390004</v>
      </c>
      <c r="E58" s="11">
        <v>390004</v>
      </c>
    </row>
    <row r="59" spans="1:5">
      <c r="A59" s="13">
        <v>9</v>
      </c>
      <c r="B59" s="12" t="s">
        <v>222</v>
      </c>
      <c r="C59" t="s">
        <v>322</v>
      </c>
      <c r="D59" s="11">
        <v>390005</v>
      </c>
      <c r="E59" s="11">
        <v>390005</v>
      </c>
    </row>
    <row r="60" spans="1:5">
      <c r="A60" s="13">
        <v>9</v>
      </c>
      <c r="B60" s="12" t="s">
        <v>222</v>
      </c>
      <c r="C60" t="s">
        <v>321</v>
      </c>
      <c r="D60" s="11">
        <v>390006</v>
      </c>
      <c r="E60" s="11">
        <v>390006</v>
      </c>
    </row>
    <row r="61" spans="1:5">
      <c r="A61" s="13">
        <v>9</v>
      </c>
      <c r="B61" s="12" t="s">
        <v>222</v>
      </c>
      <c r="C61" t="s">
        <v>320</v>
      </c>
      <c r="D61" s="11">
        <v>390007</v>
      </c>
      <c r="E61" s="11">
        <v>390007</v>
      </c>
    </row>
    <row r="62" spans="1:5">
      <c r="A62" s="13">
        <v>9</v>
      </c>
      <c r="B62" s="12" t="s">
        <v>222</v>
      </c>
      <c r="C62" t="s">
        <v>319</v>
      </c>
      <c r="D62" s="11">
        <v>390008</v>
      </c>
      <c r="E62" s="11">
        <v>390008</v>
      </c>
    </row>
    <row r="63" spans="1:5">
      <c r="A63" s="13">
        <v>9</v>
      </c>
      <c r="B63" s="12" t="s">
        <v>222</v>
      </c>
      <c r="C63" t="s">
        <v>318</v>
      </c>
      <c r="D63" s="11">
        <v>390009</v>
      </c>
      <c r="E63" s="11">
        <v>390009</v>
      </c>
    </row>
    <row r="64" spans="1:5">
      <c r="A64" s="13">
        <v>9</v>
      </c>
      <c r="B64" s="12" t="s">
        <v>222</v>
      </c>
      <c r="C64" t="s">
        <v>317</v>
      </c>
      <c r="D64" s="11">
        <v>390010</v>
      </c>
      <c r="E64" s="11">
        <v>390010</v>
      </c>
    </row>
    <row r="65" spans="1:5">
      <c r="A65" s="13">
        <v>9</v>
      </c>
      <c r="B65" s="12" t="s">
        <v>222</v>
      </c>
      <c r="C65" t="s">
        <v>316</v>
      </c>
      <c r="D65" s="11">
        <v>390011</v>
      </c>
      <c r="E65" s="11">
        <v>390011</v>
      </c>
    </row>
    <row r="66" spans="1:5">
      <c r="A66" s="13">
        <v>9</v>
      </c>
      <c r="B66" s="12" t="s">
        <v>222</v>
      </c>
      <c r="C66" t="s">
        <v>315</v>
      </c>
      <c r="D66" s="11">
        <v>390012</v>
      </c>
      <c r="E66" s="11">
        <v>390012</v>
      </c>
    </row>
    <row r="67" spans="1:5">
      <c r="A67" s="13">
        <v>9</v>
      </c>
      <c r="B67" s="12" t="s">
        <v>222</v>
      </c>
      <c r="C67" t="s">
        <v>314</v>
      </c>
      <c r="D67" s="11">
        <v>390013</v>
      </c>
      <c r="E67" s="11">
        <v>390013</v>
      </c>
    </row>
    <row r="68" spans="1:5">
      <c r="A68" s="13">
        <v>9</v>
      </c>
      <c r="B68" s="12" t="s">
        <v>222</v>
      </c>
      <c r="C68" t="s">
        <v>313</v>
      </c>
      <c r="D68" s="11">
        <v>390014</v>
      </c>
      <c r="E68" s="11">
        <v>390014</v>
      </c>
    </row>
    <row r="69" spans="1:5">
      <c r="A69" s="13">
        <v>9</v>
      </c>
      <c r="B69" s="12" t="s">
        <v>222</v>
      </c>
      <c r="C69" t="s">
        <v>312</v>
      </c>
      <c r="D69" s="11">
        <v>390015</v>
      </c>
      <c r="E69" s="11">
        <v>390015</v>
      </c>
    </row>
    <row r="70" spans="1:5">
      <c r="A70" s="13">
        <v>9</v>
      </c>
      <c r="B70" s="12" t="s">
        <v>222</v>
      </c>
      <c r="C70" t="s">
        <v>311</v>
      </c>
      <c r="D70" s="11">
        <v>390016</v>
      </c>
      <c r="E70" s="11">
        <v>390016</v>
      </c>
    </row>
    <row r="71" spans="1:5">
      <c r="A71" s="13">
        <v>9</v>
      </c>
      <c r="B71" s="12" t="s">
        <v>222</v>
      </c>
      <c r="C71" t="s">
        <v>310</v>
      </c>
      <c r="D71" s="11">
        <v>390017</v>
      </c>
      <c r="E71" s="11">
        <v>390017</v>
      </c>
    </row>
    <row r="72" spans="1:5">
      <c r="A72" s="13">
        <v>9</v>
      </c>
      <c r="B72" s="12" t="s">
        <v>222</v>
      </c>
      <c r="C72" t="s">
        <v>309</v>
      </c>
      <c r="D72" s="11">
        <v>390018</v>
      </c>
      <c r="E72" s="11">
        <v>390018</v>
      </c>
    </row>
    <row r="73" spans="1:5">
      <c r="A73" s="13">
        <v>9</v>
      </c>
      <c r="B73" s="12" t="s">
        <v>222</v>
      </c>
      <c r="C73" t="s">
        <v>308</v>
      </c>
      <c r="D73" s="11">
        <v>390019</v>
      </c>
      <c r="E73" s="11">
        <v>390019</v>
      </c>
    </row>
    <row r="74" spans="1:5">
      <c r="A74" s="13">
        <v>9</v>
      </c>
      <c r="B74" s="12" t="s">
        <v>222</v>
      </c>
      <c r="C74" t="s">
        <v>307</v>
      </c>
      <c r="D74" s="11">
        <v>390020</v>
      </c>
      <c r="E74" s="11">
        <v>390020</v>
      </c>
    </row>
    <row r="75" spans="1:5">
      <c r="A75" s="13">
        <v>9</v>
      </c>
      <c r="B75" s="12" t="s">
        <v>222</v>
      </c>
      <c r="C75" t="s">
        <v>306</v>
      </c>
      <c r="D75" s="11">
        <v>390021</v>
      </c>
      <c r="E75" s="11">
        <v>390021</v>
      </c>
    </row>
    <row r="76" spans="1:5">
      <c r="A76" s="13">
        <v>9</v>
      </c>
      <c r="B76" s="12" t="s">
        <v>222</v>
      </c>
      <c r="C76" t="s">
        <v>305</v>
      </c>
      <c r="D76" s="11">
        <v>390022</v>
      </c>
      <c r="E76" s="11">
        <v>390022</v>
      </c>
    </row>
    <row r="77" spans="1:5">
      <c r="A77" s="13">
        <v>9</v>
      </c>
      <c r="B77" s="12" t="s">
        <v>222</v>
      </c>
      <c r="C77" t="s">
        <v>304</v>
      </c>
      <c r="D77" s="11">
        <v>390023</v>
      </c>
      <c r="E77" s="11">
        <v>390023</v>
      </c>
    </row>
    <row r="78" spans="1:5">
      <c r="A78" s="13">
        <v>9</v>
      </c>
      <c r="B78" s="12" t="s">
        <v>222</v>
      </c>
      <c r="C78" t="s">
        <v>303</v>
      </c>
      <c r="D78" s="11">
        <v>390024</v>
      </c>
      <c r="E78" s="11">
        <v>390024</v>
      </c>
    </row>
    <row r="79" spans="1:5">
      <c r="A79" s="13">
        <v>9</v>
      </c>
      <c r="B79" s="12" t="s">
        <v>222</v>
      </c>
      <c r="C79" t="s">
        <v>302</v>
      </c>
      <c r="D79" s="11">
        <v>390025</v>
      </c>
      <c r="E79" s="11">
        <v>390025</v>
      </c>
    </row>
    <row r="80" spans="1:5">
      <c r="A80" s="13">
        <v>9</v>
      </c>
      <c r="B80" s="12" t="s">
        <v>222</v>
      </c>
      <c r="C80" t="s">
        <v>301</v>
      </c>
      <c r="D80" s="11">
        <v>390026</v>
      </c>
      <c r="E80" s="11">
        <v>390026</v>
      </c>
    </row>
    <row r="81" spans="1:5">
      <c r="A81" s="13">
        <v>9</v>
      </c>
      <c r="B81" s="12" t="s">
        <v>222</v>
      </c>
      <c r="C81" t="s">
        <v>300</v>
      </c>
      <c r="D81" s="11">
        <v>390027</v>
      </c>
      <c r="E81" s="11">
        <v>390027</v>
      </c>
    </row>
    <row r="82" spans="1:5">
      <c r="A82" s="13">
        <v>9</v>
      </c>
      <c r="B82" s="12" t="s">
        <v>222</v>
      </c>
      <c r="C82" t="s">
        <v>299</v>
      </c>
      <c r="D82" s="11">
        <v>390029</v>
      </c>
      <c r="E82" s="11">
        <v>390029</v>
      </c>
    </row>
    <row r="83" spans="1:5">
      <c r="A83" s="13">
        <v>9</v>
      </c>
      <c r="B83" s="12" t="s">
        <v>222</v>
      </c>
      <c r="C83" t="s">
        <v>298</v>
      </c>
      <c r="D83" s="11">
        <v>390030</v>
      </c>
      <c r="E83" s="11">
        <v>390030</v>
      </c>
    </row>
    <row r="84" spans="1:5">
      <c r="A84" s="13">
        <v>9</v>
      </c>
      <c r="B84" s="12" t="s">
        <v>222</v>
      </c>
      <c r="C84" t="s">
        <v>297</v>
      </c>
      <c r="D84" s="11">
        <v>390031</v>
      </c>
      <c r="E84" s="11">
        <v>390031</v>
      </c>
    </row>
    <row r="85" spans="1:5">
      <c r="A85" s="13">
        <v>9</v>
      </c>
      <c r="B85" s="12" t="s">
        <v>222</v>
      </c>
      <c r="C85" t="s">
        <v>296</v>
      </c>
      <c r="D85" s="11">
        <v>390032</v>
      </c>
      <c r="E85" s="11">
        <v>390032</v>
      </c>
    </row>
    <row r="86" spans="1:5">
      <c r="A86" s="13">
        <v>9</v>
      </c>
      <c r="B86" s="12" t="s">
        <v>222</v>
      </c>
      <c r="C86" t="s">
        <v>295</v>
      </c>
      <c r="D86" s="11">
        <v>390049</v>
      </c>
      <c r="E86" s="11">
        <v>390049</v>
      </c>
    </row>
    <row r="87" spans="1:5">
      <c r="A87" s="13">
        <v>9</v>
      </c>
      <c r="B87" s="12" t="s">
        <v>222</v>
      </c>
      <c r="C87" t="s">
        <v>294</v>
      </c>
      <c r="D87" s="11">
        <v>390050</v>
      </c>
      <c r="E87" s="11">
        <v>390050</v>
      </c>
    </row>
    <row r="88" spans="1:5">
      <c r="A88" s="13">
        <v>9</v>
      </c>
      <c r="B88" s="12" t="s">
        <v>222</v>
      </c>
      <c r="C88" t="s">
        <v>293</v>
      </c>
      <c r="D88" s="11">
        <v>390051</v>
      </c>
      <c r="E88" s="11">
        <v>390051</v>
      </c>
    </row>
    <row r="89" spans="1:5">
      <c r="A89" s="13">
        <v>9</v>
      </c>
      <c r="B89" s="12" t="s">
        <v>222</v>
      </c>
      <c r="C89" t="s">
        <v>292</v>
      </c>
      <c r="D89" s="11">
        <v>390052</v>
      </c>
      <c r="E89" s="11">
        <v>390052</v>
      </c>
    </row>
    <row r="90" spans="1:5">
      <c r="A90" s="13">
        <v>9</v>
      </c>
      <c r="B90" s="12" t="s">
        <v>222</v>
      </c>
      <c r="C90" t="s">
        <v>291</v>
      </c>
      <c r="D90" s="11">
        <v>390053</v>
      </c>
      <c r="E90" s="11">
        <v>390053</v>
      </c>
    </row>
    <row r="91" spans="1:5">
      <c r="A91" s="13">
        <v>9</v>
      </c>
      <c r="B91" s="12" t="s">
        <v>222</v>
      </c>
      <c r="C91" t="s">
        <v>290</v>
      </c>
      <c r="D91" s="11">
        <v>390054</v>
      </c>
      <c r="E91" s="11">
        <v>390054</v>
      </c>
    </row>
    <row r="92" spans="1:5">
      <c r="A92" s="13">
        <v>9</v>
      </c>
      <c r="B92" s="12" t="s">
        <v>222</v>
      </c>
      <c r="C92" t="s">
        <v>289</v>
      </c>
      <c r="D92" s="11">
        <v>390055</v>
      </c>
      <c r="E92" s="11">
        <v>390055</v>
      </c>
    </row>
    <row r="93" spans="1:5">
      <c r="A93" s="13">
        <v>9</v>
      </c>
      <c r="B93" s="12" t="s">
        <v>222</v>
      </c>
      <c r="C93" t="s">
        <v>288</v>
      </c>
      <c r="D93" s="11">
        <v>390056</v>
      </c>
      <c r="E93" s="11">
        <v>390056</v>
      </c>
    </row>
    <row r="94" spans="1:5">
      <c r="A94" s="13">
        <v>9</v>
      </c>
      <c r="B94" s="12" t="s">
        <v>222</v>
      </c>
      <c r="C94" t="s">
        <v>287</v>
      </c>
      <c r="D94" s="11">
        <v>390057</v>
      </c>
      <c r="E94" s="11">
        <v>390057</v>
      </c>
    </row>
    <row r="95" spans="1:5">
      <c r="A95" s="13">
        <v>9</v>
      </c>
      <c r="B95" s="12" t="s">
        <v>222</v>
      </c>
      <c r="C95" t="s">
        <v>286</v>
      </c>
      <c r="D95" s="11">
        <v>390058</v>
      </c>
      <c r="E95" s="11">
        <v>390058</v>
      </c>
    </row>
    <row r="96" spans="1:5">
      <c r="A96" s="13">
        <v>9</v>
      </c>
      <c r="B96" s="12" t="s">
        <v>222</v>
      </c>
      <c r="C96" t="s">
        <v>285</v>
      </c>
      <c r="D96" s="11">
        <v>390059</v>
      </c>
      <c r="E96" s="11">
        <v>390059</v>
      </c>
    </row>
    <row r="97" spans="1:5">
      <c r="A97" s="13">
        <v>9</v>
      </c>
      <c r="B97" s="12" t="s">
        <v>222</v>
      </c>
      <c r="C97" t="s">
        <v>284</v>
      </c>
      <c r="D97" s="11">
        <v>390060</v>
      </c>
      <c r="E97" s="11">
        <v>390060</v>
      </c>
    </row>
    <row r="98" spans="1:5">
      <c r="A98" s="13">
        <v>9</v>
      </c>
      <c r="B98" s="12" t="s">
        <v>222</v>
      </c>
      <c r="C98" t="s">
        <v>283</v>
      </c>
      <c r="D98" s="11">
        <v>390061</v>
      </c>
      <c r="E98" s="11">
        <v>390061</v>
      </c>
    </row>
    <row r="99" spans="1:5">
      <c r="A99" s="13">
        <v>9</v>
      </c>
      <c r="B99" s="12" t="s">
        <v>222</v>
      </c>
      <c r="C99" t="s">
        <v>282</v>
      </c>
      <c r="D99" s="11">
        <v>390062</v>
      </c>
      <c r="E99" s="11">
        <v>390062</v>
      </c>
    </row>
    <row r="100" spans="1:5">
      <c r="A100" s="13">
        <v>9</v>
      </c>
      <c r="B100" s="12" t="s">
        <v>222</v>
      </c>
      <c r="C100" t="s">
        <v>281</v>
      </c>
      <c r="D100" s="11">
        <v>390063</v>
      </c>
      <c r="E100" s="11">
        <v>390063</v>
      </c>
    </row>
    <row r="101" spans="1:5">
      <c r="A101" s="13">
        <v>9</v>
      </c>
      <c r="B101" s="12" t="s">
        <v>222</v>
      </c>
      <c r="C101" t="s">
        <v>280</v>
      </c>
      <c r="D101" s="11">
        <v>390064</v>
      </c>
      <c r="E101" s="11">
        <v>390064</v>
      </c>
    </row>
    <row r="102" spans="1:5">
      <c r="A102" s="13">
        <v>9</v>
      </c>
      <c r="B102" s="12" t="s">
        <v>222</v>
      </c>
      <c r="C102" t="s">
        <v>279</v>
      </c>
      <c r="D102" s="11">
        <v>390065</v>
      </c>
      <c r="E102" s="11">
        <v>390065</v>
      </c>
    </row>
    <row r="103" spans="1:5">
      <c r="A103" s="13">
        <v>9</v>
      </c>
      <c r="B103" s="12" t="s">
        <v>222</v>
      </c>
      <c r="C103" t="s">
        <v>278</v>
      </c>
      <c r="D103" s="11">
        <v>390066</v>
      </c>
      <c r="E103" s="11">
        <v>390066</v>
      </c>
    </row>
    <row r="104" spans="1:5">
      <c r="A104" s="13">
        <v>9</v>
      </c>
      <c r="B104" s="12" t="s">
        <v>222</v>
      </c>
      <c r="C104" t="s">
        <v>277</v>
      </c>
      <c r="D104" s="11">
        <v>390067</v>
      </c>
      <c r="E104" s="11">
        <v>390067</v>
      </c>
    </row>
    <row r="105" spans="1:5">
      <c r="A105" s="13">
        <v>9</v>
      </c>
      <c r="B105" s="12" t="s">
        <v>222</v>
      </c>
      <c r="C105" t="s">
        <v>276</v>
      </c>
      <c r="D105" s="11">
        <v>390069</v>
      </c>
      <c r="E105" s="11">
        <v>390069</v>
      </c>
    </row>
    <row r="106" spans="1:5">
      <c r="A106" s="13">
        <v>9</v>
      </c>
      <c r="B106" s="12" t="s">
        <v>222</v>
      </c>
      <c r="C106" t="s">
        <v>275</v>
      </c>
      <c r="D106" s="11">
        <v>390070</v>
      </c>
      <c r="E106" s="11">
        <v>390070</v>
      </c>
    </row>
    <row r="107" spans="1:5">
      <c r="A107" s="13">
        <v>9</v>
      </c>
      <c r="B107" s="12" t="s">
        <v>222</v>
      </c>
      <c r="C107" t="s">
        <v>274</v>
      </c>
      <c r="D107" s="11">
        <v>390071</v>
      </c>
      <c r="E107" s="11">
        <v>390071</v>
      </c>
    </row>
    <row r="108" spans="1:5">
      <c r="A108" s="13">
        <v>9</v>
      </c>
      <c r="B108" s="12" t="s">
        <v>222</v>
      </c>
      <c r="C108" t="s">
        <v>273</v>
      </c>
      <c r="D108" s="11">
        <v>390072</v>
      </c>
      <c r="E108" s="11">
        <v>390072</v>
      </c>
    </row>
    <row r="109" spans="1:5">
      <c r="A109" s="13">
        <v>9</v>
      </c>
      <c r="B109" s="12" t="s">
        <v>222</v>
      </c>
      <c r="C109" t="s">
        <v>272</v>
      </c>
      <c r="D109" s="11">
        <v>390073</v>
      </c>
      <c r="E109" s="11">
        <v>390073</v>
      </c>
    </row>
    <row r="110" spans="1:5">
      <c r="A110" s="13">
        <v>9</v>
      </c>
      <c r="B110" s="12" t="s">
        <v>222</v>
      </c>
      <c r="C110" t="s">
        <v>271</v>
      </c>
      <c r="D110" s="11">
        <v>390074</v>
      </c>
      <c r="E110" s="11">
        <v>390074</v>
      </c>
    </row>
    <row r="111" spans="1:5">
      <c r="A111" s="13">
        <v>9</v>
      </c>
      <c r="B111" s="12" t="s">
        <v>222</v>
      </c>
      <c r="C111" t="s">
        <v>270</v>
      </c>
      <c r="D111" s="11">
        <v>390075</v>
      </c>
      <c r="E111" s="11">
        <v>390075</v>
      </c>
    </row>
    <row r="112" spans="1:5">
      <c r="A112" s="13">
        <v>9</v>
      </c>
      <c r="B112" s="12" t="s">
        <v>222</v>
      </c>
      <c r="C112" t="s">
        <v>269</v>
      </c>
      <c r="D112" s="11">
        <v>390076</v>
      </c>
      <c r="E112" s="11">
        <v>390076</v>
      </c>
    </row>
    <row r="113" spans="1:5">
      <c r="A113" s="13">
        <v>9</v>
      </c>
      <c r="B113" s="12" t="s">
        <v>222</v>
      </c>
      <c r="C113" t="s">
        <v>268</v>
      </c>
      <c r="D113" s="11">
        <v>390077</v>
      </c>
      <c r="E113" s="11">
        <v>390077</v>
      </c>
    </row>
    <row r="114" spans="1:5">
      <c r="A114" s="13">
        <v>9</v>
      </c>
      <c r="B114" s="12" t="s">
        <v>222</v>
      </c>
      <c r="C114" t="s">
        <v>267</v>
      </c>
      <c r="D114" s="11">
        <v>390078</v>
      </c>
      <c r="E114" s="11">
        <v>390078</v>
      </c>
    </row>
    <row r="115" spans="1:5">
      <c r="A115" s="13">
        <v>9</v>
      </c>
      <c r="B115" s="12" t="s">
        <v>222</v>
      </c>
      <c r="C115" t="s">
        <v>266</v>
      </c>
      <c r="D115" s="11">
        <v>390079</v>
      </c>
      <c r="E115" s="11">
        <v>390079</v>
      </c>
    </row>
    <row r="116" spans="1:5">
      <c r="A116" s="13">
        <v>9</v>
      </c>
      <c r="B116" s="12" t="s">
        <v>222</v>
      </c>
      <c r="C116" t="s">
        <v>265</v>
      </c>
      <c r="D116" s="11">
        <v>390080</v>
      </c>
      <c r="E116" s="11">
        <v>390080</v>
      </c>
    </row>
    <row r="117" spans="1:5">
      <c r="A117" s="13">
        <v>9</v>
      </c>
      <c r="B117" s="12" t="s">
        <v>222</v>
      </c>
      <c r="C117" t="s">
        <v>264</v>
      </c>
      <c r="D117" s="11">
        <v>390081</v>
      </c>
      <c r="E117" s="11">
        <v>390081</v>
      </c>
    </row>
    <row r="118" spans="1:5">
      <c r="A118" s="13">
        <v>9</v>
      </c>
      <c r="B118" s="12" t="s">
        <v>222</v>
      </c>
      <c r="C118" t="s">
        <v>263</v>
      </c>
      <c r="D118" s="11">
        <v>390083</v>
      </c>
      <c r="E118" s="11">
        <v>390083</v>
      </c>
    </row>
    <row r="119" spans="1:5">
      <c r="A119" s="13">
        <v>9</v>
      </c>
      <c r="B119" s="12" t="s">
        <v>222</v>
      </c>
      <c r="C119" t="s">
        <v>262</v>
      </c>
      <c r="D119" s="11">
        <v>390084</v>
      </c>
      <c r="E119" s="11">
        <v>390084</v>
      </c>
    </row>
    <row r="120" spans="1:5">
      <c r="A120" s="13">
        <v>9</v>
      </c>
      <c r="B120" s="12" t="s">
        <v>222</v>
      </c>
      <c r="C120" t="s">
        <v>261</v>
      </c>
      <c r="D120" s="11">
        <v>390085</v>
      </c>
      <c r="E120" s="11">
        <v>390085</v>
      </c>
    </row>
    <row r="121" spans="1:5">
      <c r="A121" s="13">
        <v>9</v>
      </c>
      <c r="B121" s="12" t="s">
        <v>222</v>
      </c>
      <c r="C121" t="s">
        <v>260</v>
      </c>
      <c r="D121" s="11">
        <v>390086</v>
      </c>
      <c r="E121" s="11">
        <v>390086</v>
      </c>
    </row>
    <row r="122" spans="1:5">
      <c r="A122" s="13">
        <v>9</v>
      </c>
      <c r="B122" s="12" t="s">
        <v>222</v>
      </c>
      <c r="C122" t="s">
        <v>259</v>
      </c>
      <c r="D122" s="11">
        <v>390087</v>
      </c>
      <c r="E122" s="11">
        <v>390087</v>
      </c>
    </row>
    <row r="123" spans="1:5">
      <c r="A123" s="13">
        <v>9</v>
      </c>
      <c r="B123" s="12" t="s">
        <v>222</v>
      </c>
      <c r="C123" t="s">
        <v>258</v>
      </c>
      <c r="D123" s="11">
        <v>390088</v>
      </c>
      <c r="E123" s="11">
        <v>390088</v>
      </c>
    </row>
    <row r="124" spans="1:5">
      <c r="A124" s="13">
        <v>9</v>
      </c>
      <c r="B124" s="12" t="s">
        <v>222</v>
      </c>
      <c r="C124" t="s">
        <v>257</v>
      </c>
      <c r="D124" s="11">
        <v>390089</v>
      </c>
      <c r="E124" s="11">
        <v>390089</v>
      </c>
    </row>
    <row r="125" spans="1:5">
      <c r="A125" s="13">
        <v>9</v>
      </c>
      <c r="B125" s="12" t="s">
        <v>222</v>
      </c>
      <c r="C125" t="s">
        <v>256</v>
      </c>
      <c r="D125" s="11">
        <v>390090</v>
      </c>
      <c r="E125" s="11">
        <v>390090</v>
      </c>
    </row>
    <row r="126" spans="1:5">
      <c r="A126" s="13">
        <v>9</v>
      </c>
      <c r="B126" s="12" t="s">
        <v>222</v>
      </c>
      <c r="C126" t="s">
        <v>255</v>
      </c>
      <c r="D126" s="11">
        <v>390091</v>
      </c>
      <c r="E126" s="11">
        <v>390091</v>
      </c>
    </row>
    <row r="127" spans="1:5">
      <c r="A127" s="13">
        <v>9</v>
      </c>
      <c r="B127" s="12" t="s">
        <v>222</v>
      </c>
      <c r="C127" t="s">
        <v>254</v>
      </c>
      <c r="D127" s="11">
        <v>390092</v>
      </c>
      <c r="E127" s="11">
        <v>390092</v>
      </c>
    </row>
    <row r="128" spans="1:5">
      <c r="A128" s="13">
        <v>9</v>
      </c>
      <c r="B128" s="12" t="s">
        <v>222</v>
      </c>
      <c r="C128" t="s">
        <v>253</v>
      </c>
      <c r="D128" s="11">
        <v>390093</v>
      </c>
      <c r="E128" s="11">
        <v>390093</v>
      </c>
    </row>
    <row r="129" spans="1:5">
      <c r="A129" s="13">
        <v>9</v>
      </c>
      <c r="B129" s="12" t="s">
        <v>222</v>
      </c>
      <c r="C129" t="s">
        <v>252</v>
      </c>
      <c r="D129" s="11">
        <v>390094</v>
      </c>
      <c r="E129" s="11">
        <v>390094</v>
      </c>
    </row>
    <row r="130" spans="1:5">
      <c r="A130" s="13">
        <v>9</v>
      </c>
      <c r="B130" s="12" t="s">
        <v>222</v>
      </c>
      <c r="C130" t="s">
        <v>251</v>
      </c>
      <c r="D130" s="11">
        <v>390095</v>
      </c>
      <c r="E130" s="11">
        <v>390095</v>
      </c>
    </row>
    <row r="131" spans="1:5">
      <c r="A131" s="13">
        <v>9</v>
      </c>
      <c r="B131" s="12" t="s">
        <v>222</v>
      </c>
      <c r="C131" t="s">
        <v>250</v>
      </c>
      <c r="D131" s="11">
        <v>390096</v>
      </c>
      <c r="E131" s="11">
        <v>390096</v>
      </c>
    </row>
    <row r="132" spans="1:5">
      <c r="A132" s="13">
        <v>9</v>
      </c>
      <c r="B132" s="12" t="s">
        <v>222</v>
      </c>
      <c r="C132" t="s">
        <v>249</v>
      </c>
      <c r="D132" s="11">
        <v>390098</v>
      </c>
      <c r="E132" s="11">
        <v>390098</v>
      </c>
    </row>
    <row r="133" spans="1:5">
      <c r="A133" s="13">
        <v>9</v>
      </c>
      <c r="B133" s="12" t="s">
        <v>222</v>
      </c>
      <c r="C133" t="s">
        <v>248</v>
      </c>
      <c r="D133" s="11">
        <v>390100</v>
      </c>
      <c r="E133" s="11">
        <v>390100</v>
      </c>
    </row>
    <row r="134" spans="1:5">
      <c r="A134" s="13">
        <v>9</v>
      </c>
      <c r="B134" s="12" t="s">
        <v>222</v>
      </c>
      <c r="C134" t="s">
        <v>247</v>
      </c>
      <c r="D134" s="11">
        <v>390101</v>
      </c>
      <c r="E134" s="11">
        <v>390101</v>
      </c>
    </row>
    <row r="135" spans="1:5">
      <c r="A135" s="13">
        <v>9</v>
      </c>
      <c r="B135" s="12" t="s">
        <v>222</v>
      </c>
      <c r="C135" t="s">
        <v>246</v>
      </c>
      <c r="D135" s="11">
        <v>390102</v>
      </c>
      <c r="E135" s="11">
        <v>390102</v>
      </c>
    </row>
    <row r="136" spans="1:5">
      <c r="A136" s="13">
        <v>9</v>
      </c>
      <c r="B136" s="12" t="s">
        <v>222</v>
      </c>
      <c r="C136" t="s">
        <v>245</v>
      </c>
      <c r="D136" s="11">
        <v>390103</v>
      </c>
      <c r="E136" s="11">
        <v>390103</v>
      </c>
    </row>
    <row r="137" spans="1:5">
      <c r="A137" s="13">
        <v>9</v>
      </c>
      <c r="B137" s="12" t="s">
        <v>222</v>
      </c>
      <c r="C137" t="s">
        <v>244</v>
      </c>
      <c r="D137" s="11">
        <v>390104</v>
      </c>
      <c r="E137" s="11">
        <v>390104</v>
      </c>
    </row>
    <row r="138" spans="1:5">
      <c r="A138" s="13">
        <v>9</v>
      </c>
      <c r="B138" s="12" t="s">
        <v>222</v>
      </c>
      <c r="C138" t="s">
        <v>243</v>
      </c>
      <c r="D138" s="11">
        <v>390105</v>
      </c>
      <c r="E138" s="11">
        <v>390105</v>
      </c>
    </row>
    <row r="139" spans="1:5">
      <c r="A139" s="13">
        <v>9</v>
      </c>
      <c r="B139" s="12" t="s">
        <v>222</v>
      </c>
      <c r="C139" t="s">
        <v>242</v>
      </c>
      <c r="D139" s="11">
        <v>390106</v>
      </c>
      <c r="E139" s="11">
        <v>390106</v>
      </c>
    </row>
    <row r="140" spans="1:5">
      <c r="A140" s="13">
        <v>9</v>
      </c>
      <c r="B140" s="12" t="s">
        <v>222</v>
      </c>
      <c r="C140" t="s">
        <v>241</v>
      </c>
      <c r="D140" s="11">
        <v>390107</v>
      </c>
      <c r="E140" s="11">
        <v>390107</v>
      </c>
    </row>
    <row r="141" spans="1:5">
      <c r="A141" s="13">
        <v>9</v>
      </c>
      <c r="B141" s="12" t="s">
        <v>222</v>
      </c>
      <c r="C141" t="s">
        <v>240</v>
      </c>
      <c r="D141" s="11">
        <v>390108</v>
      </c>
      <c r="E141" s="11">
        <v>390108</v>
      </c>
    </row>
    <row r="142" spans="1:5">
      <c r="A142" s="13">
        <v>9</v>
      </c>
      <c r="B142" s="12" t="s">
        <v>222</v>
      </c>
      <c r="C142" t="s">
        <v>239</v>
      </c>
      <c r="D142" s="11">
        <v>390109</v>
      </c>
      <c r="E142" s="11">
        <v>390109</v>
      </c>
    </row>
    <row r="143" spans="1:5">
      <c r="A143" s="13">
        <v>9</v>
      </c>
      <c r="B143" s="12" t="s">
        <v>222</v>
      </c>
      <c r="C143" t="s">
        <v>238</v>
      </c>
      <c r="D143" s="11">
        <v>390110</v>
      </c>
      <c r="E143" s="11">
        <v>390110</v>
      </c>
    </row>
    <row r="144" spans="1:5">
      <c r="A144" s="13">
        <v>9</v>
      </c>
      <c r="B144" s="12" t="s">
        <v>222</v>
      </c>
      <c r="C144" t="s">
        <v>237</v>
      </c>
      <c r="D144" s="11">
        <v>390111</v>
      </c>
      <c r="E144" s="11">
        <v>390111</v>
      </c>
    </row>
    <row r="145" spans="1:5">
      <c r="A145" s="13">
        <v>9</v>
      </c>
      <c r="B145" s="12" t="s">
        <v>222</v>
      </c>
      <c r="C145" t="s">
        <v>236</v>
      </c>
      <c r="D145" s="11">
        <v>390112</v>
      </c>
      <c r="E145" s="11">
        <v>390112</v>
      </c>
    </row>
    <row r="146" spans="1:5">
      <c r="A146" s="13">
        <v>9</v>
      </c>
      <c r="B146" s="12" t="s">
        <v>222</v>
      </c>
      <c r="C146" t="s">
        <v>235</v>
      </c>
      <c r="D146" s="11">
        <v>390113</v>
      </c>
      <c r="E146" s="11">
        <v>390113</v>
      </c>
    </row>
    <row r="147" spans="1:5">
      <c r="A147" s="13">
        <v>9</v>
      </c>
      <c r="B147" s="12" t="s">
        <v>222</v>
      </c>
      <c r="C147" t="s">
        <v>234</v>
      </c>
      <c r="D147" s="11">
        <v>390114</v>
      </c>
      <c r="E147" s="11">
        <v>390114</v>
      </c>
    </row>
    <row r="148" spans="1:5">
      <c r="A148" s="13">
        <v>9</v>
      </c>
      <c r="B148" s="12" t="s">
        <v>222</v>
      </c>
      <c r="C148" t="s">
        <v>233</v>
      </c>
      <c r="D148" s="11">
        <v>390115</v>
      </c>
      <c r="E148" s="11">
        <v>390115</v>
      </c>
    </row>
    <row r="149" spans="1:5">
      <c r="A149" s="13">
        <v>9</v>
      </c>
      <c r="B149" s="12" t="s">
        <v>222</v>
      </c>
      <c r="C149" t="s">
        <v>232</v>
      </c>
      <c r="D149" s="11">
        <v>390116</v>
      </c>
      <c r="E149" s="11">
        <v>390116</v>
      </c>
    </row>
    <row r="150" spans="1:5">
      <c r="A150" s="13">
        <v>9</v>
      </c>
      <c r="B150" s="12" t="s">
        <v>222</v>
      </c>
      <c r="C150" t="s">
        <v>231</v>
      </c>
      <c r="D150" s="11">
        <v>390117</v>
      </c>
      <c r="E150" s="11">
        <v>390117</v>
      </c>
    </row>
    <row r="151" spans="1:5">
      <c r="A151" s="13">
        <v>9</v>
      </c>
      <c r="B151" s="12" t="s">
        <v>222</v>
      </c>
      <c r="C151" t="s">
        <v>230</v>
      </c>
      <c r="D151" s="11">
        <v>390118</v>
      </c>
      <c r="E151" s="11">
        <v>390118</v>
      </c>
    </row>
    <row r="152" spans="1:5">
      <c r="A152" s="13">
        <v>9</v>
      </c>
      <c r="B152" s="12" t="s">
        <v>222</v>
      </c>
      <c r="C152" t="s">
        <v>229</v>
      </c>
      <c r="D152" s="11">
        <v>390119</v>
      </c>
      <c r="E152" s="11">
        <v>390119</v>
      </c>
    </row>
    <row r="153" spans="1:5">
      <c r="A153" s="13">
        <v>9</v>
      </c>
      <c r="B153" s="12" t="s">
        <v>222</v>
      </c>
      <c r="C153" t="s">
        <v>228</v>
      </c>
      <c r="D153" s="11">
        <v>390120</v>
      </c>
      <c r="E153" s="11">
        <v>390120</v>
      </c>
    </row>
    <row r="154" spans="1:5">
      <c r="A154" s="13">
        <v>9</v>
      </c>
      <c r="B154" s="12" t="s">
        <v>222</v>
      </c>
      <c r="C154" t="s">
        <v>227</v>
      </c>
      <c r="D154" s="11">
        <v>390121</v>
      </c>
      <c r="E154" s="11">
        <v>390121</v>
      </c>
    </row>
    <row r="155" spans="1:5">
      <c r="A155" s="13">
        <v>9</v>
      </c>
      <c r="B155" s="12" t="s">
        <v>222</v>
      </c>
      <c r="C155" t="s">
        <v>226</v>
      </c>
      <c r="D155" s="11">
        <v>390122</v>
      </c>
      <c r="E155" s="11">
        <v>390122</v>
      </c>
    </row>
    <row r="156" spans="1:5">
      <c r="A156" s="13">
        <v>9</v>
      </c>
      <c r="B156" s="12" t="s">
        <v>222</v>
      </c>
      <c r="C156" t="s">
        <v>225</v>
      </c>
      <c r="D156" s="11">
        <v>390123</v>
      </c>
      <c r="E156" s="11">
        <v>390123</v>
      </c>
    </row>
    <row r="157" spans="1:5">
      <c r="A157" s="13">
        <v>9</v>
      </c>
      <c r="B157" s="12" t="s">
        <v>222</v>
      </c>
      <c r="C157" t="s">
        <v>224</v>
      </c>
      <c r="D157" s="11">
        <v>390124</v>
      </c>
      <c r="E157" s="11">
        <v>390124</v>
      </c>
    </row>
    <row r="158" spans="1:5">
      <c r="A158" s="13">
        <v>9</v>
      </c>
      <c r="B158" s="12" t="s">
        <v>222</v>
      </c>
      <c r="C158" t="s">
        <v>223</v>
      </c>
      <c r="D158" s="11">
        <v>390125</v>
      </c>
      <c r="E158" s="11">
        <v>390125</v>
      </c>
    </row>
    <row r="159" spans="1:5">
      <c r="A159" s="13">
        <v>9</v>
      </c>
      <c r="B159" s="12" t="s">
        <v>222</v>
      </c>
      <c r="C159" t="s">
        <v>221</v>
      </c>
      <c r="D159" s="11">
        <v>390126</v>
      </c>
      <c r="E159" s="11">
        <v>390126</v>
      </c>
    </row>
    <row r="160" spans="1:5">
      <c r="A160" s="13">
        <v>10</v>
      </c>
      <c r="B160" s="12" t="s">
        <v>212</v>
      </c>
      <c r="C160" t="s">
        <v>220</v>
      </c>
      <c r="D160" s="11">
        <v>235000</v>
      </c>
      <c r="E160" s="11">
        <v>235099</v>
      </c>
    </row>
    <row r="161" spans="1:5">
      <c r="A161" s="13">
        <v>10</v>
      </c>
      <c r="B161" s="12" t="s">
        <v>212</v>
      </c>
      <c r="C161" t="s">
        <v>219</v>
      </c>
      <c r="D161" s="11">
        <v>235100</v>
      </c>
      <c r="E161" s="11">
        <v>235399</v>
      </c>
    </row>
    <row r="162" spans="1:5">
      <c r="A162" s="13">
        <v>10</v>
      </c>
      <c r="B162" s="12" t="s">
        <v>212</v>
      </c>
      <c r="C162" t="s">
        <v>218</v>
      </c>
      <c r="D162" s="11">
        <v>235400</v>
      </c>
      <c r="E162" s="11">
        <v>236499</v>
      </c>
    </row>
    <row r="163" spans="1:5">
      <c r="A163" s="13">
        <v>10</v>
      </c>
      <c r="B163" s="12" t="s">
        <v>212</v>
      </c>
      <c r="C163" t="s">
        <v>217</v>
      </c>
      <c r="D163" s="11">
        <v>236500</v>
      </c>
      <c r="E163" s="11">
        <v>236999</v>
      </c>
    </row>
    <row r="164" spans="1:5">
      <c r="A164" s="13">
        <v>10</v>
      </c>
      <c r="B164" s="12" t="s">
        <v>212</v>
      </c>
      <c r="C164" t="s">
        <v>216</v>
      </c>
      <c r="D164" s="11">
        <v>237000</v>
      </c>
      <c r="E164" s="11">
        <v>237499</v>
      </c>
    </row>
    <row r="165" spans="1:5">
      <c r="A165" s="13">
        <v>10</v>
      </c>
      <c r="B165" s="12" t="s">
        <v>212</v>
      </c>
      <c r="C165" t="s">
        <v>215</v>
      </c>
      <c r="D165" s="11">
        <v>240000</v>
      </c>
      <c r="E165" s="11">
        <v>240997</v>
      </c>
    </row>
    <row r="166" spans="1:5">
      <c r="A166" s="13">
        <v>10</v>
      </c>
      <c r="B166" s="12" t="s">
        <v>212</v>
      </c>
      <c r="C166" t="s">
        <v>214</v>
      </c>
      <c r="D166" s="11">
        <v>390028</v>
      </c>
      <c r="E166" s="11">
        <v>390028</v>
      </c>
    </row>
    <row r="167" spans="1:5">
      <c r="A167" s="13">
        <v>10</v>
      </c>
      <c r="B167" s="12" t="s">
        <v>212</v>
      </c>
      <c r="C167" t="s">
        <v>213</v>
      </c>
      <c r="D167" s="11">
        <v>390097</v>
      </c>
      <c r="E167" s="11">
        <v>390097</v>
      </c>
    </row>
    <row r="168" spans="1:5">
      <c r="A168" s="13">
        <v>10</v>
      </c>
      <c r="B168" s="12" t="s">
        <v>212</v>
      </c>
      <c r="C168" t="s">
        <v>211</v>
      </c>
      <c r="D168" s="11">
        <v>971101</v>
      </c>
      <c r="E168" s="11">
        <v>971101</v>
      </c>
    </row>
    <row r="169" spans="1:5">
      <c r="A169" s="13">
        <v>11</v>
      </c>
      <c r="B169" s="12" t="s">
        <v>210</v>
      </c>
      <c r="C169" t="s">
        <v>209</v>
      </c>
      <c r="D169" s="11">
        <v>995000</v>
      </c>
      <c r="E169" s="11">
        <v>996999</v>
      </c>
    </row>
    <row r="170" spans="1:5">
      <c r="A170" s="13">
        <v>15</v>
      </c>
      <c r="B170" s="12" t="s">
        <v>188</v>
      </c>
      <c r="C170" t="s">
        <v>208</v>
      </c>
      <c r="D170" s="11">
        <v>400000</v>
      </c>
      <c r="E170" s="11">
        <v>400189</v>
      </c>
    </row>
    <row r="171" spans="1:5">
      <c r="A171" s="13">
        <v>15</v>
      </c>
      <c r="B171" s="12" t="s">
        <v>188</v>
      </c>
      <c r="C171" t="s">
        <v>207</v>
      </c>
      <c r="D171" s="11">
        <v>400190</v>
      </c>
      <c r="E171" s="11">
        <v>400289</v>
      </c>
    </row>
    <row r="172" spans="1:5">
      <c r="A172" s="13">
        <v>15</v>
      </c>
      <c r="B172" s="12" t="s">
        <v>188</v>
      </c>
      <c r="C172" t="s">
        <v>206</v>
      </c>
      <c r="D172" s="11">
        <v>400290</v>
      </c>
      <c r="E172" s="11">
        <v>400389</v>
      </c>
    </row>
    <row r="173" spans="1:5">
      <c r="A173" s="13">
        <v>15</v>
      </c>
      <c r="B173" s="12" t="s">
        <v>188</v>
      </c>
      <c r="C173" t="s">
        <v>205</v>
      </c>
      <c r="D173" s="11">
        <v>400390</v>
      </c>
      <c r="E173" s="11">
        <v>400549</v>
      </c>
    </row>
    <row r="174" spans="1:5">
      <c r="A174" s="13">
        <v>15</v>
      </c>
      <c r="B174" s="12" t="s">
        <v>188</v>
      </c>
      <c r="C174" t="s">
        <v>204</v>
      </c>
      <c r="D174" s="11">
        <v>400550</v>
      </c>
      <c r="E174" s="11">
        <v>400689</v>
      </c>
    </row>
    <row r="175" spans="1:5">
      <c r="A175" s="13">
        <v>15</v>
      </c>
      <c r="B175" s="12" t="s">
        <v>188</v>
      </c>
      <c r="C175" t="s">
        <v>203</v>
      </c>
      <c r="D175" s="11">
        <v>400690</v>
      </c>
      <c r="E175" s="11">
        <v>400789</v>
      </c>
    </row>
    <row r="176" spans="1:5">
      <c r="A176" s="13">
        <v>15</v>
      </c>
      <c r="B176" s="12" t="s">
        <v>188</v>
      </c>
      <c r="C176" t="s">
        <v>202</v>
      </c>
      <c r="D176" s="11">
        <v>400790</v>
      </c>
      <c r="E176" s="11">
        <v>400889</v>
      </c>
    </row>
    <row r="177" spans="1:5">
      <c r="A177" s="13">
        <v>15</v>
      </c>
      <c r="B177" s="12" t="s">
        <v>188</v>
      </c>
      <c r="C177" t="s">
        <v>201</v>
      </c>
      <c r="D177" s="11">
        <v>400890</v>
      </c>
      <c r="E177" s="11">
        <v>400999</v>
      </c>
    </row>
    <row r="178" spans="1:5">
      <c r="A178" s="13">
        <v>15</v>
      </c>
      <c r="B178" s="12" t="s">
        <v>188</v>
      </c>
      <c r="C178" t="s">
        <v>200</v>
      </c>
      <c r="D178" s="11">
        <v>401000</v>
      </c>
      <c r="E178" s="11">
        <v>401099</v>
      </c>
    </row>
    <row r="179" spans="1:5">
      <c r="A179" s="13">
        <v>15</v>
      </c>
      <c r="B179" s="12" t="s">
        <v>188</v>
      </c>
      <c r="C179" t="s">
        <v>199</v>
      </c>
      <c r="D179" s="11">
        <v>401100</v>
      </c>
      <c r="E179" s="11">
        <v>401199</v>
      </c>
    </row>
    <row r="180" spans="1:5">
      <c r="A180" s="13">
        <v>15</v>
      </c>
      <c r="B180" s="12" t="s">
        <v>188</v>
      </c>
      <c r="C180" t="s">
        <v>198</v>
      </c>
      <c r="D180" s="11">
        <v>401200</v>
      </c>
      <c r="E180" s="11">
        <v>401449</v>
      </c>
    </row>
    <row r="181" spans="1:5">
      <c r="A181" s="13">
        <v>15</v>
      </c>
      <c r="B181" s="12" t="s">
        <v>188</v>
      </c>
      <c r="C181" t="s">
        <v>197</v>
      </c>
      <c r="D181" s="11">
        <v>401450</v>
      </c>
      <c r="E181" s="11">
        <v>401649</v>
      </c>
    </row>
    <row r="182" spans="1:5">
      <c r="A182" s="13">
        <v>15</v>
      </c>
      <c r="B182" s="12" t="s">
        <v>188</v>
      </c>
      <c r="C182" t="s">
        <v>196</v>
      </c>
      <c r="D182" s="11">
        <v>401750</v>
      </c>
      <c r="E182" s="11">
        <v>401849</v>
      </c>
    </row>
    <row r="183" spans="1:5">
      <c r="A183" s="13">
        <v>15</v>
      </c>
      <c r="B183" s="12" t="s">
        <v>188</v>
      </c>
      <c r="C183" t="s">
        <v>195</v>
      </c>
      <c r="D183" s="11">
        <v>401850</v>
      </c>
      <c r="E183" s="11">
        <v>402099</v>
      </c>
    </row>
    <row r="184" spans="1:5">
      <c r="A184" s="13">
        <v>15</v>
      </c>
      <c r="B184" s="12" t="s">
        <v>188</v>
      </c>
      <c r="C184" t="s">
        <v>194</v>
      </c>
      <c r="D184" s="11">
        <v>402200</v>
      </c>
      <c r="E184" s="11">
        <v>402249</v>
      </c>
    </row>
    <row r="185" spans="1:5">
      <c r="A185" s="13">
        <v>15</v>
      </c>
      <c r="B185" s="12" t="s">
        <v>188</v>
      </c>
      <c r="C185" t="s">
        <v>193</v>
      </c>
      <c r="D185" s="11">
        <v>402250</v>
      </c>
      <c r="E185" s="11">
        <v>402299</v>
      </c>
    </row>
    <row r="186" spans="1:5">
      <c r="A186" s="13">
        <v>15</v>
      </c>
      <c r="B186" s="12" t="s">
        <v>188</v>
      </c>
      <c r="C186" t="s">
        <v>192</v>
      </c>
      <c r="D186" s="11">
        <v>402300</v>
      </c>
      <c r="E186" s="11">
        <v>402349</v>
      </c>
    </row>
    <row r="187" spans="1:5">
      <c r="A187" s="13">
        <v>15</v>
      </c>
      <c r="B187" s="12" t="s">
        <v>188</v>
      </c>
      <c r="C187" t="s">
        <v>191</v>
      </c>
      <c r="D187" s="11">
        <v>402350</v>
      </c>
      <c r="E187" s="11">
        <v>402399</v>
      </c>
    </row>
    <row r="188" spans="1:5">
      <c r="A188" s="13">
        <v>15</v>
      </c>
      <c r="B188" s="12" t="s">
        <v>188</v>
      </c>
      <c r="C188" t="s">
        <v>190</v>
      </c>
      <c r="D188" s="11">
        <v>402400</v>
      </c>
      <c r="E188" s="11">
        <v>402499</v>
      </c>
    </row>
    <row r="189" spans="1:5">
      <c r="A189" s="13">
        <v>15</v>
      </c>
      <c r="B189" s="12" t="s">
        <v>188</v>
      </c>
      <c r="C189" t="s">
        <v>189</v>
      </c>
      <c r="D189" s="11">
        <v>402500</v>
      </c>
      <c r="E189" s="11">
        <v>403099</v>
      </c>
    </row>
    <row r="190" spans="1:5">
      <c r="A190" s="13">
        <v>15</v>
      </c>
      <c r="B190" s="12" t="s">
        <v>188</v>
      </c>
      <c r="C190" t="s">
        <v>187</v>
      </c>
      <c r="D190" s="11">
        <v>403100</v>
      </c>
      <c r="E190" s="11">
        <v>404999</v>
      </c>
    </row>
    <row r="191" spans="1:5">
      <c r="A191" s="13">
        <v>16</v>
      </c>
      <c r="B191" s="12" t="s">
        <v>181</v>
      </c>
      <c r="C191" t="s">
        <v>186</v>
      </c>
      <c r="D191" s="11">
        <v>405000</v>
      </c>
      <c r="E191" s="11">
        <v>405149</v>
      </c>
    </row>
    <row r="192" spans="1:5">
      <c r="A192" s="13">
        <v>16</v>
      </c>
      <c r="B192" s="12" t="s">
        <v>181</v>
      </c>
      <c r="C192" t="s">
        <v>185</v>
      </c>
      <c r="D192" s="11">
        <v>405150</v>
      </c>
      <c r="E192" s="11">
        <v>405249</v>
      </c>
    </row>
    <row r="193" spans="1:5">
      <c r="A193" s="13">
        <v>16</v>
      </c>
      <c r="B193" s="12" t="s">
        <v>181</v>
      </c>
      <c r="C193" t="s">
        <v>184</v>
      </c>
      <c r="D193" s="11">
        <v>405250</v>
      </c>
      <c r="E193" s="11">
        <v>405349</v>
      </c>
    </row>
    <row r="194" spans="1:5">
      <c r="A194" s="13">
        <v>16</v>
      </c>
      <c r="B194" s="12" t="s">
        <v>181</v>
      </c>
      <c r="C194" t="s">
        <v>183</v>
      </c>
      <c r="D194" s="11">
        <v>405350</v>
      </c>
      <c r="E194" s="11">
        <v>405449</v>
      </c>
    </row>
    <row r="195" spans="1:5">
      <c r="A195" s="13">
        <v>16</v>
      </c>
      <c r="B195" s="12" t="s">
        <v>181</v>
      </c>
      <c r="C195" t="s">
        <v>182</v>
      </c>
      <c r="D195" s="11">
        <v>405450</v>
      </c>
      <c r="E195" s="11">
        <v>405999</v>
      </c>
    </row>
    <row r="196" spans="1:5">
      <c r="A196" s="13">
        <v>16</v>
      </c>
      <c r="B196" s="12" t="s">
        <v>181</v>
      </c>
      <c r="C196" t="s">
        <v>180</v>
      </c>
      <c r="D196" s="11">
        <v>406000</v>
      </c>
      <c r="E196" s="11">
        <v>407499</v>
      </c>
    </row>
    <row r="197" spans="1:5">
      <c r="A197" s="13">
        <v>17</v>
      </c>
      <c r="B197" s="12" t="s">
        <v>174</v>
      </c>
      <c r="C197" t="s">
        <v>179</v>
      </c>
      <c r="D197" s="11">
        <v>407500</v>
      </c>
      <c r="E197" s="11">
        <v>407699</v>
      </c>
    </row>
    <row r="198" spans="1:5">
      <c r="A198" s="13">
        <v>17</v>
      </c>
      <c r="B198" s="12" t="s">
        <v>174</v>
      </c>
      <c r="C198" t="s">
        <v>178</v>
      </c>
      <c r="D198" s="11">
        <v>407700</v>
      </c>
      <c r="E198" s="11">
        <v>407799</v>
      </c>
    </row>
    <row r="199" spans="1:5">
      <c r="A199" s="13">
        <v>17</v>
      </c>
      <c r="B199" s="12" t="s">
        <v>174</v>
      </c>
      <c r="C199" t="s">
        <v>177</v>
      </c>
      <c r="D199" s="11">
        <v>407800</v>
      </c>
      <c r="E199" s="11">
        <v>407899</v>
      </c>
    </row>
    <row r="200" spans="1:5">
      <c r="A200" s="13">
        <v>17</v>
      </c>
      <c r="B200" s="12" t="s">
        <v>174</v>
      </c>
      <c r="C200" t="s">
        <v>176</v>
      </c>
      <c r="D200" s="11">
        <v>407900</v>
      </c>
      <c r="E200" s="11">
        <v>407999</v>
      </c>
    </row>
    <row r="201" spans="1:5">
      <c r="A201" s="13">
        <v>17</v>
      </c>
      <c r="B201" s="12" t="s">
        <v>174</v>
      </c>
      <c r="C201" t="s">
        <v>175</v>
      </c>
      <c r="D201" s="11">
        <v>408100</v>
      </c>
      <c r="E201" s="11">
        <v>408199</v>
      </c>
    </row>
    <row r="202" spans="1:5">
      <c r="A202" s="13">
        <v>17</v>
      </c>
      <c r="B202" s="12" t="s">
        <v>174</v>
      </c>
      <c r="C202" t="s">
        <v>173</v>
      </c>
      <c r="D202" s="11">
        <v>408200</v>
      </c>
      <c r="E202" s="11">
        <v>408299</v>
      </c>
    </row>
    <row r="203" spans="1:5">
      <c r="A203" s="13">
        <v>17</v>
      </c>
      <c r="B203" s="12" t="s">
        <v>174</v>
      </c>
      <c r="C203" t="s">
        <v>580</v>
      </c>
      <c r="D203" s="11">
        <v>410000</v>
      </c>
      <c r="E203" s="11">
        <v>418399</v>
      </c>
    </row>
    <row r="204" spans="1:5">
      <c r="A204" s="13">
        <v>18</v>
      </c>
      <c r="B204" s="12" t="s">
        <v>146</v>
      </c>
      <c r="C204" t="s">
        <v>172</v>
      </c>
      <c r="D204" s="11">
        <v>418400</v>
      </c>
      <c r="E204" s="11">
        <v>418499</v>
      </c>
    </row>
    <row r="205" spans="1:5">
      <c r="A205" s="13">
        <v>18</v>
      </c>
      <c r="B205" s="12" t="s">
        <v>146</v>
      </c>
      <c r="C205" t="s">
        <v>171</v>
      </c>
      <c r="D205" s="11">
        <v>418500</v>
      </c>
      <c r="E205" s="11">
        <v>418599</v>
      </c>
    </row>
    <row r="206" spans="1:5">
      <c r="A206" s="13">
        <v>18</v>
      </c>
      <c r="B206" s="12" t="s">
        <v>146</v>
      </c>
      <c r="C206" t="s">
        <v>170</v>
      </c>
      <c r="D206" s="11">
        <v>418600</v>
      </c>
      <c r="E206" s="11">
        <v>418699</v>
      </c>
    </row>
    <row r="207" spans="1:5">
      <c r="A207" s="13">
        <v>18</v>
      </c>
      <c r="B207" s="12" t="s">
        <v>146</v>
      </c>
      <c r="C207" t="s">
        <v>169</v>
      </c>
      <c r="D207" s="11">
        <v>418700</v>
      </c>
      <c r="E207" s="11">
        <v>418799</v>
      </c>
    </row>
    <row r="208" spans="1:5">
      <c r="A208" s="13">
        <v>18</v>
      </c>
      <c r="B208" s="12" t="s">
        <v>146</v>
      </c>
      <c r="C208" t="s">
        <v>168</v>
      </c>
      <c r="D208" s="11">
        <v>418800</v>
      </c>
      <c r="E208" s="11">
        <v>418899</v>
      </c>
    </row>
    <row r="209" spans="1:5">
      <c r="A209" s="13">
        <v>18</v>
      </c>
      <c r="B209" s="12" t="s">
        <v>146</v>
      </c>
      <c r="C209" t="s">
        <v>167</v>
      </c>
      <c r="D209" s="11">
        <v>418900</v>
      </c>
      <c r="E209" s="11">
        <v>418999</v>
      </c>
    </row>
    <row r="210" spans="1:5">
      <c r="A210" s="13">
        <v>18</v>
      </c>
      <c r="B210" s="12" t="s">
        <v>146</v>
      </c>
      <c r="C210" t="s">
        <v>166</v>
      </c>
      <c r="D210" s="11">
        <v>419000</v>
      </c>
      <c r="E210" s="11">
        <v>419089</v>
      </c>
    </row>
    <row r="211" spans="1:5">
      <c r="A211" s="13">
        <v>18</v>
      </c>
      <c r="B211" s="12" t="s">
        <v>146</v>
      </c>
      <c r="C211" t="s">
        <v>165</v>
      </c>
      <c r="D211" s="11">
        <v>419090</v>
      </c>
      <c r="E211" s="11">
        <v>419899</v>
      </c>
    </row>
    <row r="212" spans="1:5">
      <c r="A212" s="13">
        <v>18</v>
      </c>
      <c r="B212" s="12" t="s">
        <v>146</v>
      </c>
      <c r="C212" t="s">
        <v>164</v>
      </c>
      <c r="D212" s="11">
        <v>419900</v>
      </c>
      <c r="E212" s="11">
        <v>420499</v>
      </c>
    </row>
    <row r="213" spans="1:5">
      <c r="A213" s="13">
        <v>18</v>
      </c>
      <c r="B213" s="12" t="s">
        <v>146</v>
      </c>
      <c r="C213" t="s">
        <v>163</v>
      </c>
      <c r="D213" s="11">
        <v>420500</v>
      </c>
      <c r="E213" s="11">
        <v>420999</v>
      </c>
    </row>
    <row r="214" spans="1:5">
      <c r="A214" s="13">
        <v>18</v>
      </c>
      <c r="B214" s="12" t="s">
        <v>146</v>
      </c>
      <c r="C214" t="s">
        <v>162</v>
      </c>
      <c r="D214" s="11">
        <v>421000</v>
      </c>
      <c r="E214" s="11">
        <v>421199</v>
      </c>
    </row>
    <row r="215" spans="1:5">
      <c r="A215" s="13">
        <v>18</v>
      </c>
      <c r="B215" s="12" t="s">
        <v>146</v>
      </c>
      <c r="C215" t="s">
        <v>161</v>
      </c>
      <c r="D215" s="11">
        <v>421200</v>
      </c>
      <c r="E215" s="11">
        <v>421399</v>
      </c>
    </row>
    <row r="216" spans="1:5">
      <c r="A216" s="13">
        <v>18</v>
      </c>
      <c r="B216" s="12" t="s">
        <v>146</v>
      </c>
      <c r="C216" t="s">
        <v>160</v>
      </c>
      <c r="D216" s="11">
        <v>421400</v>
      </c>
      <c r="E216" s="11">
        <v>421599</v>
      </c>
    </row>
    <row r="217" spans="1:5">
      <c r="A217" s="13">
        <v>18</v>
      </c>
      <c r="B217" s="12" t="s">
        <v>146</v>
      </c>
      <c r="C217" t="s">
        <v>159</v>
      </c>
      <c r="D217" s="11">
        <v>421600</v>
      </c>
      <c r="E217" s="11">
        <v>421799</v>
      </c>
    </row>
    <row r="218" spans="1:5">
      <c r="A218" s="13">
        <v>18</v>
      </c>
      <c r="B218" s="12" t="s">
        <v>146</v>
      </c>
      <c r="C218" t="s">
        <v>158</v>
      </c>
      <c r="D218" s="11">
        <v>421800</v>
      </c>
      <c r="E218" s="11">
        <v>421999</v>
      </c>
    </row>
    <row r="219" spans="1:5">
      <c r="A219" s="13">
        <v>18</v>
      </c>
      <c r="B219" s="12" t="s">
        <v>146</v>
      </c>
      <c r="C219" t="s">
        <v>157</v>
      </c>
      <c r="D219" s="11">
        <v>422000</v>
      </c>
      <c r="E219" s="11">
        <v>422099</v>
      </c>
    </row>
    <row r="220" spans="1:5">
      <c r="A220" s="13">
        <v>18</v>
      </c>
      <c r="B220" s="12" t="s">
        <v>146</v>
      </c>
      <c r="C220" t="s">
        <v>156</v>
      </c>
      <c r="D220" s="11">
        <v>422100</v>
      </c>
      <c r="E220" s="11">
        <v>422204</v>
      </c>
    </row>
    <row r="221" spans="1:5">
      <c r="A221" s="13">
        <v>18</v>
      </c>
      <c r="B221" s="12" t="s">
        <v>146</v>
      </c>
      <c r="C221" t="s">
        <v>155</v>
      </c>
      <c r="D221" s="11">
        <v>422210</v>
      </c>
      <c r="E221" s="11">
        <v>422259</v>
      </c>
    </row>
    <row r="222" spans="1:5">
      <c r="A222" s="13">
        <v>18</v>
      </c>
      <c r="B222" s="12" t="s">
        <v>146</v>
      </c>
      <c r="C222" t="s">
        <v>154</v>
      </c>
      <c r="D222" s="11">
        <v>422260</v>
      </c>
      <c r="E222" s="11">
        <v>422299</v>
      </c>
    </row>
    <row r="223" spans="1:5">
      <c r="A223" s="13">
        <v>18</v>
      </c>
      <c r="B223" s="12" t="s">
        <v>146</v>
      </c>
      <c r="C223" t="s">
        <v>153</v>
      </c>
      <c r="D223" s="11">
        <v>422300</v>
      </c>
      <c r="E223" s="11">
        <v>422359</v>
      </c>
    </row>
    <row r="224" spans="1:5">
      <c r="A224" s="13">
        <v>18</v>
      </c>
      <c r="B224" s="12" t="s">
        <v>146</v>
      </c>
      <c r="C224" t="s">
        <v>152</v>
      </c>
      <c r="D224" s="11">
        <v>422360</v>
      </c>
      <c r="E224" s="11">
        <v>422399</v>
      </c>
    </row>
    <row r="225" spans="1:5">
      <c r="A225" s="13">
        <v>18</v>
      </c>
      <c r="B225" s="12" t="s">
        <v>146</v>
      </c>
      <c r="C225" t="s">
        <v>151</v>
      </c>
      <c r="D225" s="11">
        <v>422400</v>
      </c>
      <c r="E225" s="11">
        <v>422409</v>
      </c>
    </row>
    <row r="226" spans="1:5">
      <c r="A226" s="13">
        <v>18</v>
      </c>
      <c r="B226" s="12" t="s">
        <v>146</v>
      </c>
      <c r="C226" t="s">
        <v>150</v>
      </c>
      <c r="D226" s="11">
        <v>422410</v>
      </c>
      <c r="E226" s="11">
        <v>422439</v>
      </c>
    </row>
    <row r="227" spans="1:5">
      <c r="A227" s="13">
        <v>18</v>
      </c>
      <c r="B227" s="12" t="s">
        <v>146</v>
      </c>
      <c r="C227" t="s">
        <v>149</v>
      </c>
      <c r="D227" s="11">
        <v>422440</v>
      </c>
      <c r="E227" s="11">
        <v>422499</v>
      </c>
    </row>
    <row r="228" spans="1:5">
      <c r="A228" s="13">
        <v>18</v>
      </c>
      <c r="B228" s="12" t="s">
        <v>146</v>
      </c>
      <c r="C228" t="s">
        <v>148</v>
      </c>
      <c r="D228" s="11">
        <v>422500</v>
      </c>
      <c r="E228" s="11">
        <v>422799</v>
      </c>
    </row>
    <row r="229" spans="1:5">
      <c r="A229" s="13">
        <v>18</v>
      </c>
      <c r="B229" s="12" t="s">
        <v>146</v>
      </c>
      <c r="C229" t="s">
        <v>147</v>
      </c>
      <c r="D229" s="11">
        <v>422800</v>
      </c>
      <c r="E229" s="11">
        <v>422899</v>
      </c>
    </row>
    <row r="230" spans="1:5">
      <c r="A230" s="13">
        <v>18</v>
      </c>
      <c r="B230" s="12" t="s">
        <v>146</v>
      </c>
      <c r="C230" t="s">
        <v>145</v>
      </c>
      <c r="D230" s="11">
        <v>422900</v>
      </c>
      <c r="E230" s="11">
        <v>424999</v>
      </c>
    </row>
    <row r="231" spans="1:5">
      <c r="A231" s="13">
        <v>19</v>
      </c>
      <c r="B231" s="12" t="s">
        <v>139</v>
      </c>
      <c r="C231" t="s">
        <v>144</v>
      </c>
      <c r="D231" s="11">
        <v>425000</v>
      </c>
      <c r="E231" s="11">
        <v>425099</v>
      </c>
    </row>
    <row r="232" spans="1:5">
      <c r="A232" s="13">
        <v>19</v>
      </c>
      <c r="B232" s="12" t="s">
        <v>139</v>
      </c>
      <c r="C232" t="s">
        <v>143</v>
      </c>
      <c r="D232" s="11">
        <v>425100</v>
      </c>
      <c r="E232" s="11">
        <v>425199</v>
      </c>
    </row>
    <row r="233" spans="1:5">
      <c r="A233" s="13">
        <v>19</v>
      </c>
      <c r="B233" s="12" t="s">
        <v>139</v>
      </c>
      <c r="C233" t="s">
        <v>142</v>
      </c>
      <c r="D233" s="11">
        <v>425200</v>
      </c>
      <c r="E233" s="11">
        <v>425299</v>
      </c>
    </row>
    <row r="234" spans="1:5">
      <c r="A234" s="13">
        <v>19</v>
      </c>
      <c r="B234" s="12" t="s">
        <v>139</v>
      </c>
      <c r="C234" t="s">
        <v>141</v>
      </c>
      <c r="D234" s="11">
        <v>425300</v>
      </c>
      <c r="E234" s="11">
        <v>425399</v>
      </c>
    </row>
    <row r="235" spans="1:5">
      <c r="A235" s="13">
        <v>19</v>
      </c>
      <c r="B235" s="12" t="s">
        <v>139</v>
      </c>
      <c r="C235" t="s">
        <v>140</v>
      </c>
      <c r="D235" s="11">
        <v>425400</v>
      </c>
      <c r="E235" s="11">
        <v>426399</v>
      </c>
    </row>
    <row r="236" spans="1:5">
      <c r="A236" s="13">
        <v>19</v>
      </c>
      <c r="B236" s="12" t="s">
        <v>139</v>
      </c>
      <c r="C236" t="s">
        <v>138</v>
      </c>
      <c r="D236" s="11">
        <v>426400</v>
      </c>
      <c r="E236" s="11">
        <v>427499</v>
      </c>
    </row>
    <row r="237" spans="1:5">
      <c r="A237" s="13">
        <v>20</v>
      </c>
      <c r="B237" s="12" t="s">
        <v>129</v>
      </c>
      <c r="C237" t="s">
        <v>137</v>
      </c>
      <c r="D237" s="11">
        <v>427500</v>
      </c>
      <c r="E237" s="11">
        <v>428259</v>
      </c>
    </row>
    <row r="238" spans="1:5">
      <c r="A238" s="13">
        <v>20</v>
      </c>
      <c r="B238" s="12" t="s">
        <v>129</v>
      </c>
      <c r="C238" t="s">
        <v>136</v>
      </c>
      <c r="D238" s="11">
        <v>428260</v>
      </c>
      <c r="E238" s="11">
        <v>428289</v>
      </c>
    </row>
    <row r="239" spans="1:5">
      <c r="A239" s="13">
        <v>20</v>
      </c>
      <c r="B239" s="12" t="s">
        <v>129</v>
      </c>
      <c r="C239" t="s">
        <v>135</v>
      </c>
      <c r="D239" s="11">
        <v>428290</v>
      </c>
      <c r="E239" s="11">
        <v>429199</v>
      </c>
    </row>
    <row r="240" spans="1:5">
      <c r="A240" s="13">
        <v>20</v>
      </c>
      <c r="B240" s="12" t="s">
        <v>129</v>
      </c>
      <c r="C240" t="s">
        <v>134</v>
      </c>
      <c r="D240" s="11">
        <v>429200</v>
      </c>
      <c r="E240" s="11">
        <v>429999</v>
      </c>
    </row>
    <row r="241" spans="1:5">
      <c r="A241" s="13">
        <v>20</v>
      </c>
      <c r="B241" s="12" t="s">
        <v>129</v>
      </c>
      <c r="C241" t="s">
        <v>133</v>
      </c>
      <c r="D241" s="11">
        <v>430000</v>
      </c>
      <c r="E241" s="11">
        <v>430199</v>
      </c>
    </row>
    <row r="242" spans="1:5">
      <c r="A242" s="13">
        <v>20</v>
      </c>
      <c r="B242" s="12" t="s">
        <v>129</v>
      </c>
      <c r="C242" t="s">
        <v>132</v>
      </c>
      <c r="D242" s="11">
        <v>430200</v>
      </c>
      <c r="E242" s="11">
        <v>430899</v>
      </c>
    </row>
    <row r="243" spans="1:5">
      <c r="A243" s="13">
        <v>20</v>
      </c>
      <c r="B243" s="12" t="s">
        <v>129</v>
      </c>
      <c r="C243" t="s">
        <v>131</v>
      </c>
      <c r="D243" s="11">
        <v>430900</v>
      </c>
      <c r="E243" s="11">
        <v>430999</v>
      </c>
    </row>
    <row r="244" spans="1:5">
      <c r="A244" s="13">
        <v>20</v>
      </c>
      <c r="B244" s="12" t="s">
        <v>129</v>
      </c>
      <c r="C244" t="s">
        <v>130</v>
      </c>
      <c r="D244" s="11">
        <v>431000</v>
      </c>
      <c r="E244" s="11">
        <v>431000</v>
      </c>
    </row>
    <row r="245" spans="1:5">
      <c r="A245" s="13">
        <v>20</v>
      </c>
      <c r="B245" s="12" t="s">
        <v>129</v>
      </c>
      <c r="C245" t="s">
        <v>128</v>
      </c>
      <c r="D245" s="11">
        <v>431001</v>
      </c>
      <c r="E245" s="11">
        <v>439999</v>
      </c>
    </row>
    <row r="246" spans="1:5">
      <c r="A246" s="13">
        <v>23</v>
      </c>
      <c r="B246" s="12" t="s">
        <v>127</v>
      </c>
      <c r="C246" t="s">
        <v>126</v>
      </c>
      <c r="D246" s="11">
        <v>460000</v>
      </c>
      <c r="E246" s="11">
        <v>479999</v>
      </c>
    </row>
    <row r="247" spans="1:5">
      <c r="A247" s="13">
        <v>24</v>
      </c>
      <c r="B247" s="12" t="s">
        <v>120</v>
      </c>
      <c r="C247" t="s">
        <v>125</v>
      </c>
      <c r="D247" s="11">
        <v>440100</v>
      </c>
      <c r="E247" s="11">
        <v>450199</v>
      </c>
    </row>
    <row r="248" spans="1:5">
      <c r="A248" s="13">
        <v>24</v>
      </c>
      <c r="B248" s="12" t="s">
        <v>120</v>
      </c>
      <c r="C248" t="s">
        <v>124</v>
      </c>
      <c r="D248" s="11">
        <v>450200</v>
      </c>
      <c r="E248" s="11">
        <v>450299</v>
      </c>
    </row>
    <row r="249" spans="1:5">
      <c r="A249" s="13">
        <v>24</v>
      </c>
      <c r="B249" s="12" t="s">
        <v>120</v>
      </c>
      <c r="C249" t="s">
        <v>123</v>
      </c>
      <c r="D249" s="11">
        <v>450300</v>
      </c>
      <c r="E249" s="11">
        <v>450399</v>
      </c>
    </row>
    <row r="250" spans="1:5">
      <c r="A250" s="13">
        <v>24</v>
      </c>
      <c r="B250" s="12" t="s">
        <v>120</v>
      </c>
      <c r="C250" t="s">
        <v>122</v>
      </c>
      <c r="D250" s="11">
        <v>450400</v>
      </c>
      <c r="E250" s="11">
        <v>450499</v>
      </c>
    </row>
    <row r="251" spans="1:5">
      <c r="A251" s="13">
        <v>24</v>
      </c>
      <c r="B251" s="12" t="s">
        <v>120</v>
      </c>
      <c r="C251" t="s">
        <v>121</v>
      </c>
      <c r="D251" s="11">
        <v>450500</v>
      </c>
      <c r="E251" s="11">
        <v>450599</v>
      </c>
    </row>
    <row r="252" spans="1:5">
      <c r="A252" s="13">
        <v>24</v>
      </c>
      <c r="B252" s="12" t="s">
        <v>120</v>
      </c>
      <c r="C252" t="s">
        <v>119</v>
      </c>
      <c r="D252" s="11">
        <v>450600</v>
      </c>
      <c r="E252" s="11">
        <v>459999</v>
      </c>
    </row>
    <row r="253" spans="1:5">
      <c r="A253" s="13">
        <v>25</v>
      </c>
      <c r="B253" s="12" t="s">
        <v>107</v>
      </c>
      <c r="C253" t="s">
        <v>118</v>
      </c>
      <c r="D253" s="11">
        <v>480000</v>
      </c>
      <c r="E253" s="11">
        <v>482499</v>
      </c>
    </row>
    <row r="254" spans="1:5">
      <c r="A254" s="13">
        <v>25</v>
      </c>
      <c r="B254" s="12" t="s">
        <v>107</v>
      </c>
      <c r="C254" t="s">
        <v>117</v>
      </c>
      <c r="D254" s="11">
        <v>482500</v>
      </c>
      <c r="E254" s="11">
        <v>484999</v>
      </c>
    </row>
    <row r="255" spans="1:5">
      <c r="A255" s="13">
        <v>25</v>
      </c>
      <c r="B255" s="12" t="s">
        <v>107</v>
      </c>
      <c r="C255" t="s">
        <v>116</v>
      </c>
      <c r="D255" s="11">
        <v>485000</v>
      </c>
      <c r="E255" s="11">
        <v>487499</v>
      </c>
    </row>
    <row r="256" spans="1:5">
      <c r="A256" s="13">
        <v>25</v>
      </c>
      <c r="B256" s="12" t="s">
        <v>107</v>
      </c>
      <c r="C256" t="s">
        <v>115</v>
      </c>
      <c r="D256" s="11">
        <v>500000</v>
      </c>
      <c r="E256" s="11">
        <v>502499</v>
      </c>
    </row>
    <row r="257" spans="1:5">
      <c r="A257" s="13">
        <v>25</v>
      </c>
      <c r="B257" s="12" t="s">
        <v>107</v>
      </c>
      <c r="C257" t="s">
        <v>114</v>
      </c>
      <c r="D257" s="11">
        <v>512500</v>
      </c>
      <c r="E257" s="11">
        <v>514999</v>
      </c>
    </row>
    <row r="258" spans="1:5">
      <c r="A258" s="13">
        <v>25</v>
      </c>
      <c r="B258" s="12" t="s">
        <v>107</v>
      </c>
      <c r="C258" t="s">
        <v>113</v>
      </c>
      <c r="D258" s="11">
        <v>517500</v>
      </c>
      <c r="E258" s="11">
        <v>519999</v>
      </c>
    </row>
    <row r="259" spans="1:5">
      <c r="A259" s="13">
        <v>25</v>
      </c>
      <c r="B259" s="12" t="s">
        <v>107</v>
      </c>
      <c r="C259" t="s">
        <v>112</v>
      </c>
      <c r="D259" s="11">
        <v>527500</v>
      </c>
      <c r="E259" s="11">
        <v>529999</v>
      </c>
    </row>
    <row r="260" spans="1:5">
      <c r="A260" s="13">
        <v>25</v>
      </c>
      <c r="B260" s="12" t="s">
        <v>107</v>
      </c>
      <c r="C260" t="s">
        <v>111</v>
      </c>
      <c r="D260" s="11">
        <v>530000</v>
      </c>
      <c r="E260" s="11">
        <v>532499</v>
      </c>
    </row>
    <row r="261" spans="1:5">
      <c r="A261" s="13">
        <v>25</v>
      </c>
      <c r="B261" s="12" t="s">
        <v>107</v>
      </c>
      <c r="C261" t="s">
        <v>110</v>
      </c>
      <c r="D261" s="11">
        <v>540000</v>
      </c>
      <c r="E261" s="11">
        <v>542499</v>
      </c>
    </row>
    <row r="262" spans="1:5">
      <c r="A262" s="13">
        <v>25</v>
      </c>
      <c r="B262" s="12" t="s">
        <v>107</v>
      </c>
      <c r="C262" t="s">
        <v>109</v>
      </c>
      <c r="D262" s="11">
        <v>790000</v>
      </c>
      <c r="E262" s="11">
        <v>790099</v>
      </c>
    </row>
    <row r="263" spans="1:5">
      <c r="A263" s="13">
        <v>25</v>
      </c>
      <c r="B263" s="12" t="s">
        <v>107</v>
      </c>
      <c r="C263" t="s">
        <v>108</v>
      </c>
      <c r="D263" s="11">
        <v>790100</v>
      </c>
      <c r="E263" s="11">
        <v>790109</v>
      </c>
    </row>
    <row r="264" spans="1:5">
      <c r="A264" s="13">
        <v>25</v>
      </c>
      <c r="B264" s="12" t="s">
        <v>107</v>
      </c>
      <c r="C264" t="s">
        <v>106</v>
      </c>
      <c r="D264" s="11">
        <v>790110</v>
      </c>
      <c r="E264" s="11">
        <v>790275</v>
      </c>
    </row>
    <row r="265" spans="1:5">
      <c r="A265" s="13">
        <v>26</v>
      </c>
      <c r="B265" s="12" t="s">
        <v>104</v>
      </c>
      <c r="C265" t="s">
        <v>105</v>
      </c>
      <c r="D265" s="11">
        <v>522500</v>
      </c>
      <c r="E265" s="11">
        <v>524999</v>
      </c>
    </row>
    <row r="266" spans="1:5">
      <c r="A266" s="13">
        <v>26</v>
      </c>
      <c r="B266" s="12" t="s">
        <v>104</v>
      </c>
      <c r="C266" t="s">
        <v>103</v>
      </c>
      <c r="D266" s="11">
        <v>550000</v>
      </c>
      <c r="E266" s="11">
        <v>552499</v>
      </c>
    </row>
    <row r="267" spans="1:5">
      <c r="A267" s="13">
        <v>27</v>
      </c>
      <c r="B267" s="12" t="s">
        <v>102</v>
      </c>
      <c r="C267" t="s">
        <v>101</v>
      </c>
      <c r="D267" s="11">
        <v>502500</v>
      </c>
      <c r="E267" s="11">
        <v>504999</v>
      </c>
    </row>
    <row r="268" spans="1:5">
      <c r="A268" s="13">
        <v>28</v>
      </c>
      <c r="B268" s="12" t="s">
        <v>98</v>
      </c>
      <c r="C268" t="s">
        <v>100</v>
      </c>
      <c r="D268" s="11">
        <v>487500</v>
      </c>
      <c r="E268" s="11">
        <v>489999</v>
      </c>
    </row>
    <row r="269" spans="1:5">
      <c r="A269" s="13">
        <v>28</v>
      </c>
      <c r="B269" s="12" t="s">
        <v>98</v>
      </c>
      <c r="C269" t="s">
        <v>99</v>
      </c>
      <c r="D269" s="11">
        <v>490000</v>
      </c>
      <c r="E269" s="11">
        <v>492499</v>
      </c>
    </row>
    <row r="270" spans="1:5">
      <c r="A270" s="13">
        <v>28</v>
      </c>
      <c r="B270" s="12" t="s">
        <v>98</v>
      </c>
      <c r="C270" t="s">
        <v>97</v>
      </c>
      <c r="D270" s="11">
        <v>507500</v>
      </c>
      <c r="E270" s="11">
        <v>509999</v>
      </c>
    </row>
    <row r="271" spans="1:5">
      <c r="A271" s="13">
        <v>29</v>
      </c>
      <c r="B271" s="12" t="s">
        <v>84</v>
      </c>
      <c r="C271" t="s">
        <v>96</v>
      </c>
      <c r="D271" s="11">
        <v>492500</v>
      </c>
      <c r="E271" s="11">
        <v>494999</v>
      </c>
    </row>
    <row r="272" spans="1:5">
      <c r="A272" s="13">
        <v>29</v>
      </c>
      <c r="B272" s="12" t="s">
        <v>84</v>
      </c>
      <c r="C272" t="s">
        <v>95</v>
      </c>
      <c r="D272" s="11">
        <v>495000</v>
      </c>
      <c r="E272" s="11">
        <v>497499</v>
      </c>
    </row>
    <row r="273" spans="1:5">
      <c r="A273" s="13">
        <v>29</v>
      </c>
      <c r="B273" s="12" t="s">
        <v>84</v>
      </c>
      <c r="C273" t="s">
        <v>94</v>
      </c>
      <c r="D273" s="11">
        <v>497500</v>
      </c>
      <c r="E273" s="11">
        <v>499999</v>
      </c>
    </row>
    <row r="274" spans="1:5">
      <c r="A274" s="13">
        <v>29</v>
      </c>
      <c r="B274" s="12" t="s">
        <v>84</v>
      </c>
      <c r="C274" t="s">
        <v>93</v>
      </c>
      <c r="D274" s="11">
        <v>510000</v>
      </c>
      <c r="E274" s="11">
        <v>512499</v>
      </c>
    </row>
    <row r="275" spans="1:5">
      <c r="A275" s="13">
        <v>29</v>
      </c>
      <c r="B275" s="12" t="s">
        <v>84</v>
      </c>
      <c r="C275" t="s">
        <v>92</v>
      </c>
      <c r="D275" s="11">
        <v>515000</v>
      </c>
      <c r="E275" s="11">
        <v>517499</v>
      </c>
    </row>
    <row r="276" spans="1:5">
      <c r="A276" s="13">
        <v>29</v>
      </c>
      <c r="B276" s="12" t="s">
        <v>84</v>
      </c>
      <c r="C276" t="s">
        <v>91</v>
      </c>
      <c r="D276" s="11">
        <v>520000</v>
      </c>
      <c r="E276" s="11">
        <v>522499</v>
      </c>
    </row>
    <row r="277" spans="1:5">
      <c r="A277" s="13">
        <v>29</v>
      </c>
      <c r="B277" s="12" t="s">
        <v>84</v>
      </c>
      <c r="C277" t="s">
        <v>90</v>
      </c>
      <c r="D277" s="11">
        <v>532500</v>
      </c>
      <c r="E277" s="11">
        <v>534999</v>
      </c>
    </row>
    <row r="278" spans="1:5">
      <c r="A278" s="13">
        <v>29</v>
      </c>
      <c r="B278" s="12" t="s">
        <v>84</v>
      </c>
      <c r="C278" t="s">
        <v>89</v>
      </c>
      <c r="D278" s="11">
        <v>535000</v>
      </c>
      <c r="E278" s="11">
        <v>537499</v>
      </c>
    </row>
    <row r="279" spans="1:5">
      <c r="A279" s="13">
        <v>29</v>
      </c>
      <c r="B279" s="12" t="s">
        <v>84</v>
      </c>
      <c r="C279" t="s">
        <v>88</v>
      </c>
      <c r="D279" s="11">
        <v>537500</v>
      </c>
      <c r="E279" s="11">
        <v>539999</v>
      </c>
    </row>
    <row r="280" spans="1:5">
      <c r="A280" s="13">
        <v>29</v>
      </c>
      <c r="B280" s="12" t="s">
        <v>84</v>
      </c>
      <c r="C280" t="s">
        <v>87</v>
      </c>
      <c r="D280" s="11">
        <v>547500</v>
      </c>
      <c r="E280" s="11">
        <v>549999</v>
      </c>
    </row>
    <row r="281" spans="1:5">
      <c r="A281" s="13">
        <v>29</v>
      </c>
      <c r="B281" s="12" t="s">
        <v>84</v>
      </c>
      <c r="C281" t="s">
        <v>86</v>
      </c>
      <c r="D281" s="11">
        <v>552500</v>
      </c>
      <c r="E281" s="11">
        <v>557499</v>
      </c>
    </row>
    <row r="282" spans="1:5">
      <c r="A282" s="13">
        <v>29</v>
      </c>
      <c r="B282" s="12" t="s">
        <v>84</v>
      </c>
      <c r="C282" t="s">
        <v>85</v>
      </c>
      <c r="D282" s="11">
        <v>557500</v>
      </c>
      <c r="E282" s="11">
        <v>699999</v>
      </c>
    </row>
    <row r="283" spans="1:5">
      <c r="A283" s="13">
        <v>29</v>
      </c>
      <c r="B283" s="12" t="s">
        <v>84</v>
      </c>
      <c r="C283" t="s">
        <v>83</v>
      </c>
      <c r="D283" s="11">
        <v>950700</v>
      </c>
      <c r="E283" s="11">
        <v>950799</v>
      </c>
    </row>
    <row r="284" spans="1:5">
      <c r="A284" s="13">
        <v>32</v>
      </c>
      <c r="B284" s="12" t="s">
        <v>81</v>
      </c>
      <c r="C284" t="s">
        <v>82</v>
      </c>
      <c r="D284" s="11">
        <v>700000</v>
      </c>
      <c r="E284" s="11">
        <v>700099</v>
      </c>
    </row>
    <row r="285" spans="1:5">
      <c r="A285" s="13">
        <v>32</v>
      </c>
      <c r="B285" s="12" t="s">
        <v>81</v>
      </c>
      <c r="C285" t="s">
        <v>80</v>
      </c>
      <c r="D285" s="11">
        <v>700100</v>
      </c>
      <c r="E285" s="11">
        <v>701999</v>
      </c>
    </row>
    <row r="286" spans="1:5">
      <c r="A286" s="13">
        <v>33</v>
      </c>
      <c r="B286" s="12" t="s">
        <v>79</v>
      </c>
      <c r="C286" t="s">
        <v>78</v>
      </c>
      <c r="D286" s="11">
        <v>702000</v>
      </c>
      <c r="E286" s="11">
        <v>703999</v>
      </c>
    </row>
    <row r="287" spans="1:5">
      <c r="A287" s="13">
        <v>36</v>
      </c>
      <c r="B287" s="12" t="s">
        <v>77</v>
      </c>
      <c r="C287" t="s">
        <v>76</v>
      </c>
      <c r="D287" s="11">
        <v>545000</v>
      </c>
      <c r="E287" s="11">
        <v>545499</v>
      </c>
    </row>
    <row r="288" spans="1:5">
      <c r="A288" s="13">
        <v>37</v>
      </c>
      <c r="B288" s="12" t="s">
        <v>59</v>
      </c>
      <c r="C288" t="s">
        <v>75</v>
      </c>
      <c r="D288" s="11">
        <v>750000</v>
      </c>
      <c r="E288" s="11">
        <v>750099</v>
      </c>
    </row>
    <row r="289" spans="1:5">
      <c r="A289" s="13">
        <v>37</v>
      </c>
      <c r="B289" s="12" t="s">
        <v>59</v>
      </c>
      <c r="C289" t="s">
        <v>74</v>
      </c>
      <c r="D289" s="11">
        <v>750100</v>
      </c>
      <c r="E289" s="11">
        <v>750199</v>
      </c>
    </row>
    <row r="290" spans="1:5">
      <c r="A290" s="13">
        <v>37</v>
      </c>
      <c r="B290" s="12" t="s">
        <v>59</v>
      </c>
      <c r="C290" t="s">
        <v>73</v>
      </c>
      <c r="D290" s="11">
        <v>750200</v>
      </c>
      <c r="E290" s="11">
        <v>750299</v>
      </c>
    </row>
    <row r="291" spans="1:5">
      <c r="A291" s="13">
        <v>37</v>
      </c>
      <c r="B291" s="12" t="s">
        <v>59</v>
      </c>
      <c r="C291" t="s">
        <v>72</v>
      </c>
      <c r="D291" s="11">
        <v>750300</v>
      </c>
      <c r="E291" s="11">
        <v>750399</v>
      </c>
    </row>
    <row r="292" spans="1:5">
      <c r="A292" s="13">
        <v>37</v>
      </c>
      <c r="B292" s="12" t="s">
        <v>59</v>
      </c>
      <c r="C292" t="s">
        <v>71</v>
      </c>
      <c r="D292" s="11">
        <v>750400</v>
      </c>
      <c r="E292" s="11">
        <v>750499</v>
      </c>
    </row>
    <row r="293" spans="1:5">
      <c r="A293" s="13">
        <v>37</v>
      </c>
      <c r="B293" s="12" t="s">
        <v>59</v>
      </c>
      <c r="C293" t="s">
        <v>70</v>
      </c>
      <c r="D293" s="11">
        <v>750500</v>
      </c>
      <c r="E293" s="11">
        <v>750599</v>
      </c>
    </row>
    <row r="294" spans="1:5">
      <c r="A294" s="13">
        <v>37</v>
      </c>
      <c r="B294" s="12" t="s">
        <v>59</v>
      </c>
      <c r="C294" t="s">
        <v>69</v>
      </c>
      <c r="D294" s="11">
        <v>750600</v>
      </c>
      <c r="E294" s="11">
        <v>750699</v>
      </c>
    </row>
    <row r="295" spans="1:5">
      <c r="A295" s="13">
        <v>37</v>
      </c>
      <c r="B295" s="12" t="s">
        <v>59</v>
      </c>
      <c r="C295" t="s">
        <v>68</v>
      </c>
      <c r="D295" s="11">
        <v>750700</v>
      </c>
      <c r="E295" s="11">
        <v>750799</v>
      </c>
    </row>
    <row r="296" spans="1:5">
      <c r="A296" s="13">
        <v>37</v>
      </c>
      <c r="B296" s="12" t="s">
        <v>59</v>
      </c>
      <c r="C296" t="s">
        <v>67</v>
      </c>
      <c r="D296" s="11">
        <v>750800</v>
      </c>
      <c r="E296" s="11">
        <v>750899</v>
      </c>
    </row>
    <row r="297" spans="1:5">
      <c r="A297" s="13">
        <v>37</v>
      </c>
      <c r="B297" s="12" t="s">
        <v>59</v>
      </c>
      <c r="C297" t="s">
        <v>66</v>
      </c>
      <c r="D297" s="11">
        <v>750900</v>
      </c>
      <c r="E297" s="11">
        <v>750999</v>
      </c>
    </row>
    <row r="298" spans="1:5">
      <c r="A298" s="13">
        <v>37</v>
      </c>
      <c r="B298" s="12" t="s">
        <v>59</v>
      </c>
      <c r="C298" t="s">
        <v>65</v>
      </c>
      <c r="D298" s="11">
        <v>751000</v>
      </c>
      <c r="E298" s="11">
        <v>751099</v>
      </c>
    </row>
    <row r="299" spans="1:5">
      <c r="A299" s="13">
        <v>37</v>
      </c>
      <c r="B299" s="12" t="s">
        <v>59</v>
      </c>
      <c r="C299" t="s">
        <v>64</v>
      </c>
      <c r="D299" s="11">
        <v>751100</v>
      </c>
      <c r="E299" s="11">
        <v>751199</v>
      </c>
    </row>
    <row r="300" spans="1:5">
      <c r="A300" s="13">
        <v>37</v>
      </c>
      <c r="B300" s="12" t="s">
        <v>59</v>
      </c>
      <c r="C300" t="s">
        <v>63</v>
      </c>
      <c r="D300" s="11">
        <v>752492</v>
      </c>
      <c r="E300" s="11">
        <v>752492</v>
      </c>
    </row>
    <row r="301" spans="1:5">
      <c r="A301" s="13">
        <v>37</v>
      </c>
      <c r="B301" s="12" t="s">
        <v>59</v>
      </c>
      <c r="C301" t="s">
        <v>62</v>
      </c>
      <c r="D301" s="11">
        <v>752493</v>
      </c>
      <c r="E301" s="11">
        <v>752493</v>
      </c>
    </row>
    <row r="302" spans="1:5">
      <c r="A302" s="13">
        <v>37</v>
      </c>
      <c r="B302" s="12" t="s">
        <v>59</v>
      </c>
      <c r="C302" t="s">
        <v>61</v>
      </c>
      <c r="D302" s="11">
        <v>752494</v>
      </c>
      <c r="E302" s="11">
        <v>752494</v>
      </c>
    </row>
    <row r="303" spans="1:5">
      <c r="A303" s="13">
        <v>37</v>
      </c>
      <c r="B303" s="12" t="s">
        <v>59</v>
      </c>
      <c r="C303" t="s">
        <v>60</v>
      </c>
      <c r="D303" s="11">
        <v>752495</v>
      </c>
      <c r="E303" s="11">
        <v>752495</v>
      </c>
    </row>
    <row r="304" spans="1:5">
      <c r="A304" s="13">
        <v>37</v>
      </c>
      <c r="B304" s="12" t="s">
        <v>59</v>
      </c>
      <c r="C304" t="s">
        <v>58</v>
      </c>
      <c r="D304" s="11">
        <v>752496</v>
      </c>
      <c r="E304" s="11">
        <v>752496</v>
      </c>
    </row>
    <row r="305" spans="1:5">
      <c r="A305" s="13">
        <v>38</v>
      </c>
      <c r="B305" s="12" t="s">
        <v>39</v>
      </c>
      <c r="C305" t="s">
        <v>57</v>
      </c>
      <c r="D305" s="11">
        <v>762500</v>
      </c>
      <c r="E305" s="11">
        <v>792500</v>
      </c>
    </row>
    <row r="306" spans="1:5">
      <c r="A306" s="13">
        <v>38</v>
      </c>
      <c r="B306" s="12" t="s">
        <v>39</v>
      </c>
      <c r="C306" t="s">
        <v>56</v>
      </c>
      <c r="D306" s="11">
        <v>792501</v>
      </c>
      <c r="E306" s="11">
        <v>792501</v>
      </c>
    </row>
    <row r="307" spans="1:5">
      <c r="A307" s="13">
        <v>38</v>
      </c>
      <c r="B307" s="12" t="s">
        <v>39</v>
      </c>
      <c r="C307" t="s">
        <v>55</v>
      </c>
      <c r="D307" s="11">
        <v>810000</v>
      </c>
      <c r="E307" s="11">
        <v>810099</v>
      </c>
    </row>
    <row r="308" spans="1:5">
      <c r="A308" s="13">
        <v>38</v>
      </c>
      <c r="B308" s="12" t="s">
        <v>39</v>
      </c>
      <c r="C308" t="s">
        <v>54</v>
      </c>
      <c r="D308" s="11">
        <v>810100</v>
      </c>
      <c r="E308" s="11">
        <v>810199</v>
      </c>
    </row>
    <row r="309" spans="1:5">
      <c r="A309" s="13">
        <v>38</v>
      </c>
      <c r="B309" s="12" t="s">
        <v>39</v>
      </c>
      <c r="C309" t="s">
        <v>53</v>
      </c>
      <c r="D309" s="11">
        <v>810200</v>
      </c>
      <c r="E309" s="11">
        <v>810299</v>
      </c>
    </row>
    <row r="310" spans="1:5">
      <c r="A310" s="13">
        <v>38</v>
      </c>
      <c r="B310" s="12" t="s">
        <v>39</v>
      </c>
      <c r="C310" t="s">
        <v>52</v>
      </c>
      <c r="D310" s="11">
        <v>810300</v>
      </c>
      <c r="E310" s="11">
        <v>810349</v>
      </c>
    </row>
    <row r="311" spans="1:5">
      <c r="A311" s="13">
        <v>38</v>
      </c>
      <c r="B311" s="12" t="s">
        <v>39</v>
      </c>
      <c r="C311" t="s">
        <v>51</v>
      </c>
      <c r="D311" s="11">
        <v>810350</v>
      </c>
      <c r="E311" s="11">
        <v>810399</v>
      </c>
    </row>
    <row r="312" spans="1:5">
      <c r="A312" s="13">
        <v>38</v>
      </c>
      <c r="B312" s="12" t="s">
        <v>39</v>
      </c>
      <c r="C312" t="s">
        <v>50</v>
      </c>
      <c r="D312" s="11">
        <v>810400</v>
      </c>
      <c r="E312" s="11">
        <v>810499</v>
      </c>
    </row>
    <row r="313" spans="1:5">
      <c r="A313" s="13">
        <v>38</v>
      </c>
      <c r="B313" s="12" t="s">
        <v>39</v>
      </c>
      <c r="C313" t="s">
        <v>49</v>
      </c>
      <c r="D313" s="11">
        <v>810500</v>
      </c>
      <c r="E313" s="11">
        <v>810599</v>
      </c>
    </row>
    <row r="314" spans="1:5">
      <c r="A314" s="13">
        <v>38</v>
      </c>
      <c r="B314" s="12" t="s">
        <v>39</v>
      </c>
      <c r="C314" t="s">
        <v>48</v>
      </c>
      <c r="D314" s="11">
        <v>810600</v>
      </c>
      <c r="E314" s="11">
        <v>810699</v>
      </c>
    </row>
    <row r="315" spans="1:5">
      <c r="A315" s="13">
        <v>38</v>
      </c>
      <c r="B315" s="12" t="s">
        <v>39</v>
      </c>
      <c r="C315" t="s">
        <v>47</v>
      </c>
      <c r="D315" s="11">
        <v>810700</v>
      </c>
      <c r="E315" s="11">
        <v>810799</v>
      </c>
    </row>
    <row r="316" spans="1:5">
      <c r="A316" s="13">
        <v>38</v>
      </c>
      <c r="B316" s="12" t="s">
        <v>39</v>
      </c>
      <c r="C316" t="s">
        <v>46</v>
      </c>
      <c r="D316" s="11">
        <v>810800</v>
      </c>
      <c r="E316" s="11">
        <v>810899</v>
      </c>
    </row>
    <row r="317" spans="1:5">
      <c r="A317" s="13">
        <v>38</v>
      </c>
      <c r="B317" s="12" t="s">
        <v>39</v>
      </c>
      <c r="C317" t="s">
        <v>45</v>
      </c>
      <c r="D317" s="11">
        <v>810900</v>
      </c>
      <c r="E317" s="11">
        <v>810999</v>
      </c>
    </row>
    <row r="318" spans="1:5">
      <c r="A318" s="13">
        <v>38</v>
      </c>
      <c r="B318" s="12" t="s">
        <v>39</v>
      </c>
      <c r="C318" t="s">
        <v>44</v>
      </c>
      <c r="D318" s="11">
        <v>811000</v>
      </c>
      <c r="E318" s="11">
        <v>811099</v>
      </c>
    </row>
    <row r="319" spans="1:5">
      <c r="A319" s="13">
        <v>38</v>
      </c>
      <c r="B319" s="12" t="s">
        <v>39</v>
      </c>
      <c r="C319" t="s">
        <v>43</v>
      </c>
      <c r="D319" s="11">
        <v>811100</v>
      </c>
      <c r="E319" s="11">
        <v>811199</v>
      </c>
    </row>
    <row r="320" spans="1:5">
      <c r="A320" s="13">
        <v>38</v>
      </c>
      <c r="B320" s="12" t="s">
        <v>39</v>
      </c>
      <c r="C320" t="s">
        <v>42</v>
      </c>
      <c r="D320" s="11">
        <v>811200</v>
      </c>
      <c r="E320" s="11">
        <v>811299</v>
      </c>
    </row>
    <row r="321" spans="1:5">
      <c r="A321" s="13">
        <v>38</v>
      </c>
      <c r="B321" s="12" t="s">
        <v>39</v>
      </c>
      <c r="C321" t="s">
        <v>41</v>
      </c>
      <c r="D321" s="11">
        <v>811300</v>
      </c>
      <c r="E321" s="11">
        <v>811399</v>
      </c>
    </row>
    <row r="322" spans="1:5">
      <c r="A322" s="13">
        <v>38</v>
      </c>
      <c r="B322" s="12" t="s">
        <v>39</v>
      </c>
      <c r="C322" t="s">
        <v>40</v>
      </c>
      <c r="D322" s="11">
        <v>970100</v>
      </c>
      <c r="E322" s="11">
        <v>970199</v>
      </c>
    </row>
    <row r="323" spans="1:5">
      <c r="A323" s="13">
        <v>38</v>
      </c>
      <c r="B323" s="12" t="s">
        <v>39</v>
      </c>
      <c r="C323" t="s">
        <v>38</v>
      </c>
      <c r="D323" s="11">
        <v>970200</v>
      </c>
      <c r="E323" s="11">
        <v>970299</v>
      </c>
    </row>
    <row r="324" spans="1:5">
      <c r="A324" s="13">
        <v>39</v>
      </c>
      <c r="B324" s="12" t="s">
        <v>31</v>
      </c>
      <c r="C324" t="s">
        <v>37</v>
      </c>
      <c r="D324" s="11">
        <v>950000</v>
      </c>
      <c r="E324" s="11">
        <v>950099</v>
      </c>
    </row>
    <row r="325" spans="1:5">
      <c r="A325" s="13">
        <v>39</v>
      </c>
      <c r="B325" s="12" t="s">
        <v>31</v>
      </c>
      <c r="C325" t="s">
        <v>36</v>
      </c>
      <c r="D325" s="11">
        <v>950100</v>
      </c>
      <c r="E325" s="11">
        <v>950199</v>
      </c>
    </row>
    <row r="326" spans="1:5">
      <c r="A326" s="13">
        <v>39</v>
      </c>
      <c r="B326" s="12" t="s">
        <v>31</v>
      </c>
      <c r="C326" t="s">
        <v>35</v>
      </c>
      <c r="D326" s="11">
        <v>950200</v>
      </c>
      <c r="E326" s="11">
        <v>950299</v>
      </c>
    </row>
    <row r="327" spans="1:5">
      <c r="A327" s="13">
        <v>39</v>
      </c>
      <c r="B327" s="12" t="s">
        <v>31</v>
      </c>
      <c r="C327" t="s">
        <v>34</v>
      </c>
      <c r="D327" s="11">
        <v>950300</v>
      </c>
      <c r="E327" s="11">
        <v>950399</v>
      </c>
    </row>
    <row r="328" spans="1:5">
      <c r="A328" s="13">
        <v>39</v>
      </c>
      <c r="B328" s="12" t="s">
        <v>31</v>
      </c>
      <c r="C328" t="s">
        <v>33</v>
      </c>
      <c r="D328" s="11">
        <v>950400</v>
      </c>
      <c r="E328" s="11">
        <v>950499</v>
      </c>
    </row>
    <row r="329" spans="1:5">
      <c r="A329" s="13">
        <v>39</v>
      </c>
      <c r="B329" s="12" t="s">
        <v>31</v>
      </c>
      <c r="C329" t="s">
        <v>32</v>
      </c>
      <c r="D329" s="11">
        <v>950500</v>
      </c>
      <c r="E329" s="11">
        <v>950599</v>
      </c>
    </row>
    <row r="330" spans="1:5">
      <c r="A330" s="13">
        <v>39</v>
      </c>
      <c r="B330" s="12" t="s">
        <v>31</v>
      </c>
      <c r="C330" t="s">
        <v>30</v>
      </c>
      <c r="D330" s="11">
        <v>950600</v>
      </c>
      <c r="E330" s="11">
        <v>950699</v>
      </c>
    </row>
    <row r="331" spans="1:5">
      <c r="A331" s="13">
        <v>40</v>
      </c>
      <c r="B331" s="12" t="s">
        <v>27</v>
      </c>
      <c r="C331" t="s">
        <v>29</v>
      </c>
      <c r="D331" s="11">
        <v>790276</v>
      </c>
      <c r="E331" s="11">
        <v>790399</v>
      </c>
    </row>
    <row r="332" spans="1:5">
      <c r="A332" s="13">
        <v>40</v>
      </c>
      <c r="B332" s="12" t="s">
        <v>27</v>
      </c>
      <c r="C332" t="s">
        <v>28</v>
      </c>
      <c r="D332" s="11">
        <v>960000</v>
      </c>
      <c r="E332" s="11">
        <v>960199</v>
      </c>
    </row>
    <row r="333" spans="1:5">
      <c r="A333" s="13">
        <v>40</v>
      </c>
      <c r="B333" s="12" t="s">
        <v>27</v>
      </c>
      <c r="C333" t="s">
        <v>26</v>
      </c>
      <c r="D333" s="11">
        <v>960400</v>
      </c>
      <c r="E333" s="11">
        <v>960499</v>
      </c>
    </row>
    <row r="334" spans="1:5">
      <c r="A334" s="13">
        <v>41</v>
      </c>
      <c r="B334" s="12" t="s">
        <v>25</v>
      </c>
      <c r="C334" t="s">
        <v>24</v>
      </c>
      <c r="D334" s="11">
        <v>960200</v>
      </c>
      <c r="E334" s="11">
        <v>960299</v>
      </c>
    </row>
    <row r="335" spans="1:5">
      <c r="A335" s="13">
        <v>45</v>
      </c>
      <c r="B335" s="12" t="s">
        <v>23</v>
      </c>
      <c r="C335" t="s">
        <v>22</v>
      </c>
      <c r="D335" s="11">
        <v>997000</v>
      </c>
      <c r="E335" s="11">
        <v>999997</v>
      </c>
    </row>
    <row r="336" spans="1:5">
      <c r="A336" s="13">
        <v>46</v>
      </c>
      <c r="B336" s="12" t="s">
        <v>7</v>
      </c>
      <c r="C336" t="s">
        <v>21</v>
      </c>
      <c r="D336" s="11">
        <v>542500</v>
      </c>
      <c r="E336" s="11">
        <v>544999</v>
      </c>
    </row>
    <row r="337" spans="1:5">
      <c r="A337" s="13">
        <v>46</v>
      </c>
      <c r="B337" s="12" t="s">
        <v>7</v>
      </c>
      <c r="C337" t="s">
        <v>20</v>
      </c>
      <c r="D337" s="11">
        <v>811400</v>
      </c>
      <c r="E337" s="11">
        <v>812399</v>
      </c>
    </row>
    <row r="338" spans="1:5">
      <c r="A338" s="13">
        <v>46</v>
      </c>
      <c r="B338" s="12" t="s">
        <v>7</v>
      </c>
      <c r="C338" t="s">
        <v>19</v>
      </c>
      <c r="D338" s="11">
        <v>970000</v>
      </c>
      <c r="E338" s="11">
        <v>970099</v>
      </c>
    </row>
    <row r="339" spans="1:5">
      <c r="A339" s="13">
        <v>46</v>
      </c>
      <c r="B339" s="12" t="s">
        <v>7</v>
      </c>
      <c r="C339" t="s">
        <v>18</v>
      </c>
      <c r="D339" s="11">
        <v>970300</v>
      </c>
      <c r="E339" s="11">
        <v>970399</v>
      </c>
    </row>
    <row r="340" spans="1:5">
      <c r="A340" s="13">
        <v>46</v>
      </c>
      <c r="B340" s="12" t="s">
        <v>7</v>
      </c>
      <c r="C340" t="s">
        <v>17</v>
      </c>
      <c r="D340" s="11">
        <v>970400</v>
      </c>
      <c r="E340" s="11">
        <v>970499</v>
      </c>
    </row>
    <row r="341" spans="1:5">
      <c r="A341" s="13">
        <v>46</v>
      </c>
      <c r="B341" s="12" t="s">
        <v>7</v>
      </c>
      <c r="C341" t="s">
        <v>16</v>
      </c>
      <c r="D341" s="11">
        <v>970500</v>
      </c>
      <c r="E341" s="11">
        <v>970599</v>
      </c>
    </row>
    <row r="342" spans="1:5">
      <c r="A342" s="13">
        <v>46</v>
      </c>
      <c r="B342" s="12" t="s">
        <v>7</v>
      </c>
      <c r="C342" t="s">
        <v>15</v>
      </c>
      <c r="D342" s="11">
        <v>970600</v>
      </c>
      <c r="E342" s="11">
        <v>970699</v>
      </c>
    </row>
    <row r="343" spans="1:5">
      <c r="A343" s="13">
        <v>46</v>
      </c>
      <c r="B343" s="12" t="s">
        <v>7</v>
      </c>
      <c r="C343" t="s">
        <v>14</v>
      </c>
      <c r="D343" s="11">
        <v>970700</v>
      </c>
      <c r="E343" s="11">
        <v>970799</v>
      </c>
    </row>
    <row r="344" spans="1:5">
      <c r="A344" s="13">
        <v>46</v>
      </c>
      <c r="B344" s="12" t="s">
        <v>7</v>
      </c>
      <c r="C344" t="s">
        <v>13</v>
      </c>
      <c r="D344" s="11">
        <v>970800</v>
      </c>
      <c r="E344" s="11">
        <v>970899</v>
      </c>
    </row>
    <row r="345" spans="1:5">
      <c r="A345" s="13">
        <v>46</v>
      </c>
      <c r="B345" s="12" t="s">
        <v>7</v>
      </c>
      <c r="C345" t="s">
        <v>12</v>
      </c>
      <c r="D345" s="11">
        <v>970900</v>
      </c>
      <c r="E345" s="11">
        <v>970999</v>
      </c>
    </row>
    <row r="346" spans="1:5">
      <c r="A346" s="13">
        <v>46</v>
      </c>
      <c r="B346" s="12" t="s">
        <v>7</v>
      </c>
      <c r="C346" t="s">
        <v>11</v>
      </c>
      <c r="D346" s="11">
        <v>971000</v>
      </c>
      <c r="E346" s="11">
        <v>971099</v>
      </c>
    </row>
    <row r="347" spans="1:5">
      <c r="A347" s="13">
        <v>46</v>
      </c>
      <c r="B347" s="12" t="s">
        <v>7</v>
      </c>
      <c r="C347" t="s">
        <v>10</v>
      </c>
      <c r="D347" s="11">
        <v>971100</v>
      </c>
      <c r="E347" s="11">
        <v>971199</v>
      </c>
    </row>
    <row r="348" spans="1:5">
      <c r="A348" s="13">
        <v>46</v>
      </c>
      <c r="B348" s="12" t="s">
        <v>7</v>
      </c>
      <c r="C348" t="s">
        <v>9</v>
      </c>
      <c r="D348" s="11">
        <v>971200</v>
      </c>
      <c r="E348" s="11">
        <v>971299</v>
      </c>
    </row>
    <row r="349" spans="1:5">
      <c r="A349" s="13">
        <v>46</v>
      </c>
      <c r="B349" s="12" t="s">
        <v>7</v>
      </c>
      <c r="C349" t="s">
        <v>8</v>
      </c>
      <c r="D349" s="11">
        <v>971300</v>
      </c>
      <c r="E349" s="11">
        <v>971399</v>
      </c>
    </row>
    <row r="350" spans="1:5">
      <c r="A350" s="13">
        <v>46</v>
      </c>
      <c r="B350" s="12" t="s">
        <v>7</v>
      </c>
      <c r="C350" t="s">
        <v>6</v>
      </c>
      <c r="D350" s="11">
        <v>972000</v>
      </c>
      <c r="E350" s="11">
        <v>994999</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8BFC5A-48C2-4990-8A17-B043B42DF607}">
  <sheetPr codeName="Sheet10">
    <tabColor theme="4" tint="0.59999389629810485"/>
  </sheetPr>
  <dimension ref="A1:G244"/>
  <sheetViews>
    <sheetView showGridLines="0" showRowColHeaders="0" zoomScaleNormal="100" workbookViewId="0"/>
  </sheetViews>
  <sheetFormatPr defaultRowHeight="14.4"/>
  <cols>
    <col min="1" max="1" width="13.21875" bestFit="1" customWidth="1"/>
    <col min="2" max="2" width="42.77734375" bestFit="1" customWidth="1"/>
    <col min="3" max="3" width="32.21875" bestFit="1" customWidth="1"/>
    <col min="4" max="4" width="14.44140625" style="9" bestFit="1" customWidth="1"/>
  </cols>
  <sheetData>
    <row r="1" spans="1:7">
      <c r="A1" s="10" t="s">
        <v>0</v>
      </c>
      <c r="B1" s="10" t="s">
        <v>386</v>
      </c>
      <c r="C1" s="10" t="s">
        <v>387</v>
      </c>
      <c r="D1" s="15" t="s">
        <v>388</v>
      </c>
      <c r="G1" s="119"/>
    </row>
    <row r="2" spans="1:7">
      <c r="A2" t="s">
        <v>1</v>
      </c>
      <c r="B2" t="s">
        <v>389</v>
      </c>
      <c r="C2" s="134" t="s">
        <v>390</v>
      </c>
      <c r="D2" s="9" t="s">
        <v>391</v>
      </c>
    </row>
    <row r="3" spans="1:7">
      <c r="A3" t="s">
        <v>1</v>
      </c>
      <c r="B3" t="s">
        <v>392</v>
      </c>
      <c r="C3" s="134" t="s">
        <v>643</v>
      </c>
      <c r="D3" s="9" t="s">
        <v>393</v>
      </c>
    </row>
    <row r="4" spans="1:7">
      <c r="A4" t="s">
        <v>1</v>
      </c>
      <c r="B4" t="s">
        <v>406</v>
      </c>
      <c r="C4" s="134" t="s">
        <v>643</v>
      </c>
      <c r="D4" s="9" t="s">
        <v>393</v>
      </c>
    </row>
    <row r="5" spans="1:7">
      <c r="A5" t="s">
        <v>1</v>
      </c>
      <c r="B5" t="s">
        <v>394</v>
      </c>
      <c r="C5" s="134" t="s">
        <v>395</v>
      </c>
      <c r="D5" s="9" t="s">
        <v>391</v>
      </c>
    </row>
    <row r="6" spans="1:7">
      <c r="A6" t="s">
        <v>1</v>
      </c>
      <c r="B6" t="s">
        <v>396</v>
      </c>
      <c r="C6" s="134" t="s">
        <v>397</v>
      </c>
      <c r="D6" s="9" t="s">
        <v>391</v>
      </c>
    </row>
    <row r="7" spans="1:7">
      <c r="A7" t="s">
        <v>1</v>
      </c>
      <c r="B7" t="s">
        <v>398</v>
      </c>
      <c r="C7" s="134" t="s">
        <v>399</v>
      </c>
      <c r="D7" s="9" t="s">
        <v>391</v>
      </c>
    </row>
    <row r="8" spans="1:7">
      <c r="A8" t="s">
        <v>1</v>
      </c>
      <c r="B8" t="s">
        <v>400</v>
      </c>
      <c r="C8" s="134" t="s">
        <v>401</v>
      </c>
      <c r="D8" s="9" t="s">
        <v>391</v>
      </c>
    </row>
    <row r="9" spans="1:7">
      <c r="A9" t="s">
        <v>1</v>
      </c>
      <c r="B9" t="s">
        <v>402</v>
      </c>
      <c r="C9" s="134" t="s">
        <v>403</v>
      </c>
      <c r="D9" s="9" t="s">
        <v>391</v>
      </c>
    </row>
    <row r="10" spans="1:7">
      <c r="A10" t="s">
        <v>1</v>
      </c>
      <c r="B10" t="s">
        <v>404</v>
      </c>
      <c r="C10" s="134" t="s">
        <v>405</v>
      </c>
      <c r="D10" s="9" t="s">
        <v>391</v>
      </c>
    </row>
    <row r="11" spans="1:7">
      <c r="A11" t="s">
        <v>1</v>
      </c>
      <c r="B11" t="s">
        <v>408</v>
      </c>
      <c r="C11" s="134" t="s">
        <v>407</v>
      </c>
      <c r="D11" s="9" t="s">
        <v>391</v>
      </c>
    </row>
    <row r="12" spans="1:7">
      <c r="A12" t="s">
        <v>1</v>
      </c>
      <c r="B12" t="s">
        <v>409</v>
      </c>
      <c r="C12" s="134" t="s">
        <v>410</v>
      </c>
      <c r="D12" s="9" t="s">
        <v>391</v>
      </c>
    </row>
    <row r="13" spans="1:7">
      <c r="A13" t="s">
        <v>1</v>
      </c>
      <c r="B13" t="s">
        <v>411</v>
      </c>
      <c r="C13" s="134" t="s">
        <v>412</v>
      </c>
      <c r="D13" s="9" t="s">
        <v>391</v>
      </c>
    </row>
    <row r="14" spans="1:7">
      <c r="A14" t="s">
        <v>1</v>
      </c>
      <c r="B14" t="s">
        <v>413</v>
      </c>
      <c r="C14" s="134" t="s">
        <v>414</v>
      </c>
      <c r="D14" s="9" t="s">
        <v>391</v>
      </c>
    </row>
    <row r="15" spans="1:7">
      <c r="A15" t="s">
        <v>1</v>
      </c>
      <c r="B15" t="s">
        <v>415</v>
      </c>
      <c r="C15" s="134" t="s">
        <v>414</v>
      </c>
      <c r="D15" s="9" t="s">
        <v>391</v>
      </c>
    </row>
    <row r="16" spans="1:7">
      <c r="A16" t="s">
        <v>1</v>
      </c>
      <c r="B16" t="s">
        <v>416</v>
      </c>
      <c r="C16" s="134" t="s">
        <v>417</v>
      </c>
      <c r="D16" s="9" t="s">
        <v>391</v>
      </c>
    </row>
    <row r="17" spans="1:4">
      <c r="A17" t="s">
        <v>1</v>
      </c>
      <c r="B17" t="s">
        <v>418</v>
      </c>
      <c r="C17" s="134" t="s">
        <v>419</v>
      </c>
      <c r="D17" s="9" t="s">
        <v>391</v>
      </c>
    </row>
    <row r="18" spans="1:4">
      <c r="A18" t="s">
        <v>1</v>
      </c>
      <c r="B18" t="s">
        <v>420</v>
      </c>
      <c r="C18" s="134" t="s">
        <v>421</v>
      </c>
      <c r="D18" s="9" t="s">
        <v>391</v>
      </c>
    </row>
    <row r="19" spans="1:4">
      <c r="A19" t="s">
        <v>1</v>
      </c>
      <c r="B19" t="s">
        <v>422</v>
      </c>
      <c r="C19" s="134" t="s">
        <v>423</v>
      </c>
      <c r="D19" s="9" t="s">
        <v>424</v>
      </c>
    </row>
    <row r="20" spans="1:4">
      <c r="A20" t="s">
        <v>1</v>
      </c>
      <c r="B20" t="s">
        <v>425</v>
      </c>
      <c r="C20" s="134" t="s">
        <v>423</v>
      </c>
      <c r="D20" s="9" t="s">
        <v>424</v>
      </c>
    </row>
    <row r="21" spans="1:4">
      <c r="A21" t="s">
        <v>1</v>
      </c>
      <c r="B21" t="s">
        <v>426</v>
      </c>
      <c r="C21" s="134" t="s">
        <v>427</v>
      </c>
      <c r="D21" s="9" t="s">
        <v>391</v>
      </c>
    </row>
    <row r="22" spans="1:4">
      <c r="A22" t="s">
        <v>1</v>
      </c>
      <c r="B22" t="s">
        <v>428</v>
      </c>
      <c r="C22" s="134" t="s">
        <v>429</v>
      </c>
      <c r="D22" s="9" t="s">
        <v>391</v>
      </c>
    </row>
    <row r="23" spans="1:4" hidden="1">
      <c r="A23" t="s">
        <v>430</v>
      </c>
      <c r="B23" t="s">
        <v>526</v>
      </c>
      <c r="C23" s="134" t="s">
        <v>665</v>
      </c>
      <c r="D23" s="9" t="s">
        <v>391</v>
      </c>
    </row>
    <row r="24" spans="1:4" hidden="1">
      <c r="A24" t="s">
        <v>430</v>
      </c>
      <c r="B24" t="s">
        <v>491</v>
      </c>
      <c r="C24" s="134" t="s">
        <v>665</v>
      </c>
      <c r="D24" s="9" t="s">
        <v>391</v>
      </c>
    </row>
    <row r="25" spans="1:4" hidden="1">
      <c r="A25" t="s">
        <v>430</v>
      </c>
      <c r="B25" t="s">
        <v>506</v>
      </c>
      <c r="C25" s="134" t="s">
        <v>665</v>
      </c>
      <c r="D25" s="9" t="s">
        <v>391</v>
      </c>
    </row>
    <row r="26" spans="1:4" hidden="1">
      <c r="A26" t="s">
        <v>430</v>
      </c>
      <c r="B26" t="s">
        <v>431</v>
      </c>
      <c r="C26" s="134" t="s">
        <v>665</v>
      </c>
      <c r="D26" s="9" t="s">
        <v>391</v>
      </c>
    </row>
    <row r="27" spans="1:4" hidden="1">
      <c r="A27" t="s">
        <v>430</v>
      </c>
      <c r="B27" t="s">
        <v>532</v>
      </c>
      <c r="C27" s="134" t="s">
        <v>665</v>
      </c>
      <c r="D27" s="9" t="s">
        <v>391</v>
      </c>
    </row>
    <row r="28" spans="1:4" hidden="1">
      <c r="A28" t="s">
        <v>430</v>
      </c>
      <c r="B28" t="s">
        <v>494</v>
      </c>
      <c r="C28" s="134" t="s">
        <v>665</v>
      </c>
      <c r="D28" s="9" t="s">
        <v>391</v>
      </c>
    </row>
    <row r="29" spans="1:4" hidden="1">
      <c r="A29" t="s">
        <v>430</v>
      </c>
      <c r="B29" t="s">
        <v>501</v>
      </c>
      <c r="C29" s="134" t="s">
        <v>665</v>
      </c>
      <c r="D29" s="9" t="s">
        <v>391</v>
      </c>
    </row>
    <row r="30" spans="1:4" hidden="1">
      <c r="A30" t="s">
        <v>430</v>
      </c>
      <c r="B30" t="s">
        <v>446</v>
      </c>
      <c r="C30" s="134" t="s">
        <v>774</v>
      </c>
      <c r="D30" s="9" t="s">
        <v>391</v>
      </c>
    </row>
    <row r="31" spans="1:4" hidden="1">
      <c r="A31" t="s">
        <v>430</v>
      </c>
      <c r="B31" t="s">
        <v>432</v>
      </c>
      <c r="C31" s="134" t="s">
        <v>774</v>
      </c>
      <c r="D31" s="9" t="s">
        <v>391</v>
      </c>
    </row>
    <row r="32" spans="1:4" hidden="1">
      <c r="A32" t="s">
        <v>430</v>
      </c>
      <c r="B32" t="s">
        <v>649</v>
      </c>
      <c r="C32" s="134" t="s">
        <v>774</v>
      </c>
      <c r="D32" s="9" t="s">
        <v>391</v>
      </c>
    </row>
    <row r="33" spans="1:4" hidden="1">
      <c r="A33" t="s">
        <v>430</v>
      </c>
      <c r="B33" t="s">
        <v>502</v>
      </c>
      <c r="C33" s="134" t="s">
        <v>39</v>
      </c>
      <c r="D33" s="9" t="s">
        <v>391</v>
      </c>
    </row>
    <row r="34" spans="1:4" hidden="1">
      <c r="A34" t="s">
        <v>430</v>
      </c>
      <c r="B34" t="s">
        <v>445</v>
      </c>
      <c r="C34" s="134" t="s">
        <v>39</v>
      </c>
      <c r="D34" s="9" t="s">
        <v>391</v>
      </c>
    </row>
    <row r="35" spans="1:4" hidden="1">
      <c r="A35" t="s">
        <v>430</v>
      </c>
      <c r="B35" t="s">
        <v>503</v>
      </c>
      <c r="C35" s="134" t="s">
        <v>777</v>
      </c>
      <c r="D35" s="9" t="s">
        <v>391</v>
      </c>
    </row>
    <row r="36" spans="1:4" hidden="1">
      <c r="A36" t="s">
        <v>430</v>
      </c>
      <c r="B36" t="s">
        <v>451</v>
      </c>
      <c r="C36" s="134" t="s">
        <v>777</v>
      </c>
      <c r="D36" s="9" t="s">
        <v>391</v>
      </c>
    </row>
    <row r="37" spans="1:4" hidden="1">
      <c r="A37" t="s">
        <v>430</v>
      </c>
      <c r="B37" t="s">
        <v>509</v>
      </c>
      <c r="C37" s="134" t="s">
        <v>786</v>
      </c>
      <c r="D37" s="9" t="s">
        <v>640</v>
      </c>
    </row>
    <row r="38" spans="1:4" hidden="1">
      <c r="A38" t="s">
        <v>430</v>
      </c>
      <c r="B38" t="s">
        <v>457</v>
      </c>
      <c r="C38" s="134" t="s">
        <v>639</v>
      </c>
      <c r="D38" s="9" t="s">
        <v>391</v>
      </c>
    </row>
    <row r="39" spans="1:4" hidden="1">
      <c r="A39" t="s">
        <v>430</v>
      </c>
      <c r="B39" t="s">
        <v>458</v>
      </c>
      <c r="C39" s="134" t="s">
        <v>639</v>
      </c>
      <c r="D39" s="9" t="s">
        <v>391</v>
      </c>
    </row>
    <row r="40" spans="1:4" hidden="1">
      <c r="A40" t="s">
        <v>430</v>
      </c>
      <c r="B40" t="s">
        <v>489</v>
      </c>
      <c r="C40" s="134" t="s">
        <v>639</v>
      </c>
      <c r="D40" s="9" t="s">
        <v>391</v>
      </c>
    </row>
    <row r="41" spans="1:4" hidden="1">
      <c r="A41" t="s">
        <v>430</v>
      </c>
      <c r="B41" t="s">
        <v>490</v>
      </c>
      <c r="C41" s="134" t="s">
        <v>639</v>
      </c>
      <c r="D41" s="9" t="s">
        <v>391</v>
      </c>
    </row>
    <row r="42" spans="1:4" hidden="1">
      <c r="A42" t="s">
        <v>430</v>
      </c>
      <c r="B42" t="s">
        <v>504</v>
      </c>
      <c r="C42" s="134" t="s">
        <v>653</v>
      </c>
      <c r="D42" s="9" t="s">
        <v>391</v>
      </c>
    </row>
    <row r="43" spans="1:4" hidden="1">
      <c r="A43" t="s">
        <v>430</v>
      </c>
      <c r="B43" t="s">
        <v>493</v>
      </c>
      <c r="C43" s="134" t="s">
        <v>782</v>
      </c>
      <c r="D43" s="9" t="s">
        <v>391</v>
      </c>
    </row>
    <row r="44" spans="1:4" hidden="1">
      <c r="A44" t="s">
        <v>430</v>
      </c>
      <c r="B44" t="s">
        <v>492</v>
      </c>
      <c r="C44" s="134" t="s">
        <v>782</v>
      </c>
      <c r="D44" s="9" t="s">
        <v>391</v>
      </c>
    </row>
    <row r="45" spans="1:4" hidden="1">
      <c r="A45" t="s">
        <v>430</v>
      </c>
      <c r="B45" t="s">
        <v>470</v>
      </c>
      <c r="C45" s="134" t="s">
        <v>650</v>
      </c>
      <c r="D45" s="9" t="s">
        <v>391</v>
      </c>
    </row>
    <row r="46" spans="1:4" hidden="1">
      <c r="A46" t="s">
        <v>430</v>
      </c>
      <c r="B46" t="s">
        <v>469</v>
      </c>
      <c r="C46" s="134" t="s">
        <v>780</v>
      </c>
      <c r="D46" s="9" t="s">
        <v>391</v>
      </c>
    </row>
    <row r="47" spans="1:4" hidden="1">
      <c r="A47" t="s">
        <v>430</v>
      </c>
      <c r="B47" t="s">
        <v>476</v>
      </c>
      <c r="C47" s="134" t="s">
        <v>781</v>
      </c>
      <c r="D47" s="9" t="s">
        <v>391</v>
      </c>
    </row>
    <row r="48" spans="1:4" hidden="1">
      <c r="A48" t="s">
        <v>430</v>
      </c>
      <c r="B48" t="s">
        <v>505</v>
      </c>
      <c r="C48" s="134" t="s">
        <v>651</v>
      </c>
      <c r="D48" s="9" t="s">
        <v>391</v>
      </c>
    </row>
    <row r="49" spans="1:4" hidden="1">
      <c r="A49" t="s">
        <v>430</v>
      </c>
      <c r="B49" t="s">
        <v>477</v>
      </c>
      <c r="C49" s="134" t="s">
        <v>651</v>
      </c>
      <c r="D49" s="9" t="s">
        <v>391</v>
      </c>
    </row>
    <row r="50" spans="1:4" hidden="1">
      <c r="A50" t="s">
        <v>430</v>
      </c>
      <c r="B50" t="s">
        <v>478</v>
      </c>
      <c r="C50" s="134" t="s">
        <v>651</v>
      </c>
      <c r="D50" s="9" t="s">
        <v>391</v>
      </c>
    </row>
    <row r="51" spans="1:4" hidden="1">
      <c r="A51" t="s">
        <v>430</v>
      </c>
      <c r="B51" t="s">
        <v>479</v>
      </c>
      <c r="C51" s="134" t="s">
        <v>652</v>
      </c>
      <c r="D51" s="9" t="s">
        <v>391</v>
      </c>
    </row>
    <row r="52" spans="1:4" hidden="1">
      <c r="A52" t="s">
        <v>430</v>
      </c>
      <c r="B52" t="s">
        <v>500</v>
      </c>
      <c r="C52" s="134" t="s">
        <v>652</v>
      </c>
      <c r="D52" s="9" t="s">
        <v>391</v>
      </c>
    </row>
    <row r="53" spans="1:4" hidden="1">
      <c r="A53" t="s">
        <v>430</v>
      </c>
      <c r="B53" t="s">
        <v>524</v>
      </c>
      <c r="C53" s="134" t="s">
        <v>779</v>
      </c>
      <c r="D53" s="9" t="s">
        <v>391</v>
      </c>
    </row>
    <row r="54" spans="1:4" hidden="1">
      <c r="A54" t="s">
        <v>430</v>
      </c>
      <c r="B54" t="s">
        <v>468</v>
      </c>
      <c r="C54" s="134" t="s">
        <v>779</v>
      </c>
      <c r="D54" s="9" t="s">
        <v>391</v>
      </c>
    </row>
    <row r="55" spans="1:4" hidden="1">
      <c r="A55" t="s">
        <v>430</v>
      </c>
      <c r="B55" t="s">
        <v>465</v>
      </c>
      <c r="C55" s="134" t="s">
        <v>779</v>
      </c>
      <c r="D55" s="9" t="s">
        <v>391</v>
      </c>
    </row>
    <row r="56" spans="1:4" hidden="1">
      <c r="A56" t="s">
        <v>430</v>
      </c>
      <c r="B56" t="s">
        <v>466</v>
      </c>
      <c r="C56" s="134" t="s">
        <v>779</v>
      </c>
      <c r="D56" s="9" t="s">
        <v>391</v>
      </c>
    </row>
    <row r="57" spans="1:4" hidden="1">
      <c r="A57" t="s">
        <v>430</v>
      </c>
      <c r="B57" t="s">
        <v>464</v>
      </c>
      <c r="C57" s="134" t="s">
        <v>779</v>
      </c>
      <c r="D57" s="9" t="s">
        <v>391</v>
      </c>
    </row>
    <row r="58" spans="1:4" hidden="1">
      <c r="A58" t="s">
        <v>430</v>
      </c>
      <c r="B58" t="s">
        <v>480</v>
      </c>
      <c r="C58" s="134" t="s">
        <v>779</v>
      </c>
      <c r="D58" s="9" t="s">
        <v>391</v>
      </c>
    </row>
    <row r="59" spans="1:4" hidden="1">
      <c r="A59" t="s">
        <v>430</v>
      </c>
      <c r="B59" t="s">
        <v>467</v>
      </c>
      <c r="C59" s="134" t="s">
        <v>779</v>
      </c>
      <c r="D59" s="9" t="s">
        <v>391</v>
      </c>
    </row>
    <row r="60" spans="1:4" hidden="1">
      <c r="A60" t="s">
        <v>430</v>
      </c>
      <c r="B60" t="s">
        <v>544</v>
      </c>
      <c r="C60" s="134" t="s">
        <v>783</v>
      </c>
      <c r="D60" s="9" t="s">
        <v>391</v>
      </c>
    </row>
    <row r="61" spans="1:4" hidden="1">
      <c r="A61" t="s">
        <v>430</v>
      </c>
      <c r="B61" t="s">
        <v>495</v>
      </c>
      <c r="C61" s="134" t="s">
        <v>783</v>
      </c>
      <c r="D61" s="9" t="s">
        <v>391</v>
      </c>
    </row>
    <row r="62" spans="1:4" hidden="1">
      <c r="A62" t="s">
        <v>430</v>
      </c>
      <c r="B62" t="s">
        <v>513</v>
      </c>
      <c r="C62" s="134" t="s">
        <v>783</v>
      </c>
      <c r="D62" s="9" t="s">
        <v>391</v>
      </c>
    </row>
    <row r="63" spans="1:4" hidden="1">
      <c r="A63" t="s">
        <v>430</v>
      </c>
      <c r="B63" t="s">
        <v>508</v>
      </c>
      <c r="C63" s="134" t="s">
        <v>641</v>
      </c>
      <c r="D63" s="9" t="s">
        <v>391</v>
      </c>
    </row>
    <row r="64" spans="1:4" hidden="1">
      <c r="A64" t="s">
        <v>430</v>
      </c>
      <c r="B64" t="s">
        <v>523</v>
      </c>
      <c r="C64" s="134" t="s">
        <v>776</v>
      </c>
      <c r="D64" s="9" t="s">
        <v>391</v>
      </c>
    </row>
    <row r="65" spans="1:4" hidden="1">
      <c r="A65" t="s">
        <v>430</v>
      </c>
      <c r="B65" t="s">
        <v>463</v>
      </c>
      <c r="C65" s="134" t="s">
        <v>776</v>
      </c>
      <c r="D65" s="9" t="s">
        <v>391</v>
      </c>
    </row>
    <row r="66" spans="1:4" hidden="1">
      <c r="A66" t="s">
        <v>430</v>
      </c>
      <c r="B66" t="s">
        <v>443</v>
      </c>
      <c r="C66" s="134" t="s">
        <v>776</v>
      </c>
      <c r="D66" s="9" t="s">
        <v>391</v>
      </c>
    </row>
    <row r="67" spans="1:4" hidden="1">
      <c r="A67" t="s">
        <v>430</v>
      </c>
      <c r="B67" t="s">
        <v>454</v>
      </c>
      <c r="C67" s="134" t="s">
        <v>776</v>
      </c>
      <c r="D67" s="9" t="s">
        <v>391</v>
      </c>
    </row>
    <row r="68" spans="1:4" hidden="1">
      <c r="A68" t="s">
        <v>430</v>
      </c>
      <c r="B68" t="s">
        <v>522</v>
      </c>
      <c r="C68" s="134" t="s">
        <v>776</v>
      </c>
      <c r="D68" s="9" t="s">
        <v>391</v>
      </c>
    </row>
    <row r="69" spans="1:4" hidden="1">
      <c r="A69" t="s">
        <v>430</v>
      </c>
      <c r="B69" t="s">
        <v>527</v>
      </c>
      <c r="C69" s="134" t="s">
        <v>776</v>
      </c>
      <c r="D69" s="9" t="s">
        <v>391</v>
      </c>
    </row>
    <row r="70" spans="1:4" hidden="1">
      <c r="A70" t="s">
        <v>430</v>
      </c>
      <c r="B70" t="s">
        <v>475</v>
      </c>
      <c r="C70" s="134" t="s">
        <v>776</v>
      </c>
      <c r="D70" s="9" t="s">
        <v>391</v>
      </c>
    </row>
    <row r="71" spans="1:4" hidden="1">
      <c r="A71" t="s">
        <v>430</v>
      </c>
      <c r="B71" t="s">
        <v>498</v>
      </c>
      <c r="C71" s="134" t="s">
        <v>776</v>
      </c>
      <c r="D71" s="9" t="s">
        <v>391</v>
      </c>
    </row>
    <row r="72" spans="1:4" hidden="1">
      <c r="A72" t="s">
        <v>430</v>
      </c>
      <c r="B72" t="s">
        <v>525</v>
      </c>
      <c r="C72" s="134" t="s">
        <v>775</v>
      </c>
      <c r="D72" s="9" t="s">
        <v>391</v>
      </c>
    </row>
    <row r="73" spans="1:4" hidden="1">
      <c r="A73" t="s">
        <v>430</v>
      </c>
      <c r="B73" t="s">
        <v>552</v>
      </c>
      <c r="C73" s="134" t="s">
        <v>775</v>
      </c>
      <c r="D73" s="9" t="s">
        <v>391</v>
      </c>
    </row>
    <row r="74" spans="1:4" hidden="1">
      <c r="A74" t="s">
        <v>430</v>
      </c>
      <c r="B74" t="s">
        <v>434</v>
      </c>
      <c r="C74" s="134" t="s">
        <v>775</v>
      </c>
      <c r="D74" s="9" t="s">
        <v>391</v>
      </c>
    </row>
    <row r="75" spans="1:4" hidden="1">
      <c r="A75" t="s">
        <v>430</v>
      </c>
      <c r="B75" t="s">
        <v>435</v>
      </c>
      <c r="C75" s="134" t="s">
        <v>775</v>
      </c>
      <c r="D75" s="9" t="s">
        <v>391</v>
      </c>
    </row>
    <row r="76" spans="1:4" hidden="1">
      <c r="A76" t="s">
        <v>430</v>
      </c>
      <c r="B76" t="s">
        <v>436</v>
      </c>
      <c r="C76" s="134" t="s">
        <v>775</v>
      </c>
      <c r="D76" s="9" t="s">
        <v>391</v>
      </c>
    </row>
    <row r="77" spans="1:4" hidden="1">
      <c r="A77" t="s">
        <v>430</v>
      </c>
      <c r="B77" t="s">
        <v>646</v>
      </c>
      <c r="C77" s="134" t="s">
        <v>775</v>
      </c>
      <c r="D77" s="9" t="s">
        <v>391</v>
      </c>
    </row>
    <row r="78" spans="1:4" hidden="1">
      <c r="A78" t="s">
        <v>430</v>
      </c>
      <c r="B78" t="s">
        <v>438</v>
      </c>
      <c r="C78" s="134" t="s">
        <v>775</v>
      </c>
      <c r="D78" s="9" t="s">
        <v>391</v>
      </c>
    </row>
    <row r="79" spans="1:4" hidden="1">
      <c r="A79" t="s">
        <v>430</v>
      </c>
      <c r="B79" t="s">
        <v>442</v>
      </c>
      <c r="C79" s="134" t="s">
        <v>775</v>
      </c>
      <c r="D79" s="9" t="s">
        <v>391</v>
      </c>
    </row>
    <row r="80" spans="1:4" hidden="1">
      <c r="A80" t="s">
        <v>430</v>
      </c>
      <c r="B80" t="s">
        <v>448</v>
      </c>
      <c r="C80" s="134" t="s">
        <v>775</v>
      </c>
      <c r="D80" s="9" t="s">
        <v>391</v>
      </c>
    </row>
    <row r="81" spans="1:4" hidden="1">
      <c r="A81" t="s">
        <v>430</v>
      </c>
      <c r="B81" t="s">
        <v>450</v>
      </c>
      <c r="C81" s="134" t="s">
        <v>775</v>
      </c>
      <c r="D81" s="9" t="s">
        <v>391</v>
      </c>
    </row>
    <row r="82" spans="1:4" hidden="1">
      <c r="A82" t="s">
        <v>430</v>
      </c>
      <c r="B82" t="s">
        <v>453</v>
      </c>
      <c r="C82" s="134" t="s">
        <v>775</v>
      </c>
      <c r="D82" s="9" t="s">
        <v>391</v>
      </c>
    </row>
    <row r="83" spans="1:4" hidden="1">
      <c r="A83" t="s">
        <v>430</v>
      </c>
      <c r="B83" t="s">
        <v>456</v>
      </c>
      <c r="C83" s="134" t="s">
        <v>775</v>
      </c>
      <c r="D83" s="9" t="s">
        <v>391</v>
      </c>
    </row>
    <row r="84" spans="1:4" hidden="1">
      <c r="A84" t="s">
        <v>430</v>
      </c>
      <c r="B84" t="s">
        <v>460</v>
      </c>
      <c r="C84" s="134" t="s">
        <v>775</v>
      </c>
      <c r="D84" s="9" t="s">
        <v>391</v>
      </c>
    </row>
    <row r="85" spans="1:4" hidden="1">
      <c r="A85" t="s">
        <v>430</v>
      </c>
      <c r="B85" t="s">
        <v>461</v>
      </c>
      <c r="C85" s="134" t="s">
        <v>775</v>
      </c>
      <c r="D85" s="9" t="s">
        <v>391</v>
      </c>
    </row>
    <row r="86" spans="1:4" hidden="1">
      <c r="A86" t="s">
        <v>430</v>
      </c>
      <c r="B86" t="s">
        <v>472</v>
      </c>
      <c r="C86" s="134" t="s">
        <v>775</v>
      </c>
      <c r="D86" s="9" t="s">
        <v>391</v>
      </c>
    </row>
    <row r="87" spans="1:4" hidden="1">
      <c r="A87" t="s">
        <v>430</v>
      </c>
      <c r="B87" t="s">
        <v>473</v>
      </c>
      <c r="C87" s="134" t="s">
        <v>775</v>
      </c>
      <c r="D87" s="9" t="s">
        <v>391</v>
      </c>
    </row>
    <row r="88" spans="1:4" hidden="1">
      <c r="A88" t="s">
        <v>430</v>
      </c>
      <c r="B88" t="s">
        <v>474</v>
      </c>
      <c r="C88" s="134" t="s">
        <v>775</v>
      </c>
      <c r="D88" s="9" t="s">
        <v>391</v>
      </c>
    </row>
    <row r="89" spans="1:4" hidden="1">
      <c r="A89" t="s">
        <v>430</v>
      </c>
      <c r="B89" t="s">
        <v>512</v>
      </c>
      <c r="C89" s="134" t="s">
        <v>775</v>
      </c>
      <c r="D89" s="9" t="s">
        <v>391</v>
      </c>
    </row>
    <row r="90" spans="1:4" hidden="1">
      <c r="A90" t="s">
        <v>430</v>
      </c>
      <c r="B90" t="s">
        <v>514</v>
      </c>
      <c r="C90" s="134" t="s">
        <v>775</v>
      </c>
      <c r="D90" s="9" t="s">
        <v>391</v>
      </c>
    </row>
    <row r="91" spans="1:4" hidden="1">
      <c r="A91" t="s">
        <v>430</v>
      </c>
      <c r="B91" t="s">
        <v>515</v>
      </c>
      <c r="C91" s="134" t="s">
        <v>775</v>
      </c>
      <c r="D91" s="9" t="s">
        <v>391</v>
      </c>
    </row>
    <row r="92" spans="1:4" hidden="1">
      <c r="A92" t="s">
        <v>430</v>
      </c>
      <c r="B92" t="s">
        <v>518</v>
      </c>
      <c r="C92" s="134" t="s">
        <v>775</v>
      </c>
      <c r="D92" s="9" t="s">
        <v>391</v>
      </c>
    </row>
    <row r="93" spans="1:4" hidden="1">
      <c r="A93" t="s">
        <v>430</v>
      </c>
      <c r="B93" t="s">
        <v>519</v>
      </c>
      <c r="C93" s="134" t="s">
        <v>775</v>
      </c>
      <c r="D93" s="9" t="s">
        <v>391</v>
      </c>
    </row>
    <row r="94" spans="1:4" hidden="1">
      <c r="A94" t="s">
        <v>430</v>
      </c>
      <c r="B94" t="s">
        <v>520</v>
      </c>
      <c r="C94" s="134" t="s">
        <v>775</v>
      </c>
      <c r="D94" s="9" t="s">
        <v>391</v>
      </c>
    </row>
    <row r="95" spans="1:4" hidden="1">
      <c r="A95" t="s">
        <v>430</v>
      </c>
      <c r="B95" t="s">
        <v>521</v>
      </c>
      <c r="C95" s="134" t="s">
        <v>775</v>
      </c>
      <c r="D95" s="9" t="s">
        <v>391</v>
      </c>
    </row>
    <row r="96" spans="1:4" hidden="1">
      <c r="A96" t="s">
        <v>430</v>
      </c>
      <c r="B96" t="s">
        <v>529</v>
      </c>
      <c r="C96" s="134" t="s">
        <v>775</v>
      </c>
      <c r="D96" s="9" t="s">
        <v>391</v>
      </c>
    </row>
    <row r="97" spans="1:4" hidden="1">
      <c r="A97" t="s">
        <v>430</v>
      </c>
      <c r="B97" t="s">
        <v>531</v>
      </c>
      <c r="C97" s="134" t="s">
        <v>775</v>
      </c>
      <c r="D97" s="9" t="s">
        <v>391</v>
      </c>
    </row>
    <row r="98" spans="1:4" hidden="1">
      <c r="A98" t="s">
        <v>430</v>
      </c>
      <c r="B98" t="s">
        <v>534</v>
      </c>
      <c r="C98" s="134" t="s">
        <v>775</v>
      </c>
      <c r="D98" s="9" t="s">
        <v>391</v>
      </c>
    </row>
    <row r="99" spans="1:4" hidden="1">
      <c r="A99" t="s">
        <v>430</v>
      </c>
      <c r="B99" t="s">
        <v>537</v>
      </c>
      <c r="C99" s="134" t="s">
        <v>775</v>
      </c>
      <c r="D99" s="9" t="s">
        <v>391</v>
      </c>
    </row>
    <row r="100" spans="1:4" hidden="1">
      <c r="A100" t="s">
        <v>430</v>
      </c>
      <c r="B100" t="s">
        <v>538</v>
      </c>
      <c r="C100" s="134" t="s">
        <v>775</v>
      </c>
      <c r="D100" s="9" t="s">
        <v>391</v>
      </c>
    </row>
    <row r="101" spans="1:4" hidden="1">
      <c r="A101" t="s">
        <v>430</v>
      </c>
      <c r="B101" t="s">
        <v>539</v>
      </c>
      <c r="C101" s="134" t="s">
        <v>775</v>
      </c>
      <c r="D101" s="9" t="s">
        <v>391</v>
      </c>
    </row>
    <row r="102" spans="1:4" hidden="1">
      <c r="A102" t="s">
        <v>430</v>
      </c>
      <c r="B102" t="s">
        <v>540</v>
      </c>
      <c r="C102" s="134" t="s">
        <v>775</v>
      </c>
      <c r="D102" s="9" t="s">
        <v>391</v>
      </c>
    </row>
    <row r="103" spans="1:4" hidden="1">
      <c r="A103" t="s">
        <v>430</v>
      </c>
      <c r="B103" t="s">
        <v>541</v>
      </c>
      <c r="C103" s="134" t="s">
        <v>775</v>
      </c>
      <c r="D103" s="9" t="s">
        <v>391</v>
      </c>
    </row>
    <row r="104" spans="1:4" hidden="1">
      <c r="A104" t="s">
        <v>430</v>
      </c>
      <c r="B104" t="s">
        <v>542</v>
      </c>
      <c r="C104" s="134" t="s">
        <v>775</v>
      </c>
      <c r="D104" s="9" t="s">
        <v>391</v>
      </c>
    </row>
    <row r="105" spans="1:4" hidden="1">
      <c r="A105" t="s">
        <v>430</v>
      </c>
      <c r="B105" t="s">
        <v>543</v>
      </c>
      <c r="C105" s="134" t="s">
        <v>775</v>
      </c>
      <c r="D105" s="9" t="s">
        <v>391</v>
      </c>
    </row>
    <row r="106" spans="1:4" hidden="1">
      <c r="A106" t="s">
        <v>430</v>
      </c>
      <c r="B106" t="s">
        <v>440</v>
      </c>
      <c r="C106" s="134" t="s">
        <v>775</v>
      </c>
      <c r="D106" s="9" t="s">
        <v>391</v>
      </c>
    </row>
    <row r="107" spans="1:4" hidden="1">
      <c r="A107" t="s">
        <v>430</v>
      </c>
      <c r="B107" t="s">
        <v>482</v>
      </c>
      <c r="C107" s="134" t="s">
        <v>775</v>
      </c>
      <c r="D107" s="9" t="s">
        <v>391</v>
      </c>
    </row>
    <row r="108" spans="1:4" hidden="1">
      <c r="A108" t="s">
        <v>430</v>
      </c>
      <c r="B108" t="s">
        <v>459</v>
      </c>
      <c r="C108" s="134" t="s">
        <v>775</v>
      </c>
      <c r="D108" s="9" t="s">
        <v>391</v>
      </c>
    </row>
    <row r="109" spans="1:4" hidden="1">
      <c r="A109" t="s">
        <v>430</v>
      </c>
      <c r="B109" t="s">
        <v>462</v>
      </c>
      <c r="C109" s="134" t="s">
        <v>775</v>
      </c>
      <c r="D109" s="9" t="s">
        <v>391</v>
      </c>
    </row>
    <row r="110" spans="1:4" hidden="1">
      <c r="A110" t="s">
        <v>430</v>
      </c>
      <c r="B110" t="s">
        <v>551</v>
      </c>
      <c r="C110" s="134" t="s">
        <v>775</v>
      </c>
      <c r="D110" s="9" t="s">
        <v>391</v>
      </c>
    </row>
    <row r="111" spans="1:4" hidden="1">
      <c r="A111" t="s">
        <v>430</v>
      </c>
      <c r="B111" t="s">
        <v>439</v>
      </c>
      <c r="C111" s="134" t="s">
        <v>775</v>
      </c>
      <c r="D111" s="9" t="s">
        <v>391</v>
      </c>
    </row>
    <row r="112" spans="1:4" hidden="1">
      <c r="A112" t="s">
        <v>430</v>
      </c>
      <c r="B112" t="s">
        <v>511</v>
      </c>
      <c r="C112" s="134" t="s">
        <v>775</v>
      </c>
      <c r="D112" s="9" t="s">
        <v>391</v>
      </c>
    </row>
    <row r="113" spans="1:4" hidden="1">
      <c r="A113" t="s">
        <v>430</v>
      </c>
      <c r="B113" t="s">
        <v>441</v>
      </c>
      <c r="C113" s="134" t="s">
        <v>775</v>
      </c>
      <c r="D113" s="9" t="s">
        <v>391</v>
      </c>
    </row>
    <row r="114" spans="1:4" hidden="1">
      <c r="A114" t="s">
        <v>430</v>
      </c>
      <c r="B114" t="s">
        <v>484</v>
      </c>
      <c r="C114" s="134" t="s">
        <v>775</v>
      </c>
      <c r="D114" s="9" t="s">
        <v>391</v>
      </c>
    </row>
    <row r="115" spans="1:4" hidden="1">
      <c r="A115" t="s">
        <v>430</v>
      </c>
      <c r="B115" t="s">
        <v>444</v>
      </c>
      <c r="C115" s="134" t="s">
        <v>775</v>
      </c>
      <c r="D115" s="9" t="s">
        <v>391</v>
      </c>
    </row>
    <row r="116" spans="1:4" hidden="1">
      <c r="A116" t="s">
        <v>430</v>
      </c>
      <c r="B116" t="s">
        <v>481</v>
      </c>
      <c r="C116" s="134" t="s">
        <v>775</v>
      </c>
      <c r="D116" s="9" t="s">
        <v>391</v>
      </c>
    </row>
    <row r="117" spans="1:4" hidden="1">
      <c r="A117" t="s">
        <v>430</v>
      </c>
      <c r="B117" t="s">
        <v>447</v>
      </c>
      <c r="C117" s="134" t="s">
        <v>775</v>
      </c>
      <c r="D117" s="9" t="s">
        <v>391</v>
      </c>
    </row>
    <row r="118" spans="1:4" hidden="1">
      <c r="A118" t="s">
        <v>430</v>
      </c>
      <c r="B118" t="s">
        <v>645</v>
      </c>
      <c r="C118" s="134" t="s">
        <v>775</v>
      </c>
      <c r="D118" s="9" t="s">
        <v>391</v>
      </c>
    </row>
    <row r="119" spans="1:4" hidden="1">
      <c r="A119" t="s">
        <v>430</v>
      </c>
      <c r="B119" t="s">
        <v>488</v>
      </c>
      <c r="C119" s="134" t="s">
        <v>775</v>
      </c>
      <c r="D119" s="9" t="s">
        <v>391</v>
      </c>
    </row>
    <row r="120" spans="1:4" hidden="1">
      <c r="A120" t="s">
        <v>430</v>
      </c>
      <c r="B120" t="s">
        <v>486</v>
      </c>
      <c r="C120" s="134" t="s">
        <v>775</v>
      </c>
      <c r="D120" s="9" t="s">
        <v>391</v>
      </c>
    </row>
    <row r="121" spans="1:4" hidden="1">
      <c r="A121" t="s">
        <v>430</v>
      </c>
      <c r="B121" t="s">
        <v>536</v>
      </c>
      <c r="C121" s="134" t="s">
        <v>775</v>
      </c>
      <c r="D121" s="9" t="s">
        <v>391</v>
      </c>
    </row>
    <row r="122" spans="1:4" hidden="1">
      <c r="A122" t="s">
        <v>430</v>
      </c>
      <c r="B122" t="s">
        <v>548</v>
      </c>
      <c r="C122" s="134" t="s">
        <v>775</v>
      </c>
      <c r="D122" s="9" t="s">
        <v>391</v>
      </c>
    </row>
    <row r="123" spans="1:4" hidden="1">
      <c r="A123" t="s">
        <v>430</v>
      </c>
      <c r="B123" t="s">
        <v>485</v>
      </c>
      <c r="C123" s="134" t="s">
        <v>775</v>
      </c>
      <c r="D123" s="9" t="s">
        <v>391</v>
      </c>
    </row>
    <row r="124" spans="1:4" hidden="1">
      <c r="A124" t="s">
        <v>430</v>
      </c>
      <c r="B124" t="s">
        <v>499</v>
      </c>
      <c r="C124" s="134" t="s">
        <v>775</v>
      </c>
      <c r="D124" s="9" t="s">
        <v>391</v>
      </c>
    </row>
    <row r="125" spans="1:4" hidden="1">
      <c r="A125" t="s">
        <v>430</v>
      </c>
      <c r="B125" t="s">
        <v>483</v>
      </c>
      <c r="C125" s="134" t="s">
        <v>775</v>
      </c>
      <c r="D125" s="9" t="s">
        <v>391</v>
      </c>
    </row>
    <row r="126" spans="1:4" hidden="1">
      <c r="A126" t="s">
        <v>430</v>
      </c>
      <c r="B126" t="s">
        <v>545</v>
      </c>
      <c r="C126" s="134" t="s">
        <v>775</v>
      </c>
      <c r="D126" s="9" t="s">
        <v>391</v>
      </c>
    </row>
    <row r="127" spans="1:4" hidden="1">
      <c r="A127" t="s">
        <v>430</v>
      </c>
      <c r="B127" t="s">
        <v>547</v>
      </c>
      <c r="C127" s="134" t="s">
        <v>775</v>
      </c>
      <c r="D127" s="9" t="s">
        <v>391</v>
      </c>
    </row>
    <row r="128" spans="1:4" hidden="1">
      <c r="A128" t="s">
        <v>430</v>
      </c>
      <c r="B128" t="s">
        <v>471</v>
      </c>
      <c r="C128" s="134" t="s">
        <v>775</v>
      </c>
      <c r="D128" s="9" t="s">
        <v>391</v>
      </c>
    </row>
    <row r="129" spans="1:4" hidden="1">
      <c r="A129" t="s">
        <v>430</v>
      </c>
      <c r="B129" t="s">
        <v>452</v>
      </c>
      <c r="C129" s="134" t="s">
        <v>775</v>
      </c>
      <c r="D129" s="9" t="s">
        <v>391</v>
      </c>
    </row>
    <row r="130" spans="1:4" hidden="1">
      <c r="A130" t="s">
        <v>430</v>
      </c>
      <c r="B130" t="s">
        <v>449</v>
      </c>
      <c r="C130" s="134" t="s">
        <v>775</v>
      </c>
      <c r="D130" s="9" t="s">
        <v>391</v>
      </c>
    </row>
    <row r="131" spans="1:4" hidden="1">
      <c r="A131" t="s">
        <v>430</v>
      </c>
      <c r="B131" t="s">
        <v>433</v>
      </c>
      <c r="C131" s="134" t="s">
        <v>775</v>
      </c>
      <c r="D131" s="9" t="s">
        <v>391</v>
      </c>
    </row>
    <row r="132" spans="1:4" hidden="1">
      <c r="A132" t="s">
        <v>430</v>
      </c>
      <c r="B132" t="s">
        <v>550</v>
      </c>
      <c r="C132" s="134" t="s">
        <v>775</v>
      </c>
      <c r="D132" s="9" t="s">
        <v>391</v>
      </c>
    </row>
    <row r="133" spans="1:4" hidden="1">
      <c r="A133" t="s">
        <v>430</v>
      </c>
      <c r="B133" t="s">
        <v>546</v>
      </c>
      <c r="C133" s="134" t="s">
        <v>775</v>
      </c>
      <c r="D133" s="9" t="s">
        <v>391</v>
      </c>
    </row>
    <row r="134" spans="1:4" hidden="1">
      <c r="A134" t="s">
        <v>430</v>
      </c>
      <c r="B134" t="s">
        <v>528</v>
      </c>
      <c r="C134" s="134" t="s">
        <v>775</v>
      </c>
      <c r="D134" s="9" t="s">
        <v>391</v>
      </c>
    </row>
    <row r="135" spans="1:4" hidden="1">
      <c r="A135" t="s">
        <v>430</v>
      </c>
      <c r="B135" t="s">
        <v>530</v>
      </c>
      <c r="C135" s="134" t="s">
        <v>775</v>
      </c>
      <c r="D135" s="9" t="s">
        <v>391</v>
      </c>
    </row>
    <row r="136" spans="1:4" hidden="1">
      <c r="A136" t="s">
        <v>430</v>
      </c>
      <c r="B136" t="s">
        <v>487</v>
      </c>
      <c r="C136" s="134" t="s">
        <v>775</v>
      </c>
      <c r="D136" s="9" t="s">
        <v>391</v>
      </c>
    </row>
    <row r="137" spans="1:4" hidden="1">
      <c r="A137" t="s">
        <v>430</v>
      </c>
      <c r="B137" t="s">
        <v>549</v>
      </c>
      <c r="C137" s="134" t="s">
        <v>775</v>
      </c>
      <c r="D137" s="9" t="s">
        <v>391</v>
      </c>
    </row>
    <row r="138" spans="1:4" hidden="1">
      <c r="A138" t="s">
        <v>430</v>
      </c>
      <c r="B138" t="s">
        <v>517</v>
      </c>
      <c r="C138" s="134" t="s">
        <v>775</v>
      </c>
      <c r="D138" s="9" t="s">
        <v>391</v>
      </c>
    </row>
    <row r="139" spans="1:4" hidden="1">
      <c r="A139" t="s">
        <v>430</v>
      </c>
      <c r="B139" t="s">
        <v>533</v>
      </c>
      <c r="C139" s="134" t="s">
        <v>775</v>
      </c>
      <c r="D139" s="9" t="s">
        <v>391</v>
      </c>
    </row>
    <row r="140" spans="1:4" hidden="1">
      <c r="A140" t="s">
        <v>430</v>
      </c>
      <c r="B140" t="s">
        <v>553</v>
      </c>
      <c r="C140" s="134" t="s">
        <v>775</v>
      </c>
      <c r="D140" s="9" t="s">
        <v>391</v>
      </c>
    </row>
    <row r="141" spans="1:4" hidden="1">
      <c r="A141" t="s">
        <v>430</v>
      </c>
      <c r="B141" t="s">
        <v>437</v>
      </c>
      <c r="C141" s="134" t="s">
        <v>775</v>
      </c>
      <c r="D141" s="9" t="s">
        <v>391</v>
      </c>
    </row>
    <row r="142" spans="1:4" hidden="1">
      <c r="A142" t="s">
        <v>430</v>
      </c>
      <c r="B142" t="s">
        <v>455</v>
      </c>
      <c r="C142" s="134" t="s">
        <v>775</v>
      </c>
      <c r="D142" s="9" t="s">
        <v>391</v>
      </c>
    </row>
    <row r="143" spans="1:4" hidden="1">
      <c r="A143" t="s">
        <v>430</v>
      </c>
      <c r="B143" t="s">
        <v>644</v>
      </c>
      <c r="C143" s="134" t="s">
        <v>778</v>
      </c>
      <c r="D143" s="9" t="s">
        <v>391</v>
      </c>
    </row>
    <row r="144" spans="1:4" hidden="1">
      <c r="A144" t="s">
        <v>430</v>
      </c>
      <c r="B144" t="s">
        <v>516</v>
      </c>
      <c r="C144" s="134" t="s">
        <v>778</v>
      </c>
      <c r="D144" s="9" t="s">
        <v>391</v>
      </c>
    </row>
    <row r="145" spans="1:4" hidden="1">
      <c r="A145" t="s">
        <v>430</v>
      </c>
      <c r="B145" t="s">
        <v>510</v>
      </c>
      <c r="C145" s="134" t="s">
        <v>787</v>
      </c>
      <c r="D145" s="9" t="s">
        <v>391</v>
      </c>
    </row>
    <row r="146" spans="1:4" hidden="1">
      <c r="A146" t="s">
        <v>430</v>
      </c>
      <c r="B146" t="s">
        <v>507</v>
      </c>
      <c r="C146" s="134" t="s">
        <v>787</v>
      </c>
      <c r="D146" s="9" t="s">
        <v>391</v>
      </c>
    </row>
    <row r="147" spans="1:4" hidden="1">
      <c r="A147" t="s">
        <v>430</v>
      </c>
      <c r="B147" t="s">
        <v>535</v>
      </c>
      <c r="C147" s="134" t="s">
        <v>784</v>
      </c>
      <c r="D147" s="9" t="s">
        <v>391</v>
      </c>
    </row>
    <row r="148" spans="1:4" hidden="1">
      <c r="A148" t="s">
        <v>430</v>
      </c>
      <c r="B148" t="s">
        <v>496</v>
      </c>
      <c r="C148" s="134" t="s">
        <v>784</v>
      </c>
      <c r="D148" s="9" t="s">
        <v>391</v>
      </c>
    </row>
    <row r="149" spans="1:4" hidden="1">
      <c r="A149" t="s">
        <v>430</v>
      </c>
      <c r="B149" t="s">
        <v>497</v>
      </c>
      <c r="C149" s="134" t="s">
        <v>785</v>
      </c>
      <c r="D149" s="9" t="s">
        <v>391</v>
      </c>
    </row>
    <row r="150" spans="1:4" hidden="1">
      <c r="A150" t="s">
        <v>430</v>
      </c>
      <c r="B150" t="s">
        <v>648</v>
      </c>
      <c r="C150" s="134" t="s">
        <v>773</v>
      </c>
      <c r="D150" s="9" t="s">
        <v>391</v>
      </c>
    </row>
    <row r="151" spans="1:4" hidden="1">
      <c r="A151" t="s">
        <v>430</v>
      </c>
      <c r="B151" t="s">
        <v>647</v>
      </c>
      <c r="C151" s="134" t="s">
        <v>773</v>
      </c>
      <c r="D151" s="9" t="s">
        <v>391</v>
      </c>
    </row>
    <row r="152" spans="1:4" hidden="1">
      <c r="A152" t="s">
        <v>654</v>
      </c>
      <c r="B152" s="135" t="s">
        <v>655</v>
      </c>
      <c r="C152" s="134" t="s">
        <v>656</v>
      </c>
      <c r="D152" s="9" t="s">
        <v>391</v>
      </c>
    </row>
    <row r="153" spans="1:4" hidden="1">
      <c r="A153" t="s">
        <v>654</v>
      </c>
      <c r="B153" s="135" t="s">
        <v>657</v>
      </c>
      <c r="C153" s="134" t="s">
        <v>656</v>
      </c>
      <c r="D153" s="9" t="s">
        <v>391</v>
      </c>
    </row>
    <row r="154" spans="1:4" hidden="1">
      <c r="A154" t="s">
        <v>654</v>
      </c>
      <c r="B154" s="135" t="s">
        <v>658</v>
      </c>
      <c r="C154" s="134" t="s">
        <v>656</v>
      </c>
      <c r="D154" s="9" t="s">
        <v>391</v>
      </c>
    </row>
    <row r="155" spans="1:4" hidden="1">
      <c r="A155" t="s">
        <v>654</v>
      </c>
      <c r="B155" s="135" t="s">
        <v>659</v>
      </c>
      <c r="C155" s="134" t="s">
        <v>656</v>
      </c>
      <c r="D155" s="9" t="s">
        <v>391</v>
      </c>
    </row>
    <row r="156" spans="1:4" hidden="1">
      <c r="A156" t="s">
        <v>654</v>
      </c>
      <c r="B156" s="135" t="s">
        <v>660</v>
      </c>
      <c r="C156" s="134" t="s">
        <v>656</v>
      </c>
      <c r="D156" s="9" t="s">
        <v>391</v>
      </c>
    </row>
    <row r="157" spans="1:4" hidden="1">
      <c r="A157" t="s">
        <v>654</v>
      </c>
      <c r="B157" s="135" t="s">
        <v>661</v>
      </c>
      <c r="C157" s="134" t="s">
        <v>656</v>
      </c>
      <c r="D157" s="9" t="s">
        <v>391</v>
      </c>
    </row>
    <row r="158" spans="1:4" hidden="1">
      <c r="A158" t="s">
        <v>654</v>
      </c>
      <c r="B158" s="135" t="s">
        <v>662</v>
      </c>
      <c r="C158" s="134" t="s">
        <v>656</v>
      </c>
      <c r="D158" s="9" t="s">
        <v>391</v>
      </c>
    </row>
    <row r="159" spans="1:4" hidden="1">
      <c r="A159" t="s">
        <v>654</v>
      </c>
      <c r="B159" s="135" t="s">
        <v>663</v>
      </c>
      <c r="C159" s="134" t="s">
        <v>656</v>
      </c>
      <c r="D159" s="9" t="s">
        <v>391</v>
      </c>
    </row>
    <row r="160" spans="1:4" hidden="1">
      <c r="A160" t="s">
        <v>654</v>
      </c>
      <c r="B160" s="135" t="s">
        <v>664</v>
      </c>
      <c r="C160" s="134" t="s">
        <v>665</v>
      </c>
      <c r="D160" s="9" t="s">
        <v>391</v>
      </c>
    </row>
    <row r="161" spans="1:4" hidden="1">
      <c r="A161" t="s">
        <v>654</v>
      </c>
      <c r="B161" s="135" t="s">
        <v>666</v>
      </c>
      <c r="C161" s="134" t="s">
        <v>667</v>
      </c>
      <c r="D161" s="9" t="s">
        <v>391</v>
      </c>
    </row>
    <row r="162" spans="1:4" hidden="1">
      <c r="A162" t="s">
        <v>654</v>
      </c>
      <c r="B162" s="135" t="s">
        <v>668</v>
      </c>
      <c r="C162" s="134" t="s">
        <v>669</v>
      </c>
      <c r="D162" s="9" t="s">
        <v>391</v>
      </c>
    </row>
    <row r="163" spans="1:4" hidden="1">
      <c r="A163" t="s">
        <v>654</v>
      </c>
      <c r="B163" s="135" t="s">
        <v>670</v>
      </c>
      <c r="C163" s="134" t="s">
        <v>671</v>
      </c>
      <c r="D163" s="9" t="s">
        <v>391</v>
      </c>
    </row>
    <row r="164" spans="1:4" hidden="1">
      <c r="A164" t="s">
        <v>654</v>
      </c>
      <c r="B164" s="135" t="s">
        <v>672</v>
      </c>
      <c r="C164" s="134" t="s">
        <v>673</v>
      </c>
      <c r="D164" s="9" t="s">
        <v>391</v>
      </c>
    </row>
    <row r="165" spans="1:4" hidden="1">
      <c r="A165" t="s">
        <v>654</v>
      </c>
      <c r="B165" s="135" t="s">
        <v>674</v>
      </c>
      <c r="C165" s="134" t="s">
        <v>673</v>
      </c>
      <c r="D165" s="9" t="s">
        <v>391</v>
      </c>
    </row>
    <row r="166" spans="1:4" hidden="1">
      <c r="A166" t="s">
        <v>654</v>
      </c>
      <c r="B166" s="135" t="s">
        <v>675</v>
      </c>
      <c r="C166" s="134" t="s">
        <v>673</v>
      </c>
      <c r="D166" s="9" t="s">
        <v>391</v>
      </c>
    </row>
    <row r="167" spans="1:4" hidden="1">
      <c r="A167" t="s">
        <v>654</v>
      </c>
      <c r="B167" s="135" t="s">
        <v>676</v>
      </c>
      <c r="C167" s="134" t="s">
        <v>673</v>
      </c>
      <c r="D167" s="9" t="s">
        <v>391</v>
      </c>
    </row>
    <row r="168" spans="1:4" hidden="1">
      <c r="A168" t="s">
        <v>654</v>
      </c>
      <c r="B168" s="135" t="s">
        <v>677</v>
      </c>
      <c r="C168" s="134" t="s">
        <v>673</v>
      </c>
      <c r="D168" s="9" t="s">
        <v>391</v>
      </c>
    </row>
    <row r="169" spans="1:4" hidden="1">
      <c r="A169" t="s">
        <v>654</v>
      </c>
      <c r="B169" s="135" t="s">
        <v>678</v>
      </c>
      <c r="C169" s="134" t="s">
        <v>673</v>
      </c>
      <c r="D169" s="9" t="s">
        <v>391</v>
      </c>
    </row>
    <row r="170" spans="1:4" hidden="1">
      <c r="A170" t="s">
        <v>654</v>
      </c>
      <c r="B170" s="135" t="s">
        <v>679</v>
      </c>
      <c r="C170" s="134" t="s">
        <v>673</v>
      </c>
      <c r="D170" s="9" t="s">
        <v>391</v>
      </c>
    </row>
    <row r="171" spans="1:4" hidden="1">
      <c r="A171" t="s">
        <v>654</v>
      </c>
      <c r="B171" s="135" t="s">
        <v>680</v>
      </c>
      <c r="C171" s="134" t="s">
        <v>673</v>
      </c>
      <c r="D171" s="9" t="s">
        <v>391</v>
      </c>
    </row>
    <row r="172" spans="1:4" hidden="1">
      <c r="A172" t="s">
        <v>654</v>
      </c>
      <c r="B172" s="135" t="s">
        <v>681</v>
      </c>
      <c r="C172" s="134" t="s">
        <v>673</v>
      </c>
      <c r="D172" s="9" t="s">
        <v>391</v>
      </c>
    </row>
    <row r="173" spans="1:4" hidden="1">
      <c r="A173" t="s">
        <v>654</v>
      </c>
      <c r="B173" s="135" t="s">
        <v>682</v>
      </c>
      <c r="C173" s="134" t="s">
        <v>673</v>
      </c>
      <c r="D173" s="9" t="s">
        <v>391</v>
      </c>
    </row>
    <row r="174" spans="1:4" hidden="1">
      <c r="A174" t="s">
        <v>654</v>
      </c>
      <c r="B174" s="135" t="s">
        <v>683</v>
      </c>
      <c r="C174" s="134" t="s">
        <v>673</v>
      </c>
      <c r="D174" s="9" t="s">
        <v>391</v>
      </c>
    </row>
    <row r="175" spans="1:4" hidden="1">
      <c r="A175" t="s">
        <v>654</v>
      </c>
      <c r="B175" s="135" t="s">
        <v>684</v>
      </c>
      <c r="C175" s="134" t="s">
        <v>673</v>
      </c>
      <c r="D175" s="9" t="s">
        <v>391</v>
      </c>
    </row>
    <row r="176" spans="1:4" hidden="1">
      <c r="A176" t="s">
        <v>654</v>
      </c>
      <c r="B176" s="135" t="s">
        <v>685</v>
      </c>
      <c r="C176" s="134" t="s">
        <v>673</v>
      </c>
      <c r="D176" s="9" t="s">
        <v>391</v>
      </c>
    </row>
    <row r="177" spans="1:4" hidden="1">
      <c r="A177" t="s">
        <v>654</v>
      </c>
      <c r="B177" s="135" t="s">
        <v>686</v>
      </c>
      <c r="C177" s="134" t="s">
        <v>673</v>
      </c>
      <c r="D177" s="9" t="s">
        <v>391</v>
      </c>
    </row>
    <row r="178" spans="1:4" hidden="1">
      <c r="A178" t="s">
        <v>654</v>
      </c>
      <c r="B178" s="135" t="s">
        <v>687</v>
      </c>
      <c r="C178" s="134" t="s">
        <v>673</v>
      </c>
      <c r="D178" s="9" t="s">
        <v>391</v>
      </c>
    </row>
    <row r="179" spans="1:4" hidden="1">
      <c r="A179" t="s">
        <v>654</v>
      </c>
      <c r="B179" s="135" t="s">
        <v>688</v>
      </c>
      <c r="C179" s="134" t="s">
        <v>673</v>
      </c>
      <c r="D179" s="9" t="s">
        <v>391</v>
      </c>
    </row>
    <row r="180" spans="1:4" hidden="1">
      <c r="A180" t="s">
        <v>654</v>
      </c>
      <c r="B180" s="135" t="s">
        <v>689</v>
      </c>
      <c r="C180" s="134" t="s">
        <v>673</v>
      </c>
      <c r="D180" s="9" t="s">
        <v>391</v>
      </c>
    </row>
    <row r="181" spans="1:4" hidden="1">
      <c r="A181" t="s">
        <v>654</v>
      </c>
      <c r="B181" s="135" t="s">
        <v>690</v>
      </c>
      <c r="C181" s="134" t="s">
        <v>673</v>
      </c>
      <c r="D181" s="9" t="s">
        <v>391</v>
      </c>
    </row>
    <row r="182" spans="1:4" hidden="1">
      <c r="A182" t="s">
        <v>654</v>
      </c>
      <c r="B182" s="135" t="s">
        <v>725</v>
      </c>
      <c r="C182" s="134" t="s">
        <v>692</v>
      </c>
      <c r="D182" s="9" t="s">
        <v>391</v>
      </c>
    </row>
    <row r="183" spans="1:4" hidden="1">
      <c r="A183" t="s">
        <v>654</v>
      </c>
      <c r="B183" s="135" t="s">
        <v>691</v>
      </c>
      <c r="C183" s="134" t="s">
        <v>692</v>
      </c>
      <c r="D183" s="9" t="s">
        <v>391</v>
      </c>
    </row>
    <row r="184" spans="1:4" hidden="1">
      <c r="A184" t="s">
        <v>654</v>
      </c>
      <c r="B184" s="135" t="s">
        <v>693</v>
      </c>
      <c r="C184" s="134" t="s">
        <v>694</v>
      </c>
      <c r="D184" s="9" t="s">
        <v>391</v>
      </c>
    </row>
    <row r="185" spans="1:4" hidden="1">
      <c r="A185" t="s">
        <v>654</v>
      </c>
      <c r="B185" s="135" t="s">
        <v>695</v>
      </c>
      <c r="C185" s="134" t="s">
        <v>694</v>
      </c>
      <c r="D185" s="9" t="s">
        <v>391</v>
      </c>
    </row>
    <row r="186" spans="1:4" hidden="1">
      <c r="A186" t="s">
        <v>654</v>
      </c>
      <c r="B186" s="135" t="s">
        <v>748</v>
      </c>
      <c r="C186" s="134" t="s">
        <v>694</v>
      </c>
      <c r="D186" s="9" t="s">
        <v>391</v>
      </c>
    </row>
    <row r="187" spans="1:4" hidden="1">
      <c r="A187" t="s">
        <v>654</v>
      </c>
      <c r="B187" s="135" t="s">
        <v>696</v>
      </c>
      <c r="C187" s="134" t="s">
        <v>694</v>
      </c>
      <c r="D187" s="9" t="s">
        <v>391</v>
      </c>
    </row>
    <row r="188" spans="1:4" hidden="1">
      <c r="A188" t="s">
        <v>654</v>
      </c>
      <c r="B188" s="135" t="s">
        <v>697</v>
      </c>
      <c r="C188" s="134" t="s">
        <v>694</v>
      </c>
      <c r="D188" s="9" t="s">
        <v>391</v>
      </c>
    </row>
    <row r="189" spans="1:4" hidden="1">
      <c r="A189" t="s">
        <v>654</v>
      </c>
      <c r="B189" s="135" t="s">
        <v>698</v>
      </c>
      <c r="C189" s="134" t="s">
        <v>694</v>
      </c>
      <c r="D189" s="9" t="s">
        <v>391</v>
      </c>
    </row>
    <row r="190" spans="1:4" hidden="1">
      <c r="A190" t="s">
        <v>654</v>
      </c>
      <c r="B190" s="135" t="s">
        <v>699</v>
      </c>
      <c r="C190" s="134" t="s">
        <v>694</v>
      </c>
      <c r="D190" s="9" t="s">
        <v>391</v>
      </c>
    </row>
    <row r="191" spans="1:4" hidden="1">
      <c r="A191" t="s">
        <v>654</v>
      </c>
      <c r="B191" s="135" t="s">
        <v>700</v>
      </c>
      <c r="C191" s="134" t="s">
        <v>694</v>
      </c>
      <c r="D191" s="9" t="s">
        <v>391</v>
      </c>
    </row>
    <row r="192" spans="1:4" hidden="1">
      <c r="A192" t="s">
        <v>654</v>
      </c>
      <c r="B192" s="135" t="s">
        <v>701</v>
      </c>
      <c r="C192" s="134" t="s">
        <v>694</v>
      </c>
      <c r="D192" s="9" t="s">
        <v>391</v>
      </c>
    </row>
    <row r="193" spans="1:4" hidden="1">
      <c r="A193" t="s">
        <v>654</v>
      </c>
      <c r="B193" s="135" t="s">
        <v>702</v>
      </c>
      <c r="C193" s="134" t="s">
        <v>694</v>
      </c>
      <c r="D193" s="9" t="s">
        <v>391</v>
      </c>
    </row>
    <row r="194" spans="1:4" hidden="1">
      <c r="A194" t="s">
        <v>654</v>
      </c>
      <c r="B194" s="135" t="s">
        <v>703</v>
      </c>
      <c r="C194" s="134" t="s">
        <v>694</v>
      </c>
      <c r="D194" s="9" t="s">
        <v>391</v>
      </c>
    </row>
    <row r="195" spans="1:4" hidden="1">
      <c r="A195" t="s">
        <v>654</v>
      </c>
      <c r="B195" s="135" t="s">
        <v>704</v>
      </c>
      <c r="C195" s="134" t="s">
        <v>694</v>
      </c>
      <c r="D195" s="9" t="s">
        <v>391</v>
      </c>
    </row>
    <row r="196" spans="1:4" hidden="1">
      <c r="A196" t="s">
        <v>654</v>
      </c>
      <c r="B196" s="135" t="s">
        <v>705</v>
      </c>
      <c r="C196" s="134" t="s">
        <v>694</v>
      </c>
      <c r="D196" s="9" t="s">
        <v>391</v>
      </c>
    </row>
    <row r="197" spans="1:4" hidden="1">
      <c r="A197" t="s">
        <v>654</v>
      </c>
      <c r="B197" s="135" t="s">
        <v>706</v>
      </c>
      <c r="C197" s="134" t="s">
        <v>694</v>
      </c>
      <c r="D197" s="9" t="s">
        <v>391</v>
      </c>
    </row>
    <row r="198" spans="1:4" hidden="1">
      <c r="A198" t="s">
        <v>654</v>
      </c>
      <c r="B198" s="135" t="s">
        <v>707</v>
      </c>
      <c r="C198" s="134" t="s">
        <v>694</v>
      </c>
      <c r="D198" s="9" t="s">
        <v>391</v>
      </c>
    </row>
    <row r="199" spans="1:4" hidden="1">
      <c r="A199" t="s">
        <v>654</v>
      </c>
      <c r="B199" s="135" t="s">
        <v>708</v>
      </c>
      <c r="C199" s="134" t="s">
        <v>694</v>
      </c>
      <c r="D199" s="9" t="s">
        <v>391</v>
      </c>
    </row>
    <row r="200" spans="1:4" hidden="1">
      <c r="A200" t="s">
        <v>654</v>
      </c>
      <c r="B200" s="135" t="s">
        <v>709</v>
      </c>
      <c r="C200" s="134" t="s">
        <v>694</v>
      </c>
      <c r="D200" s="9" t="s">
        <v>391</v>
      </c>
    </row>
    <row r="201" spans="1:4" hidden="1">
      <c r="A201" t="s">
        <v>654</v>
      </c>
      <c r="B201" s="135" t="s">
        <v>710</v>
      </c>
      <c r="C201" s="134" t="s">
        <v>694</v>
      </c>
      <c r="D201" s="9" t="s">
        <v>391</v>
      </c>
    </row>
    <row r="202" spans="1:4" hidden="1">
      <c r="A202" t="s">
        <v>654</v>
      </c>
      <c r="B202" s="135" t="s">
        <v>711</v>
      </c>
      <c r="C202" s="134" t="s">
        <v>694</v>
      </c>
      <c r="D202" s="9" t="s">
        <v>391</v>
      </c>
    </row>
    <row r="203" spans="1:4" hidden="1">
      <c r="A203" t="s">
        <v>654</v>
      </c>
      <c r="B203" s="135" t="s">
        <v>712</v>
      </c>
      <c r="C203" s="134" t="s">
        <v>694</v>
      </c>
      <c r="D203" s="9" t="s">
        <v>391</v>
      </c>
    </row>
    <row r="204" spans="1:4" hidden="1">
      <c r="A204" t="s">
        <v>654</v>
      </c>
      <c r="B204" s="135" t="s">
        <v>713</v>
      </c>
      <c r="C204" s="134" t="s">
        <v>714</v>
      </c>
      <c r="D204" s="9" t="s">
        <v>391</v>
      </c>
    </row>
    <row r="205" spans="1:4" hidden="1">
      <c r="A205" t="s">
        <v>654</v>
      </c>
      <c r="B205" s="135" t="s">
        <v>715</v>
      </c>
      <c r="C205" s="134" t="s">
        <v>714</v>
      </c>
      <c r="D205" s="9" t="s">
        <v>391</v>
      </c>
    </row>
    <row r="206" spans="1:4" hidden="1">
      <c r="A206" t="s">
        <v>654</v>
      </c>
      <c r="B206" s="135" t="s">
        <v>716</v>
      </c>
      <c r="C206" s="134" t="s">
        <v>714</v>
      </c>
      <c r="D206" s="9" t="s">
        <v>391</v>
      </c>
    </row>
    <row r="207" spans="1:4" hidden="1">
      <c r="A207" t="s">
        <v>654</v>
      </c>
      <c r="B207" s="135" t="s">
        <v>717</v>
      </c>
      <c r="C207" s="134" t="s">
        <v>714</v>
      </c>
      <c r="D207" s="9" t="s">
        <v>391</v>
      </c>
    </row>
    <row r="208" spans="1:4" hidden="1">
      <c r="A208" t="s">
        <v>654</v>
      </c>
      <c r="B208" s="135" t="s">
        <v>718</v>
      </c>
      <c r="C208" s="134" t="s">
        <v>714</v>
      </c>
      <c r="D208" s="9" t="s">
        <v>391</v>
      </c>
    </row>
    <row r="209" spans="1:4" hidden="1">
      <c r="A209" t="s">
        <v>654</v>
      </c>
      <c r="B209" s="135" t="s">
        <v>719</v>
      </c>
      <c r="C209" s="134" t="s">
        <v>714</v>
      </c>
      <c r="D209" s="9" t="s">
        <v>391</v>
      </c>
    </row>
    <row r="210" spans="1:4" hidden="1">
      <c r="A210" t="s">
        <v>654</v>
      </c>
      <c r="B210" s="135" t="s">
        <v>720</v>
      </c>
      <c r="C210" s="134" t="s">
        <v>714</v>
      </c>
      <c r="D210" s="9" t="s">
        <v>391</v>
      </c>
    </row>
    <row r="211" spans="1:4" hidden="1">
      <c r="A211" t="s">
        <v>654</v>
      </c>
      <c r="B211" s="135" t="s">
        <v>721</v>
      </c>
      <c r="C211" s="134" t="s">
        <v>714</v>
      </c>
      <c r="D211" s="9" t="s">
        <v>391</v>
      </c>
    </row>
    <row r="212" spans="1:4" hidden="1">
      <c r="A212" t="s">
        <v>654</v>
      </c>
      <c r="B212" s="135" t="s">
        <v>722</v>
      </c>
      <c r="C212" s="134" t="s">
        <v>723</v>
      </c>
      <c r="D212" s="9" t="s">
        <v>391</v>
      </c>
    </row>
    <row r="213" spans="1:4" hidden="1">
      <c r="A213" t="s">
        <v>654</v>
      </c>
      <c r="B213" s="135" t="s">
        <v>724</v>
      </c>
      <c r="C213" s="134" t="s">
        <v>723</v>
      </c>
      <c r="D213" s="9" t="s">
        <v>391</v>
      </c>
    </row>
    <row r="214" spans="1:4" hidden="1">
      <c r="A214" t="s">
        <v>654</v>
      </c>
      <c r="B214" s="135" t="s">
        <v>726</v>
      </c>
      <c r="C214" s="134" t="s">
        <v>727</v>
      </c>
      <c r="D214" s="9" t="s">
        <v>391</v>
      </c>
    </row>
    <row r="215" spans="1:4" hidden="1">
      <c r="A215" t="s">
        <v>654</v>
      </c>
      <c r="B215" s="135" t="s">
        <v>728</v>
      </c>
      <c r="C215" s="134" t="s">
        <v>729</v>
      </c>
      <c r="D215" s="9" t="s">
        <v>391</v>
      </c>
    </row>
    <row r="216" spans="1:4" hidden="1">
      <c r="A216" t="s">
        <v>654</v>
      </c>
      <c r="B216" s="135" t="s">
        <v>730</v>
      </c>
      <c r="C216" s="134" t="s">
        <v>731</v>
      </c>
      <c r="D216" s="9" t="s">
        <v>391</v>
      </c>
    </row>
    <row r="217" spans="1:4" hidden="1">
      <c r="A217" t="s">
        <v>654</v>
      </c>
      <c r="B217" s="135" t="s">
        <v>732</v>
      </c>
      <c r="C217" s="134" t="s">
        <v>733</v>
      </c>
      <c r="D217" s="9" t="s">
        <v>391</v>
      </c>
    </row>
    <row r="218" spans="1:4" hidden="1">
      <c r="A218" t="s">
        <v>654</v>
      </c>
      <c r="B218" s="135" t="s">
        <v>734</v>
      </c>
      <c r="C218" s="134" t="s">
        <v>735</v>
      </c>
      <c r="D218" s="9" t="s">
        <v>391</v>
      </c>
    </row>
    <row r="219" spans="1:4" hidden="1">
      <c r="A219" t="s">
        <v>654</v>
      </c>
      <c r="B219" s="135" t="s">
        <v>736</v>
      </c>
      <c r="C219" s="134" t="s">
        <v>735</v>
      </c>
      <c r="D219" s="9" t="s">
        <v>391</v>
      </c>
    </row>
    <row r="220" spans="1:4" hidden="1">
      <c r="A220" t="s">
        <v>654</v>
      </c>
      <c r="B220" s="135" t="s">
        <v>737</v>
      </c>
      <c r="C220" s="134" t="s">
        <v>735</v>
      </c>
      <c r="D220" s="9" t="s">
        <v>391</v>
      </c>
    </row>
    <row r="221" spans="1:4" hidden="1">
      <c r="A221" t="s">
        <v>654</v>
      </c>
      <c r="B221" s="135" t="s">
        <v>738</v>
      </c>
      <c r="C221" s="134" t="s">
        <v>735</v>
      </c>
      <c r="D221" s="9" t="s">
        <v>391</v>
      </c>
    </row>
    <row r="222" spans="1:4" hidden="1">
      <c r="A222" t="s">
        <v>654</v>
      </c>
      <c r="B222" s="135" t="s">
        <v>739</v>
      </c>
      <c r="C222" s="134" t="s">
        <v>735</v>
      </c>
      <c r="D222" s="9" t="s">
        <v>391</v>
      </c>
    </row>
    <row r="223" spans="1:4" hidden="1">
      <c r="A223" t="s">
        <v>654</v>
      </c>
      <c r="B223" s="135" t="s">
        <v>740</v>
      </c>
      <c r="C223" s="134" t="s">
        <v>735</v>
      </c>
      <c r="D223" s="9" t="s">
        <v>391</v>
      </c>
    </row>
    <row r="224" spans="1:4" hidden="1">
      <c r="A224" t="s">
        <v>654</v>
      </c>
      <c r="B224" s="135" t="s">
        <v>741</v>
      </c>
      <c r="C224" s="134" t="s">
        <v>735</v>
      </c>
      <c r="D224" s="9" t="s">
        <v>391</v>
      </c>
    </row>
    <row r="225" spans="1:4" hidden="1">
      <c r="A225" t="s">
        <v>654</v>
      </c>
      <c r="B225" s="135" t="s">
        <v>742</v>
      </c>
      <c r="C225" s="134" t="s">
        <v>743</v>
      </c>
      <c r="D225" s="9" t="s">
        <v>391</v>
      </c>
    </row>
    <row r="226" spans="1:4" hidden="1">
      <c r="A226" t="s">
        <v>654</v>
      </c>
      <c r="B226" s="135" t="s">
        <v>744</v>
      </c>
      <c r="C226" s="134" t="s">
        <v>743</v>
      </c>
      <c r="D226" s="9" t="s">
        <v>391</v>
      </c>
    </row>
    <row r="227" spans="1:4" hidden="1">
      <c r="A227" t="s">
        <v>654</v>
      </c>
      <c r="B227" s="135" t="s">
        <v>745</v>
      </c>
      <c r="C227" s="134" t="s">
        <v>652</v>
      </c>
      <c r="D227" s="9" t="s">
        <v>391</v>
      </c>
    </row>
    <row r="228" spans="1:4" hidden="1">
      <c r="A228" t="s">
        <v>654</v>
      </c>
      <c r="B228" s="135" t="s">
        <v>746</v>
      </c>
      <c r="C228" s="134" t="s">
        <v>747</v>
      </c>
      <c r="D228" s="9" t="s">
        <v>391</v>
      </c>
    </row>
    <row r="229" spans="1:4" hidden="1">
      <c r="A229" t="s">
        <v>654</v>
      </c>
      <c r="B229" s="135" t="s">
        <v>749</v>
      </c>
      <c r="C229" s="134" t="s">
        <v>750</v>
      </c>
      <c r="D229" s="9" t="s">
        <v>391</v>
      </c>
    </row>
    <row r="230" spans="1:4" hidden="1">
      <c r="A230" t="s">
        <v>654</v>
      </c>
      <c r="B230" s="135" t="s">
        <v>751</v>
      </c>
      <c r="C230" s="134" t="s">
        <v>752</v>
      </c>
      <c r="D230" s="9" t="s">
        <v>391</v>
      </c>
    </row>
    <row r="231" spans="1:4" hidden="1">
      <c r="A231" t="s">
        <v>654</v>
      </c>
      <c r="B231" s="135" t="s">
        <v>753</v>
      </c>
      <c r="C231" s="134" t="s">
        <v>754</v>
      </c>
      <c r="D231" s="9" t="s">
        <v>391</v>
      </c>
    </row>
    <row r="232" spans="1:4" hidden="1">
      <c r="A232" t="s">
        <v>654</v>
      </c>
      <c r="B232" s="135" t="s">
        <v>755</v>
      </c>
      <c r="C232" s="134" t="s">
        <v>642</v>
      </c>
      <c r="D232" s="9" t="s">
        <v>391</v>
      </c>
    </row>
    <row r="233" spans="1:4" hidden="1">
      <c r="A233" t="s">
        <v>654</v>
      </c>
      <c r="B233" s="135" t="s">
        <v>756</v>
      </c>
      <c r="C233" s="134" t="s">
        <v>642</v>
      </c>
      <c r="D233" s="9" t="s">
        <v>391</v>
      </c>
    </row>
    <row r="234" spans="1:4" hidden="1">
      <c r="A234" t="s">
        <v>654</v>
      </c>
      <c r="B234" s="135" t="s">
        <v>757</v>
      </c>
      <c r="C234" s="134" t="s">
        <v>758</v>
      </c>
      <c r="D234" s="9" t="s">
        <v>391</v>
      </c>
    </row>
    <row r="235" spans="1:4" hidden="1">
      <c r="A235" t="s">
        <v>654</v>
      </c>
      <c r="B235" s="135" t="s">
        <v>759</v>
      </c>
      <c r="C235" s="134" t="s">
        <v>758</v>
      </c>
      <c r="D235" s="9" t="s">
        <v>391</v>
      </c>
    </row>
    <row r="236" spans="1:4" hidden="1">
      <c r="A236" t="s">
        <v>654</v>
      </c>
      <c r="B236" s="135" t="s">
        <v>760</v>
      </c>
      <c r="C236" s="134" t="s">
        <v>761</v>
      </c>
      <c r="D236" s="9" t="s">
        <v>391</v>
      </c>
    </row>
    <row r="237" spans="1:4" hidden="1">
      <c r="A237" t="s">
        <v>654</v>
      </c>
      <c r="B237" s="135" t="s">
        <v>762</v>
      </c>
      <c r="C237" s="134" t="s">
        <v>763</v>
      </c>
      <c r="D237" s="9" t="s">
        <v>391</v>
      </c>
    </row>
    <row r="238" spans="1:4" hidden="1">
      <c r="A238" t="s">
        <v>654</v>
      </c>
      <c r="B238" s="135" t="s">
        <v>764</v>
      </c>
      <c r="C238" s="134" t="s">
        <v>763</v>
      </c>
      <c r="D238" s="9" t="s">
        <v>391</v>
      </c>
    </row>
    <row r="239" spans="1:4" hidden="1">
      <c r="A239" t="s">
        <v>654</v>
      </c>
      <c r="B239" s="135" t="s">
        <v>765</v>
      </c>
      <c r="C239" s="134" t="s">
        <v>763</v>
      </c>
      <c r="D239" s="9" t="s">
        <v>391</v>
      </c>
    </row>
    <row r="240" spans="1:4" hidden="1">
      <c r="A240" t="s">
        <v>654</v>
      </c>
      <c r="B240" s="135" t="s">
        <v>766</v>
      </c>
      <c r="C240" s="134" t="s">
        <v>767</v>
      </c>
      <c r="D240" s="9" t="s">
        <v>391</v>
      </c>
    </row>
    <row r="241" spans="1:4" hidden="1">
      <c r="A241" t="s">
        <v>654</v>
      </c>
      <c r="B241" s="135" t="s">
        <v>768</v>
      </c>
      <c r="C241" s="134" t="s">
        <v>769</v>
      </c>
      <c r="D241" s="9" t="s">
        <v>391</v>
      </c>
    </row>
    <row r="242" spans="1:4" hidden="1">
      <c r="A242" t="s">
        <v>654</v>
      </c>
      <c r="B242" s="135" t="s">
        <v>770</v>
      </c>
      <c r="C242" s="134" t="s">
        <v>769</v>
      </c>
      <c r="D242" s="9" t="s">
        <v>391</v>
      </c>
    </row>
    <row r="243" spans="1:4" hidden="1">
      <c r="A243" t="s">
        <v>654</v>
      </c>
      <c r="B243" s="135" t="s">
        <v>771</v>
      </c>
      <c r="C243" s="134" t="s">
        <v>769</v>
      </c>
      <c r="D243" s="9" t="s">
        <v>391</v>
      </c>
    </row>
    <row r="244" spans="1:4" hidden="1">
      <c r="A244" t="s">
        <v>654</v>
      </c>
      <c r="B244" s="135" t="s">
        <v>772</v>
      </c>
      <c r="C244" s="134" t="s">
        <v>769</v>
      </c>
      <c r="D244" s="9" t="s">
        <v>391</v>
      </c>
    </row>
  </sheetData>
  <dataConsolidate/>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B1EB-5168-4605-B9E2-5C98C7AAA252}">
  <sheetPr codeName="Sheet11">
    <tabColor theme="4" tint="0.59999389629810485"/>
  </sheetPr>
  <dimension ref="A1:M49"/>
  <sheetViews>
    <sheetView showGridLines="0" showRowColHeaders="0" workbookViewId="0">
      <pane ySplit="6" topLeftCell="A7" activePane="bottomLeft" state="frozen"/>
      <selection pane="bottomLeft"/>
    </sheetView>
  </sheetViews>
  <sheetFormatPr defaultRowHeight="14.4"/>
  <cols>
    <col min="1" max="1" width="32.44140625" bestFit="1" customWidth="1"/>
    <col min="2" max="2" width="16.77734375" customWidth="1"/>
    <col min="3" max="3" width="13.44140625" style="57" customWidth="1"/>
    <col min="4" max="4" width="16.77734375" customWidth="1"/>
    <col min="5" max="5" width="13.44140625" style="57" customWidth="1"/>
    <col min="6" max="6" width="16.77734375" customWidth="1"/>
    <col min="7" max="7" width="13.44140625" style="57" customWidth="1"/>
    <col min="8" max="8" width="16.77734375" customWidth="1"/>
    <col min="9" max="9" width="13.44140625" style="57" customWidth="1"/>
    <col min="10" max="10" width="16.77734375" customWidth="1"/>
    <col min="11" max="11" width="13.44140625" style="57" customWidth="1"/>
    <col min="12" max="12" width="16.77734375" customWidth="1"/>
    <col min="13" max="13" width="13.44140625" style="57" customWidth="1"/>
  </cols>
  <sheetData>
    <row r="1" spans="1:13" ht="15.6">
      <c r="A1" s="68" t="str" cm="1">
        <f t="array" ref="A1">CCName(rngCC)</f>
        <v>CU Student Government - Proper</v>
      </c>
      <c r="B1" s="46"/>
      <c r="C1" s="46"/>
      <c r="D1" s="46"/>
      <c r="E1" s="46"/>
      <c r="F1" s="46"/>
      <c r="G1" s="46"/>
      <c r="H1" s="46"/>
      <c r="I1" s="46"/>
      <c r="J1" s="46"/>
      <c r="L1" s="46"/>
      <c r="M1" s="46"/>
    </row>
    <row r="2" spans="1:13" ht="15.6">
      <c r="A2" s="69" t="s">
        <v>554</v>
      </c>
      <c r="B2" s="47"/>
      <c r="C2" s="47"/>
      <c r="D2" s="47"/>
      <c r="E2" s="47"/>
      <c r="F2" s="47"/>
      <c r="G2" s="47"/>
      <c r="H2" s="47"/>
      <c r="I2" s="47"/>
      <c r="J2" s="47"/>
      <c r="L2" s="47"/>
      <c r="M2" s="47"/>
    </row>
    <row r="3" spans="1:13" s="30" customFormat="1">
      <c r="B3" s="61" t="s">
        <v>589</v>
      </c>
      <c r="C3" s="50" t="s">
        <v>572</v>
      </c>
      <c r="D3" s="61" t="s">
        <v>573</v>
      </c>
      <c r="E3" s="50" t="s">
        <v>573</v>
      </c>
      <c r="F3" s="61" t="s">
        <v>575</v>
      </c>
      <c r="G3" s="50" t="s">
        <v>575</v>
      </c>
      <c r="H3" s="61" t="s">
        <v>576</v>
      </c>
      <c r="I3" s="50" t="s">
        <v>576</v>
      </c>
      <c r="J3" s="61" t="s">
        <v>577</v>
      </c>
      <c r="K3" s="38" t="s">
        <v>577</v>
      </c>
      <c r="L3" s="61" t="s">
        <v>585</v>
      </c>
      <c r="M3" s="38" t="s">
        <v>585</v>
      </c>
    </row>
    <row r="4" spans="1:13">
      <c r="A4" s="16"/>
      <c r="B4" s="31" t="str">
        <f>_xlfn.CONCAT("FY ",rngFY+rngYRS)</f>
        <v>FY 19</v>
      </c>
      <c r="C4" s="51" t="s">
        <v>555</v>
      </c>
      <c r="D4" s="31" t="s">
        <v>788</v>
      </c>
      <c r="E4" s="31" t="s">
        <v>789</v>
      </c>
      <c r="F4" s="31" t="s">
        <v>788</v>
      </c>
      <c r="G4" s="31" t="s">
        <v>789</v>
      </c>
      <c r="H4" s="31" t="s">
        <v>788</v>
      </c>
      <c r="I4" s="31" t="s">
        <v>789</v>
      </c>
      <c r="J4" s="31" t="s">
        <v>788</v>
      </c>
      <c r="K4" s="31" t="s">
        <v>789</v>
      </c>
      <c r="L4" s="31" t="s">
        <v>574</v>
      </c>
      <c r="M4" s="31" t="s">
        <v>584</v>
      </c>
    </row>
    <row r="5" spans="1:13">
      <c r="A5" s="17"/>
      <c r="B5" s="31"/>
      <c r="C5" s="51" t="s">
        <v>571</v>
      </c>
      <c r="D5" s="31"/>
      <c r="E5" s="51" t="s">
        <v>571</v>
      </c>
      <c r="F5" s="31"/>
      <c r="G5" s="51" t="s">
        <v>571</v>
      </c>
      <c r="H5" s="31"/>
      <c r="I5" s="51" t="s">
        <v>571</v>
      </c>
      <c r="J5" s="31"/>
      <c r="K5" s="31" t="s">
        <v>571</v>
      </c>
      <c r="L5" s="31"/>
      <c r="M5" s="31" t="s">
        <v>571</v>
      </c>
    </row>
    <row r="6" spans="1:13">
      <c r="A6" s="70"/>
      <c r="B6" s="62"/>
      <c r="C6" s="53"/>
      <c r="D6" s="62"/>
      <c r="E6" s="53"/>
      <c r="F6" s="62"/>
      <c r="G6" s="53"/>
      <c r="H6" s="62"/>
      <c r="I6" s="53"/>
      <c r="J6" s="62"/>
      <c r="K6" s="62"/>
      <c r="L6" s="62"/>
      <c r="M6" s="62"/>
    </row>
    <row r="7" spans="1:13">
      <c r="A7" s="18" t="s">
        <v>556</v>
      </c>
      <c r="B7" s="63"/>
      <c r="C7" s="58"/>
      <c r="D7" s="63"/>
      <c r="E7" s="58"/>
      <c r="F7" s="63"/>
      <c r="G7" s="58"/>
      <c r="H7" s="63"/>
      <c r="I7" s="58"/>
      <c r="J7" s="63"/>
      <c r="K7" s="63"/>
      <c r="L7" s="63"/>
      <c r="M7" s="63"/>
    </row>
    <row r="8" spans="1:13">
      <c r="A8" s="40" t="s">
        <v>557</v>
      </c>
      <c r="B8" s="39">
        <v>0</v>
      </c>
      <c r="C8" s="54">
        <v>0</v>
      </c>
      <c r="D8" s="72">
        <v>0</v>
      </c>
      <c r="E8" s="54">
        <v>0</v>
      </c>
      <c r="F8" s="72">
        <v>0</v>
      </c>
      <c r="G8" s="54">
        <v>0</v>
      </c>
      <c r="H8" s="72">
        <v>0</v>
      </c>
      <c r="I8" s="54">
        <v>0</v>
      </c>
      <c r="J8" s="72">
        <v>0</v>
      </c>
      <c r="K8" s="22">
        <v>0</v>
      </c>
      <c r="L8" s="39">
        <v>0</v>
      </c>
      <c r="M8" s="22">
        <f>SUM(E8,G8,I8,K8)</f>
        <v>0</v>
      </c>
    </row>
    <row r="9" spans="1:13">
      <c r="A9" s="41" t="s">
        <v>558</v>
      </c>
      <c r="B9" s="39">
        <v>0</v>
      </c>
      <c r="C9" s="55">
        <v>0</v>
      </c>
      <c r="D9" s="72">
        <v>0</v>
      </c>
      <c r="E9" s="55">
        <v>0</v>
      </c>
      <c r="F9" s="72">
        <v>0</v>
      </c>
      <c r="G9" s="55">
        <v>0</v>
      </c>
      <c r="H9" s="72">
        <v>0</v>
      </c>
      <c r="I9" s="55">
        <v>0</v>
      </c>
      <c r="J9" s="72">
        <v>0</v>
      </c>
      <c r="K9" s="33">
        <v>0</v>
      </c>
      <c r="L9" s="39">
        <v>0</v>
      </c>
      <c r="M9" s="33">
        <f>SUM(E9,G9,I9,K9)</f>
        <v>0</v>
      </c>
    </row>
    <row r="10" spans="1:13">
      <c r="A10" s="41" t="s">
        <v>212</v>
      </c>
      <c r="B10" s="39">
        <v>0</v>
      </c>
      <c r="C10" s="55">
        <v>0</v>
      </c>
      <c r="D10" s="72">
        <v>0</v>
      </c>
      <c r="E10" s="55">
        <v>0</v>
      </c>
      <c r="F10" s="72">
        <v>0</v>
      </c>
      <c r="G10" s="55">
        <v>0</v>
      </c>
      <c r="H10" s="72">
        <v>0</v>
      </c>
      <c r="I10" s="55">
        <v>0</v>
      </c>
      <c r="J10" s="72">
        <v>0</v>
      </c>
      <c r="K10" s="33">
        <v>0</v>
      </c>
      <c r="L10" s="39">
        <v>0</v>
      </c>
      <c r="M10" s="33">
        <f>SUM(E10,G10,I10,K10)</f>
        <v>0</v>
      </c>
    </row>
    <row r="11" spans="1:13">
      <c r="A11" s="42" t="s">
        <v>210</v>
      </c>
      <c r="B11" s="64">
        <v>0</v>
      </c>
      <c r="C11" s="55">
        <v>0</v>
      </c>
      <c r="D11" s="73">
        <v>0</v>
      </c>
      <c r="E11" s="55">
        <v>0</v>
      </c>
      <c r="F11" s="73">
        <v>0</v>
      </c>
      <c r="G11" s="55">
        <v>0</v>
      </c>
      <c r="H11" s="73">
        <v>0</v>
      </c>
      <c r="I11" s="55">
        <v>0</v>
      </c>
      <c r="J11" s="73">
        <v>0</v>
      </c>
      <c r="K11" s="33">
        <v>0</v>
      </c>
      <c r="L11" s="64">
        <v>0</v>
      </c>
      <c r="M11" s="33">
        <f>SUM(E11,G11,I11,K11)</f>
        <v>0</v>
      </c>
    </row>
    <row r="12" spans="1:13" ht="16.2" thickBot="1">
      <c r="A12" s="43" t="s">
        <v>559</v>
      </c>
      <c r="B12" s="34">
        <f>SUM(B8:B11)</f>
        <v>0</v>
      </c>
      <c r="C12" s="52">
        <f t="shared" ref="C12:K12" si="0">SUM(C8:C11)</f>
        <v>0</v>
      </c>
      <c r="D12" s="34">
        <f t="shared" si="0"/>
        <v>0</v>
      </c>
      <c r="E12" s="52">
        <f t="shared" si="0"/>
        <v>0</v>
      </c>
      <c r="F12" s="34">
        <f t="shared" si="0"/>
        <v>0</v>
      </c>
      <c r="G12" s="52">
        <f t="shared" si="0"/>
        <v>0</v>
      </c>
      <c r="H12" s="34">
        <f t="shared" si="0"/>
        <v>0</v>
      </c>
      <c r="I12" s="52">
        <f t="shared" si="0"/>
        <v>0</v>
      </c>
      <c r="J12" s="34">
        <f t="shared" si="0"/>
        <v>0</v>
      </c>
      <c r="K12" s="34">
        <f t="shared" si="0"/>
        <v>0</v>
      </c>
      <c r="L12" s="34">
        <f>SUM(L8:L11)</f>
        <v>0</v>
      </c>
      <c r="M12" s="34">
        <f t="shared" ref="M12" si="1">SUM(M8:M11)</f>
        <v>0</v>
      </c>
    </row>
    <row r="13" spans="1:13" ht="15" thickTop="1">
      <c r="A13" s="67"/>
      <c r="B13" s="67"/>
      <c r="C13" s="67"/>
      <c r="D13" s="67"/>
      <c r="E13" s="67"/>
      <c r="F13" s="67"/>
      <c r="G13" s="67"/>
      <c r="H13" s="67"/>
      <c r="I13" s="67"/>
      <c r="J13" s="67"/>
      <c r="K13" s="67"/>
      <c r="L13" s="67"/>
      <c r="M13" s="67"/>
    </row>
    <row r="14" spans="1:13">
      <c r="A14" s="18" t="s">
        <v>560</v>
      </c>
      <c r="B14" s="20"/>
      <c r="C14" s="20"/>
      <c r="D14" s="20"/>
      <c r="E14" s="20"/>
      <c r="F14" s="20"/>
      <c r="G14" s="20"/>
      <c r="H14" s="20"/>
      <c r="I14" s="20"/>
      <c r="J14" s="20"/>
      <c r="K14" s="20"/>
      <c r="L14" s="20"/>
      <c r="M14" s="20"/>
    </row>
    <row r="15" spans="1:13">
      <c r="A15" s="40" t="s">
        <v>188</v>
      </c>
      <c r="B15" s="65">
        <v>0</v>
      </c>
      <c r="C15" s="54">
        <v>0</v>
      </c>
      <c r="D15" s="72">
        <v>0</v>
      </c>
      <c r="E15" s="54">
        <v>0</v>
      </c>
      <c r="F15" s="72">
        <v>0</v>
      </c>
      <c r="G15" s="54">
        <v>0</v>
      </c>
      <c r="H15" s="72">
        <v>0</v>
      </c>
      <c r="I15" s="54">
        <v>0</v>
      </c>
      <c r="J15" s="72">
        <v>0</v>
      </c>
      <c r="K15" s="32">
        <v>0</v>
      </c>
      <c r="L15" s="65">
        <v>0</v>
      </c>
      <c r="M15" s="32">
        <f t="shared" ref="M15:M20" si="2">SUM(E15,G15,I15,K15)</f>
        <v>0</v>
      </c>
    </row>
    <row r="16" spans="1:13">
      <c r="A16" s="41" t="s">
        <v>181</v>
      </c>
      <c r="B16" s="39">
        <v>0</v>
      </c>
      <c r="C16" s="54">
        <v>0</v>
      </c>
      <c r="D16" s="72">
        <v>0</v>
      </c>
      <c r="E16" s="54">
        <v>0</v>
      </c>
      <c r="F16" s="72">
        <v>0</v>
      </c>
      <c r="G16" s="54">
        <v>0</v>
      </c>
      <c r="H16" s="72">
        <v>0</v>
      </c>
      <c r="I16" s="54">
        <v>0</v>
      </c>
      <c r="J16" s="72">
        <v>0</v>
      </c>
      <c r="K16" s="22">
        <v>0</v>
      </c>
      <c r="L16" s="39">
        <v>0</v>
      </c>
      <c r="M16" s="22">
        <f t="shared" si="2"/>
        <v>0</v>
      </c>
    </row>
    <row r="17" spans="1:13">
      <c r="A17" s="92" t="s">
        <v>174</v>
      </c>
      <c r="B17" s="93">
        <v>0</v>
      </c>
      <c r="C17" s="94">
        <v>0</v>
      </c>
      <c r="D17" s="95">
        <v>0</v>
      </c>
      <c r="E17" s="94">
        <v>0</v>
      </c>
      <c r="F17" s="95">
        <v>0</v>
      </c>
      <c r="G17" s="94">
        <v>0</v>
      </c>
      <c r="H17" s="95">
        <v>0</v>
      </c>
      <c r="I17" s="94">
        <v>0</v>
      </c>
      <c r="J17" s="95">
        <v>0</v>
      </c>
      <c r="K17" s="96">
        <v>0</v>
      </c>
      <c r="L17" s="93">
        <v>0</v>
      </c>
      <c r="M17" s="96">
        <f t="shared" si="2"/>
        <v>0</v>
      </c>
    </row>
    <row r="18" spans="1:13">
      <c r="A18" s="41" t="s">
        <v>146</v>
      </c>
      <c r="B18" s="39">
        <v>0</v>
      </c>
      <c r="C18" s="54">
        <v>0</v>
      </c>
      <c r="D18" s="72">
        <v>0</v>
      </c>
      <c r="E18" s="54">
        <v>0</v>
      </c>
      <c r="F18" s="72">
        <v>0</v>
      </c>
      <c r="G18" s="54">
        <v>0</v>
      </c>
      <c r="H18" s="72">
        <v>0</v>
      </c>
      <c r="I18" s="54">
        <v>0</v>
      </c>
      <c r="J18" s="72">
        <v>0</v>
      </c>
      <c r="K18" s="22">
        <v>0</v>
      </c>
      <c r="L18" s="39">
        <v>0</v>
      </c>
      <c r="M18" s="22">
        <f t="shared" si="2"/>
        <v>0</v>
      </c>
    </row>
    <row r="19" spans="1:13">
      <c r="A19" s="41" t="s">
        <v>139</v>
      </c>
      <c r="B19" s="39">
        <v>0</v>
      </c>
      <c r="C19" s="54">
        <v>0</v>
      </c>
      <c r="D19" s="72">
        <v>0</v>
      </c>
      <c r="E19" s="54">
        <v>0</v>
      </c>
      <c r="F19" s="72">
        <v>0</v>
      </c>
      <c r="G19" s="54">
        <v>0</v>
      </c>
      <c r="H19" s="72">
        <v>0</v>
      </c>
      <c r="I19" s="54">
        <v>0</v>
      </c>
      <c r="J19" s="72">
        <v>0</v>
      </c>
      <c r="K19" s="22">
        <v>0</v>
      </c>
      <c r="L19" s="39">
        <v>0</v>
      </c>
      <c r="M19" s="22">
        <f t="shared" si="2"/>
        <v>0</v>
      </c>
    </row>
    <row r="20" spans="1:13">
      <c r="A20" s="42" t="s">
        <v>129</v>
      </c>
      <c r="B20" s="64">
        <v>0</v>
      </c>
      <c r="C20" s="59">
        <v>0</v>
      </c>
      <c r="D20" s="73">
        <v>0</v>
      </c>
      <c r="E20" s="59">
        <v>0</v>
      </c>
      <c r="F20" s="73">
        <v>0</v>
      </c>
      <c r="G20" s="59">
        <v>0</v>
      </c>
      <c r="H20" s="73">
        <v>0</v>
      </c>
      <c r="I20" s="59">
        <v>0</v>
      </c>
      <c r="J20" s="73">
        <v>0</v>
      </c>
      <c r="K20" s="35">
        <v>0</v>
      </c>
      <c r="L20" s="64">
        <v>0</v>
      </c>
      <c r="M20" s="35">
        <f t="shared" si="2"/>
        <v>0</v>
      </c>
    </row>
    <row r="21" spans="1:13">
      <c r="A21" s="23" t="s">
        <v>561</v>
      </c>
      <c r="B21" s="27">
        <f t="shared" ref="B21:K21" si="3">SUM(B15:B20)</f>
        <v>0</v>
      </c>
      <c r="C21" s="60">
        <f t="shared" si="3"/>
        <v>0</v>
      </c>
      <c r="D21" s="27">
        <f t="shared" si="3"/>
        <v>0</v>
      </c>
      <c r="E21" s="56">
        <f t="shared" si="3"/>
        <v>0</v>
      </c>
      <c r="F21" s="27">
        <f t="shared" si="3"/>
        <v>0</v>
      </c>
      <c r="G21" s="60">
        <f t="shared" si="3"/>
        <v>0</v>
      </c>
      <c r="H21" s="27">
        <f t="shared" si="3"/>
        <v>0</v>
      </c>
      <c r="I21" s="60">
        <f t="shared" si="3"/>
        <v>0</v>
      </c>
      <c r="J21" s="27">
        <f t="shared" si="3"/>
        <v>0</v>
      </c>
      <c r="K21" s="36">
        <f t="shared" si="3"/>
        <v>0</v>
      </c>
      <c r="L21" s="27">
        <f t="shared" ref="L21" si="4">SUM(L15:L20)</f>
        <v>0</v>
      </c>
      <c r="M21" s="36">
        <f t="shared" ref="M21" si="5">SUM(M15:M20)</f>
        <v>0</v>
      </c>
    </row>
    <row r="22" spans="1:13">
      <c r="A22" s="24" t="s">
        <v>562</v>
      </c>
      <c r="B22" s="25"/>
      <c r="C22" s="25"/>
      <c r="D22" s="25"/>
      <c r="E22" s="25"/>
      <c r="F22" s="25"/>
      <c r="G22" s="25"/>
      <c r="H22" s="25"/>
      <c r="I22" s="25"/>
      <c r="J22" s="25"/>
      <c r="K22" s="25"/>
      <c r="L22" s="25"/>
      <c r="M22" s="25"/>
    </row>
    <row r="23" spans="1:13">
      <c r="A23" s="40" t="s">
        <v>127</v>
      </c>
      <c r="B23" s="65">
        <v>0</v>
      </c>
      <c r="C23" s="54">
        <v>0</v>
      </c>
      <c r="D23" s="72">
        <v>0</v>
      </c>
      <c r="E23" s="54">
        <v>0</v>
      </c>
      <c r="F23" s="72">
        <v>0</v>
      </c>
      <c r="G23" s="54">
        <v>0</v>
      </c>
      <c r="H23" s="72">
        <v>0</v>
      </c>
      <c r="I23" s="54">
        <v>0</v>
      </c>
      <c r="J23" s="72">
        <v>0</v>
      </c>
      <c r="K23" s="32">
        <v>0</v>
      </c>
      <c r="L23" s="65">
        <v>0</v>
      </c>
      <c r="M23" s="32">
        <f t="shared" ref="M23:M29" si="6">SUM(E23,G23,I23,K23)</f>
        <v>0</v>
      </c>
    </row>
    <row r="24" spans="1:13">
      <c r="A24" s="41" t="s">
        <v>120</v>
      </c>
      <c r="B24" s="39">
        <v>0</v>
      </c>
      <c r="C24" s="54">
        <v>0</v>
      </c>
      <c r="D24" s="72">
        <v>0</v>
      </c>
      <c r="E24" s="54">
        <v>0</v>
      </c>
      <c r="F24" s="72">
        <v>0</v>
      </c>
      <c r="G24" s="54">
        <v>0</v>
      </c>
      <c r="H24" s="72">
        <v>0</v>
      </c>
      <c r="I24" s="54">
        <v>0</v>
      </c>
      <c r="J24" s="72">
        <v>0</v>
      </c>
      <c r="K24" s="22">
        <v>0</v>
      </c>
      <c r="L24" s="39">
        <v>0</v>
      </c>
      <c r="M24" s="22">
        <f t="shared" si="6"/>
        <v>0</v>
      </c>
    </row>
    <row r="25" spans="1:13">
      <c r="A25" s="41" t="s">
        <v>107</v>
      </c>
      <c r="B25" s="39">
        <v>0</v>
      </c>
      <c r="C25" s="54">
        <v>0</v>
      </c>
      <c r="D25" s="72">
        <v>0</v>
      </c>
      <c r="E25" s="54">
        <v>0</v>
      </c>
      <c r="F25" s="72">
        <v>0</v>
      </c>
      <c r="G25" s="54">
        <v>0</v>
      </c>
      <c r="H25" s="72">
        <v>0</v>
      </c>
      <c r="I25" s="54">
        <v>0</v>
      </c>
      <c r="J25" s="72">
        <v>0</v>
      </c>
      <c r="K25" s="22">
        <v>0</v>
      </c>
      <c r="L25" s="39">
        <v>0</v>
      </c>
      <c r="M25" s="22">
        <f t="shared" si="6"/>
        <v>0</v>
      </c>
    </row>
    <row r="26" spans="1:13">
      <c r="A26" s="41" t="s">
        <v>104</v>
      </c>
      <c r="B26" s="39">
        <v>0</v>
      </c>
      <c r="C26" s="54">
        <v>0</v>
      </c>
      <c r="D26" s="72">
        <v>0</v>
      </c>
      <c r="E26" s="54">
        <v>0</v>
      </c>
      <c r="F26" s="72">
        <v>0</v>
      </c>
      <c r="G26" s="54">
        <v>0</v>
      </c>
      <c r="H26" s="72">
        <v>0</v>
      </c>
      <c r="I26" s="54">
        <v>0</v>
      </c>
      <c r="J26" s="72">
        <v>0</v>
      </c>
      <c r="K26" s="22">
        <v>0</v>
      </c>
      <c r="L26" s="39">
        <v>0</v>
      </c>
      <c r="M26" s="22">
        <f t="shared" si="6"/>
        <v>0</v>
      </c>
    </row>
    <row r="27" spans="1:13">
      <c r="A27" s="41" t="s">
        <v>102</v>
      </c>
      <c r="B27" s="39">
        <v>0</v>
      </c>
      <c r="C27" s="54">
        <v>0</v>
      </c>
      <c r="D27" s="72">
        <v>0</v>
      </c>
      <c r="E27" s="54">
        <v>0</v>
      </c>
      <c r="F27" s="72">
        <v>0</v>
      </c>
      <c r="G27" s="54">
        <v>0</v>
      </c>
      <c r="H27" s="72">
        <v>0</v>
      </c>
      <c r="I27" s="54">
        <v>0</v>
      </c>
      <c r="J27" s="72">
        <v>0</v>
      </c>
      <c r="K27" s="22">
        <v>0</v>
      </c>
      <c r="L27" s="39">
        <v>0</v>
      </c>
      <c r="M27" s="22">
        <f t="shared" si="6"/>
        <v>0</v>
      </c>
    </row>
    <row r="28" spans="1:13">
      <c r="A28" s="41" t="s">
        <v>98</v>
      </c>
      <c r="B28" s="39">
        <v>0</v>
      </c>
      <c r="C28" s="54">
        <v>0</v>
      </c>
      <c r="D28" s="72">
        <v>0</v>
      </c>
      <c r="E28" s="54">
        <v>0</v>
      </c>
      <c r="F28" s="72">
        <v>0</v>
      </c>
      <c r="G28" s="54">
        <v>0</v>
      </c>
      <c r="H28" s="72">
        <v>0</v>
      </c>
      <c r="I28" s="54">
        <v>0</v>
      </c>
      <c r="J28" s="72">
        <v>0</v>
      </c>
      <c r="K28" s="22">
        <v>0</v>
      </c>
      <c r="L28" s="39">
        <v>0</v>
      </c>
      <c r="M28" s="22">
        <f t="shared" si="6"/>
        <v>0</v>
      </c>
    </row>
    <row r="29" spans="1:13">
      <c r="A29" s="42" t="s">
        <v>84</v>
      </c>
      <c r="B29" s="64">
        <v>0</v>
      </c>
      <c r="C29" s="59">
        <v>0</v>
      </c>
      <c r="D29" s="73">
        <v>0</v>
      </c>
      <c r="E29" s="59">
        <v>0</v>
      </c>
      <c r="F29" s="73">
        <v>0</v>
      </c>
      <c r="G29" s="59">
        <v>0</v>
      </c>
      <c r="H29" s="73">
        <v>0</v>
      </c>
      <c r="I29" s="59">
        <v>0</v>
      </c>
      <c r="J29" s="73">
        <v>0</v>
      </c>
      <c r="K29" s="35">
        <v>0</v>
      </c>
      <c r="L29" s="64">
        <v>0</v>
      </c>
      <c r="M29" s="35">
        <f t="shared" si="6"/>
        <v>0</v>
      </c>
    </row>
    <row r="30" spans="1:13">
      <c r="A30" s="23" t="s">
        <v>563</v>
      </c>
      <c r="B30" s="27">
        <f t="shared" ref="B30:K30" si="7">SUM(B23:B29)</f>
        <v>0</v>
      </c>
      <c r="C30" s="60">
        <f t="shared" si="7"/>
        <v>0</v>
      </c>
      <c r="D30" s="27">
        <f t="shared" si="7"/>
        <v>0</v>
      </c>
      <c r="E30" s="60">
        <f t="shared" si="7"/>
        <v>0</v>
      </c>
      <c r="F30" s="27">
        <f t="shared" si="7"/>
        <v>0</v>
      </c>
      <c r="G30" s="60">
        <f t="shared" si="7"/>
        <v>0</v>
      </c>
      <c r="H30" s="27">
        <f t="shared" si="7"/>
        <v>0</v>
      </c>
      <c r="I30" s="60">
        <f t="shared" si="7"/>
        <v>0</v>
      </c>
      <c r="J30" s="27">
        <f t="shared" si="7"/>
        <v>0</v>
      </c>
      <c r="K30" s="36">
        <f t="shared" si="7"/>
        <v>0</v>
      </c>
      <c r="L30" s="27">
        <f t="shared" ref="L30" si="8">SUM(L23:L29)</f>
        <v>0</v>
      </c>
      <c r="M30" s="36">
        <f t="shared" ref="M30" si="9">SUM(M23:M29)</f>
        <v>0</v>
      </c>
    </row>
    <row r="31" spans="1:13">
      <c r="A31" s="24" t="s">
        <v>429</v>
      </c>
      <c r="B31" s="21"/>
      <c r="C31" s="26"/>
      <c r="D31" s="26"/>
      <c r="E31" s="26"/>
      <c r="F31" s="26"/>
      <c r="G31" s="26"/>
      <c r="H31" s="26"/>
      <c r="I31" s="26"/>
      <c r="J31" s="26"/>
      <c r="K31" s="26"/>
      <c r="L31" s="21"/>
      <c r="M31" s="26"/>
    </row>
    <row r="32" spans="1:13">
      <c r="A32" s="40" t="s">
        <v>81</v>
      </c>
      <c r="B32" s="65">
        <v>0</v>
      </c>
      <c r="C32" s="54">
        <v>0</v>
      </c>
      <c r="D32" s="72">
        <v>0</v>
      </c>
      <c r="E32" s="54">
        <v>0</v>
      </c>
      <c r="F32" s="72">
        <v>0</v>
      </c>
      <c r="G32" s="54">
        <v>0</v>
      </c>
      <c r="H32" s="72">
        <v>0</v>
      </c>
      <c r="I32" s="54">
        <v>0</v>
      </c>
      <c r="J32" s="72">
        <v>0</v>
      </c>
      <c r="K32" s="32">
        <v>0</v>
      </c>
      <c r="L32" s="65">
        <v>0</v>
      </c>
      <c r="M32" s="32">
        <f>SUM(E32,G32,I32,K32)</f>
        <v>0</v>
      </c>
    </row>
    <row r="33" spans="1:13">
      <c r="A33" s="42" t="s">
        <v>79</v>
      </c>
      <c r="B33" s="64">
        <v>0</v>
      </c>
      <c r="C33" s="59">
        <v>0</v>
      </c>
      <c r="D33" s="73">
        <v>0</v>
      </c>
      <c r="E33" s="59">
        <v>0</v>
      </c>
      <c r="F33" s="73">
        <v>0</v>
      </c>
      <c r="G33" s="59">
        <v>0</v>
      </c>
      <c r="H33" s="73">
        <v>0</v>
      </c>
      <c r="I33" s="59">
        <v>0</v>
      </c>
      <c r="J33" s="73">
        <v>0</v>
      </c>
      <c r="K33" s="35">
        <v>0</v>
      </c>
      <c r="L33" s="64">
        <v>0</v>
      </c>
      <c r="M33" s="35">
        <f>SUM(E33,G33,I33,K33)</f>
        <v>0</v>
      </c>
    </row>
    <row r="34" spans="1:13">
      <c r="A34" s="23" t="s">
        <v>564</v>
      </c>
      <c r="B34" s="27">
        <f t="shared" ref="B34:K34" si="10">SUM(B32:B33)</f>
        <v>0</v>
      </c>
      <c r="C34" s="60">
        <f t="shared" si="10"/>
        <v>0</v>
      </c>
      <c r="D34" s="27">
        <f t="shared" si="10"/>
        <v>0</v>
      </c>
      <c r="E34" s="60">
        <f t="shared" si="10"/>
        <v>0</v>
      </c>
      <c r="F34" s="27">
        <f t="shared" si="10"/>
        <v>0</v>
      </c>
      <c r="G34" s="60">
        <f t="shared" si="10"/>
        <v>0</v>
      </c>
      <c r="H34" s="27">
        <f t="shared" si="10"/>
        <v>0</v>
      </c>
      <c r="I34" s="60">
        <f t="shared" si="10"/>
        <v>0</v>
      </c>
      <c r="J34" s="27">
        <f t="shared" si="10"/>
        <v>0</v>
      </c>
      <c r="K34" s="36">
        <f t="shared" si="10"/>
        <v>0</v>
      </c>
      <c r="L34" s="27">
        <f t="shared" ref="L34" si="11">SUM(L32:L33)</f>
        <v>0</v>
      </c>
      <c r="M34" s="36">
        <f t="shared" ref="M34" si="12">SUM(M32:M33)</f>
        <v>0</v>
      </c>
    </row>
    <row r="35" spans="1:13">
      <c r="A35" s="24" t="s">
        <v>565</v>
      </c>
      <c r="B35" s="26"/>
      <c r="C35" s="26"/>
      <c r="D35" s="26"/>
      <c r="E35" s="26"/>
      <c r="F35" s="26"/>
      <c r="G35" s="26"/>
      <c r="H35" s="26"/>
      <c r="I35" s="26"/>
      <c r="J35" s="26"/>
      <c r="K35" s="26"/>
      <c r="L35" s="26"/>
      <c r="M35" s="26"/>
    </row>
    <row r="36" spans="1:13">
      <c r="A36" s="40" t="s">
        <v>77</v>
      </c>
      <c r="B36" s="65">
        <v>0</v>
      </c>
      <c r="C36" s="54">
        <v>0</v>
      </c>
      <c r="D36" s="72">
        <v>0</v>
      </c>
      <c r="E36" s="54">
        <v>0</v>
      </c>
      <c r="F36" s="72">
        <v>0</v>
      </c>
      <c r="G36" s="54">
        <v>0</v>
      </c>
      <c r="H36" s="72">
        <v>0</v>
      </c>
      <c r="I36" s="54">
        <v>0</v>
      </c>
      <c r="J36" s="72">
        <v>0</v>
      </c>
      <c r="K36" s="32">
        <v>0</v>
      </c>
      <c r="L36" s="65">
        <v>0</v>
      </c>
      <c r="M36" s="32">
        <f t="shared" ref="M36:M41" si="13">SUM(E36,G36,I36,K36)</f>
        <v>0</v>
      </c>
    </row>
    <row r="37" spans="1:13">
      <c r="A37" s="41" t="s">
        <v>59</v>
      </c>
      <c r="B37" s="39">
        <v>0</v>
      </c>
      <c r="C37" s="54">
        <v>0</v>
      </c>
      <c r="D37" s="72">
        <v>0</v>
      </c>
      <c r="E37" s="54">
        <v>0</v>
      </c>
      <c r="F37" s="72">
        <v>0</v>
      </c>
      <c r="G37" s="54">
        <v>0</v>
      </c>
      <c r="H37" s="72">
        <v>0</v>
      </c>
      <c r="I37" s="54">
        <v>0</v>
      </c>
      <c r="J37" s="72">
        <v>0</v>
      </c>
      <c r="K37" s="22">
        <v>0</v>
      </c>
      <c r="L37" s="39">
        <v>0</v>
      </c>
      <c r="M37" s="22">
        <f t="shared" si="13"/>
        <v>0</v>
      </c>
    </row>
    <row r="38" spans="1:13">
      <c r="A38" s="41" t="s">
        <v>39</v>
      </c>
      <c r="B38" s="39">
        <v>0</v>
      </c>
      <c r="C38" s="54">
        <v>0</v>
      </c>
      <c r="D38" s="72">
        <v>0</v>
      </c>
      <c r="E38" s="54">
        <v>0</v>
      </c>
      <c r="F38" s="72">
        <v>0</v>
      </c>
      <c r="G38" s="54">
        <v>0</v>
      </c>
      <c r="H38" s="72">
        <v>0</v>
      </c>
      <c r="I38" s="54">
        <v>0</v>
      </c>
      <c r="J38" s="72">
        <v>0</v>
      </c>
      <c r="K38" s="22">
        <v>0</v>
      </c>
      <c r="L38" s="39">
        <v>0</v>
      </c>
      <c r="M38" s="22">
        <f t="shared" si="13"/>
        <v>0</v>
      </c>
    </row>
    <row r="39" spans="1:13">
      <c r="A39" s="92" t="s">
        <v>31</v>
      </c>
      <c r="B39" s="93">
        <v>0</v>
      </c>
      <c r="C39" s="94">
        <v>0</v>
      </c>
      <c r="D39" s="95">
        <v>0</v>
      </c>
      <c r="E39" s="94">
        <v>0</v>
      </c>
      <c r="F39" s="95">
        <v>0</v>
      </c>
      <c r="G39" s="94">
        <v>0</v>
      </c>
      <c r="H39" s="95">
        <v>0</v>
      </c>
      <c r="I39" s="94">
        <v>0</v>
      </c>
      <c r="J39" s="95">
        <v>0</v>
      </c>
      <c r="K39" s="96">
        <v>0</v>
      </c>
      <c r="L39" s="93">
        <v>0</v>
      </c>
      <c r="M39" s="96">
        <f t="shared" si="13"/>
        <v>0</v>
      </c>
    </row>
    <row r="40" spans="1:13">
      <c r="A40" s="41" t="s">
        <v>27</v>
      </c>
      <c r="B40" s="39">
        <v>0</v>
      </c>
      <c r="C40" s="54">
        <v>0</v>
      </c>
      <c r="D40" s="72">
        <v>0</v>
      </c>
      <c r="E40" s="54">
        <v>0</v>
      </c>
      <c r="F40" s="72">
        <v>0</v>
      </c>
      <c r="G40" s="54">
        <v>0</v>
      </c>
      <c r="H40" s="72">
        <v>0</v>
      </c>
      <c r="I40" s="54">
        <v>0</v>
      </c>
      <c r="J40" s="72">
        <v>0</v>
      </c>
      <c r="K40" s="22">
        <v>0</v>
      </c>
      <c r="L40" s="39">
        <v>0</v>
      </c>
      <c r="M40" s="22">
        <f t="shared" si="13"/>
        <v>0</v>
      </c>
    </row>
    <row r="41" spans="1:13">
      <c r="A41" s="42" t="s">
        <v>25</v>
      </c>
      <c r="B41" s="64">
        <v>0</v>
      </c>
      <c r="C41" s="59">
        <v>0</v>
      </c>
      <c r="D41" s="73">
        <v>0</v>
      </c>
      <c r="E41" s="59">
        <v>0</v>
      </c>
      <c r="F41" s="73">
        <v>0</v>
      </c>
      <c r="G41" s="59">
        <v>0</v>
      </c>
      <c r="H41" s="73">
        <v>0</v>
      </c>
      <c r="I41" s="59">
        <v>0</v>
      </c>
      <c r="J41" s="73">
        <v>0</v>
      </c>
      <c r="K41" s="35">
        <v>0</v>
      </c>
      <c r="L41" s="64">
        <v>0</v>
      </c>
      <c r="M41" s="35">
        <f t="shared" si="13"/>
        <v>0</v>
      </c>
    </row>
    <row r="42" spans="1:13">
      <c r="A42" s="23" t="s">
        <v>566</v>
      </c>
      <c r="B42" s="27">
        <f t="shared" ref="B42:K42" si="14">SUM(B36:B41)</f>
        <v>0</v>
      </c>
      <c r="C42" s="56">
        <f t="shared" si="14"/>
        <v>0</v>
      </c>
      <c r="D42" s="66">
        <f t="shared" si="14"/>
        <v>0</v>
      </c>
      <c r="E42" s="56">
        <f t="shared" si="14"/>
        <v>0</v>
      </c>
      <c r="F42" s="66">
        <f t="shared" si="14"/>
        <v>0</v>
      </c>
      <c r="G42" s="56">
        <f t="shared" si="14"/>
        <v>0</v>
      </c>
      <c r="H42" s="66">
        <f t="shared" si="14"/>
        <v>0</v>
      </c>
      <c r="I42" s="56">
        <f t="shared" si="14"/>
        <v>0</v>
      </c>
      <c r="J42" s="66">
        <f t="shared" si="14"/>
        <v>0</v>
      </c>
      <c r="K42" s="37">
        <f t="shared" si="14"/>
        <v>0</v>
      </c>
      <c r="L42" s="27">
        <f t="shared" ref="L42" si="15">SUM(L36:L41)</f>
        <v>0</v>
      </c>
      <c r="M42" s="37">
        <f t="shared" ref="M42" si="16">SUM(M36:M41)</f>
        <v>0</v>
      </c>
    </row>
    <row r="43" spans="1:13" ht="16.2" thickBot="1">
      <c r="A43" s="43" t="s">
        <v>567</v>
      </c>
      <c r="B43" s="34">
        <f>SUM(B21,B30,B34,B42)</f>
        <v>0</v>
      </c>
      <c r="C43" s="52">
        <f t="shared" ref="C43:K43" si="17">SUM(C21,C30,C34,C42)</f>
        <v>0</v>
      </c>
      <c r="D43" s="34">
        <f t="shared" si="17"/>
        <v>0</v>
      </c>
      <c r="E43" s="52">
        <f t="shared" si="17"/>
        <v>0</v>
      </c>
      <c r="F43" s="34">
        <f t="shared" si="17"/>
        <v>0</v>
      </c>
      <c r="G43" s="52">
        <f t="shared" si="17"/>
        <v>0</v>
      </c>
      <c r="H43" s="34">
        <f t="shared" si="17"/>
        <v>0</v>
      </c>
      <c r="I43" s="52">
        <f t="shared" si="17"/>
        <v>0</v>
      </c>
      <c r="J43" s="34">
        <f t="shared" si="17"/>
        <v>0</v>
      </c>
      <c r="K43" s="34">
        <f t="shared" si="17"/>
        <v>0</v>
      </c>
      <c r="L43" s="34">
        <f>SUM(L21,L30,L34,L42)</f>
        <v>0</v>
      </c>
      <c r="M43" s="34">
        <f t="shared" ref="M43" si="18">SUM(M21,M30,M34,M42)</f>
        <v>0</v>
      </c>
    </row>
    <row r="44" spans="1:13" ht="15" thickTop="1">
      <c r="A44" s="44" t="s">
        <v>568</v>
      </c>
      <c r="B44" s="28"/>
      <c r="C44" s="20"/>
      <c r="D44" s="28"/>
      <c r="E44" s="20"/>
      <c r="F44" s="28"/>
      <c r="G44" s="20"/>
      <c r="H44" s="28"/>
      <c r="I44" s="20"/>
      <c r="J44" s="28"/>
      <c r="K44" s="20"/>
      <c r="L44" s="28"/>
      <c r="M44" s="20"/>
    </row>
    <row r="45" spans="1:13">
      <c r="A45" s="40" t="s">
        <v>23</v>
      </c>
      <c r="B45" s="65">
        <v>0</v>
      </c>
      <c r="C45" s="54">
        <v>0</v>
      </c>
      <c r="D45" s="72">
        <v>0</v>
      </c>
      <c r="E45" s="54">
        <v>0</v>
      </c>
      <c r="F45" s="72">
        <v>0</v>
      </c>
      <c r="G45" s="54">
        <v>0</v>
      </c>
      <c r="H45" s="72">
        <v>0</v>
      </c>
      <c r="I45" s="54">
        <v>0</v>
      </c>
      <c r="J45" s="72">
        <v>0</v>
      </c>
      <c r="K45" s="32">
        <v>0</v>
      </c>
      <c r="L45" s="65">
        <v>0</v>
      </c>
      <c r="M45" s="32">
        <f>SUM(E45,G45,I45,K45)</f>
        <v>0</v>
      </c>
    </row>
    <row r="46" spans="1:13">
      <c r="A46" s="42" t="s">
        <v>7</v>
      </c>
      <c r="B46" s="64">
        <v>0</v>
      </c>
      <c r="C46" s="59">
        <v>0</v>
      </c>
      <c r="D46" s="73">
        <v>0</v>
      </c>
      <c r="E46" s="59">
        <v>0</v>
      </c>
      <c r="F46" s="73">
        <v>0</v>
      </c>
      <c r="G46" s="59">
        <v>0</v>
      </c>
      <c r="H46" s="73">
        <v>0</v>
      </c>
      <c r="I46" s="59">
        <v>0</v>
      </c>
      <c r="J46" s="73">
        <v>0</v>
      </c>
      <c r="K46" s="35">
        <v>0</v>
      </c>
      <c r="L46" s="64">
        <v>0</v>
      </c>
      <c r="M46" s="35">
        <f>SUM(E46,G46,I46,K46)</f>
        <v>0</v>
      </c>
    </row>
    <row r="47" spans="1:13">
      <c r="A47" s="45" t="s">
        <v>569</v>
      </c>
      <c r="B47" s="49">
        <f t="shared" ref="B47:K47" si="19">SUM(B45:B46)</f>
        <v>0</v>
      </c>
      <c r="C47" s="60">
        <f t="shared" si="19"/>
        <v>0</v>
      </c>
      <c r="D47" s="27">
        <f t="shared" si="19"/>
        <v>0</v>
      </c>
      <c r="E47" s="60">
        <f t="shared" si="19"/>
        <v>0</v>
      </c>
      <c r="F47" s="27">
        <f t="shared" si="19"/>
        <v>0</v>
      </c>
      <c r="G47" s="60">
        <f t="shared" si="19"/>
        <v>0</v>
      </c>
      <c r="H47" s="27">
        <f t="shared" si="19"/>
        <v>0</v>
      </c>
      <c r="I47" s="60">
        <f t="shared" si="19"/>
        <v>0</v>
      </c>
      <c r="J47" s="27">
        <f t="shared" si="19"/>
        <v>0</v>
      </c>
      <c r="K47" s="36">
        <f t="shared" si="19"/>
        <v>0</v>
      </c>
      <c r="L47" s="49">
        <f t="shared" ref="L47" si="20">SUM(L45:L46)</f>
        <v>0</v>
      </c>
      <c r="M47" s="36">
        <f t="shared" ref="M47" si="21">SUM(M45:M46)</f>
        <v>0</v>
      </c>
    </row>
    <row r="48" spans="1:13" ht="16.2" thickBot="1">
      <c r="A48" s="43" t="s">
        <v>570</v>
      </c>
      <c r="B48" s="34">
        <f>SUM(B12,B43,B47)</f>
        <v>0</v>
      </c>
      <c r="C48" s="52">
        <f t="shared" ref="C48:K48" si="22">SUM(C12,C43,C47)</f>
        <v>0</v>
      </c>
      <c r="D48" s="34">
        <f t="shared" si="22"/>
        <v>0</v>
      </c>
      <c r="E48" s="52">
        <f t="shared" si="22"/>
        <v>0</v>
      </c>
      <c r="F48" s="34">
        <f t="shared" si="22"/>
        <v>0</v>
      </c>
      <c r="G48" s="52">
        <f t="shared" si="22"/>
        <v>0</v>
      </c>
      <c r="H48" s="34">
        <f t="shared" si="22"/>
        <v>0</v>
      </c>
      <c r="I48" s="52">
        <f t="shared" si="22"/>
        <v>0</v>
      </c>
      <c r="J48" s="34">
        <f t="shared" si="22"/>
        <v>0</v>
      </c>
      <c r="K48" s="34">
        <f t="shared" si="22"/>
        <v>0</v>
      </c>
      <c r="L48" s="34">
        <f>SUM(L12,L43,L47)</f>
        <v>0</v>
      </c>
      <c r="M48" s="34">
        <f t="shared" ref="M48" si="23">SUM(M12,M43,M47)</f>
        <v>0</v>
      </c>
    </row>
    <row r="49" spans="1:13" ht="15" thickTop="1">
      <c r="A49" s="29"/>
      <c r="B49" s="19"/>
      <c r="C49" s="48"/>
      <c r="D49" s="19"/>
      <c r="E49" s="48"/>
      <c r="F49" s="19"/>
      <c r="G49" s="48"/>
      <c r="H49" s="19"/>
      <c r="I49" s="48"/>
      <c r="J49" s="19"/>
      <c r="K49" s="48"/>
      <c r="L49" s="19"/>
      <c r="M49" s="48"/>
    </row>
  </sheetData>
  <conditionalFormatting sqref="B36:M43 B32:M34 B23:M30 B15:M21">
    <cfRule type="cellIs" dxfId="247" priority="733" operator="lessThan">
      <formula>-0.01</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BBE533-0D8E-41BB-B564-388D3F83DA19}">
  <sheetPr codeName="Sheet2">
    <tabColor rgb="FFDCCBA0"/>
  </sheetPr>
  <dimension ref="A1:AZ49"/>
  <sheetViews>
    <sheetView showGridLines="0" showRowColHeaders="0" workbookViewId="0">
      <pane xSplit="1" ySplit="6" topLeftCell="B7" activePane="bottomRight" state="frozen"/>
      <selection pane="topRight" activeCell="B1" sqref="B1"/>
      <selection pane="bottomLeft" activeCell="A7" sqref="A7"/>
      <selection pane="bottomRight"/>
    </sheetView>
  </sheetViews>
  <sheetFormatPr defaultRowHeight="14.4" outlineLevelCol="1"/>
  <cols>
    <col min="1" max="1" width="32.44140625" bestFit="1" customWidth="1"/>
    <col min="2" max="2" width="16.77734375" customWidth="1"/>
    <col min="3" max="5" width="13.44140625" style="57" hidden="1" customWidth="1" outlineLevel="1"/>
    <col min="6" max="6" width="16.77734375" customWidth="1" collapsed="1"/>
    <col min="7" max="9" width="13.44140625" style="57" hidden="1" customWidth="1" outlineLevel="1"/>
    <col min="10" max="10" width="16.77734375" customWidth="1" collapsed="1"/>
    <col min="11" max="13" width="13.44140625" style="57" hidden="1" customWidth="1" outlineLevel="1"/>
    <col min="14" max="14" width="16.77734375" customWidth="1" collapsed="1"/>
    <col min="15" max="17" width="13.44140625" style="57" hidden="1" customWidth="1" outlineLevel="1"/>
    <col min="18" max="18" width="16.77734375" customWidth="1" collapsed="1"/>
    <col min="19" max="21" width="13.44140625" style="57" hidden="1" customWidth="1" outlineLevel="1"/>
    <col min="22" max="22" width="16.77734375" customWidth="1" collapsed="1"/>
    <col min="23" max="25" width="13.44140625" style="57" hidden="1" customWidth="1" outlineLevel="1"/>
    <col min="26" max="26" width="8.88671875" collapsed="1"/>
  </cols>
  <sheetData>
    <row r="1" spans="1:52" ht="15.6">
      <c r="A1" s="68" t="str" cm="1">
        <f t="array" ref="A1">CCName(rngCC)</f>
        <v>CU Student Government - Proper</v>
      </c>
      <c r="B1" s="46"/>
      <c r="C1" s="46"/>
      <c r="D1" s="46"/>
      <c r="E1" s="46"/>
      <c r="F1" s="46"/>
      <c r="G1" s="46"/>
      <c r="H1" s="46"/>
      <c r="I1" s="46"/>
      <c r="J1" s="46"/>
      <c r="K1" s="46"/>
      <c r="L1" s="46"/>
      <c r="M1" s="46"/>
      <c r="N1" s="46"/>
      <c r="O1" s="46"/>
      <c r="P1" s="46"/>
      <c r="Q1" s="46"/>
      <c r="R1" s="46"/>
      <c r="V1" s="46"/>
      <c r="W1" s="46"/>
      <c r="X1" s="46"/>
      <c r="Y1" s="46"/>
    </row>
    <row r="2" spans="1:52" ht="15.6">
      <c r="A2" s="69" t="s">
        <v>588</v>
      </c>
      <c r="B2" s="47"/>
      <c r="C2" s="47"/>
      <c r="D2" s="47"/>
      <c r="E2" s="47"/>
      <c r="F2" s="47"/>
      <c r="G2" s="47"/>
      <c r="H2" s="47"/>
      <c r="I2" s="47"/>
      <c r="J2" s="47"/>
      <c r="K2" s="47"/>
      <c r="L2" s="47"/>
      <c r="M2" s="47"/>
      <c r="N2" s="47"/>
      <c r="O2" s="47"/>
      <c r="P2" s="47"/>
      <c r="Q2" s="47"/>
      <c r="R2" s="47"/>
      <c r="V2" s="47"/>
      <c r="W2" s="47"/>
      <c r="X2" s="47"/>
      <c r="Y2" s="47"/>
    </row>
    <row r="3" spans="1:52">
      <c r="A3" s="136"/>
      <c r="B3" s="61" t="s">
        <v>589</v>
      </c>
      <c r="C3" s="50" t="s">
        <v>572</v>
      </c>
      <c r="D3" s="50" t="s">
        <v>572</v>
      </c>
      <c r="E3" s="50" t="s">
        <v>572</v>
      </c>
      <c r="F3" s="61" t="s">
        <v>573</v>
      </c>
      <c r="G3" s="50" t="s">
        <v>573</v>
      </c>
      <c r="H3" s="50" t="s">
        <v>573</v>
      </c>
      <c r="I3" s="50" t="s">
        <v>573</v>
      </c>
      <c r="J3" s="61" t="s">
        <v>575</v>
      </c>
      <c r="K3" s="50" t="s">
        <v>575</v>
      </c>
      <c r="L3" s="50" t="s">
        <v>575</v>
      </c>
      <c r="M3" s="50" t="s">
        <v>575</v>
      </c>
      <c r="N3" s="61" t="s">
        <v>576</v>
      </c>
      <c r="O3" s="50" t="s">
        <v>576</v>
      </c>
      <c r="P3" s="50" t="s">
        <v>576</v>
      </c>
      <c r="Q3" s="50" t="s">
        <v>576</v>
      </c>
      <c r="R3" s="61" t="s">
        <v>577</v>
      </c>
      <c r="S3" s="38" t="s">
        <v>577</v>
      </c>
      <c r="T3" s="38" t="s">
        <v>577</v>
      </c>
      <c r="U3" s="38" t="s">
        <v>577</v>
      </c>
      <c r="V3" s="61" t="s">
        <v>585</v>
      </c>
      <c r="W3" s="38" t="s">
        <v>585</v>
      </c>
      <c r="X3" s="38" t="s">
        <v>585</v>
      </c>
      <c r="Y3" s="38" t="s">
        <v>585</v>
      </c>
      <c r="Z3" s="136"/>
      <c r="AA3" s="136"/>
      <c r="AB3" s="136"/>
      <c r="AC3" s="136"/>
      <c r="AD3" s="136"/>
      <c r="AE3" s="136"/>
      <c r="AF3" s="136"/>
      <c r="AG3" s="136"/>
      <c r="AH3" s="136"/>
      <c r="AI3" s="136"/>
      <c r="AJ3" s="136"/>
      <c r="AK3" s="136"/>
      <c r="AL3" s="136"/>
      <c r="AM3" s="136"/>
      <c r="AN3" s="136"/>
      <c r="AO3" s="136"/>
      <c r="AP3" s="136"/>
      <c r="AQ3" s="136"/>
      <c r="AR3" s="136"/>
      <c r="AS3" s="136"/>
      <c r="AT3" s="136"/>
      <c r="AU3" s="136"/>
      <c r="AV3" s="136"/>
      <c r="AW3" s="136"/>
      <c r="AX3" s="136"/>
      <c r="AY3" s="136"/>
      <c r="AZ3" s="136"/>
    </row>
    <row r="4" spans="1:52">
      <c r="A4" s="16"/>
      <c r="B4" s="31" t="str">
        <f>_xlfn.CONCAT("FY ",rngFY+rngYRS)</f>
        <v>FY 19</v>
      </c>
      <c r="C4" s="51" t="s">
        <v>555</v>
      </c>
      <c r="D4" s="51" t="s">
        <v>555</v>
      </c>
      <c r="E4" s="51" t="s">
        <v>555</v>
      </c>
      <c r="F4" s="31" t="s">
        <v>788</v>
      </c>
      <c r="G4" s="31" t="s">
        <v>789</v>
      </c>
      <c r="H4" s="31" t="s">
        <v>789</v>
      </c>
      <c r="I4" s="31" t="s">
        <v>789</v>
      </c>
      <c r="J4" s="31" t="s">
        <v>788</v>
      </c>
      <c r="K4" s="31" t="s">
        <v>789</v>
      </c>
      <c r="L4" s="31" t="s">
        <v>789</v>
      </c>
      <c r="M4" s="31" t="s">
        <v>789</v>
      </c>
      <c r="N4" s="31" t="s">
        <v>788</v>
      </c>
      <c r="O4" s="31" t="s">
        <v>789</v>
      </c>
      <c r="P4" s="31" t="s">
        <v>789</v>
      </c>
      <c r="Q4" s="31" t="s">
        <v>789</v>
      </c>
      <c r="R4" s="31" t="s">
        <v>788</v>
      </c>
      <c r="S4" s="31" t="s">
        <v>789</v>
      </c>
      <c r="T4" s="31" t="s">
        <v>789</v>
      </c>
      <c r="U4" s="31" t="s">
        <v>789</v>
      </c>
      <c r="V4" s="31" t="s">
        <v>574</v>
      </c>
      <c r="W4" s="31" t="s">
        <v>584</v>
      </c>
      <c r="X4" s="31" t="s">
        <v>584</v>
      </c>
      <c r="Y4" s="31" t="s">
        <v>584</v>
      </c>
    </row>
    <row r="5" spans="1:52">
      <c r="A5" s="17"/>
      <c r="B5" s="31"/>
      <c r="C5" s="51" t="s">
        <v>587</v>
      </c>
      <c r="D5" s="51" t="s">
        <v>586</v>
      </c>
      <c r="E5" s="51" t="s">
        <v>590</v>
      </c>
      <c r="F5" s="31"/>
      <c r="G5" s="51" t="s">
        <v>587</v>
      </c>
      <c r="H5" s="51" t="s">
        <v>586</v>
      </c>
      <c r="I5" s="51" t="s">
        <v>590</v>
      </c>
      <c r="J5" s="31"/>
      <c r="K5" s="51" t="s">
        <v>587</v>
      </c>
      <c r="L5" s="51" t="s">
        <v>586</v>
      </c>
      <c r="M5" s="51" t="s">
        <v>590</v>
      </c>
      <c r="N5" s="31"/>
      <c r="O5" s="51" t="s">
        <v>587</v>
      </c>
      <c r="P5" s="51" t="s">
        <v>586</v>
      </c>
      <c r="Q5" s="51" t="s">
        <v>590</v>
      </c>
      <c r="R5" s="31"/>
      <c r="S5" s="31" t="s">
        <v>587</v>
      </c>
      <c r="T5" s="31" t="s">
        <v>586</v>
      </c>
      <c r="U5" s="31" t="s">
        <v>590</v>
      </c>
      <c r="V5" s="31"/>
      <c r="W5" s="31" t="s">
        <v>587</v>
      </c>
      <c r="X5" s="31" t="s">
        <v>586</v>
      </c>
      <c r="Y5" s="31" t="s">
        <v>590</v>
      </c>
    </row>
    <row r="6" spans="1:52">
      <c r="A6" s="70"/>
      <c r="B6" s="62"/>
      <c r="C6" s="53"/>
      <c r="D6" s="53"/>
      <c r="E6" s="53"/>
      <c r="F6" s="62"/>
      <c r="G6" s="53"/>
      <c r="H6" s="53"/>
      <c r="I6" s="53"/>
      <c r="J6" s="62"/>
      <c r="K6" s="53"/>
      <c r="L6" s="53"/>
      <c r="M6" s="53"/>
      <c r="N6" s="62"/>
      <c r="O6" s="53"/>
      <c r="P6" s="53"/>
      <c r="Q6" s="53"/>
      <c r="R6" s="62"/>
      <c r="S6" s="62"/>
      <c r="T6" s="62"/>
      <c r="U6" s="62"/>
      <c r="V6" s="62"/>
      <c r="W6" s="62"/>
      <c r="X6" s="62"/>
      <c r="Y6" s="62"/>
    </row>
    <row r="7" spans="1:52">
      <c r="A7" s="18" t="s">
        <v>556</v>
      </c>
      <c r="B7" s="63"/>
      <c r="C7" s="58"/>
      <c r="D7" s="58"/>
      <c r="E7" s="58"/>
      <c r="F7" s="63"/>
      <c r="G7" s="58"/>
      <c r="H7" s="58"/>
      <c r="I7" s="58"/>
      <c r="J7" s="63"/>
      <c r="K7" s="58"/>
      <c r="L7" s="58"/>
      <c r="M7" s="58"/>
      <c r="N7" s="63"/>
      <c r="O7" s="58"/>
      <c r="P7" s="58"/>
      <c r="Q7" s="58"/>
      <c r="R7" s="63"/>
      <c r="S7" s="63"/>
      <c r="T7" s="63"/>
      <c r="U7" s="63"/>
      <c r="V7" s="63"/>
      <c r="W7" s="63"/>
      <c r="X7" s="63"/>
      <c r="Y7" s="63"/>
    </row>
    <row r="8" spans="1:52">
      <c r="A8" s="40" t="s">
        <v>557</v>
      </c>
      <c r="B8" s="39" cm="1">
        <f t="array" ref="B8">RollUpSum(8,2)</f>
        <v>-629962</v>
      </c>
      <c r="C8" s="54" cm="1">
        <f t="array" ref="C8">RollUpSum(8,3)</f>
        <v>-626018</v>
      </c>
      <c r="D8" s="89" cm="1">
        <f t="array" ref="D8">RollUpSum(8,4)</f>
        <v>-608170</v>
      </c>
      <c r="E8" s="86" cm="1">
        <f t="array" ref="E8">RollUpSum(8,5)</f>
        <v>-629278</v>
      </c>
      <c r="F8" s="72" cm="1">
        <f t="array" ref="F8">RollUpSum(8,6)</f>
        <v>-299343.74650000001</v>
      </c>
      <c r="G8" s="54" cm="1">
        <f t="array" ref="G8">RollUpSum(8,7)</f>
        <v>-298501</v>
      </c>
      <c r="H8" s="89" cm="1">
        <f t="array" ref="H8">RollUpSum(8,8)</f>
        <v>-297070.87</v>
      </c>
      <c r="I8" s="86" cm="1">
        <f t="array" ref="I8">RollUpSum(8,9)</f>
        <v>-302468.34999999998</v>
      </c>
      <c r="J8" s="72" cm="1">
        <f t="array" ref="J8">RollUpSum(8,10)</f>
        <v>4011.0464999999999</v>
      </c>
      <c r="K8" s="54" cm="1">
        <f t="array" ref="K8">RollUpSum(8,11)</f>
        <v>-14503</v>
      </c>
      <c r="L8" s="89" cm="1">
        <f t="array" ref="L8">RollUpSum(8,12)</f>
        <v>18818.599999999999</v>
      </c>
      <c r="M8" s="86" cm="1">
        <f t="array" ref="M8">RollUpSum(8,13)</f>
        <v>7717.66</v>
      </c>
      <c r="N8" s="72" cm="1">
        <f t="array" ref="N8">RollUpSum(8,14)</f>
        <v>-302243.51750000002</v>
      </c>
      <c r="O8" s="54" cm="1">
        <f t="array" ref="O8">RollUpSum(8,15)</f>
        <v>-313014</v>
      </c>
      <c r="P8" s="89" cm="1">
        <f t="array" ref="P8">RollUpSum(8,16)</f>
        <v>-280687.21999999997</v>
      </c>
      <c r="Q8" s="86" cm="1">
        <f t="array" ref="Q8">RollUpSum(8,17)</f>
        <v>-313038.40000000002</v>
      </c>
      <c r="R8" s="72" cm="1">
        <f t="array" ref="R8">RollUpSum(8,18)</f>
        <v>4806.7619000000004</v>
      </c>
      <c r="S8" s="22" cm="1">
        <f t="array" ref="S8">RollUpSum(8,19)</f>
        <v>0</v>
      </c>
      <c r="T8" s="82" cm="1">
        <f t="array" ref="T8">RollUpSum(8,20)</f>
        <v>-225.95</v>
      </c>
      <c r="U8" s="78" cm="1">
        <f t="array" ref="U8">RollUpSum(8,21)</f>
        <v>14646.38</v>
      </c>
      <c r="V8" s="39" cm="1">
        <f t="array" ref="V8">RollUpSum(8,22)</f>
        <v>-592769.45550000004</v>
      </c>
      <c r="W8" s="22" cm="1">
        <f t="array" ref="W8">RollUpSum(8,23)</f>
        <v>-626018</v>
      </c>
      <c r="X8" s="82" cm="1">
        <f t="array" ref="X8">RollUpSum(8,24)</f>
        <v>-559165.43999999994</v>
      </c>
      <c r="Y8" s="78" cm="1">
        <f t="array" ref="Y8">RollUpSum(8,25)</f>
        <v>-593142.71</v>
      </c>
    </row>
    <row r="9" spans="1:52">
      <c r="A9" s="41" t="s">
        <v>558</v>
      </c>
      <c r="B9" s="39" cm="1">
        <f t="array" ref="B9">RollUpSum(9,2)</f>
        <v>0</v>
      </c>
      <c r="C9" s="55" cm="1">
        <f t="array" ref="C9">RollUpSum(9,3)</f>
        <v>0</v>
      </c>
      <c r="D9" s="90" cm="1">
        <f t="array" ref="D9">RollUpSum(9,4)</f>
        <v>0</v>
      </c>
      <c r="E9" s="87" cm="1">
        <f t="array" ref="E9">RollUpSum(9,5)</f>
        <v>0</v>
      </c>
      <c r="F9" s="72" cm="1">
        <f t="array" ref="F9">RollUpSum(9,6)</f>
        <v>-1791.6487999999999</v>
      </c>
      <c r="G9" s="55" cm="1">
        <f t="array" ref="G9">RollUpSum(9,7)</f>
        <v>0</v>
      </c>
      <c r="H9" s="90" cm="1">
        <f t="array" ref="H9">RollUpSum(9,8)</f>
        <v>-5375</v>
      </c>
      <c r="I9" s="87" cm="1">
        <f t="array" ref="I9">RollUpSum(9,9)</f>
        <v>0</v>
      </c>
      <c r="J9" s="72" cm="1">
        <f t="array" ref="J9">RollUpSum(9,10)</f>
        <v>-1082.6558</v>
      </c>
      <c r="K9" s="55" cm="1">
        <f t="array" ref="K9">RollUpSum(9,11)</f>
        <v>0</v>
      </c>
      <c r="L9" s="90" cm="1">
        <f t="array" ref="L9">RollUpSum(9,12)</f>
        <v>-3248</v>
      </c>
      <c r="M9" s="87" cm="1">
        <f t="array" ref="M9">RollUpSum(9,13)</f>
        <v>0</v>
      </c>
      <c r="N9" s="72" cm="1">
        <f t="array" ref="N9">RollUpSum(9,14)</f>
        <v>-102.249</v>
      </c>
      <c r="O9" s="55" cm="1">
        <f t="array" ref="O9">RollUpSum(9,15)</f>
        <v>-306.75</v>
      </c>
      <c r="P9" s="90" cm="1">
        <f t="array" ref="P9">RollUpSum(9,16)</f>
        <v>0</v>
      </c>
      <c r="Q9" s="87" cm="1">
        <f t="array" ref="Q9">RollUpSum(9,17)</f>
        <v>0</v>
      </c>
      <c r="R9" s="72" cm="1">
        <f t="array" ref="R9">RollUpSum(9,18)</f>
        <v>0</v>
      </c>
      <c r="S9" s="33" cm="1">
        <f t="array" ref="S9">RollUpSum(9,19)</f>
        <v>0</v>
      </c>
      <c r="T9" s="83" cm="1">
        <f t="array" ref="T9">RollUpSum(9,20)</f>
        <v>0</v>
      </c>
      <c r="U9" s="79" cm="1">
        <f t="array" ref="U9">RollUpSum(9,21)</f>
        <v>0</v>
      </c>
      <c r="V9" s="39" cm="1">
        <f t="array" ref="V9">RollUpSum(9,22)</f>
        <v>-2976.5536000000002</v>
      </c>
      <c r="W9" s="33" cm="1">
        <f t="array" ref="W9">RollUpSum(9,23)</f>
        <v>-306.75</v>
      </c>
      <c r="X9" s="83" cm="1">
        <f t="array" ref="X9">RollUpSum(9,24)</f>
        <v>-8623</v>
      </c>
      <c r="Y9" s="79" cm="1">
        <f t="array" ref="Y9">RollUpSum(9,25)</f>
        <v>0</v>
      </c>
    </row>
    <row r="10" spans="1:52">
      <c r="A10" s="41" t="s">
        <v>212</v>
      </c>
      <c r="B10" s="39" cm="1">
        <f t="array" ref="B10">RollUpSum(10,2)</f>
        <v>0</v>
      </c>
      <c r="C10" s="55" cm="1">
        <f t="array" ref="C10">RollUpSum(10,3)</f>
        <v>0</v>
      </c>
      <c r="D10" s="90" cm="1">
        <f t="array" ref="D10">RollUpSum(10,4)</f>
        <v>0</v>
      </c>
      <c r="E10" s="87" cm="1">
        <f t="array" ref="E10">RollUpSum(10,5)</f>
        <v>0</v>
      </c>
      <c r="F10" s="72" cm="1">
        <f t="array" ref="F10">RollUpSum(10,6)</f>
        <v>0</v>
      </c>
      <c r="G10" s="55" cm="1">
        <f t="array" ref="G10">RollUpSum(10,7)</f>
        <v>0</v>
      </c>
      <c r="H10" s="90" cm="1">
        <f t="array" ref="H10">RollUpSum(10,8)</f>
        <v>0</v>
      </c>
      <c r="I10" s="87" cm="1">
        <f t="array" ref="I10">RollUpSum(10,9)</f>
        <v>0</v>
      </c>
      <c r="J10" s="72" cm="1">
        <f t="array" ref="J10">RollUpSum(10,10)</f>
        <v>0</v>
      </c>
      <c r="K10" s="55" cm="1">
        <f t="array" ref="K10">RollUpSum(10,11)</f>
        <v>0</v>
      </c>
      <c r="L10" s="90" cm="1">
        <f t="array" ref="L10">RollUpSum(10,12)</f>
        <v>0</v>
      </c>
      <c r="M10" s="87" cm="1">
        <f t="array" ref="M10">RollUpSum(10,13)</f>
        <v>0</v>
      </c>
      <c r="N10" s="72" cm="1">
        <f t="array" ref="N10">RollUpSum(10,14)</f>
        <v>0</v>
      </c>
      <c r="O10" s="55" cm="1">
        <f t="array" ref="O10">RollUpSum(10,15)</f>
        <v>0</v>
      </c>
      <c r="P10" s="90" cm="1">
        <f t="array" ref="P10">RollUpSum(10,16)</f>
        <v>0</v>
      </c>
      <c r="Q10" s="87" cm="1">
        <f t="array" ref="Q10">RollUpSum(10,17)</f>
        <v>0</v>
      </c>
      <c r="R10" s="72" cm="1">
        <f t="array" ref="R10">RollUpSum(10,18)</f>
        <v>0</v>
      </c>
      <c r="S10" s="33" cm="1">
        <f t="array" ref="S10">RollUpSum(10,19)</f>
        <v>0</v>
      </c>
      <c r="T10" s="83" cm="1">
        <f t="array" ref="T10">RollUpSum(10,20)</f>
        <v>0</v>
      </c>
      <c r="U10" s="79" cm="1">
        <f t="array" ref="U10">RollUpSum(10,21)</f>
        <v>0</v>
      </c>
      <c r="V10" s="39" cm="1">
        <f t="array" ref="V10">RollUpSum(10,22)</f>
        <v>0</v>
      </c>
      <c r="W10" s="33" cm="1">
        <f t="array" ref="W10">RollUpSum(10,23)</f>
        <v>0</v>
      </c>
      <c r="X10" s="83" cm="1">
        <f t="array" ref="X10">RollUpSum(10,24)</f>
        <v>0</v>
      </c>
      <c r="Y10" s="79" cm="1">
        <f t="array" ref="Y10">RollUpSum(10,25)</f>
        <v>0</v>
      </c>
    </row>
    <row r="11" spans="1:52">
      <c r="A11" s="42" t="s">
        <v>210</v>
      </c>
      <c r="B11" s="64" cm="1">
        <f t="array" ref="B11">RollUpSum(11,2)</f>
        <v>0</v>
      </c>
      <c r="C11" s="55" cm="1">
        <f t="array" ref="C11">RollUpSum(11,3)</f>
        <v>0</v>
      </c>
      <c r="D11" s="90" cm="1">
        <f t="array" ref="D11">RollUpSum(11,4)</f>
        <v>0</v>
      </c>
      <c r="E11" s="87" cm="1">
        <f t="array" ref="E11">RollUpSum(11,5)</f>
        <v>0</v>
      </c>
      <c r="F11" s="73" cm="1">
        <f t="array" ref="F11">RollUpSum(11,6)</f>
        <v>0</v>
      </c>
      <c r="G11" s="55" cm="1">
        <f t="array" ref="G11">RollUpSum(11,7)</f>
        <v>0</v>
      </c>
      <c r="H11" s="90" cm="1">
        <f t="array" ref="H11">RollUpSum(11,8)</f>
        <v>0</v>
      </c>
      <c r="I11" s="87" cm="1">
        <f t="array" ref="I11">RollUpSum(11,9)</f>
        <v>0</v>
      </c>
      <c r="J11" s="73" cm="1">
        <f t="array" ref="J11">RollUpSum(11,10)</f>
        <v>-156.05179999999999</v>
      </c>
      <c r="K11" s="55" cm="1">
        <f t="array" ref="K11">RollUpSum(11,11)</f>
        <v>-468.16</v>
      </c>
      <c r="L11" s="90" cm="1">
        <f t="array" ref="L11">RollUpSum(11,12)</f>
        <v>0</v>
      </c>
      <c r="M11" s="87" cm="1">
        <f t="array" ref="M11">RollUpSum(11,13)</f>
        <v>0</v>
      </c>
      <c r="N11" s="73" cm="1">
        <f t="array" ref="N11">RollUpSum(11,14)</f>
        <v>-871.38130000000001</v>
      </c>
      <c r="O11" s="55" cm="1">
        <f t="array" ref="O11">RollUpSum(11,15)</f>
        <v>0</v>
      </c>
      <c r="P11" s="90" cm="1">
        <f t="array" ref="P11">RollUpSum(11,16)</f>
        <v>0</v>
      </c>
      <c r="Q11" s="87" cm="1">
        <f t="array" ref="Q11">RollUpSum(11,17)</f>
        <v>-2614.17</v>
      </c>
      <c r="R11" s="73" cm="1">
        <f t="array" ref="R11">RollUpSum(11,18)</f>
        <v>-211533.20139999999</v>
      </c>
      <c r="S11" s="33" cm="1">
        <f t="array" ref="S11">RollUpSum(11,19)</f>
        <v>-194965.76000000001</v>
      </c>
      <c r="T11" s="83" cm="1">
        <f t="array" ref="T11">RollUpSum(11,20)</f>
        <v>-194606.26</v>
      </c>
      <c r="U11" s="79" cm="1">
        <f t="array" ref="U11">RollUpSum(11,21)</f>
        <v>-245033.93</v>
      </c>
      <c r="V11" s="64" cm="1">
        <f t="array" ref="V11">RollUpSum(11,22)</f>
        <v>-212560.63440000001</v>
      </c>
      <c r="W11" s="33" cm="1">
        <f t="array" ref="W11">RollUpSum(11,23)</f>
        <v>-195433.92</v>
      </c>
      <c r="X11" s="83" cm="1">
        <f t="array" ref="X11">RollUpSum(11,24)</f>
        <v>-194606.26</v>
      </c>
      <c r="Y11" s="79" cm="1">
        <f t="array" ref="Y11">RollUpSum(11,25)</f>
        <v>-247648.1</v>
      </c>
    </row>
    <row r="12" spans="1:52" ht="16.2" thickBot="1">
      <c r="A12" s="43" t="s">
        <v>559</v>
      </c>
      <c r="B12" s="34">
        <f>SUM(B8:B11)</f>
        <v>-629962</v>
      </c>
      <c r="C12" s="52">
        <f t="shared" ref="C12:U12" si="0">SUM(C8:C11)</f>
        <v>-626018</v>
      </c>
      <c r="D12" s="52">
        <f t="shared" si="0"/>
        <v>-608170</v>
      </c>
      <c r="E12" s="52">
        <f t="shared" si="0"/>
        <v>-629278</v>
      </c>
      <c r="F12" s="34">
        <f t="shared" si="0"/>
        <v>-301135.39530000003</v>
      </c>
      <c r="G12" s="52">
        <f t="shared" si="0"/>
        <v>-298501</v>
      </c>
      <c r="H12" s="52">
        <f t="shared" si="0"/>
        <v>-302445.87</v>
      </c>
      <c r="I12" s="52">
        <f t="shared" si="0"/>
        <v>-302468.34999999998</v>
      </c>
      <c r="J12" s="34">
        <f t="shared" si="0"/>
        <v>2772.3388999999997</v>
      </c>
      <c r="K12" s="52">
        <f t="shared" si="0"/>
        <v>-14971.16</v>
      </c>
      <c r="L12" s="52">
        <f t="shared" si="0"/>
        <v>15570.599999999999</v>
      </c>
      <c r="M12" s="52">
        <f t="shared" si="0"/>
        <v>7717.66</v>
      </c>
      <c r="N12" s="34">
        <f t="shared" si="0"/>
        <v>-303217.14780000004</v>
      </c>
      <c r="O12" s="52">
        <f t="shared" si="0"/>
        <v>-313320.75</v>
      </c>
      <c r="P12" s="52">
        <f t="shared" si="0"/>
        <v>-280687.21999999997</v>
      </c>
      <c r="Q12" s="52">
        <f t="shared" si="0"/>
        <v>-315652.57</v>
      </c>
      <c r="R12" s="34">
        <f t="shared" si="0"/>
        <v>-206726.43949999998</v>
      </c>
      <c r="S12" s="34">
        <f t="shared" si="0"/>
        <v>-194965.76000000001</v>
      </c>
      <c r="T12" s="34">
        <f t="shared" si="0"/>
        <v>-194832.21000000002</v>
      </c>
      <c r="U12" s="34">
        <f t="shared" si="0"/>
        <v>-230387.55</v>
      </c>
      <c r="V12" s="34">
        <f>SUM(V8:V11)</f>
        <v>-808306.64350000001</v>
      </c>
      <c r="W12" s="34">
        <f t="shared" ref="W12:Y12" si="1">SUM(W8:W11)</f>
        <v>-821758.67</v>
      </c>
      <c r="X12" s="34">
        <f t="shared" si="1"/>
        <v>-762394.7</v>
      </c>
      <c r="Y12" s="34">
        <f t="shared" si="1"/>
        <v>-840790.80999999994</v>
      </c>
    </row>
    <row r="13" spans="1:52" ht="15" thickTop="1">
      <c r="A13" s="67"/>
      <c r="B13" s="67"/>
      <c r="C13" s="67"/>
      <c r="D13" s="67"/>
      <c r="E13" s="67"/>
      <c r="F13" s="67"/>
      <c r="G13" s="67"/>
      <c r="H13" s="67"/>
      <c r="I13" s="67"/>
      <c r="J13" s="67"/>
      <c r="K13" s="67"/>
      <c r="L13" s="67"/>
      <c r="M13" s="67"/>
      <c r="N13" s="67"/>
      <c r="O13" s="67"/>
      <c r="P13" s="67"/>
      <c r="Q13" s="67"/>
      <c r="R13" s="67"/>
      <c r="S13" s="67"/>
      <c r="T13" s="67"/>
      <c r="U13" s="67"/>
      <c r="V13" s="67"/>
      <c r="W13" s="67"/>
      <c r="X13" s="67"/>
      <c r="Y13" s="67"/>
    </row>
    <row r="14" spans="1:52">
      <c r="A14" s="18" t="s">
        <v>560</v>
      </c>
      <c r="B14" s="20"/>
      <c r="C14" s="20"/>
      <c r="D14" s="20"/>
      <c r="E14" s="20"/>
      <c r="F14" s="20"/>
      <c r="G14" s="20"/>
      <c r="H14" s="20"/>
      <c r="I14" s="20"/>
      <c r="J14" s="20"/>
      <c r="K14" s="20"/>
      <c r="L14" s="20"/>
      <c r="M14" s="20"/>
      <c r="N14" s="20"/>
      <c r="O14" s="20"/>
      <c r="P14" s="20"/>
      <c r="Q14" s="20"/>
      <c r="R14" s="20"/>
      <c r="S14" s="20"/>
      <c r="T14" s="20"/>
      <c r="U14" s="20"/>
      <c r="V14" s="20"/>
      <c r="W14" s="20"/>
      <c r="X14" s="20"/>
      <c r="Y14" s="20"/>
    </row>
    <row r="15" spans="1:52">
      <c r="A15" s="40" t="s">
        <v>188</v>
      </c>
      <c r="B15" s="65" cm="1">
        <f t="array" ref="B15">RollUpSum(15,2)</f>
        <v>0</v>
      </c>
      <c r="C15" s="54" cm="1">
        <f t="array" ref="C15">RollUpSum(15,3)</f>
        <v>0</v>
      </c>
      <c r="D15" s="89" cm="1">
        <f t="array" ref="D15">RollUpSum(15,4)</f>
        <v>0</v>
      </c>
      <c r="E15" s="86" cm="1">
        <f t="array" ref="E15">RollUpSum(15,5)</f>
        <v>0</v>
      </c>
      <c r="F15" s="72" cm="1">
        <f t="array" ref="F15">RollUpSum(15,6)</f>
        <v>0</v>
      </c>
      <c r="G15" s="54" cm="1">
        <f t="array" ref="G15">RollUpSum(15,7)</f>
        <v>0</v>
      </c>
      <c r="H15" s="89" cm="1">
        <f t="array" ref="H15">RollUpSum(15,8)</f>
        <v>0</v>
      </c>
      <c r="I15" s="86" cm="1">
        <f t="array" ref="I15">RollUpSum(15,9)</f>
        <v>0</v>
      </c>
      <c r="J15" s="72" cm="1">
        <f t="array" ref="J15">RollUpSum(15,10)</f>
        <v>3519.3980999999999</v>
      </c>
      <c r="K15" s="54" cm="1">
        <f t="array" ref="K15">RollUpSum(15,11)</f>
        <v>8465</v>
      </c>
      <c r="L15" s="89" cm="1">
        <f t="array" ref="L15">RollUpSum(15,12)</f>
        <v>0</v>
      </c>
      <c r="M15" s="86" cm="1">
        <f t="array" ref="M15">RollUpSum(15,13)</f>
        <v>2093.3000000000002</v>
      </c>
      <c r="N15" s="72" cm="1">
        <f t="array" ref="N15">RollUpSum(15,14)</f>
        <v>5852.6215000000002</v>
      </c>
      <c r="O15" s="54" cm="1">
        <f t="array" ref="O15">RollUpSum(15,15)</f>
        <v>7200</v>
      </c>
      <c r="P15" s="89" cm="1">
        <f t="array" ref="P15">RollUpSum(15,16)</f>
        <v>0</v>
      </c>
      <c r="Q15" s="86" cm="1">
        <f t="array" ref="Q15">RollUpSum(15,17)</f>
        <v>10358.040000000001</v>
      </c>
      <c r="R15" s="72" cm="1">
        <f t="array" ref="R15">RollUpSum(15,18)</f>
        <v>6015.5397999999996</v>
      </c>
      <c r="S15" s="32" cm="1">
        <f t="array" ref="S15">RollUpSum(15,19)</f>
        <v>7705</v>
      </c>
      <c r="T15" s="84" cm="1">
        <f t="array" ref="T15">RollUpSum(15,20)</f>
        <v>0</v>
      </c>
      <c r="U15" s="80" cm="1">
        <f t="array" ref="U15">RollUpSum(15,21)</f>
        <v>10341.799999999999</v>
      </c>
      <c r="V15" s="65" cm="1">
        <f t="array" ref="V15">RollUpSum(15,22)</f>
        <v>15387.559499999999</v>
      </c>
      <c r="W15" s="32" cm="1">
        <f t="array" ref="W15">RollUpSum(15,23)</f>
        <v>23370</v>
      </c>
      <c r="X15" s="84" cm="1">
        <f t="array" ref="X15">RollUpSum(15,24)</f>
        <v>0</v>
      </c>
      <c r="Y15" s="80" cm="1">
        <f t="array" ref="Y15">RollUpSum(15,25)</f>
        <v>22793.14</v>
      </c>
    </row>
    <row r="16" spans="1:52">
      <c r="A16" s="41" t="s">
        <v>181</v>
      </c>
      <c r="B16" s="39" cm="1">
        <f t="array" ref="B16">RollUpSum(16,2)</f>
        <v>143193</v>
      </c>
      <c r="C16" s="54" cm="1">
        <f t="array" ref="C16">RollUpSum(16,3)</f>
        <v>141446</v>
      </c>
      <c r="D16" s="89" cm="1">
        <f t="array" ref="D16">RollUpSum(16,4)</f>
        <v>137996</v>
      </c>
      <c r="E16" s="86" cm="1">
        <f t="array" ref="E16">RollUpSum(16,5)</f>
        <v>182350</v>
      </c>
      <c r="F16" s="72" cm="1">
        <f t="array" ref="F16">RollUpSum(16,6)</f>
        <v>28949.477200000001</v>
      </c>
      <c r="G16" s="54" cm="1">
        <f t="array" ref="G16">RollUpSum(16,7)</f>
        <v>23180.68</v>
      </c>
      <c r="H16" s="89" cm="1">
        <f t="array" ref="H16">RollUpSum(16,8)</f>
        <v>27664.5</v>
      </c>
      <c r="I16" s="86" cm="1">
        <f t="array" ref="I16">RollUpSum(16,9)</f>
        <v>36004.120000000003</v>
      </c>
      <c r="J16" s="72" cm="1">
        <f t="array" ref="J16">RollUpSum(16,10)</f>
        <v>23172.5216</v>
      </c>
      <c r="K16" s="54" cm="1">
        <f t="array" ref="K16">RollUpSum(16,11)</f>
        <v>17538.009999999998</v>
      </c>
      <c r="L16" s="89" cm="1">
        <f t="array" ref="L16">RollUpSum(16,12)</f>
        <v>26430.81</v>
      </c>
      <c r="M16" s="86" cm="1">
        <f t="array" ref="M16">RollUpSum(16,13)</f>
        <v>25549.439999999999</v>
      </c>
      <c r="N16" s="72" cm="1">
        <f t="array" ref="N16">RollUpSum(16,14)</f>
        <v>21708.492900000001</v>
      </c>
      <c r="O16" s="54" cm="1">
        <f t="array" ref="O16">RollUpSum(16,15)</f>
        <v>16235.03</v>
      </c>
      <c r="P16" s="89" cm="1">
        <f t="array" ref="P16">RollUpSum(16,16)</f>
        <v>25647.15</v>
      </c>
      <c r="Q16" s="86" cm="1">
        <f t="array" ref="Q16">RollUpSum(16,17)</f>
        <v>23243.95</v>
      </c>
      <c r="R16" s="72" cm="1">
        <f t="array" ref="R16">RollUpSum(16,18)</f>
        <v>25998.466700000001</v>
      </c>
      <c r="S16" s="22" cm="1">
        <f t="array" ref="S16">RollUpSum(16,19)</f>
        <v>19645</v>
      </c>
      <c r="T16" s="82" cm="1">
        <f t="array" ref="T16">RollUpSum(16,20)</f>
        <v>29310.54</v>
      </c>
      <c r="U16" s="78" cm="1">
        <f t="array" ref="U16">RollUpSum(16,21)</f>
        <v>29040.639999999999</v>
      </c>
      <c r="V16" s="39" cm="1">
        <f t="array" ref="V16">RollUpSum(16,22)</f>
        <v>99828.958400000003</v>
      </c>
      <c r="W16" s="22" cm="1">
        <f t="array" ref="W16">RollUpSum(16,23)</f>
        <v>76598.720000000001</v>
      </c>
      <c r="X16" s="82" cm="1">
        <f t="array" ref="X16">RollUpSum(16,24)</f>
        <v>109053</v>
      </c>
      <c r="Y16" s="78" cm="1">
        <f t="array" ref="Y16">RollUpSum(16,25)</f>
        <v>113838.15</v>
      </c>
    </row>
    <row r="17" spans="1:25">
      <c r="A17" s="92" t="s">
        <v>174</v>
      </c>
      <c r="B17" s="93" cm="1">
        <f t="array" ref="B17">RollUpSum(17,2)</f>
        <v>131574</v>
      </c>
      <c r="C17" s="94" cm="1">
        <f t="array" ref="C17">RollUpSum(17,3)</f>
        <v>222459</v>
      </c>
      <c r="D17" s="100" cm="1">
        <f t="array" ref="D17">RollUpSum(17,4)</f>
        <v>210161</v>
      </c>
      <c r="E17" s="99" cm="1">
        <f t="array" ref="E17">RollUpSum(17,5)</f>
        <v>210385</v>
      </c>
      <c r="F17" s="95" cm="1">
        <f t="array" ref="F17">RollUpSum(17,6)</f>
        <v>18420.392500000002</v>
      </c>
      <c r="G17" s="94" cm="1">
        <f t="array" ref="G17">RollUpSum(17,7)</f>
        <v>8740.6200000000008</v>
      </c>
      <c r="H17" s="100" cm="1">
        <f t="array" ref="H17">RollUpSum(17,8)</f>
        <v>13654.13</v>
      </c>
      <c r="I17" s="99" cm="1">
        <f t="array" ref="I17">RollUpSum(17,9)</f>
        <v>32866.980000000003</v>
      </c>
      <c r="J17" s="95" cm="1">
        <f t="array" ref="J17">RollUpSum(17,10)</f>
        <v>52275.477299999999</v>
      </c>
      <c r="K17" s="94" cm="1">
        <f t="array" ref="K17">RollUpSum(17,11)</f>
        <v>49376.62</v>
      </c>
      <c r="L17" s="100" cm="1">
        <f t="array" ref="L17">RollUpSum(17,12)</f>
        <v>42469.24</v>
      </c>
      <c r="M17" s="99" cm="1">
        <f t="array" ref="M17">RollUpSum(17,13)</f>
        <v>64982.14</v>
      </c>
      <c r="N17" s="95" cm="1">
        <f t="array" ref="N17">RollUpSum(17,14)</f>
        <v>35166.324999999997</v>
      </c>
      <c r="O17" s="94" cm="1">
        <f t="array" ref="O17">RollUpSum(17,15)</f>
        <v>30506.79</v>
      </c>
      <c r="P17" s="100" cm="1">
        <f t="array" ref="P17">RollUpSum(17,16)</f>
        <v>24025.87</v>
      </c>
      <c r="Q17" s="99" cm="1">
        <f t="array" ref="Q17">RollUpSum(17,17)</f>
        <v>50967.37</v>
      </c>
      <c r="R17" s="95" cm="1">
        <f t="array" ref="R17">RollUpSum(17,18)</f>
        <v>27321.793399999999</v>
      </c>
      <c r="S17" s="96" cm="1">
        <f t="array" ref="S17">RollUpSum(17,19)</f>
        <v>24072.86</v>
      </c>
      <c r="T17" s="98" cm="1">
        <f t="array" ref="T17">RollUpSum(17,20)</f>
        <v>25390.47</v>
      </c>
      <c r="U17" s="97" cm="1">
        <f t="array" ref="U17">RollUpSum(17,21)</f>
        <v>32502.87</v>
      </c>
      <c r="V17" s="93" cm="1">
        <f t="array" ref="V17">RollUpSum(17,22)</f>
        <v>133183.98819999999</v>
      </c>
      <c r="W17" s="96" cm="1">
        <f t="array" ref="W17">RollUpSum(17,23)</f>
        <v>112696.89</v>
      </c>
      <c r="X17" s="98" cm="1">
        <f t="array" ref="X17">RollUpSum(17,24)</f>
        <v>105539.71</v>
      </c>
      <c r="Y17" s="97" cm="1">
        <f t="array" ref="Y17">RollUpSum(17,25)</f>
        <v>181319.36</v>
      </c>
    </row>
    <row r="18" spans="1:25">
      <c r="A18" s="41" t="s">
        <v>146</v>
      </c>
      <c r="B18" s="39" cm="1">
        <f t="array" ref="B18">RollUpSum(18,2)</f>
        <v>0</v>
      </c>
      <c r="C18" s="54" cm="1">
        <f t="array" ref="C18">RollUpSum(18,3)</f>
        <v>0</v>
      </c>
      <c r="D18" s="89" cm="1">
        <f t="array" ref="D18">RollUpSum(18,4)</f>
        <v>0</v>
      </c>
      <c r="E18" s="86" cm="1">
        <f t="array" ref="E18">RollUpSum(18,5)</f>
        <v>0</v>
      </c>
      <c r="F18" s="72" cm="1">
        <f t="array" ref="F18">RollUpSum(18,6)</f>
        <v>0.64</v>
      </c>
      <c r="G18" s="54" cm="1">
        <f t="array" ref="G18">RollUpSum(18,7)</f>
        <v>0</v>
      </c>
      <c r="H18" s="89" cm="1">
        <f t="array" ref="H18">RollUpSum(18,8)</f>
        <v>1.92</v>
      </c>
      <c r="I18" s="86" cm="1">
        <f t="array" ref="I18">RollUpSum(18,9)</f>
        <v>0</v>
      </c>
      <c r="J18" s="72" cm="1">
        <f t="array" ref="J18">RollUpSum(18,10)</f>
        <v>675.68</v>
      </c>
      <c r="K18" s="54" cm="1">
        <f t="array" ref="K18">RollUpSum(18,11)</f>
        <v>1252.82</v>
      </c>
      <c r="L18" s="89" cm="1">
        <f t="array" ref="L18">RollUpSum(18,12)</f>
        <v>-6.56</v>
      </c>
      <c r="M18" s="86" cm="1">
        <f t="array" ref="M18">RollUpSum(18,13)</f>
        <v>780.8</v>
      </c>
      <c r="N18" s="72" cm="1">
        <f t="array" ref="N18">RollUpSum(18,14)</f>
        <v>1644.5803000000001</v>
      </c>
      <c r="O18" s="54" cm="1">
        <f t="array" ref="O18">RollUpSum(18,15)</f>
        <v>1065.5999999999999</v>
      </c>
      <c r="P18" s="89" cm="1">
        <f t="array" ref="P18">RollUpSum(18,16)</f>
        <v>4.6399999999999997</v>
      </c>
      <c r="Q18" s="86" cm="1">
        <f t="array" ref="Q18">RollUpSum(18,17)</f>
        <v>3863.55</v>
      </c>
      <c r="R18" s="72" cm="1">
        <f t="array" ref="R18">RollUpSum(18,18)</f>
        <v>1665.93</v>
      </c>
      <c r="S18" s="22" cm="1">
        <f t="array" ref="S18">RollUpSum(18,19)</f>
        <v>1140.3399999999999</v>
      </c>
      <c r="T18" s="82" cm="1">
        <f t="array" ref="T18">RollUpSum(18,20)</f>
        <v>0</v>
      </c>
      <c r="U18" s="78" cm="1">
        <f t="array" ref="U18">RollUpSum(18,21)</f>
        <v>3857.5</v>
      </c>
      <c r="V18" s="39" cm="1">
        <f t="array" ref="V18">RollUpSum(18,22)</f>
        <v>3986.8301000000001</v>
      </c>
      <c r="W18" s="22" cm="1">
        <f t="array" ref="W18">RollUpSum(18,23)</f>
        <v>3458.76</v>
      </c>
      <c r="X18" s="82" cm="1">
        <f t="array" ref="X18">RollUpSum(18,24)</f>
        <v>0</v>
      </c>
      <c r="Y18" s="78" cm="1">
        <f t="array" ref="Y18">RollUpSum(18,25)</f>
        <v>8501.85</v>
      </c>
    </row>
    <row r="19" spans="1:25">
      <c r="A19" s="41" t="s">
        <v>139</v>
      </c>
      <c r="B19" s="39" cm="1">
        <f t="array" ref="B19">RollUpSum(19,2)</f>
        <v>53841</v>
      </c>
      <c r="C19" s="54" cm="1">
        <f t="array" ref="C19">RollUpSum(19,3)</f>
        <v>53325</v>
      </c>
      <c r="D19" s="89" cm="1">
        <f t="array" ref="D19">RollUpSum(19,4)</f>
        <v>52024</v>
      </c>
      <c r="E19" s="86" cm="1">
        <f t="array" ref="E19">RollUpSum(19,5)</f>
        <v>68017</v>
      </c>
      <c r="F19" s="72" cm="1">
        <f t="array" ref="F19">RollUpSum(19,6)</f>
        <v>10346.7698</v>
      </c>
      <c r="G19" s="54" cm="1">
        <f t="array" ref="G19">RollUpSum(19,7)</f>
        <v>7887.15</v>
      </c>
      <c r="H19" s="89" cm="1">
        <f t="array" ref="H19">RollUpSum(19,8)</f>
        <v>9898.65</v>
      </c>
      <c r="I19" s="86" cm="1">
        <f t="array" ref="I19">RollUpSum(19,9)</f>
        <v>13254.82</v>
      </c>
      <c r="J19" s="72" cm="1">
        <f t="array" ref="J19">RollUpSum(19,10)</f>
        <v>8383.1327999999994</v>
      </c>
      <c r="K19" s="54" cm="1">
        <f t="array" ref="K19">RollUpSum(19,11)</f>
        <v>5928.52</v>
      </c>
      <c r="L19" s="89" cm="1">
        <f t="array" ref="L19">RollUpSum(19,12)</f>
        <v>9742.66</v>
      </c>
      <c r="M19" s="86" cm="1">
        <f t="array" ref="M19">RollUpSum(19,13)</f>
        <v>9478.4699999999993</v>
      </c>
      <c r="N19" s="72" cm="1">
        <f t="array" ref="N19">RollUpSum(19,14)</f>
        <v>7498.4817000000003</v>
      </c>
      <c r="O19" s="54" cm="1">
        <f t="array" ref="O19">RollUpSum(19,15)</f>
        <v>5773.99</v>
      </c>
      <c r="P19" s="89" cm="1">
        <f t="array" ref="P19">RollUpSum(19,16)</f>
        <v>8925.2900000000009</v>
      </c>
      <c r="Q19" s="86" cm="1">
        <f t="array" ref="Q19">RollUpSum(19,17)</f>
        <v>7796.39</v>
      </c>
      <c r="R19" s="72" cm="1">
        <f t="array" ref="R19">RollUpSum(19,18)</f>
        <v>8005.6466</v>
      </c>
      <c r="S19" s="22" cm="1">
        <f t="array" ref="S19">RollUpSum(19,19)</f>
        <v>6227.59</v>
      </c>
      <c r="T19" s="82" cm="1">
        <f t="array" ref="T19">RollUpSum(19,20)</f>
        <v>9330.9</v>
      </c>
      <c r="U19" s="78" cm="1">
        <f t="array" ref="U19">RollUpSum(19,21)</f>
        <v>8458.69</v>
      </c>
      <c r="V19" s="39" cm="1">
        <f t="array" ref="V19">RollUpSum(19,22)</f>
        <v>34234.031000000003</v>
      </c>
      <c r="W19" s="22" cm="1">
        <f t="array" ref="W19">RollUpSum(19,23)</f>
        <v>25817.25</v>
      </c>
      <c r="X19" s="82" cm="1">
        <f t="array" ref="X19">RollUpSum(19,24)</f>
        <v>37897.5</v>
      </c>
      <c r="Y19" s="78" cm="1">
        <f t="array" ref="Y19">RollUpSum(19,25)</f>
        <v>38988.370000000003</v>
      </c>
    </row>
    <row r="20" spans="1:25">
      <c r="A20" s="42" t="s">
        <v>129</v>
      </c>
      <c r="B20" s="64" cm="1">
        <f t="array" ref="B20">RollUpSum(20,2)</f>
        <v>1316</v>
      </c>
      <c r="C20" s="59" cm="1">
        <f t="array" ref="C20">RollUpSum(20,3)</f>
        <v>2224</v>
      </c>
      <c r="D20" s="91" cm="1">
        <f t="array" ref="D20">RollUpSum(20,4)</f>
        <v>2522</v>
      </c>
      <c r="E20" s="88" cm="1">
        <f t="array" ref="E20">RollUpSum(20,5)</f>
        <v>2315</v>
      </c>
      <c r="F20" s="73" cm="1">
        <f t="array" ref="F20">RollUpSum(20,6)</f>
        <v>204.25790000000001</v>
      </c>
      <c r="G20" s="59" cm="1">
        <f t="array" ref="G20">RollUpSum(20,7)</f>
        <v>87.4</v>
      </c>
      <c r="H20" s="91" cm="1">
        <f t="array" ref="H20">RollUpSum(20,8)</f>
        <v>163.84</v>
      </c>
      <c r="I20" s="88" cm="1">
        <f t="array" ref="I20">RollUpSum(20,9)</f>
        <v>361.54</v>
      </c>
      <c r="J20" s="73" cm="1">
        <f t="array" ref="J20">RollUpSum(20,10)</f>
        <v>572.73429999999996</v>
      </c>
      <c r="K20" s="59" cm="1">
        <f t="array" ref="K20">RollUpSum(20,11)</f>
        <v>493.77</v>
      </c>
      <c r="L20" s="91" cm="1">
        <f t="array" ref="L20">RollUpSum(20,12)</f>
        <v>509.64</v>
      </c>
      <c r="M20" s="88" cm="1">
        <f t="array" ref="M20">RollUpSum(20,13)</f>
        <v>714.81</v>
      </c>
      <c r="N20" s="73" cm="1">
        <f t="array" ref="N20">RollUpSum(20,14)</f>
        <v>383.12619999999998</v>
      </c>
      <c r="O20" s="59" cm="1">
        <f t="array" ref="O20">RollUpSum(20,15)</f>
        <v>305.07</v>
      </c>
      <c r="P20" s="91" cm="1">
        <f t="array" ref="P20">RollUpSum(20,16)</f>
        <v>288.32</v>
      </c>
      <c r="Q20" s="88" cm="1">
        <f t="array" ref="Q20">RollUpSum(20,17)</f>
        <v>556</v>
      </c>
      <c r="R20" s="73" cm="1">
        <f t="array" ref="R20">RollUpSum(20,18)</f>
        <v>302.53030000000001</v>
      </c>
      <c r="S20" s="35" cm="1">
        <f t="array" ref="S20">RollUpSum(20,19)</f>
        <v>240.72</v>
      </c>
      <c r="T20" s="85" cm="1">
        <f t="array" ref="T20">RollUpSum(20,20)</f>
        <v>304.69</v>
      </c>
      <c r="U20" s="81" cm="1">
        <f t="array" ref="U20">RollUpSum(20,21)</f>
        <v>362.19</v>
      </c>
      <c r="V20" s="64" cm="1">
        <f t="array" ref="V20">RollUpSum(20,22)</f>
        <v>1462.6487</v>
      </c>
      <c r="W20" s="35" cm="1">
        <f t="array" ref="W20">RollUpSum(20,23)</f>
        <v>1126.96</v>
      </c>
      <c r="X20" s="85" cm="1">
        <f t="array" ref="X20">RollUpSum(20,24)</f>
        <v>1266.49</v>
      </c>
      <c r="Y20" s="81" cm="1">
        <f t="array" ref="Y20">RollUpSum(20,25)</f>
        <v>1994.54</v>
      </c>
    </row>
    <row r="21" spans="1:25">
      <c r="A21" s="23" t="s">
        <v>561</v>
      </c>
      <c r="B21" s="27">
        <f t="shared" ref="B21:Y21" si="2">SUM(B15:B20)</f>
        <v>329924</v>
      </c>
      <c r="C21" s="60">
        <f t="shared" si="2"/>
        <v>419454</v>
      </c>
      <c r="D21" s="60">
        <f t="shared" si="2"/>
        <v>402703</v>
      </c>
      <c r="E21" s="60">
        <f t="shared" si="2"/>
        <v>463067</v>
      </c>
      <c r="F21" s="27">
        <f t="shared" si="2"/>
        <v>57921.537400000001</v>
      </c>
      <c r="G21" s="56">
        <f t="shared" si="2"/>
        <v>39895.850000000006</v>
      </c>
      <c r="H21" s="56">
        <f t="shared" si="2"/>
        <v>51383.039999999994</v>
      </c>
      <c r="I21" s="56">
        <f t="shared" si="2"/>
        <v>82487.460000000006</v>
      </c>
      <c r="J21" s="27">
        <f t="shared" si="2"/>
        <v>88598.944099999979</v>
      </c>
      <c r="K21" s="60">
        <f t="shared" si="2"/>
        <v>83054.74000000002</v>
      </c>
      <c r="L21" s="60">
        <f t="shared" si="2"/>
        <v>79145.790000000008</v>
      </c>
      <c r="M21" s="60">
        <f t="shared" si="2"/>
        <v>103598.96</v>
      </c>
      <c r="N21" s="27">
        <f t="shared" si="2"/>
        <v>72253.627600000007</v>
      </c>
      <c r="O21" s="60">
        <f t="shared" si="2"/>
        <v>61086.479999999996</v>
      </c>
      <c r="P21" s="60">
        <f t="shared" si="2"/>
        <v>58891.270000000004</v>
      </c>
      <c r="Q21" s="60">
        <f t="shared" si="2"/>
        <v>96785.300000000017</v>
      </c>
      <c r="R21" s="27">
        <f t="shared" si="2"/>
        <v>69309.906799999997</v>
      </c>
      <c r="S21" s="36">
        <f t="shared" si="2"/>
        <v>59031.509999999995</v>
      </c>
      <c r="T21" s="36">
        <f t="shared" si="2"/>
        <v>64336.600000000006</v>
      </c>
      <c r="U21" s="36">
        <f t="shared" si="2"/>
        <v>84563.69</v>
      </c>
      <c r="V21" s="27">
        <f t="shared" si="2"/>
        <v>288084.0159</v>
      </c>
      <c r="W21" s="36">
        <f t="shared" si="2"/>
        <v>243068.58</v>
      </c>
      <c r="X21" s="36">
        <f t="shared" si="2"/>
        <v>253756.7</v>
      </c>
      <c r="Y21" s="36">
        <f t="shared" si="2"/>
        <v>367435.40999999992</v>
      </c>
    </row>
    <row r="22" spans="1:25">
      <c r="A22" s="24" t="s">
        <v>562</v>
      </c>
      <c r="B22" s="25"/>
      <c r="C22" s="25"/>
      <c r="D22" s="25"/>
      <c r="E22" s="25"/>
      <c r="F22" s="25"/>
      <c r="G22" s="25"/>
      <c r="H22" s="25"/>
      <c r="I22" s="25"/>
      <c r="J22" s="25"/>
      <c r="K22" s="25"/>
      <c r="L22" s="25"/>
      <c r="M22" s="25"/>
      <c r="N22" s="25"/>
      <c r="O22" s="25"/>
      <c r="P22" s="25"/>
      <c r="Q22" s="25"/>
      <c r="R22" s="25"/>
      <c r="S22" s="25"/>
      <c r="T22" s="25"/>
      <c r="U22" s="25"/>
      <c r="V22" s="25"/>
      <c r="W22" s="25"/>
      <c r="X22" s="25"/>
      <c r="Y22" s="25"/>
    </row>
    <row r="23" spans="1:25">
      <c r="A23" s="40" t="s">
        <v>127</v>
      </c>
      <c r="B23" s="65" cm="1">
        <f t="array" ref="B23">RollUpSum(23,2)</f>
        <v>198929</v>
      </c>
      <c r="C23" s="54" cm="1">
        <f t="array" ref="C23">RollUpSum(23,3)</f>
        <v>157135</v>
      </c>
      <c r="D23" s="89" cm="1">
        <f t="array" ref="D23">RollUpSum(23,4)</f>
        <v>157135</v>
      </c>
      <c r="E23" s="86" cm="1">
        <f t="array" ref="E23">RollUpSum(23,5)</f>
        <v>123135</v>
      </c>
      <c r="F23" s="72" cm="1">
        <f t="array" ref="F23">RollUpSum(23,6)</f>
        <v>0</v>
      </c>
      <c r="G23" s="54" cm="1">
        <f t="array" ref="G23">RollUpSum(23,7)</f>
        <v>0</v>
      </c>
      <c r="H23" s="89" cm="1">
        <f t="array" ref="H23">RollUpSum(23,8)</f>
        <v>0</v>
      </c>
      <c r="I23" s="86" cm="1">
        <f t="array" ref="I23">RollUpSum(23,9)</f>
        <v>0</v>
      </c>
      <c r="J23" s="72" cm="1">
        <f t="array" ref="J23">RollUpSum(23,10)</f>
        <v>0</v>
      </c>
      <c r="K23" s="54" cm="1">
        <f t="array" ref="K23">RollUpSum(23,11)</f>
        <v>0</v>
      </c>
      <c r="L23" s="89" cm="1">
        <f t="array" ref="L23">RollUpSum(23,12)</f>
        <v>0</v>
      </c>
      <c r="M23" s="86" cm="1">
        <f t="array" ref="M23">RollUpSum(23,13)</f>
        <v>0</v>
      </c>
      <c r="N23" s="72" cm="1">
        <f t="array" ref="N23">RollUpSum(23,14)</f>
        <v>0</v>
      </c>
      <c r="O23" s="54" cm="1">
        <f t="array" ref="O23">RollUpSum(23,15)</f>
        <v>0</v>
      </c>
      <c r="P23" s="89" cm="1">
        <f t="array" ref="P23">RollUpSum(23,16)</f>
        <v>0</v>
      </c>
      <c r="Q23" s="86" cm="1">
        <f t="array" ref="Q23">RollUpSum(23,17)</f>
        <v>0</v>
      </c>
      <c r="R23" s="72" cm="1">
        <f t="array" ref="R23">RollUpSum(23,18)</f>
        <v>0</v>
      </c>
      <c r="S23" s="32" cm="1">
        <f t="array" ref="S23">RollUpSum(23,19)</f>
        <v>0</v>
      </c>
      <c r="T23" s="84" cm="1">
        <f t="array" ref="T23">RollUpSum(23,20)</f>
        <v>0</v>
      </c>
      <c r="U23" s="80" cm="1">
        <f t="array" ref="U23">RollUpSum(23,21)</f>
        <v>0</v>
      </c>
      <c r="V23" s="65" cm="1">
        <f t="array" ref="V23">RollUpSum(23,22)</f>
        <v>0</v>
      </c>
      <c r="W23" s="32" cm="1">
        <f t="array" ref="W23">RollUpSum(23,23)</f>
        <v>0</v>
      </c>
      <c r="X23" s="84" cm="1">
        <f t="array" ref="X23">RollUpSum(23,24)</f>
        <v>0</v>
      </c>
      <c r="Y23" s="80" cm="1">
        <f t="array" ref="Y23">RollUpSum(23,25)</f>
        <v>0</v>
      </c>
    </row>
    <row r="24" spans="1:25">
      <c r="A24" s="41" t="s">
        <v>120</v>
      </c>
      <c r="B24" s="39" cm="1">
        <f t="array" ref="B24">RollUpSum(24,2)</f>
        <v>0</v>
      </c>
      <c r="C24" s="54" cm="1">
        <f t="array" ref="C24">RollUpSum(24,3)</f>
        <v>0</v>
      </c>
      <c r="D24" s="89" cm="1">
        <f t="array" ref="D24">RollUpSum(24,4)</f>
        <v>0</v>
      </c>
      <c r="E24" s="86" cm="1">
        <f t="array" ref="E24">RollUpSum(24,5)</f>
        <v>0</v>
      </c>
      <c r="F24" s="72" cm="1">
        <f t="array" ref="F24">RollUpSum(24,6)</f>
        <v>0</v>
      </c>
      <c r="G24" s="54" cm="1">
        <f t="array" ref="G24">RollUpSum(24,7)</f>
        <v>0</v>
      </c>
      <c r="H24" s="89" cm="1">
        <f t="array" ref="H24">RollUpSum(24,8)</f>
        <v>0</v>
      </c>
      <c r="I24" s="86" cm="1">
        <f t="array" ref="I24">RollUpSum(24,9)</f>
        <v>0</v>
      </c>
      <c r="J24" s="72" cm="1">
        <f t="array" ref="J24">RollUpSum(24,10)</f>
        <v>0</v>
      </c>
      <c r="K24" s="54" cm="1">
        <f t="array" ref="K24">RollUpSum(24,11)</f>
        <v>0</v>
      </c>
      <c r="L24" s="89" cm="1">
        <f t="array" ref="L24">RollUpSum(24,12)</f>
        <v>0</v>
      </c>
      <c r="M24" s="86" cm="1">
        <f t="array" ref="M24">RollUpSum(24,13)</f>
        <v>0</v>
      </c>
      <c r="N24" s="72" cm="1">
        <f t="array" ref="N24">RollUpSum(24,14)</f>
        <v>0</v>
      </c>
      <c r="O24" s="54" cm="1">
        <f t="array" ref="O24">RollUpSum(24,15)</f>
        <v>0</v>
      </c>
      <c r="P24" s="89" cm="1">
        <f t="array" ref="P24">RollUpSum(24,16)</f>
        <v>0</v>
      </c>
      <c r="Q24" s="86" cm="1">
        <f t="array" ref="Q24">RollUpSum(24,17)</f>
        <v>0</v>
      </c>
      <c r="R24" s="72" cm="1">
        <f t="array" ref="R24">RollUpSum(24,18)</f>
        <v>0</v>
      </c>
      <c r="S24" s="22" cm="1">
        <f t="array" ref="S24">RollUpSum(24,19)</f>
        <v>0</v>
      </c>
      <c r="T24" s="82" cm="1">
        <f t="array" ref="T24">RollUpSum(24,20)</f>
        <v>0</v>
      </c>
      <c r="U24" s="78" cm="1">
        <f t="array" ref="U24">RollUpSum(24,21)</f>
        <v>0</v>
      </c>
      <c r="V24" s="39" cm="1">
        <f t="array" ref="V24">RollUpSum(24,22)</f>
        <v>0</v>
      </c>
      <c r="W24" s="22" cm="1">
        <f t="array" ref="W24">RollUpSum(24,23)</f>
        <v>0</v>
      </c>
      <c r="X24" s="82" cm="1">
        <f t="array" ref="X24">RollUpSum(24,24)</f>
        <v>0</v>
      </c>
      <c r="Y24" s="78" cm="1">
        <f t="array" ref="Y24">RollUpSum(24,25)</f>
        <v>0</v>
      </c>
    </row>
    <row r="25" spans="1:25">
      <c r="A25" s="41" t="s">
        <v>107</v>
      </c>
      <c r="B25" s="39" cm="1">
        <f t="array" ref="B25">RollUpSum(25,2)</f>
        <v>0</v>
      </c>
      <c r="C25" s="54" cm="1">
        <f t="array" ref="C25">RollUpSum(25,3)</f>
        <v>0</v>
      </c>
      <c r="D25" s="89" cm="1">
        <f t="array" ref="D25">RollUpSum(25,4)</f>
        <v>0</v>
      </c>
      <c r="E25" s="86" cm="1">
        <f t="array" ref="E25">RollUpSum(25,5)</f>
        <v>0</v>
      </c>
      <c r="F25" s="72" cm="1">
        <f t="array" ref="F25">RollUpSum(25,6)</f>
        <v>2787.5288</v>
      </c>
      <c r="G25" s="54" cm="1">
        <f t="array" ref="G25">RollUpSum(25,7)</f>
        <v>1550.9</v>
      </c>
      <c r="H25" s="89" cm="1">
        <f t="array" ref="H25">RollUpSum(25,8)</f>
        <v>3619.29</v>
      </c>
      <c r="I25" s="86" cm="1">
        <f t="array" ref="I25">RollUpSum(25,9)</f>
        <v>3192.48</v>
      </c>
      <c r="J25" s="72" cm="1">
        <f t="array" ref="J25">RollUpSum(25,10)</f>
        <v>1552.2745</v>
      </c>
      <c r="K25" s="54" cm="1">
        <f t="array" ref="K25">RollUpSum(25,11)</f>
        <v>1518.9</v>
      </c>
      <c r="L25" s="89" cm="1">
        <f t="array" ref="L25">RollUpSum(25,12)</f>
        <v>1649.16</v>
      </c>
      <c r="M25" s="86" cm="1">
        <f t="array" ref="M25">RollUpSum(25,13)</f>
        <v>1488.81</v>
      </c>
      <c r="N25" s="72" cm="1">
        <f t="array" ref="N25">RollUpSum(25,14)</f>
        <v>2764.3456999999999</v>
      </c>
      <c r="O25" s="54" cm="1">
        <f t="array" ref="O25">RollUpSum(25,15)</f>
        <v>1263.8599999999999</v>
      </c>
      <c r="P25" s="89" cm="1">
        <f t="array" ref="P25">RollUpSum(25,16)</f>
        <v>4492.2299999999996</v>
      </c>
      <c r="Q25" s="86" cm="1">
        <f t="array" ref="Q25">RollUpSum(25,17)</f>
        <v>2537.0300000000002</v>
      </c>
      <c r="R25" s="72" cm="1">
        <f t="array" ref="R25">RollUpSum(25,18)</f>
        <v>8358.6031000000003</v>
      </c>
      <c r="S25" s="22" cm="1">
        <f t="array" ref="S25">RollUpSum(25,19)</f>
        <v>3658.6</v>
      </c>
      <c r="T25" s="82" cm="1">
        <f t="array" ref="T25">RollUpSum(25,20)</f>
        <v>6486.66</v>
      </c>
      <c r="U25" s="78" cm="1">
        <f t="array" ref="U25">RollUpSum(25,21)</f>
        <v>14930.8</v>
      </c>
      <c r="V25" s="39" cm="1">
        <f t="array" ref="V25">RollUpSum(25,22)</f>
        <v>15462.752</v>
      </c>
      <c r="W25" s="22" cm="1">
        <f t="array" ref="W25">RollUpSum(25,23)</f>
        <v>7992.26</v>
      </c>
      <c r="X25" s="82" cm="1">
        <f t="array" ref="X25">RollUpSum(25,24)</f>
        <v>16247.34</v>
      </c>
      <c r="Y25" s="78" cm="1">
        <f t="array" ref="Y25">RollUpSum(25,25)</f>
        <v>22149.119999999999</v>
      </c>
    </row>
    <row r="26" spans="1:25">
      <c r="A26" s="41" t="s">
        <v>104</v>
      </c>
      <c r="B26" s="39" cm="1">
        <f t="array" ref="B26">RollUpSum(26,2)</f>
        <v>0</v>
      </c>
      <c r="C26" s="54" cm="1">
        <f t="array" ref="C26">RollUpSum(26,3)</f>
        <v>0</v>
      </c>
      <c r="D26" s="89" cm="1">
        <f t="array" ref="D26">RollUpSum(26,4)</f>
        <v>0</v>
      </c>
      <c r="E26" s="86" cm="1">
        <f t="array" ref="E26">RollUpSum(26,5)</f>
        <v>0</v>
      </c>
      <c r="F26" s="72" cm="1">
        <f t="array" ref="F26">RollUpSum(26,6)</f>
        <v>827.31500000000005</v>
      </c>
      <c r="G26" s="54" cm="1">
        <f t="array" ref="G26">RollUpSum(26,7)</f>
        <v>1000</v>
      </c>
      <c r="H26" s="89" cm="1">
        <f t="array" ref="H26">RollUpSum(26,8)</f>
        <v>1292.6300000000001</v>
      </c>
      <c r="I26" s="86" cm="1">
        <f t="array" ref="I26">RollUpSum(26,9)</f>
        <v>189.34</v>
      </c>
      <c r="J26" s="72" cm="1">
        <f t="array" ref="J26">RollUpSum(26,10)</f>
        <v>12945.117200000001</v>
      </c>
      <c r="K26" s="54" cm="1">
        <f t="array" ref="K26">RollUpSum(26,11)</f>
        <v>17133.560000000001</v>
      </c>
      <c r="L26" s="89" cm="1">
        <f t="array" ref="L26">RollUpSum(26,12)</f>
        <v>9249.32</v>
      </c>
      <c r="M26" s="86" cm="1">
        <f t="array" ref="M26">RollUpSum(26,13)</f>
        <v>12452.86</v>
      </c>
      <c r="N26" s="72" cm="1">
        <f t="array" ref="N26">RollUpSum(26,14)</f>
        <v>6967.2435999999998</v>
      </c>
      <c r="O26" s="54" cm="1">
        <f t="array" ref="O26">RollUpSum(26,15)</f>
        <v>8543.5499999999993</v>
      </c>
      <c r="P26" s="89" cm="1">
        <f t="array" ref="P26">RollUpSum(26,16)</f>
        <v>6022.49</v>
      </c>
      <c r="Q26" s="86" cm="1">
        <f t="array" ref="Q26">RollUpSum(26,17)</f>
        <v>6335.9</v>
      </c>
      <c r="R26" s="72" cm="1">
        <f t="array" ref="R26">RollUpSum(26,18)</f>
        <v>9516.7981999999993</v>
      </c>
      <c r="S26" s="22" cm="1">
        <f t="array" ref="S26">RollUpSum(26,19)</f>
        <v>8346.51</v>
      </c>
      <c r="T26" s="82" cm="1">
        <f t="array" ref="T26">RollUpSum(26,20)</f>
        <v>10788</v>
      </c>
      <c r="U26" s="78" cm="1">
        <f t="array" ref="U26">RollUpSum(26,21)</f>
        <v>9416.17</v>
      </c>
      <c r="V26" s="39" cm="1">
        <f t="array" ref="V26">RollUpSum(26,22)</f>
        <v>30256.474099999999</v>
      </c>
      <c r="W26" s="22" cm="1">
        <f t="array" ref="W26">RollUpSum(26,23)</f>
        <v>35023.620000000003</v>
      </c>
      <c r="X26" s="82" cm="1">
        <f t="array" ref="X26">RollUpSum(26,24)</f>
        <v>27352.44</v>
      </c>
      <c r="Y26" s="78" cm="1">
        <f t="array" ref="Y26">RollUpSum(26,25)</f>
        <v>28394.27</v>
      </c>
    </row>
    <row r="27" spans="1:25">
      <c r="A27" s="41" t="s">
        <v>102</v>
      </c>
      <c r="B27" s="39" cm="1">
        <f t="array" ref="B27">RollUpSum(27,2)</f>
        <v>0</v>
      </c>
      <c r="C27" s="54" cm="1">
        <f t="array" ref="C27">RollUpSum(27,3)</f>
        <v>0</v>
      </c>
      <c r="D27" s="89" cm="1">
        <f t="array" ref="D27">RollUpSum(27,4)</f>
        <v>0</v>
      </c>
      <c r="E27" s="86" cm="1">
        <f t="array" ref="E27">RollUpSum(27,5)</f>
        <v>0</v>
      </c>
      <c r="F27" s="72" cm="1">
        <f t="array" ref="F27">RollUpSum(27,6)</f>
        <v>174.9983</v>
      </c>
      <c r="G27" s="54" cm="1">
        <f t="array" ref="G27">RollUpSum(27,7)</f>
        <v>75</v>
      </c>
      <c r="H27" s="89" cm="1">
        <f t="array" ref="H27">RollUpSum(27,8)</f>
        <v>0</v>
      </c>
      <c r="I27" s="86" cm="1">
        <f t="array" ref="I27">RollUpSum(27,9)</f>
        <v>450</v>
      </c>
      <c r="J27" s="72" cm="1">
        <f t="array" ref="J27">RollUpSum(27,10)</f>
        <v>1001.5766</v>
      </c>
      <c r="K27" s="54" cm="1">
        <f t="array" ref="K27">RollUpSum(27,11)</f>
        <v>648.91</v>
      </c>
      <c r="L27" s="89" cm="1">
        <f t="array" ref="L27">RollUpSum(27,12)</f>
        <v>1580.35</v>
      </c>
      <c r="M27" s="86" cm="1">
        <f t="array" ref="M27">RollUpSum(27,13)</f>
        <v>775.5</v>
      </c>
      <c r="N27" s="72" cm="1">
        <f t="array" ref="N27">RollUpSum(27,14)</f>
        <v>71.066000000000003</v>
      </c>
      <c r="O27" s="54" cm="1">
        <f t="array" ref="O27">RollUpSum(27,15)</f>
        <v>36</v>
      </c>
      <c r="P27" s="89" cm="1">
        <f t="array" ref="P27">RollUpSum(27,16)</f>
        <v>122.2</v>
      </c>
      <c r="Q27" s="86" cm="1">
        <f t="array" ref="Q27">RollUpSum(27,17)</f>
        <v>55</v>
      </c>
      <c r="R27" s="72" cm="1">
        <f t="array" ref="R27">RollUpSum(27,18)</f>
        <v>129.2587</v>
      </c>
      <c r="S27" s="22" cm="1">
        <f t="array" ref="S27">RollUpSum(27,19)</f>
        <v>72</v>
      </c>
      <c r="T27" s="82" cm="1">
        <f t="array" ref="T27">RollUpSum(27,20)</f>
        <v>58.78</v>
      </c>
      <c r="U27" s="78" cm="1">
        <f t="array" ref="U27">RollUpSum(27,21)</f>
        <v>257</v>
      </c>
      <c r="V27" s="39" cm="1">
        <f t="array" ref="V27">RollUpSum(27,22)</f>
        <v>1376.8995</v>
      </c>
      <c r="W27" s="22" cm="1">
        <f t="array" ref="W27">RollUpSum(27,23)</f>
        <v>831.91</v>
      </c>
      <c r="X27" s="82" cm="1">
        <f t="array" ref="X27">RollUpSum(27,24)</f>
        <v>1761.33</v>
      </c>
      <c r="Y27" s="78" cm="1">
        <f t="array" ref="Y27">RollUpSum(27,25)</f>
        <v>1537.5</v>
      </c>
    </row>
    <row r="28" spans="1:25">
      <c r="A28" s="41" t="s">
        <v>98</v>
      </c>
      <c r="B28" s="39" cm="1">
        <f t="array" ref="B28">RollUpSum(28,2)</f>
        <v>0</v>
      </c>
      <c r="C28" s="54" cm="1">
        <f t="array" ref="C28">RollUpSum(28,3)</f>
        <v>0</v>
      </c>
      <c r="D28" s="89" cm="1">
        <f t="array" ref="D28">RollUpSum(28,4)</f>
        <v>0</v>
      </c>
      <c r="E28" s="86" cm="1">
        <f t="array" ref="E28">RollUpSum(28,5)</f>
        <v>0</v>
      </c>
      <c r="F28" s="72" cm="1">
        <f t="array" ref="F28">RollUpSum(28,6)</f>
        <v>1012.3266</v>
      </c>
      <c r="G28" s="54" cm="1">
        <f t="array" ref="G28">RollUpSum(28,7)</f>
        <v>535.01</v>
      </c>
      <c r="H28" s="89" cm="1">
        <f t="array" ref="H28">RollUpSum(28,8)</f>
        <v>1173.1199999999999</v>
      </c>
      <c r="I28" s="86" cm="1">
        <f t="array" ref="I28">RollUpSum(28,9)</f>
        <v>1328.88</v>
      </c>
      <c r="J28" s="72" cm="1">
        <f t="array" ref="J28">RollUpSum(28,10)</f>
        <v>5095.5223999999998</v>
      </c>
      <c r="K28" s="54" cm="1">
        <f t="array" ref="K28">RollUpSum(28,11)</f>
        <v>6468.64</v>
      </c>
      <c r="L28" s="89" cm="1">
        <f t="array" ref="L28">RollUpSum(28,12)</f>
        <v>4023.89</v>
      </c>
      <c r="M28" s="86" cm="1">
        <f t="array" ref="M28">RollUpSum(28,13)</f>
        <v>4794.1899999999996</v>
      </c>
      <c r="N28" s="72" cm="1">
        <f t="array" ref="N28">RollUpSum(28,14)</f>
        <v>3228.2208999999998</v>
      </c>
      <c r="O28" s="54" cm="1">
        <f t="array" ref="O28">RollUpSum(28,15)</f>
        <v>5363.28</v>
      </c>
      <c r="P28" s="89" cm="1">
        <f t="array" ref="P28">RollUpSum(28,16)</f>
        <v>3501.62</v>
      </c>
      <c r="Q28" s="86" cm="1">
        <f t="array" ref="Q28">RollUpSum(28,17)</f>
        <v>819.86</v>
      </c>
      <c r="R28" s="72" cm="1">
        <f t="array" ref="R28">RollUpSum(28,18)</f>
        <v>5632.5370999999996</v>
      </c>
      <c r="S28" s="22" cm="1">
        <f t="array" ref="S28">RollUpSum(28,19)</f>
        <v>2256.88</v>
      </c>
      <c r="T28" s="82" cm="1">
        <f t="array" ref="T28">RollUpSum(28,20)</f>
        <v>7868.81</v>
      </c>
      <c r="U28" s="78" cm="1">
        <f t="array" ref="U28">RollUpSum(28,21)</f>
        <v>6772.09</v>
      </c>
      <c r="V28" s="39" cm="1">
        <f t="array" ref="V28">RollUpSum(28,22)</f>
        <v>14968.607099999999</v>
      </c>
      <c r="W28" s="22" cm="1">
        <f t="array" ref="W28">RollUpSum(28,23)</f>
        <v>14623.81</v>
      </c>
      <c r="X28" s="82" cm="1">
        <f t="array" ref="X28">RollUpSum(28,24)</f>
        <v>16567.439999999999</v>
      </c>
      <c r="Y28" s="78" cm="1">
        <f t="array" ref="Y28">RollUpSum(28,25)</f>
        <v>13715.02</v>
      </c>
    </row>
    <row r="29" spans="1:25">
      <c r="A29" s="42" t="s">
        <v>84</v>
      </c>
      <c r="B29" s="64" cm="1">
        <f t="array" ref="B29">RollUpSum(29,2)</f>
        <v>0</v>
      </c>
      <c r="C29" s="59" cm="1">
        <f t="array" ref="C29">RollUpSum(29,3)</f>
        <v>0</v>
      </c>
      <c r="D29" s="91" cm="1">
        <f t="array" ref="D29">RollUpSum(29,4)</f>
        <v>0</v>
      </c>
      <c r="E29" s="88" cm="1">
        <f t="array" ref="E29">RollUpSum(29,5)</f>
        <v>0</v>
      </c>
      <c r="F29" s="73" cm="1">
        <f t="array" ref="F29">RollUpSum(29,6)</f>
        <v>13027.2132</v>
      </c>
      <c r="G29" s="59" cm="1">
        <f t="array" ref="G29">RollUpSum(29,7)</f>
        <v>18697.71</v>
      </c>
      <c r="H29" s="91" cm="1">
        <f t="array" ref="H29">RollUpSum(29,8)</f>
        <v>20038.78</v>
      </c>
      <c r="I29" s="88" cm="1">
        <f t="array" ref="I29">RollUpSum(29,9)</f>
        <v>345.54</v>
      </c>
      <c r="J29" s="73" cm="1">
        <f t="array" ref="J29">RollUpSum(29,10)</f>
        <v>31885.694500000001</v>
      </c>
      <c r="K29" s="59" cm="1">
        <f t="array" ref="K29">RollUpSum(29,11)</f>
        <v>37592.199999999997</v>
      </c>
      <c r="L29" s="91" cm="1">
        <f t="array" ref="L29">RollUpSum(29,12)</f>
        <v>47605.11</v>
      </c>
      <c r="M29" s="88" cm="1">
        <f t="array" ref="M29">RollUpSum(29,13)</f>
        <v>10460.73</v>
      </c>
      <c r="N29" s="73" cm="1">
        <f t="array" ref="N29">RollUpSum(29,14)</f>
        <v>24666.923299999999</v>
      </c>
      <c r="O29" s="59" cm="1">
        <f t="array" ref="O29">RollUpSum(29,15)</f>
        <v>38853.1</v>
      </c>
      <c r="P29" s="91" cm="1">
        <f t="array" ref="P29">RollUpSum(29,16)</f>
        <v>19428.759999999998</v>
      </c>
      <c r="Q29" s="88" cm="1">
        <f t="array" ref="Q29">RollUpSum(29,17)</f>
        <v>15719.65</v>
      </c>
      <c r="R29" s="73" cm="1">
        <f t="array" ref="R29">RollUpSum(29,18)</f>
        <v>26157.0049</v>
      </c>
      <c r="S29" s="35" cm="1">
        <f t="array" ref="S29">RollUpSum(29,19)</f>
        <v>24813.58</v>
      </c>
      <c r="T29" s="85" cm="1">
        <f t="array" ref="T29">RollUpSum(29,20)</f>
        <v>40516.69</v>
      </c>
      <c r="U29" s="81" cm="1">
        <f t="array" ref="U29">RollUpSum(29,21)</f>
        <v>13141.53</v>
      </c>
      <c r="V29" s="64" cm="1">
        <f t="array" ref="V29">RollUpSum(29,22)</f>
        <v>95736.835999999996</v>
      </c>
      <c r="W29" s="35" cm="1">
        <f t="array" ref="W29">RollUpSum(29,23)</f>
        <v>119956.59</v>
      </c>
      <c r="X29" s="85" cm="1">
        <f t="array" ref="X29">RollUpSum(29,24)</f>
        <v>127589.34</v>
      </c>
      <c r="Y29" s="81" cm="1">
        <f t="array" ref="Y29">RollUpSum(29,25)</f>
        <v>39667.449999999997</v>
      </c>
    </row>
    <row r="30" spans="1:25">
      <c r="A30" s="23" t="s">
        <v>563</v>
      </c>
      <c r="B30" s="27">
        <f t="shared" ref="B30:Y30" si="3">SUM(B23:B29)</f>
        <v>198929</v>
      </c>
      <c r="C30" s="60">
        <f t="shared" si="3"/>
        <v>157135</v>
      </c>
      <c r="D30" s="60">
        <f t="shared" si="3"/>
        <v>157135</v>
      </c>
      <c r="E30" s="60">
        <f t="shared" si="3"/>
        <v>123135</v>
      </c>
      <c r="F30" s="27">
        <f t="shared" si="3"/>
        <v>17829.3819</v>
      </c>
      <c r="G30" s="60">
        <f t="shared" si="3"/>
        <v>21858.62</v>
      </c>
      <c r="H30" s="60">
        <f t="shared" si="3"/>
        <v>26123.82</v>
      </c>
      <c r="I30" s="60">
        <f t="shared" si="3"/>
        <v>5506.2400000000007</v>
      </c>
      <c r="J30" s="27">
        <f t="shared" si="3"/>
        <v>52480.185200000007</v>
      </c>
      <c r="K30" s="60">
        <f t="shared" si="3"/>
        <v>63362.21</v>
      </c>
      <c r="L30" s="60">
        <f t="shared" si="3"/>
        <v>64107.83</v>
      </c>
      <c r="M30" s="60">
        <f t="shared" si="3"/>
        <v>29972.09</v>
      </c>
      <c r="N30" s="27">
        <f t="shared" si="3"/>
        <v>37697.799500000001</v>
      </c>
      <c r="O30" s="60">
        <f t="shared" si="3"/>
        <v>54059.789999999994</v>
      </c>
      <c r="P30" s="60">
        <f t="shared" si="3"/>
        <v>33567.300000000003</v>
      </c>
      <c r="Q30" s="60">
        <f t="shared" si="3"/>
        <v>25467.440000000002</v>
      </c>
      <c r="R30" s="27">
        <f t="shared" si="3"/>
        <v>49794.201999999997</v>
      </c>
      <c r="S30" s="36">
        <f t="shared" si="3"/>
        <v>39147.570000000007</v>
      </c>
      <c r="T30" s="36">
        <f t="shared" si="3"/>
        <v>65718.94</v>
      </c>
      <c r="U30" s="36">
        <f t="shared" si="3"/>
        <v>44517.590000000004</v>
      </c>
      <c r="V30" s="27">
        <f t="shared" si="3"/>
        <v>157801.5687</v>
      </c>
      <c r="W30" s="36">
        <f t="shared" si="3"/>
        <v>178428.19</v>
      </c>
      <c r="X30" s="36">
        <f t="shared" si="3"/>
        <v>189517.89</v>
      </c>
      <c r="Y30" s="36">
        <f t="shared" si="3"/>
        <v>105463.36</v>
      </c>
    </row>
    <row r="31" spans="1:25">
      <c r="A31" s="24" t="s">
        <v>429</v>
      </c>
      <c r="B31" s="21"/>
      <c r="C31" s="26"/>
      <c r="D31" s="26"/>
      <c r="E31" s="26"/>
      <c r="F31" s="26"/>
      <c r="G31" s="26"/>
      <c r="H31" s="26"/>
      <c r="I31" s="26"/>
      <c r="J31" s="26"/>
      <c r="K31" s="26"/>
      <c r="L31" s="26"/>
      <c r="M31" s="26"/>
      <c r="N31" s="26"/>
      <c r="O31" s="26"/>
      <c r="P31" s="26"/>
      <c r="Q31" s="26"/>
      <c r="R31" s="26"/>
      <c r="S31" s="26"/>
      <c r="T31" s="26"/>
      <c r="U31" s="26"/>
      <c r="V31" s="21"/>
      <c r="W31" s="26"/>
      <c r="X31" s="26"/>
      <c r="Y31" s="26"/>
    </row>
    <row r="32" spans="1:25">
      <c r="A32" s="40" t="s">
        <v>81</v>
      </c>
      <c r="B32" s="65" cm="1">
        <f t="array" ref="B32">RollUpSum(32,2)</f>
        <v>11000</v>
      </c>
      <c r="C32" s="54" cm="1">
        <f t="array" ref="C32">RollUpSum(32,3)</f>
        <v>11000</v>
      </c>
      <c r="D32" s="89" cm="1">
        <f t="array" ref="D32">RollUpSum(32,4)</f>
        <v>11000</v>
      </c>
      <c r="E32" s="86" cm="1">
        <f t="array" ref="E32">RollUpSum(32,5)</f>
        <v>5000</v>
      </c>
      <c r="F32" s="72" cm="1">
        <f t="array" ref="F32">RollUpSum(32,6)</f>
        <v>712.52290000000005</v>
      </c>
      <c r="G32" s="54" cm="1">
        <f t="array" ref="G32">RollUpSum(32,7)</f>
        <v>1600.47</v>
      </c>
      <c r="H32" s="89" cm="1">
        <f t="array" ref="H32">RollUpSum(32,8)</f>
        <v>0</v>
      </c>
      <c r="I32" s="86" cm="1">
        <f t="array" ref="I32">RollUpSum(32,9)</f>
        <v>537.12</v>
      </c>
      <c r="J32" s="72" cm="1">
        <f t="array" ref="J32">RollUpSum(32,10)</f>
        <v>2360.1563999999998</v>
      </c>
      <c r="K32" s="54" cm="1">
        <f t="array" ref="K32">RollUpSum(32,11)</f>
        <v>2091.04</v>
      </c>
      <c r="L32" s="89" cm="1">
        <f t="array" ref="L32">RollUpSum(32,12)</f>
        <v>126.42</v>
      </c>
      <c r="M32" s="86" cm="1">
        <f t="array" ref="M32">RollUpSum(32,13)</f>
        <v>4863.08</v>
      </c>
      <c r="N32" s="72" cm="1">
        <f t="array" ref="N32">RollUpSum(32,14)</f>
        <v>1021.2764</v>
      </c>
      <c r="O32" s="54" cm="1">
        <f t="array" ref="O32">RollUpSum(32,15)</f>
        <v>0</v>
      </c>
      <c r="P32" s="89" cm="1">
        <f t="array" ref="P32">RollUpSum(32,16)</f>
        <v>860.05</v>
      </c>
      <c r="Q32" s="86" cm="1">
        <f t="array" ref="Q32">RollUpSum(32,17)</f>
        <v>2203.81</v>
      </c>
      <c r="R32" s="72" cm="1">
        <f t="array" ref="R32">RollUpSum(32,18)</f>
        <v>460.44880000000001</v>
      </c>
      <c r="S32" s="32" cm="1">
        <f t="array" ref="S32">RollUpSum(32,19)</f>
        <v>0</v>
      </c>
      <c r="T32" s="84" cm="1">
        <f t="array" ref="T32">RollUpSum(32,20)</f>
        <v>72.959999999999994</v>
      </c>
      <c r="U32" s="80" cm="1">
        <f t="array" ref="U32">RollUpSum(32,21)</f>
        <v>1308.4000000000001</v>
      </c>
      <c r="V32" s="65" cm="1">
        <f t="array" ref="V32">RollUpSum(32,22)</f>
        <v>4554.4044999999996</v>
      </c>
      <c r="W32" s="32" cm="1">
        <f t="array" ref="W32">RollUpSum(32,23)</f>
        <v>3691.51</v>
      </c>
      <c r="X32" s="84" cm="1">
        <f t="array" ref="X32">RollUpSum(32,24)</f>
        <v>1059.43</v>
      </c>
      <c r="Y32" s="80" cm="1">
        <f t="array" ref="Y32">RollUpSum(32,25)</f>
        <v>8912.41</v>
      </c>
    </row>
    <row r="33" spans="1:25">
      <c r="A33" s="42" t="s">
        <v>79</v>
      </c>
      <c r="B33" s="64" cm="1">
        <f t="array" ref="B33">RollUpSum(33,2)</f>
        <v>0</v>
      </c>
      <c r="C33" s="59" cm="1">
        <f t="array" ref="C33">RollUpSum(33,3)</f>
        <v>0</v>
      </c>
      <c r="D33" s="91" cm="1">
        <f t="array" ref="D33">RollUpSum(33,4)</f>
        <v>0</v>
      </c>
      <c r="E33" s="88" cm="1">
        <f t="array" ref="E33">RollUpSum(33,5)</f>
        <v>0</v>
      </c>
      <c r="F33" s="73" cm="1">
        <f t="array" ref="F33">RollUpSum(33,6)</f>
        <v>998.48670000000004</v>
      </c>
      <c r="G33" s="59" cm="1">
        <f t="array" ref="G33">RollUpSum(33,7)</f>
        <v>533.49</v>
      </c>
      <c r="H33" s="91" cm="1">
        <f t="array" ref="H33">RollUpSum(33,8)</f>
        <v>0</v>
      </c>
      <c r="I33" s="88" cm="1">
        <f t="array" ref="I33">RollUpSum(33,9)</f>
        <v>2462</v>
      </c>
      <c r="J33" s="73" cm="1">
        <f t="array" ref="J33">RollUpSum(33,10)</f>
        <v>1186.5215000000001</v>
      </c>
      <c r="K33" s="59" cm="1">
        <f t="array" ref="K33">RollUpSum(33,11)</f>
        <v>799</v>
      </c>
      <c r="L33" s="91" cm="1">
        <f t="array" ref="L33">RollUpSum(33,12)</f>
        <v>2760.6</v>
      </c>
      <c r="M33" s="88" cm="1">
        <f t="array" ref="M33">RollUpSum(33,13)</f>
        <v>0</v>
      </c>
      <c r="N33" s="73" cm="1">
        <f t="array" ref="N33">RollUpSum(33,14)</f>
        <v>413.32920000000001</v>
      </c>
      <c r="O33" s="59" cm="1">
        <f t="array" ref="O33">RollUpSum(33,15)</f>
        <v>1240</v>
      </c>
      <c r="P33" s="91" cm="1">
        <f t="array" ref="P33">RollUpSum(33,16)</f>
        <v>0</v>
      </c>
      <c r="Q33" s="88" cm="1">
        <f t="array" ref="Q33">RollUpSum(33,17)</f>
        <v>0</v>
      </c>
      <c r="R33" s="73" cm="1">
        <f t="array" ref="R33">RollUpSum(33,18)</f>
        <v>393.32940000000002</v>
      </c>
      <c r="S33" s="35" cm="1">
        <f t="array" ref="S33">RollUpSum(33,19)</f>
        <v>1180</v>
      </c>
      <c r="T33" s="85" cm="1">
        <f t="array" ref="T33">RollUpSum(33,20)</f>
        <v>0</v>
      </c>
      <c r="U33" s="81" cm="1">
        <f t="array" ref="U33">RollUpSum(33,21)</f>
        <v>0</v>
      </c>
      <c r="V33" s="64" cm="1">
        <f t="array" ref="V33">RollUpSum(33,22)</f>
        <v>2991.6668</v>
      </c>
      <c r="W33" s="35" cm="1">
        <f t="array" ref="W33">RollUpSum(33,23)</f>
        <v>3752.49</v>
      </c>
      <c r="X33" s="85" cm="1">
        <f t="array" ref="X33">RollUpSum(33,24)</f>
        <v>2760.6</v>
      </c>
      <c r="Y33" s="81" cm="1">
        <f t="array" ref="Y33">RollUpSum(33,25)</f>
        <v>2462</v>
      </c>
    </row>
    <row r="34" spans="1:25">
      <c r="A34" s="23" t="s">
        <v>564</v>
      </c>
      <c r="B34" s="27">
        <f t="shared" ref="B34:Y34" si="4">SUM(B32:B33)</f>
        <v>11000</v>
      </c>
      <c r="C34" s="60">
        <f t="shared" si="4"/>
        <v>11000</v>
      </c>
      <c r="D34" s="60">
        <f t="shared" si="4"/>
        <v>11000</v>
      </c>
      <c r="E34" s="60">
        <f t="shared" si="4"/>
        <v>5000</v>
      </c>
      <c r="F34" s="27">
        <f t="shared" si="4"/>
        <v>1711.0096000000001</v>
      </c>
      <c r="G34" s="60">
        <f t="shared" si="4"/>
        <v>2133.96</v>
      </c>
      <c r="H34" s="60">
        <f t="shared" si="4"/>
        <v>0</v>
      </c>
      <c r="I34" s="60">
        <f t="shared" si="4"/>
        <v>2999.12</v>
      </c>
      <c r="J34" s="27">
        <f t="shared" si="4"/>
        <v>3546.6778999999997</v>
      </c>
      <c r="K34" s="60">
        <f t="shared" si="4"/>
        <v>2890.04</v>
      </c>
      <c r="L34" s="60">
        <f t="shared" si="4"/>
        <v>2887.02</v>
      </c>
      <c r="M34" s="60">
        <f t="shared" si="4"/>
        <v>4863.08</v>
      </c>
      <c r="N34" s="27">
        <f t="shared" si="4"/>
        <v>1434.6055999999999</v>
      </c>
      <c r="O34" s="60">
        <f t="shared" si="4"/>
        <v>1240</v>
      </c>
      <c r="P34" s="60">
        <f t="shared" si="4"/>
        <v>860.05</v>
      </c>
      <c r="Q34" s="60">
        <f t="shared" si="4"/>
        <v>2203.81</v>
      </c>
      <c r="R34" s="27">
        <f t="shared" si="4"/>
        <v>853.77819999999997</v>
      </c>
      <c r="S34" s="36">
        <f t="shared" si="4"/>
        <v>1180</v>
      </c>
      <c r="T34" s="36">
        <f t="shared" si="4"/>
        <v>72.959999999999994</v>
      </c>
      <c r="U34" s="36">
        <f t="shared" si="4"/>
        <v>1308.4000000000001</v>
      </c>
      <c r="V34" s="27">
        <f t="shared" si="4"/>
        <v>7546.0712999999996</v>
      </c>
      <c r="W34" s="36">
        <f t="shared" si="4"/>
        <v>7444</v>
      </c>
      <c r="X34" s="36">
        <f t="shared" si="4"/>
        <v>3820.0299999999997</v>
      </c>
      <c r="Y34" s="36">
        <f t="shared" si="4"/>
        <v>11374.41</v>
      </c>
    </row>
    <row r="35" spans="1:25">
      <c r="A35" s="24" t="s">
        <v>565</v>
      </c>
      <c r="B35" s="26"/>
      <c r="C35" s="26"/>
      <c r="D35" s="26"/>
      <c r="E35" s="26"/>
      <c r="F35" s="26"/>
      <c r="G35" s="26"/>
      <c r="H35" s="26"/>
      <c r="I35" s="26"/>
      <c r="J35" s="26"/>
      <c r="K35" s="26"/>
      <c r="L35" s="26"/>
      <c r="M35" s="26"/>
      <c r="N35" s="26"/>
      <c r="O35" s="26"/>
      <c r="P35" s="26"/>
      <c r="Q35" s="26"/>
      <c r="R35" s="26"/>
      <c r="S35" s="26"/>
      <c r="T35" s="26"/>
      <c r="U35" s="26"/>
      <c r="V35" s="26"/>
      <c r="W35" s="26"/>
      <c r="X35" s="26"/>
      <c r="Y35" s="26"/>
    </row>
    <row r="36" spans="1:25">
      <c r="A36" s="40" t="s">
        <v>77</v>
      </c>
      <c r="B36" s="65" cm="1">
        <f t="array" ref="B36">RollUpSum(36,2)</f>
        <v>0</v>
      </c>
      <c r="C36" s="54" cm="1">
        <f t="array" ref="C36">RollUpSum(36,3)</f>
        <v>0</v>
      </c>
      <c r="D36" s="89" cm="1">
        <f t="array" ref="D36">RollUpSum(36,4)</f>
        <v>0</v>
      </c>
      <c r="E36" s="86" cm="1">
        <f t="array" ref="E36">RollUpSum(36,5)</f>
        <v>0</v>
      </c>
      <c r="F36" s="72" cm="1">
        <f t="array" ref="F36">RollUpSum(36,6)</f>
        <v>0</v>
      </c>
      <c r="G36" s="54" cm="1">
        <f t="array" ref="G36">RollUpSum(36,7)</f>
        <v>0</v>
      </c>
      <c r="H36" s="89" cm="1">
        <f t="array" ref="H36">RollUpSum(36,8)</f>
        <v>0</v>
      </c>
      <c r="I36" s="86" cm="1">
        <f t="array" ref="I36">RollUpSum(36,9)</f>
        <v>0</v>
      </c>
      <c r="J36" s="72" cm="1">
        <f t="array" ref="J36">RollUpSum(36,10)</f>
        <v>0</v>
      </c>
      <c r="K36" s="54" cm="1">
        <f t="array" ref="K36">RollUpSum(36,11)</f>
        <v>0</v>
      </c>
      <c r="L36" s="89" cm="1">
        <f t="array" ref="L36">RollUpSum(36,12)</f>
        <v>0</v>
      </c>
      <c r="M36" s="86" cm="1">
        <f t="array" ref="M36">RollUpSum(36,13)</f>
        <v>0</v>
      </c>
      <c r="N36" s="72" cm="1">
        <f t="array" ref="N36">RollUpSum(36,14)</f>
        <v>0</v>
      </c>
      <c r="O36" s="54" cm="1">
        <f t="array" ref="O36">RollUpSum(36,15)</f>
        <v>0</v>
      </c>
      <c r="P36" s="89" cm="1">
        <f t="array" ref="P36">RollUpSum(36,16)</f>
        <v>0</v>
      </c>
      <c r="Q36" s="86" cm="1">
        <f t="array" ref="Q36">RollUpSum(36,17)</f>
        <v>0</v>
      </c>
      <c r="R36" s="72" cm="1">
        <f t="array" ref="R36">RollUpSum(36,18)</f>
        <v>12.1799</v>
      </c>
      <c r="S36" s="32" cm="1">
        <f t="array" ref="S36">RollUpSum(36,19)</f>
        <v>36.54</v>
      </c>
      <c r="T36" s="84" cm="1">
        <f t="array" ref="T36">RollUpSum(36,20)</f>
        <v>0</v>
      </c>
      <c r="U36" s="80" cm="1">
        <f t="array" ref="U36">RollUpSum(36,21)</f>
        <v>0</v>
      </c>
      <c r="V36" s="65" cm="1">
        <f t="array" ref="V36">RollUpSum(36,22)</f>
        <v>12.1799</v>
      </c>
      <c r="W36" s="32" cm="1">
        <f t="array" ref="W36">RollUpSum(36,23)</f>
        <v>36.54</v>
      </c>
      <c r="X36" s="84" cm="1">
        <f t="array" ref="X36">RollUpSum(36,24)</f>
        <v>0</v>
      </c>
      <c r="Y36" s="80" cm="1">
        <f t="array" ref="Y36">RollUpSum(36,25)</f>
        <v>0</v>
      </c>
    </row>
    <row r="37" spans="1:25">
      <c r="A37" s="41" t="s">
        <v>59</v>
      </c>
      <c r="B37" s="39" cm="1">
        <f t="array" ref="B37">RollUpSum(37,2)</f>
        <v>0</v>
      </c>
      <c r="C37" s="54" cm="1">
        <f t="array" ref="C37">RollUpSum(37,3)</f>
        <v>0</v>
      </c>
      <c r="D37" s="89" cm="1">
        <f t="array" ref="D37">RollUpSum(37,4)</f>
        <v>0</v>
      </c>
      <c r="E37" s="86" cm="1">
        <f t="array" ref="E37">RollUpSum(37,5)</f>
        <v>0</v>
      </c>
      <c r="F37" s="72" cm="1">
        <f t="array" ref="F37">RollUpSum(37,6)</f>
        <v>0</v>
      </c>
      <c r="G37" s="54" cm="1">
        <f t="array" ref="G37">RollUpSum(37,7)</f>
        <v>0</v>
      </c>
      <c r="H37" s="89" cm="1">
        <f t="array" ref="H37">RollUpSum(37,8)</f>
        <v>0</v>
      </c>
      <c r="I37" s="86" cm="1">
        <f t="array" ref="I37">RollUpSum(37,9)</f>
        <v>0</v>
      </c>
      <c r="J37" s="72" cm="1">
        <f t="array" ref="J37">RollUpSum(37,10)</f>
        <v>0</v>
      </c>
      <c r="K37" s="54" cm="1">
        <f t="array" ref="K37">RollUpSum(37,11)</f>
        <v>0</v>
      </c>
      <c r="L37" s="89" cm="1">
        <f t="array" ref="L37">RollUpSum(37,12)</f>
        <v>0</v>
      </c>
      <c r="M37" s="86" cm="1">
        <f t="array" ref="M37">RollUpSum(37,13)</f>
        <v>0</v>
      </c>
      <c r="N37" s="72" cm="1">
        <f t="array" ref="N37">RollUpSum(37,14)</f>
        <v>0</v>
      </c>
      <c r="O37" s="54" cm="1">
        <f t="array" ref="O37">RollUpSum(37,15)</f>
        <v>0</v>
      </c>
      <c r="P37" s="89" cm="1">
        <f t="array" ref="P37">RollUpSum(37,16)</f>
        <v>0</v>
      </c>
      <c r="Q37" s="86" cm="1">
        <f t="array" ref="Q37">RollUpSum(37,17)</f>
        <v>0</v>
      </c>
      <c r="R37" s="72" cm="1">
        <f t="array" ref="R37">RollUpSum(37,18)</f>
        <v>0</v>
      </c>
      <c r="S37" s="22" cm="1">
        <f t="array" ref="S37">RollUpSum(37,19)</f>
        <v>0</v>
      </c>
      <c r="T37" s="82" cm="1">
        <f t="array" ref="T37">RollUpSum(37,20)</f>
        <v>0</v>
      </c>
      <c r="U37" s="78" cm="1">
        <f t="array" ref="U37">RollUpSum(37,21)</f>
        <v>0</v>
      </c>
      <c r="V37" s="39" cm="1">
        <f t="array" ref="V37">RollUpSum(37,22)</f>
        <v>0</v>
      </c>
      <c r="W37" s="22" cm="1">
        <f t="array" ref="W37">RollUpSum(37,23)</f>
        <v>0</v>
      </c>
      <c r="X37" s="82" cm="1">
        <f t="array" ref="X37">RollUpSum(37,24)</f>
        <v>0</v>
      </c>
      <c r="Y37" s="78" cm="1">
        <f t="array" ref="Y37">RollUpSum(37,25)</f>
        <v>0</v>
      </c>
    </row>
    <row r="38" spans="1:25">
      <c r="A38" s="41" t="s">
        <v>39</v>
      </c>
      <c r="B38" s="39" cm="1">
        <f t="array" ref="B38">RollUpSum(38,2)</f>
        <v>0</v>
      </c>
      <c r="C38" s="54" cm="1">
        <f t="array" ref="C38">RollUpSum(38,3)</f>
        <v>0</v>
      </c>
      <c r="D38" s="89" cm="1">
        <f t="array" ref="D38">RollUpSum(38,4)</f>
        <v>0</v>
      </c>
      <c r="E38" s="86" cm="1">
        <f t="array" ref="E38">RollUpSum(38,5)</f>
        <v>0</v>
      </c>
      <c r="F38" s="72" cm="1">
        <f t="array" ref="F38">RollUpSum(38,6)</f>
        <v>0</v>
      </c>
      <c r="G38" s="54" cm="1">
        <f t="array" ref="G38">RollUpSum(38,7)</f>
        <v>0</v>
      </c>
      <c r="H38" s="89" cm="1">
        <f t="array" ref="H38">RollUpSum(38,8)</f>
        <v>0</v>
      </c>
      <c r="I38" s="86" cm="1">
        <f t="array" ref="I38">RollUpSum(38,9)</f>
        <v>0</v>
      </c>
      <c r="J38" s="72" cm="1">
        <f t="array" ref="J38">RollUpSum(38,10)</f>
        <v>0</v>
      </c>
      <c r="K38" s="54" cm="1">
        <f t="array" ref="K38">RollUpSum(38,11)</f>
        <v>0</v>
      </c>
      <c r="L38" s="89" cm="1">
        <f t="array" ref="L38">RollUpSum(38,12)</f>
        <v>0</v>
      </c>
      <c r="M38" s="86" cm="1">
        <f t="array" ref="M38">RollUpSum(38,13)</f>
        <v>0</v>
      </c>
      <c r="N38" s="72" cm="1">
        <f t="array" ref="N38">RollUpSum(38,14)</f>
        <v>0</v>
      </c>
      <c r="O38" s="54" cm="1">
        <f t="array" ref="O38">RollUpSum(38,15)</f>
        <v>0</v>
      </c>
      <c r="P38" s="89" cm="1">
        <f t="array" ref="P38">RollUpSum(38,16)</f>
        <v>0</v>
      </c>
      <c r="Q38" s="86" cm="1">
        <f t="array" ref="Q38">RollUpSum(38,17)</f>
        <v>0</v>
      </c>
      <c r="R38" s="72" cm="1">
        <f t="array" ref="R38">RollUpSum(38,18)</f>
        <v>0</v>
      </c>
      <c r="S38" s="22" cm="1">
        <f t="array" ref="S38">RollUpSum(38,19)</f>
        <v>0</v>
      </c>
      <c r="T38" s="82" cm="1">
        <f t="array" ref="T38">RollUpSum(38,20)</f>
        <v>0</v>
      </c>
      <c r="U38" s="78" cm="1">
        <f t="array" ref="U38">RollUpSum(38,21)</f>
        <v>0</v>
      </c>
      <c r="V38" s="39" cm="1">
        <f t="array" ref="V38">RollUpSum(38,22)</f>
        <v>0</v>
      </c>
      <c r="W38" s="22" cm="1">
        <f t="array" ref="W38">RollUpSum(38,23)</f>
        <v>0</v>
      </c>
      <c r="X38" s="82" cm="1">
        <f t="array" ref="X38">RollUpSum(38,24)</f>
        <v>0</v>
      </c>
      <c r="Y38" s="78" cm="1">
        <f t="array" ref="Y38">RollUpSum(38,25)</f>
        <v>0</v>
      </c>
    </row>
    <row r="39" spans="1:25">
      <c r="A39" s="92" t="s">
        <v>31</v>
      </c>
      <c r="B39" s="93" cm="1">
        <f t="array" ref="B39">RollUpSum(39,2)</f>
        <v>0</v>
      </c>
      <c r="C39" s="94" cm="1">
        <f t="array" ref="C39">RollUpSum(39,3)</f>
        <v>0</v>
      </c>
      <c r="D39" s="100" cm="1">
        <f t="array" ref="D39">RollUpSum(39,4)</f>
        <v>0</v>
      </c>
      <c r="E39" s="99" cm="1">
        <f t="array" ref="E39">RollUpSum(39,5)</f>
        <v>0</v>
      </c>
      <c r="F39" s="95" cm="1">
        <f t="array" ref="F39">RollUpSum(39,6)</f>
        <v>0</v>
      </c>
      <c r="G39" s="94" cm="1">
        <f t="array" ref="G39">RollUpSum(39,7)</f>
        <v>0</v>
      </c>
      <c r="H39" s="100" cm="1">
        <f t="array" ref="H39">RollUpSum(39,8)</f>
        <v>0</v>
      </c>
      <c r="I39" s="99" cm="1">
        <f t="array" ref="I39">RollUpSum(39,9)</f>
        <v>0</v>
      </c>
      <c r="J39" s="95" cm="1">
        <f t="array" ref="J39">RollUpSum(39,10)</f>
        <v>0</v>
      </c>
      <c r="K39" s="94" cm="1">
        <f t="array" ref="K39">RollUpSum(39,11)</f>
        <v>0</v>
      </c>
      <c r="L39" s="100" cm="1">
        <f t="array" ref="L39">RollUpSum(39,12)</f>
        <v>0</v>
      </c>
      <c r="M39" s="99" cm="1">
        <f t="array" ref="M39">RollUpSum(39,13)</f>
        <v>0</v>
      </c>
      <c r="N39" s="95" cm="1">
        <f t="array" ref="N39">RollUpSum(39,14)</f>
        <v>0</v>
      </c>
      <c r="O39" s="94" cm="1">
        <f t="array" ref="O39">RollUpSum(39,15)</f>
        <v>0</v>
      </c>
      <c r="P39" s="100" cm="1">
        <f t="array" ref="P39">RollUpSum(39,16)</f>
        <v>0</v>
      </c>
      <c r="Q39" s="99" cm="1">
        <f t="array" ref="Q39">RollUpSum(39,17)</f>
        <v>0</v>
      </c>
      <c r="R39" s="95" cm="1">
        <f t="array" ref="R39">RollUpSum(39,18)</f>
        <v>0</v>
      </c>
      <c r="S39" s="96" cm="1">
        <f t="array" ref="S39">RollUpSum(39,19)</f>
        <v>0</v>
      </c>
      <c r="T39" s="98" cm="1">
        <f t="array" ref="T39">RollUpSum(39,20)</f>
        <v>0</v>
      </c>
      <c r="U39" s="97" cm="1">
        <f t="array" ref="U39">RollUpSum(39,21)</f>
        <v>0</v>
      </c>
      <c r="V39" s="93" cm="1">
        <f t="array" ref="V39">RollUpSum(39,22)</f>
        <v>0</v>
      </c>
      <c r="W39" s="96" cm="1">
        <f t="array" ref="W39">RollUpSum(39,23)</f>
        <v>0</v>
      </c>
      <c r="X39" s="98" cm="1">
        <f t="array" ref="X39">RollUpSum(39,24)</f>
        <v>0</v>
      </c>
      <c r="Y39" s="97" cm="1">
        <f t="array" ref="Y39">RollUpSum(39,25)</f>
        <v>0</v>
      </c>
    </row>
    <row r="40" spans="1:25">
      <c r="A40" s="41" t="s">
        <v>27</v>
      </c>
      <c r="B40" s="39" cm="1">
        <f t="array" ref="B40">RollUpSum(40,2)</f>
        <v>33954</v>
      </c>
      <c r="C40" s="54" cm="1">
        <f t="array" ref="C40">RollUpSum(40,3)</f>
        <v>35491</v>
      </c>
      <c r="D40" s="89" cm="1">
        <f t="array" ref="D40">RollUpSum(40,4)</f>
        <v>34479</v>
      </c>
      <c r="E40" s="86" cm="1">
        <f t="array" ref="E40">RollUpSum(40,5)</f>
        <v>33995</v>
      </c>
      <c r="F40" s="72" cm="1">
        <f t="array" ref="F40">RollUpSum(40,6)</f>
        <v>4643.9934999999996</v>
      </c>
      <c r="G40" s="54" cm="1">
        <f t="array" ref="G40">RollUpSum(40,7)</f>
        <v>4018.61</v>
      </c>
      <c r="H40" s="89" cm="1">
        <f t="array" ref="H40">RollUpSum(40,8)</f>
        <v>4681.41</v>
      </c>
      <c r="I40" s="86" cm="1">
        <f t="array" ref="I40">RollUpSum(40,9)</f>
        <v>5232.1000000000004</v>
      </c>
      <c r="J40" s="72" cm="1">
        <f t="array" ref="J40">RollUpSum(40,10)</f>
        <v>8647.1003000000001</v>
      </c>
      <c r="K40" s="54" cm="1">
        <f t="array" ref="K40">RollUpSum(40,11)</f>
        <v>9391.41</v>
      </c>
      <c r="L40" s="89" cm="1">
        <f t="array" ref="L40">RollUpSum(40,12)</f>
        <v>8826.91</v>
      </c>
      <c r="M40" s="86" cm="1">
        <f t="array" ref="M40">RollUpSum(40,13)</f>
        <v>7723.24</v>
      </c>
      <c r="N40" s="72" cm="1">
        <f t="array" ref="N40">RollUpSum(40,14)</f>
        <v>6783.3323</v>
      </c>
      <c r="O40" s="54" cm="1">
        <f t="array" ref="O40">RollUpSum(40,15)</f>
        <v>7320.72</v>
      </c>
      <c r="P40" s="89" cm="1">
        <f t="array" ref="P40">RollUpSum(40,16)</f>
        <v>5636.46</v>
      </c>
      <c r="Q40" s="86" cm="1">
        <f t="array" ref="Q40">RollUpSum(40,17)</f>
        <v>7393.02</v>
      </c>
      <c r="R40" s="72" cm="1">
        <f t="array" ref="R40">RollUpSum(40,18)</f>
        <v>7202.0346</v>
      </c>
      <c r="S40" s="22" cm="1">
        <f t="array" ref="S40">RollUpSum(40,19)</f>
        <v>6252</v>
      </c>
      <c r="T40" s="82" cm="1">
        <f t="array" ref="T40">RollUpSum(40,20)</f>
        <v>7859.77</v>
      </c>
      <c r="U40" s="78" cm="1">
        <f t="array" ref="U40">RollUpSum(40,21)</f>
        <v>7494.55</v>
      </c>
      <c r="V40" s="39" cm="1">
        <f t="array" ref="V40">RollUpSum(40,22)</f>
        <v>27276.460599999999</v>
      </c>
      <c r="W40" s="22" cm="1">
        <f t="array" ref="W40">RollUpSum(40,23)</f>
        <v>26982.74</v>
      </c>
      <c r="X40" s="82" cm="1">
        <f t="array" ref="X40">RollUpSum(40,24)</f>
        <v>27004.55</v>
      </c>
      <c r="Y40" s="78" cm="1">
        <f t="array" ref="Y40">RollUpSum(40,25)</f>
        <v>27842.91</v>
      </c>
    </row>
    <row r="41" spans="1:25">
      <c r="A41" s="42" t="s">
        <v>25</v>
      </c>
      <c r="B41" s="64" cm="1">
        <f t="array" ref="B41">RollUpSum(41,2)</f>
        <v>2756</v>
      </c>
      <c r="C41" s="59" cm="1">
        <f t="array" ref="C41">RollUpSum(41,3)</f>
        <v>2938</v>
      </c>
      <c r="D41" s="91" cm="1">
        <f t="array" ref="D41">RollUpSum(41,4)</f>
        <v>2853</v>
      </c>
      <c r="E41" s="88" cm="1">
        <f t="array" ref="E41">RollUpSum(41,5)</f>
        <v>4081</v>
      </c>
      <c r="F41" s="73" cm="1">
        <f t="array" ref="F41">RollUpSum(41,6)</f>
        <v>447.07870000000003</v>
      </c>
      <c r="G41" s="59" cm="1">
        <f t="array" ref="G41">RollUpSum(41,7)</f>
        <v>325.83999999999997</v>
      </c>
      <c r="H41" s="91" cm="1">
        <f t="array" ref="H41">RollUpSum(41,8)</f>
        <v>387.55</v>
      </c>
      <c r="I41" s="88" cm="1">
        <f t="array" ref="I41">RollUpSum(41,9)</f>
        <v>627.86</v>
      </c>
      <c r="J41" s="73" cm="1">
        <f t="array" ref="J41">RollUpSum(41,10)</f>
        <v>806.32529999999997</v>
      </c>
      <c r="K41" s="59" cm="1">
        <f t="array" ref="K41">RollUpSum(41,11)</f>
        <v>761.5</v>
      </c>
      <c r="L41" s="91" cm="1">
        <f t="array" ref="L41">RollUpSum(41,12)</f>
        <v>730.72</v>
      </c>
      <c r="M41" s="88" cm="1">
        <f t="array" ref="M41">RollUpSum(41,13)</f>
        <v>926.78</v>
      </c>
      <c r="N41" s="73" cm="1">
        <f t="array" ref="N41">RollUpSum(41,14)</f>
        <v>649.12009999999998</v>
      </c>
      <c r="O41" s="59" cm="1">
        <f t="array" ref="O41">RollUpSum(41,15)</f>
        <v>593.6</v>
      </c>
      <c r="P41" s="91" cm="1">
        <f t="array" ref="P41">RollUpSum(41,16)</f>
        <v>466.6</v>
      </c>
      <c r="Q41" s="88" cm="1">
        <f t="array" ref="Q41">RollUpSum(41,17)</f>
        <v>887.18</v>
      </c>
      <c r="R41" s="73" cm="1">
        <f t="array" ref="R41">RollUpSum(41,18)</f>
        <v>685.63980000000004</v>
      </c>
      <c r="S41" s="35" cm="1">
        <f t="array" ref="S41">RollUpSum(41,19)</f>
        <v>506.91</v>
      </c>
      <c r="T41" s="85" cm="1">
        <f t="array" ref="T41">RollUpSum(41,20)</f>
        <v>650.65</v>
      </c>
      <c r="U41" s="81" cm="1">
        <f t="array" ref="U41">RollUpSum(41,21)</f>
        <v>899.38</v>
      </c>
      <c r="V41" s="64" cm="1">
        <f t="array" ref="V41">RollUpSum(41,22)</f>
        <v>2588.1642000000002</v>
      </c>
      <c r="W41" s="35" cm="1">
        <f t="array" ref="W41">RollUpSum(41,23)</f>
        <v>2187.85</v>
      </c>
      <c r="X41" s="85" cm="1">
        <f t="array" ref="X41">RollUpSum(41,24)</f>
        <v>2235.52</v>
      </c>
      <c r="Y41" s="81" cm="1">
        <f t="array" ref="Y41">RollUpSum(41,25)</f>
        <v>3341.2</v>
      </c>
    </row>
    <row r="42" spans="1:25">
      <c r="A42" s="23" t="s">
        <v>566</v>
      </c>
      <c r="B42" s="27">
        <f t="shared" ref="B42:Y42" si="5">SUM(B36:B41)</f>
        <v>36710</v>
      </c>
      <c r="C42" s="56">
        <f t="shared" si="5"/>
        <v>38429</v>
      </c>
      <c r="D42" s="56">
        <f t="shared" si="5"/>
        <v>37332</v>
      </c>
      <c r="E42" s="56">
        <f t="shared" si="5"/>
        <v>38076</v>
      </c>
      <c r="F42" s="66">
        <f t="shared" si="5"/>
        <v>5091.0721999999996</v>
      </c>
      <c r="G42" s="56">
        <f t="shared" si="5"/>
        <v>4344.45</v>
      </c>
      <c r="H42" s="56">
        <f t="shared" si="5"/>
        <v>5068.96</v>
      </c>
      <c r="I42" s="56">
        <f t="shared" si="5"/>
        <v>5859.96</v>
      </c>
      <c r="J42" s="66">
        <f t="shared" si="5"/>
        <v>9453.4256000000005</v>
      </c>
      <c r="K42" s="56">
        <f t="shared" si="5"/>
        <v>10152.91</v>
      </c>
      <c r="L42" s="56">
        <f t="shared" si="5"/>
        <v>9557.6299999999992</v>
      </c>
      <c r="M42" s="56">
        <f t="shared" si="5"/>
        <v>8650.02</v>
      </c>
      <c r="N42" s="66">
        <f t="shared" si="5"/>
        <v>7432.4524000000001</v>
      </c>
      <c r="O42" s="56">
        <f t="shared" si="5"/>
        <v>7914.3200000000006</v>
      </c>
      <c r="P42" s="56">
        <f t="shared" si="5"/>
        <v>6103.06</v>
      </c>
      <c r="Q42" s="56">
        <f t="shared" si="5"/>
        <v>8280.2000000000007</v>
      </c>
      <c r="R42" s="66">
        <f t="shared" si="5"/>
        <v>7899.8543</v>
      </c>
      <c r="S42" s="37">
        <f t="shared" si="5"/>
        <v>6795.45</v>
      </c>
      <c r="T42" s="37">
        <f t="shared" si="5"/>
        <v>8510.42</v>
      </c>
      <c r="U42" s="37">
        <f t="shared" si="5"/>
        <v>8393.93</v>
      </c>
      <c r="V42" s="27">
        <f t="shared" si="5"/>
        <v>29876.804699999997</v>
      </c>
      <c r="W42" s="37">
        <f t="shared" si="5"/>
        <v>29207.13</v>
      </c>
      <c r="X42" s="37">
        <f t="shared" si="5"/>
        <v>29240.07</v>
      </c>
      <c r="Y42" s="37">
        <f t="shared" si="5"/>
        <v>31184.11</v>
      </c>
    </row>
    <row r="43" spans="1:25" ht="16.2" thickBot="1">
      <c r="A43" s="43" t="s">
        <v>567</v>
      </c>
      <c r="B43" s="34">
        <f>SUM(B21,B30,B34,B42)</f>
        <v>576563</v>
      </c>
      <c r="C43" s="52">
        <f t="shared" ref="C43:U43" si="6">SUM(C21,C30,C34,C42)</f>
        <v>626018</v>
      </c>
      <c r="D43" s="52">
        <f t="shared" si="6"/>
        <v>608170</v>
      </c>
      <c r="E43" s="52">
        <f t="shared" si="6"/>
        <v>629278</v>
      </c>
      <c r="F43" s="34">
        <f t="shared" si="6"/>
        <v>82553.001100000009</v>
      </c>
      <c r="G43" s="52">
        <f t="shared" si="6"/>
        <v>68232.88</v>
      </c>
      <c r="H43" s="52">
        <f t="shared" si="6"/>
        <v>82575.819999999992</v>
      </c>
      <c r="I43" s="52">
        <f t="shared" si="6"/>
        <v>96852.780000000013</v>
      </c>
      <c r="J43" s="34">
        <f t="shared" si="6"/>
        <v>154079.23279999997</v>
      </c>
      <c r="K43" s="52">
        <f t="shared" si="6"/>
        <v>159459.90000000002</v>
      </c>
      <c r="L43" s="52">
        <f t="shared" si="6"/>
        <v>155698.26999999999</v>
      </c>
      <c r="M43" s="52">
        <f t="shared" si="6"/>
        <v>147084.15</v>
      </c>
      <c r="N43" s="34">
        <f t="shared" si="6"/>
        <v>118818.48509999999</v>
      </c>
      <c r="O43" s="52">
        <f t="shared" si="6"/>
        <v>124300.59</v>
      </c>
      <c r="P43" s="52">
        <f t="shared" si="6"/>
        <v>99421.680000000008</v>
      </c>
      <c r="Q43" s="52">
        <f t="shared" si="6"/>
        <v>132736.75000000003</v>
      </c>
      <c r="R43" s="34">
        <f t="shared" si="6"/>
        <v>127857.74129999999</v>
      </c>
      <c r="S43" s="34">
        <f t="shared" si="6"/>
        <v>106154.53</v>
      </c>
      <c r="T43" s="34">
        <f t="shared" si="6"/>
        <v>138638.92000000001</v>
      </c>
      <c r="U43" s="34">
        <f t="shared" si="6"/>
        <v>138783.60999999999</v>
      </c>
      <c r="V43" s="34">
        <f>SUM(V21,V30,V34,V42)</f>
        <v>483308.46059999999</v>
      </c>
      <c r="W43" s="34">
        <f t="shared" ref="W43:Y43" si="7">SUM(W21,W30,W34,W42)</f>
        <v>458147.9</v>
      </c>
      <c r="X43" s="34">
        <f t="shared" si="7"/>
        <v>476334.69000000006</v>
      </c>
      <c r="Y43" s="34">
        <f t="shared" si="7"/>
        <v>515457.28999999986</v>
      </c>
    </row>
    <row r="44" spans="1:25" ht="15" thickTop="1">
      <c r="A44" s="44" t="s">
        <v>568</v>
      </c>
      <c r="B44" s="28"/>
      <c r="C44" s="20"/>
      <c r="D44" s="20"/>
      <c r="E44" s="20"/>
      <c r="F44" s="28"/>
      <c r="G44" s="20"/>
      <c r="H44" s="20"/>
      <c r="I44" s="20"/>
      <c r="J44" s="28"/>
      <c r="K44" s="20"/>
      <c r="L44" s="20"/>
      <c r="M44" s="20"/>
      <c r="N44" s="28"/>
      <c r="O44" s="20"/>
      <c r="P44" s="20"/>
      <c r="Q44" s="20"/>
      <c r="R44" s="28"/>
      <c r="S44" s="20"/>
      <c r="T44" s="20"/>
      <c r="U44" s="20"/>
      <c r="V44" s="28"/>
      <c r="W44" s="20"/>
      <c r="X44" s="20"/>
      <c r="Y44" s="20"/>
    </row>
    <row r="45" spans="1:25">
      <c r="A45" s="40" t="s">
        <v>23</v>
      </c>
      <c r="B45" s="65" cm="1">
        <f t="array" ref="B45">RollUpSum(45,2)</f>
        <v>53400</v>
      </c>
      <c r="C45" s="54" cm="1">
        <f t="array" ref="C45">RollUpSum(45,3)</f>
        <v>0</v>
      </c>
      <c r="D45" s="89" cm="1">
        <f t="array" ref="D45">RollUpSum(45,4)</f>
        <v>0</v>
      </c>
      <c r="E45" s="86" cm="1">
        <f t="array" ref="E45">RollUpSum(45,5)</f>
        <v>0</v>
      </c>
      <c r="F45" s="72" cm="1">
        <f t="array" ref="F45">RollUpSum(45,6)</f>
        <v>15782.175499999999</v>
      </c>
      <c r="G45" s="54" cm="1">
        <f t="array" ref="G45">RollUpSum(45,7)</f>
        <v>47347</v>
      </c>
      <c r="H45" s="89" cm="1">
        <f t="array" ref="H45">RollUpSum(45,8)</f>
        <v>0</v>
      </c>
      <c r="I45" s="86" cm="1">
        <f t="array" ref="I45">RollUpSum(45,9)</f>
        <v>0</v>
      </c>
      <c r="J45" s="72" cm="1">
        <f t="array" ref="J45">RollUpSum(45,10)</f>
        <v>23203.738000000001</v>
      </c>
      <c r="K45" s="54" cm="1">
        <f t="array" ref="K45">RollUpSum(45,11)</f>
        <v>20611.91</v>
      </c>
      <c r="L45" s="89" cm="1">
        <f t="array" ref="L45">RollUpSum(45,12)</f>
        <v>32473</v>
      </c>
      <c r="M45" s="86" cm="1">
        <f t="array" ref="M45">RollUpSum(45,13)</f>
        <v>16527</v>
      </c>
      <c r="N45" s="72" cm="1">
        <f t="array" ref="N45">RollUpSum(45,14)</f>
        <v>7744.6659</v>
      </c>
      <c r="O45" s="54" cm="1">
        <f t="array" ref="O45">RollUpSum(45,15)</f>
        <v>22934.23</v>
      </c>
      <c r="P45" s="89" cm="1">
        <f t="array" ref="P45">RollUpSum(45,16)</f>
        <v>0</v>
      </c>
      <c r="Q45" s="86" cm="1">
        <f t="array" ref="Q45">RollUpSum(45,17)</f>
        <v>300</v>
      </c>
      <c r="R45" s="72" cm="1">
        <f t="array" ref="R45">RollUpSum(45,18)</f>
        <v>219067.01579999999</v>
      </c>
      <c r="S45" s="32" cm="1">
        <f t="array" ref="S45">RollUpSum(45,19)</f>
        <v>195448.98</v>
      </c>
      <c r="T45" s="84" cm="1">
        <f t="array" ref="T45">RollUpSum(45,20)</f>
        <v>192309.26</v>
      </c>
      <c r="U45" s="80" cm="1">
        <f t="array" ref="U45">RollUpSum(45,21)</f>
        <v>269449.38</v>
      </c>
      <c r="V45" s="65" cm="1">
        <f t="array" ref="V45">RollUpSum(45,22)</f>
        <v>265797.59529999999</v>
      </c>
      <c r="W45" s="32" cm="1">
        <f t="array" ref="W45">RollUpSum(45,23)</f>
        <v>286342.12</v>
      </c>
      <c r="X45" s="84" cm="1">
        <f t="array" ref="X45">RollUpSum(45,24)</f>
        <v>224782.26</v>
      </c>
      <c r="Y45" s="80" cm="1">
        <f t="array" ref="Y45">RollUpSum(45,25)</f>
        <v>286276.38</v>
      </c>
    </row>
    <row r="46" spans="1:25">
      <c r="A46" s="42" t="s">
        <v>7</v>
      </c>
      <c r="B46" s="64" cm="1">
        <f t="array" ref="B46">RollUpSum(46,2)</f>
        <v>0</v>
      </c>
      <c r="C46" s="59" cm="1">
        <f t="array" ref="C46">RollUpSum(46,3)</f>
        <v>0</v>
      </c>
      <c r="D46" s="91" cm="1">
        <f t="array" ref="D46">RollUpSum(46,4)</f>
        <v>0</v>
      </c>
      <c r="E46" s="88" cm="1">
        <f t="array" ref="E46">RollUpSum(46,5)</f>
        <v>0</v>
      </c>
      <c r="F46" s="73" cm="1">
        <f t="array" ref="F46">RollUpSum(46,6)</f>
        <v>0</v>
      </c>
      <c r="G46" s="59" cm="1">
        <f t="array" ref="G46">RollUpSum(46,7)</f>
        <v>0</v>
      </c>
      <c r="H46" s="91" cm="1">
        <f t="array" ref="H46">RollUpSum(46,8)</f>
        <v>0</v>
      </c>
      <c r="I46" s="88" cm="1">
        <f t="array" ref="I46">RollUpSum(46,9)</f>
        <v>0</v>
      </c>
      <c r="J46" s="73" cm="1">
        <f t="array" ref="J46">RollUpSum(46,10)</f>
        <v>0</v>
      </c>
      <c r="K46" s="59" cm="1">
        <f t="array" ref="K46">RollUpSum(46,11)</f>
        <v>0</v>
      </c>
      <c r="L46" s="91" cm="1">
        <f t="array" ref="L46">RollUpSum(46,12)</f>
        <v>0</v>
      </c>
      <c r="M46" s="88" cm="1">
        <f t="array" ref="M46">RollUpSum(46,13)</f>
        <v>0</v>
      </c>
      <c r="N46" s="73" cm="1">
        <f t="array" ref="N46">RollUpSum(46,14)</f>
        <v>0</v>
      </c>
      <c r="O46" s="59" cm="1">
        <f t="array" ref="O46">RollUpSum(46,15)</f>
        <v>0</v>
      </c>
      <c r="P46" s="91" cm="1">
        <f t="array" ref="P46">RollUpSum(46,16)</f>
        <v>0</v>
      </c>
      <c r="Q46" s="88" cm="1">
        <f t="array" ref="Q46">RollUpSum(46,17)</f>
        <v>0</v>
      </c>
      <c r="R46" s="73" cm="1">
        <f t="array" ref="R46">RollUpSum(46,18)</f>
        <v>0</v>
      </c>
      <c r="S46" s="35" cm="1">
        <f t="array" ref="S46">RollUpSum(46,19)</f>
        <v>0</v>
      </c>
      <c r="T46" s="85" cm="1">
        <f t="array" ref="T46">RollUpSum(46,20)</f>
        <v>0</v>
      </c>
      <c r="U46" s="81" cm="1">
        <f t="array" ref="U46">RollUpSum(46,21)</f>
        <v>0</v>
      </c>
      <c r="V46" s="64" cm="1">
        <f t="array" ref="V46">RollUpSum(46,22)</f>
        <v>0</v>
      </c>
      <c r="W46" s="35" cm="1">
        <f t="array" ref="W46">RollUpSum(46,23)</f>
        <v>0</v>
      </c>
      <c r="X46" s="85" cm="1">
        <f t="array" ref="X46">RollUpSum(46,24)</f>
        <v>0</v>
      </c>
      <c r="Y46" s="81" cm="1">
        <f t="array" ref="Y46">RollUpSum(46,25)</f>
        <v>0</v>
      </c>
    </row>
    <row r="47" spans="1:25">
      <c r="A47" s="45" t="s">
        <v>569</v>
      </c>
      <c r="B47" s="49">
        <f t="shared" ref="B47:Y47" si="8">SUM(B45:B46)</f>
        <v>53400</v>
      </c>
      <c r="C47" s="60">
        <f t="shared" si="8"/>
        <v>0</v>
      </c>
      <c r="D47" s="60">
        <f t="shared" si="8"/>
        <v>0</v>
      </c>
      <c r="E47" s="60">
        <f t="shared" si="8"/>
        <v>0</v>
      </c>
      <c r="F47" s="27">
        <f t="shared" si="8"/>
        <v>15782.175499999999</v>
      </c>
      <c r="G47" s="60">
        <f t="shared" si="8"/>
        <v>47347</v>
      </c>
      <c r="H47" s="60">
        <f t="shared" si="8"/>
        <v>0</v>
      </c>
      <c r="I47" s="60">
        <f t="shared" si="8"/>
        <v>0</v>
      </c>
      <c r="J47" s="27">
        <f t="shared" si="8"/>
        <v>23203.738000000001</v>
      </c>
      <c r="K47" s="60">
        <f t="shared" si="8"/>
        <v>20611.91</v>
      </c>
      <c r="L47" s="60">
        <f t="shared" si="8"/>
        <v>32473</v>
      </c>
      <c r="M47" s="60">
        <f t="shared" si="8"/>
        <v>16527</v>
      </c>
      <c r="N47" s="27">
        <f t="shared" si="8"/>
        <v>7744.6659</v>
      </c>
      <c r="O47" s="60">
        <f t="shared" si="8"/>
        <v>22934.23</v>
      </c>
      <c r="P47" s="60">
        <f t="shared" si="8"/>
        <v>0</v>
      </c>
      <c r="Q47" s="60">
        <f t="shared" si="8"/>
        <v>300</v>
      </c>
      <c r="R47" s="27">
        <f t="shared" si="8"/>
        <v>219067.01579999999</v>
      </c>
      <c r="S47" s="36">
        <f t="shared" si="8"/>
        <v>195448.98</v>
      </c>
      <c r="T47" s="36">
        <f t="shared" si="8"/>
        <v>192309.26</v>
      </c>
      <c r="U47" s="36">
        <f t="shared" si="8"/>
        <v>269449.38</v>
      </c>
      <c r="V47" s="49">
        <f t="shared" si="8"/>
        <v>265797.59529999999</v>
      </c>
      <c r="W47" s="36">
        <f t="shared" si="8"/>
        <v>286342.12</v>
      </c>
      <c r="X47" s="36">
        <f t="shared" si="8"/>
        <v>224782.26</v>
      </c>
      <c r="Y47" s="36">
        <f t="shared" si="8"/>
        <v>286276.38</v>
      </c>
    </row>
    <row r="48" spans="1:25" ht="16.2" thickBot="1">
      <c r="A48" s="43" t="s">
        <v>570</v>
      </c>
      <c r="B48" s="34">
        <f>SUM(B12,B43,B47)</f>
        <v>1</v>
      </c>
      <c r="C48" s="52">
        <f t="shared" ref="C48:U48" si="9">SUM(C12,C43,C47)</f>
        <v>0</v>
      </c>
      <c r="D48" s="52">
        <f t="shared" si="9"/>
        <v>0</v>
      </c>
      <c r="E48" s="52">
        <f t="shared" si="9"/>
        <v>0</v>
      </c>
      <c r="F48" s="34">
        <f t="shared" si="9"/>
        <v>-202800.21870000003</v>
      </c>
      <c r="G48" s="52">
        <f t="shared" si="9"/>
        <v>-182921.12</v>
      </c>
      <c r="H48" s="52">
        <f t="shared" si="9"/>
        <v>-219870.05</v>
      </c>
      <c r="I48" s="52">
        <f t="shared" si="9"/>
        <v>-205615.56999999995</v>
      </c>
      <c r="J48" s="34">
        <f t="shared" si="9"/>
        <v>180055.30969999998</v>
      </c>
      <c r="K48" s="52">
        <f t="shared" si="9"/>
        <v>165100.65000000002</v>
      </c>
      <c r="L48" s="52">
        <f t="shared" si="9"/>
        <v>203741.87</v>
      </c>
      <c r="M48" s="52">
        <f t="shared" si="9"/>
        <v>171328.81</v>
      </c>
      <c r="N48" s="34">
        <f t="shared" si="9"/>
        <v>-176653.99680000005</v>
      </c>
      <c r="O48" s="52">
        <f t="shared" si="9"/>
        <v>-166085.93</v>
      </c>
      <c r="P48" s="52">
        <f t="shared" si="9"/>
        <v>-181265.53999999998</v>
      </c>
      <c r="Q48" s="52">
        <f t="shared" si="9"/>
        <v>-182615.81999999998</v>
      </c>
      <c r="R48" s="34">
        <f t="shared" si="9"/>
        <v>140198.31760000001</v>
      </c>
      <c r="S48" s="34">
        <f t="shared" si="9"/>
        <v>106637.75</v>
      </c>
      <c r="T48" s="34">
        <f t="shared" si="9"/>
        <v>136115.97</v>
      </c>
      <c r="U48" s="34">
        <f t="shared" si="9"/>
        <v>177845.44</v>
      </c>
      <c r="V48" s="34">
        <f>SUM(V12,V43,V47)</f>
        <v>-59200.587600000028</v>
      </c>
      <c r="W48" s="34">
        <f t="shared" ref="W48:Y48" si="10">SUM(W12,W43,W47)</f>
        <v>-77268.650000000023</v>
      </c>
      <c r="X48" s="34">
        <f t="shared" si="10"/>
        <v>-61277.749999999884</v>
      </c>
      <c r="Y48" s="34">
        <f t="shared" si="10"/>
        <v>-39057.140000000072</v>
      </c>
    </row>
    <row r="49" spans="1:25" ht="15" thickTop="1">
      <c r="A49" s="29"/>
      <c r="B49" s="19"/>
      <c r="C49" s="48"/>
      <c r="D49" s="48"/>
      <c r="E49" s="48"/>
      <c r="F49" s="19"/>
      <c r="G49" s="48"/>
      <c r="H49" s="48"/>
      <c r="I49" s="48"/>
      <c r="J49" s="19"/>
      <c r="K49" s="48"/>
      <c r="L49" s="48"/>
      <c r="M49" s="48"/>
      <c r="N49" s="19"/>
      <c r="O49" s="48"/>
      <c r="P49" s="48"/>
      <c r="Q49" s="48"/>
      <c r="R49" s="19"/>
      <c r="S49" s="48"/>
      <c r="T49" s="48"/>
      <c r="U49" s="48"/>
      <c r="V49" s="19"/>
      <c r="W49" s="48"/>
      <c r="X49" s="48"/>
      <c r="Y49" s="48"/>
    </row>
  </sheetData>
  <conditionalFormatting sqref="B15:C21 B23:C30 B32:C34 B36:C43 V36:W43 V32:W34 V23:W30 V15:W21 R36:S43 R32:S34 R23:S30 R15:S21 N36:O43 N32:O34 N23:O30 N15:O21 J36:K43 J32:K34 J23:K30 J15:K21 F36:G43 F32:G34 F23:G30 F15:G21">
    <cfRule type="cellIs" dxfId="246" priority="13" operator="lessThan">
      <formula>-0.01</formula>
    </cfRule>
  </conditionalFormatting>
  <conditionalFormatting sqref="Y15:Y21 Y23:Y30 Y32:Y34 Y36:Y43">
    <cfRule type="cellIs" dxfId="245" priority="12" operator="lessThan">
      <formula>-0.01</formula>
    </cfRule>
  </conditionalFormatting>
  <conditionalFormatting sqref="X15:X21 X23:X30 X32:X34 X36:X43">
    <cfRule type="cellIs" dxfId="244" priority="11" operator="lessThan">
      <formula>-0.01</formula>
    </cfRule>
  </conditionalFormatting>
  <conditionalFormatting sqref="U15:U21 U23:U30 U32:U34 U36:U43">
    <cfRule type="cellIs" dxfId="243" priority="10" operator="lessThan">
      <formula>-0.01</formula>
    </cfRule>
  </conditionalFormatting>
  <conditionalFormatting sqref="T15:T21 T23:T30 T32:T34 T36:T43">
    <cfRule type="cellIs" dxfId="242" priority="9" operator="lessThan">
      <formula>-0.01</formula>
    </cfRule>
  </conditionalFormatting>
  <conditionalFormatting sqref="Q15:Q21 Q23:Q30 Q32:Q34 Q36:Q43">
    <cfRule type="cellIs" dxfId="241" priority="8" operator="lessThan">
      <formula>-0.01</formula>
    </cfRule>
  </conditionalFormatting>
  <conditionalFormatting sqref="P15:P21 P23:P30 P32:P34 P36:P43">
    <cfRule type="cellIs" dxfId="240" priority="7" operator="lessThan">
      <formula>-0.01</formula>
    </cfRule>
  </conditionalFormatting>
  <conditionalFormatting sqref="M15:M21 M23:M30 M32:M34 M36:M43">
    <cfRule type="cellIs" dxfId="239" priority="6" operator="lessThan">
      <formula>-0.01</formula>
    </cfRule>
  </conditionalFormatting>
  <conditionalFormatting sqref="L15:L21 L23:L30 L32:L34 L36:L43">
    <cfRule type="cellIs" dxfId="238" priority="5" operator="lessThan">
      <formula>-0.01</formula>
    </cfRule>
  </conditionalFormatting>
  <conditionalFormatting sqref="I15:I21 I23:I30 I32:I34 I36:I43">
    <cfRule type="cellIs" dxfId="237" priority="4" operator="lessThan">
      <formula>-0.01</formula>
    </cfRule>
  </conditionalFormatting>
  <conditionalFormatting sqref="H15:H21 H23:H30 H32:H34 H36:H43">
    <cfRule type="cellIs" dxfId="236" priority="3" operator="lessThan">
      <formula>-0.01</formula>
    </cfRule>
  </conditionalFormatting>
  <conditionalFormatting sqref="E15:E21 E23:E30 E32:E34 E36:E43">
    <cfRule type="cellIs" dxfId="235" priority="2" operator="lessThan">
      <formula>-0.01</formula>
    </cfRule>
  </conditionalFormatting>
  <conditionalFormatting sqref="D15:D21 D23:D30 D32:D34 D36:D43">
    <cfRule type="cellIs" dxfId="234" priority="1" operator="lessThan">
      <formula>-0.01</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3F0D7-F9E7-4BC1-881C-63B1740C24EC}">
  <sheetPr codeName="Sheet3"/>
  <dimension ref="A1:AZ49"/>
  <sheetViews>
    <sheetView showGridLines="0" workbookViewId="0">
      <pane xSplit="1" ySplit="6" topLeftCell="B7" activePane="bottomRight" state="frozen"/>
      <selection pane="topRight" activeCell="B1" sqref="B1"/>
      <selection pane="bottomLeft" activeCell="A7" sqref="A7"/>
      <selection pane="bottomRight" activeCell="B7" sqref="B7"/>
    </sheetView>
  </sheetViews>
  <sheetFormatPr defaultRowHeight="14.4" outlineLevelCol="1"/>
  <cols>
    <col min="1" max="1" width="32.44140625" bestFit="1" customWidth="1"/>
    <col min="2" max="2" width="16.77734375" customWidth="1"/>
    <col min="3" max="5" width="13.44140625" style="57" hidden="1" customWidth="1" outlineLevel="1"/>
    <col min="6" max="6" width="16.77734375" customWidth="1" collapsed="1"/>
    <col min="7" max="9" width="13.44140625" style="57" hidden="1" customWidth="1" outlineLevel="1"/>
    <col min="10" max="10" width="16.77734375" customWidth="1" collapsed="1"/>
    <col min="11" max="13" width="13.44140625" style="57" hidden="1" customWidth="1" outlineLevel="1"/>
    <col min="14" max="14" width="16.77734375" customWidth="1" collapsed="1"/>
    <col min="15" max="17" width="13.44140625" style="57" hidden="1" customWidth="1" outlineLevel="1"/>
    <col min="18" max="18" width="16.77734375" customWidth="1" collapsed="1"/>
    <col min="19" max="21" width="13.44140625" style="57" hidden="1" customWidth="1" outlineLevel="1"/>
    <col min="22" max="22" width="16.77734375" customWidth="1" collapsed="1"/>
    <col min="23" max="25" width="13.44140625" style="57" hidden="1" customWidth="1" outlineLevel="1"/>
    <col min="26" max="26" width="8.88671875" collapsed="1"/>
  </cols>
  <sheetData>
    <row r="1" spans="1:52" ht="15.6">
      <c r="A1" s="68" t="s">
        <v>790</v>
      </c>
      <c r="B1" s="46"/>
      <c r="C1" s="46"/>
      <c r="D1" s="46"/>
      <c r="E1" s="46"/>
      <c r="F1" s="46"/>
      <c r="G1" s="46"/>
      <c r="H1" s="46"/>
      <c r="I1" s="46"/>
      <c r="J1" s="46"/>
      <c r="K1" s="46"/>
      <c r="L1" s="46"/>
      <c r="M1" s="46"/>
      <c r="N1" s="46"/>
      <c r="O1" s="46"/>
      <c r="P1" s="46"/>
      <c r="Q1" s="46"/>
      <c r="R1" s="46"/>
      <c r="V1" s="46"/>
      <c r="W1" s="46"/>
      <c r="X1" s="46"/>
      <c r="Y1" s="46"/>
    </row>
    <row r="2" spans="1:52" ht="15.6">
      <c r="A2" s="69" t="s">
        <v>390</v>
      </c>
      <c r="B2" s="47"/>
      <c r="C2" s="47"/>
      <c r="D2" s="47"/>
      <c r="E2" s="47"/>
      <c r="F2" s="47"/>
      <c r="G2" s="47"/>
      <c r="H2" s="47"/>
      <c r="I2" s="47"/>
      <c r="J2" s="47"/>
      <c r="K2" s="47"/>
      <c r="L2" s="47"/>
      <c r="M2" s="47"/>
      <c r="N2" s="47"/>
      <c r="O2" s="47"/>
      <c r="P2" s="47"/>
      <c r="Q2" s="47"/>
      <c r="R2" s="47"/>
      <c r="V2" s="47"/>
      <c r="W2" s="47"/>
      <c r="X2" s="47"/>
      <c r="Y2" s="47"/>
    </row>
    <row r="3" spans="1:52">
      <c r="A3" s="136"/>
      <c r="B3" s="61" t="s">
        <v>589</v>
      </c>
      <c r="C3" s="50" t="s">
        <v>572</v>
      </c>
      <c r="D3" s="50" t="s">
        <v>572</v>
      </c>
      <c r="E3" s="50" t="s">
        <v>572</v>
      </c>
      <c r="F3" s="61" t="s">
        <v>573</v>
      </c>
      <c r="G3" s="50" t="s">
        <v>573</v>
      </c>
      <c r="H3" s="50" t="s">
        <v>573</v>
      </c>
      <c r="I3" s="50" t="s">
        <v>573</v>
      </c>
      <c r="J3" s="61" t="s">
        <v>575</v>
      </c>
      <c r="K3" s="50" t="s">
        <v>575</v>
      </c>
      <c r="L3" s="50" t="s">
        <v>575</v>
      </c>
      <c r="M3" s="50" t="s">
        <v>575</v>
      </c>
      <c r="N3" s="61" t="s">
        <v>576</v>
      </c>
      <c r="O3" s="50" t="s">
        <v>576</v>
      </c>
      <c r="P3" s="50" t="s">
        <v>576</v>
      </c>
      <c r="Q3" s="50" t="s">
        <v>576</v>
      </c>
      <c r="R3" s="61" t="s">
        <v>577</v>
      </c>
      <c r="S3" s="38" t="s">
        <v>577</v>
      </c>
      <c r="T3" s="38" t="s">
        <v>577</v>
      </c>
      <c r="U3" s="38" t="s">
        <v>577</v>
      </c>
      <c r="V3" s="61" t="s">
        <v>585</v>
      </c>
      <c r="W3" s="38" t="s">
        <v>585</v>
      </c>
      <c r="X3" s="38" t="s">
        <v>585</v>
      </c>
      <c r="Y3" s="38" t="s">
        <v>585</v>
      </c>
      <c r="Z3" s="136"/>
      <c r="AA3" s="136"/>
      <c r="AB3" s="136"/>
      <c r="AC3" s="136"/>
      <c r="AD3" s="136"/>
      <c r="AE3" s="136"/>
      <c r="AF3" s="136"/>
      <c r="AG3" s="136"/>
      <c r="AH3" s="136"/>
      <c r="AI3" s="136"/>
      <c r="AJ3" s="136"/>
      <c r="AK3" s="136"/>
      <c r="AL3" s="136"/>
      <c r="AM3" s="136"/>
      <c r="AN3" s="136"/>
      <c r="AO3" s="136"/>
      <c r="AP3" s="136"/>
      <c r="AQ3" s="136"/>
      <c r="AR3" s="136"/>
      <c r="AS3" s="136"/>
      <c r="AT3" s="136"/>
      <c r="AU3" s="136"/>
      <c r="AV3" s="136"/>
      <c r="AW3" s="136"/>
      <c r="AX3" s="136"/>
      <c r="AY3" s="136"/>
      <c r="AZ3" s="136"/>
    </row>
    <row r="4" spans="1:52">
      <c r="A4" s="16"/>
      <c r="B4" s="31" t="str">
        <f>_xlfn.CONCAT("FY ",rngFY+rngYRS)</f>
        <v>FY 19</v>
      </c>
      <c r="C4" s="51" t="s">
        <v>555</v>
      </c>
      <c r="D4" s="51" t="s">
        <v>555</v>
      </c>
      <c r="E4" s="51" t="s">
        <v>555</v>
      </c>
      <c r="F4" s="31" t="s">
        <v>788</v>
      </c>
      <c r="G4" s="31" t="s">
        <v>789</v>
      </c>
      <c r="H4" s="31" t="s">
        <v>789</v>
      </c>
      <c r="I4" s="31" t="s">
        <v>789</v>
      </c>
      <c r="J4" s="31" t="s">
        <v>788</v>
      </c>
      <c r="K4" s="31" t="s">
        <v>789</v>
      </c>
      <c r="L4" s="31" t="s">
        <v>789</v>
      </c>
      <c r="M4" s="31" t="s">
        <v>789</v>
      </c>
      <c r="N4" s="31" t="s">
        <v>788</v>
      </c>
      <c r="O4" s="31" t="s">
        <v>789</v>
      </c>
      <c r="P4" s="31" t="s">
        <v>789</v>
      </c>
      <c r="Q4" s="31" t="s">
        <v>789</v>
      </c>
      <c r="R4" s="31" t="s">
        <v>788</v>
      </c>
      <c r="S4" s="31" t="s">
        <v>789</v>
      </c>
      <c r="T4" s="31" t="s">
        <v>789</v>
      </c>
      <c r="U4" s="31" t="s">
        <v>789</v>
      </c>
      <c r="V4" s="31" t="s">
        <v>574</v>
      </c>
      <c r="W4" s="31" t="s">
        <v>584</v>
      </c>
      <c r="X4" s="31" t="s">
        <v>584</v>
      </c>
      <c r="Y4" s="31" t="s">
        <v>584</v>
      </c>
    </row>
    <row r="5" spans="1:52">
      <c r="A5" s="17"/>
      <c r="B5" s="31"/>
      <c r="C5" s="51" t="s">
        <v>587</v>
      </c>
      <c r="D5" s="51" t="s">
        <v>586</v>
      </c>
      <c r="E5" s="51" t="s">
        <v>590</v>
      </c>
      <c r="F5" s="31"/>
      <c r="G5" s="51" t="s">
        <v>587</v>
      </c>
      <c r="H5" s="51" t="s">
        <v>586</v>
      </c>
      <c r="I5" s="51" t="s">
        <v>590</v>
      </c>
      <c r="J5" s="31"/>
      <c r="K5" s="51" t="s">
        <v>587</v>
      </c>
      <c r="L5" s="51" t="s">
        <v>586</v>
      </c>
      <c r="M5" s="51" t="s">
        <v>590</v>
      </c>
      <c r="N5" s="31"/>
      <c r="O5" s="51" t="s">
        <v>587</v>
      </c>
      <c r="P5" s="51" t="s">
        <v>586</v>
      </c>
      <c r="Q5" s="51" t="s">
        <v>590</v>
      </c>
      <c r="R5" s="31"/>
      <c r="S5" s="31" t="s">
        <v>587</v>
      </c>
      <c r="T5" s="31" t="s">
        <v>586</v>
      </c>
      <c r="U5" s="31" t="s">
        <v>590</v>
      </c>
      <c r="V5" s="31"/>
      <c r="W5" s="31" t="s">
        <v>587</v>
      </c>
      <c r="X5" s="31" t="s">
        <v>586</v>
      </c>
      <c r="Y5" s="31" t="s">
        <v>590</v>
      </c>
    </row>
    <row r="6" spans="1:52">
      <c r="A6" s="70"/>
      <c r="B6" s="62"/>
      <c r="C6" s="53"/>
      <c r="D6" s="53"/>
      <c r="E6" s="53"/>
      <c r="F6" s="62"/>
      <c r="G6" s="53"/>
      <c r="H6" s="53"/>
      <c r="I6" s="53"/>
      <c r="J6" s="62"/>
      <c r="K6" s="53"/>
      <c r="L6" s="53"/>
      <c r="M6" s="53"/>
      <c r="N6" s="62"/>
      <c r="O6" s="53"/>
      <c r="P6" s="53"/>
      <c r="Q6" s="53"/>
      <c r="R6" s="62"/>
      <c r="S6" s="62"/>
      <c r="T6" s="62"/>
      <c r="U6" s="62"/>
      <c r="V6" s="62"/>
      <c r="W6" s="62"/>
      <c r="X6" s="62"/>
      <c r="Y6" s="62"/>
    </row>
    <row r="7" spans="1:52">
      <c r="A7" s="18" t="s">
        <v>556</v>
      </c>
      <c r="B7" s="63"/>
      <c r="C7" s="58"/>
      <c r="D7" s="58"/>
      <c r="E7" s="58"/>
      <c r="F7" s="63"/>
      <c r="G7" s="58"/>
      <c r="H7" s="58"/>
      <c r="I7" s="58"/>
      <c r="J7" s="63"/>
      <c r="K7" s="58"/>
      <c r="L7" s="58"/>
      <c r="M7" s="58"/>
      <c r="N7" s="63"/>
      <c r="O7" s="58"/>
      <c r="P7" s="58"/>
      <c r="Q7" s="58"/>
      <c r="R7" s="63"/>
      <c r="S7" s="63"/>
      <c r="T7" s="63"/>
      <c r="U7" s="63"/>
      <c r="V7" s="63"/>
      <c r="W7" s="63"/>
      <c r="X7" s="63"/>
      <c r="Y7" s="63"/>
    </row>
    <row r="8" spans="1:52">
      <c r="A8" s="40" t="s">
        <v>557</v>
      </c>
      <c r="B8" s="39">
        <v>-6188</v>
      </c>
      <c r="C8" s="54">
        <v>-6173</v>
      </c>
      <c r="D8" s="89">
        <v>-800</v>
      </c>
      <c r="E8" s="86">
        <v>-799</v>
      </c>
      <c r="F8" s="72">
        <v>-1295.3203800000001</v>
      </c>
      <c r="G8" s="54">
        <v>-3086</v>
      </c>
      <c r="H8" s="89">
        <v>-400</v>
      </c>
      <c r="I8" s="86">
        <v>-400</v>
      </c>
      <c r="J8" s="72">
        <v>0</v>
      </c>
      <c r="K8" s="54">
        <v>0</v>
      </c>
      <c r="L8" s="89">
        <v>0</v>
      </c>
      <c r="M8" s="86">
        <v>0</v>
      </c>
      <c r="N8" s="72">
        <v>-1295.3203800000001</v>
      </c>
      <c r="O8" s="54">
        <v>-3087</v>
      </c>
      <c r="P8" s="89">
        <v>-400</v>
      </c>
      <c r="Q8" s="86">
        <v>-399</v>
      </c>
      <c r="R8" s="72">
        <v>0</v>
      </c>
      <c r="S8" s="22">
        <v>0</v>
      </c>
      <c r="T8" s="82">
        <v>0</v>
      </c>
      <c r="U8" s="78">
        <v>0</v>
      </c>
      <c r="V8" s="39">
        <v>-2590.6407599999998</v>
      </c>
      <c r="W8" s="22">
        <f t="shared" ref="W8:Y11" si="0">SUM(G8,K8,O8,S8)</f>
        <v>-6173</v>
      </c>
      <c r="X8" s="82">
        <f t="shared" si="0"/>
        <v>-800</v>
      </c>
      <c r="Y8" s="78">
        <f t="shared" si="0"/>
        <v>-799</v>
      </c>
    </row>
    <row r="9" spans="1:52">
      <c r="A9" s="41" t="s">
        <v>558</v>
      </c>
      <c r="B9" s="39">
        <v>0</v>
      </c>
      <c r="C9" s="55">
        <v>0</v>
      </c>
      <c r="D9" s="90">
        <v>0</v>
      </c>
      <c r="E9" s="87">
        <v>0</v>
      </c>
      <c r="F9" s="72">
        <v>0</v>
      </c>
      <c r="G9" s="55">
        <v>0</v>
      </c>
      <c r="H9" s="90">
        <v>0</v>
      </c>
      <c r="I9" s="87">
        <v>0</v>
      </c>
      <c r="J9" s="72">
        <v>0</v>
      </c>
      <c r="K9" s="55">
        <v>0</v>
      </c>
      <c r="L9" s="90">
        <v>0</v>
      </c>
      <c r="M9" s="87">
        <v>0</v>
      </c>
      <c r="N9" s="72">
        <v>0</v>
      </c>
      <c r="O9" s="55">
        <v>0</v>
      </c>
      <c r="P9" s="90">
        <v>0</v>
      </c>
      <c r="Q9" s="87">
        <v>0</v>
      </c>
      <c r="R9" s="72">
        <v>0</v>
      </c>
      <c r="S9" s="33">
        <v>0</v>
      </c>
      <c r="T9" s="83">
        <v>0</v>
      </c>
      <c r="U9" s="79">
        <v>0</v>
      </c>
      <c r="V9" s="39">
        <v>0</v>
      </c>
      <c r="W9" s="33">
        <f t="shared" si="0"/>
        <v>0</v>
      </c>
      <c r="X9" s="83">
        <f t="shared" si="0"/>
        <v>0</v>
      </c>
      <c r="Y9" s="79">
        <f t="shared" si="0"/>
        <v>0</v>
      </c>
    </row>
    <row r="10" spans="1:52">
      <c r="A10" s="41" t="s">
        <v>212</v>
      </c>
      <c r="B10" s="39">
        <v>0</v>
      </c>
      <c r="C10" s="55">
        <v>0</v>
      </c>
      <c r="D10" s="90">
        <v>0</v>
      </c>
      <c r="E10" s="87">
        <v>0</v>
      </c>
      <c r="F10" s="72">
        <v>0</v>
      </c>
      <c r="G10" s="55">
        <v>0</v>
      </c>
      <c r="H10" s="90">
        <v>0</v>
      </c>
      <c r="I10" s="87">
        <v>0</v>
      </c>
      <c r="J10" s="72">
        <v>0</v>
      </c>
      <c r="K10" s="55">
        <v>0</v>
      </c>
      <c r="L10" s="90">
        <v>0</v>
      </c>
      <c r="M10" s="87">
        <v>0</v>
      </c>
      <c r="N10" s="72">
        <v>0</v>
      </c>
      <c r="O10" s="55">
        <v>0</v>
      </c>
      <c r="P10" s="90">
        <v>0</v>
      </c>
      <c r="Q10" s="87">
        <v>0</v>
      </c>
      <c r="R10" s="72">
        <v>0</v>
      </c>
      <c r="S10" s="33">
        <v>0</v>
      </c>
      <c r="T10" s="83">
        <v>0</v>
      </c>
      <c r="U10" s="79">
        <v>0</v>
      </c>
      <c r="V10" s="39">
        <v>0</v>
      </c>
      <c r="W10" s="33">
        <f t="shared" si="0"/>
        <v>0</v>
      </c>
      <c r="X10" s="83">
        <f t="shared" si="0"/>
        <v>0</v>
      </c>
      <c r="Y10" s="79">
        <f t="shared" si="0"/>
        <v>0</v>
      </c>
    </row>
    <row r="11" spans="1:52">
      <c r="A11" s="42" t="s">
        <v>210</v>
      </c>
      <c r="B11" s="64">
        <v>0</v>
      </c>
      <c r="C11" s="55">
        <v>0</v>
      </c>
      <c r="D11" s="90">
        <v>0</v>
      </c>
      <c r="E11" s="87">
        <v>0</v>
      </c>
      <c r="F11" s="73">
        <v>0</v>
      </c>
      <c r="G11" s="55">
        <v>0</v>
      </c>
      <c r="H11" s="90">
        <v>0</v>
      </c>
      <c r="I11" s="87">
        <v>0</v>
      </c>
      <c r="J11" s="73">
        <v>0</v>
      </c>
      <c r="K11" s="55">
        <v>0</v>
      </c>
      <c r="L11" s="90">
        <v>0</v>
      </c>
      <c r="M11" s="87">
        <v>0</v>
      </c>
      <c r="N11" s="73">
        <v>0</v>
      </c>
      <c r="O11" s="55">
        <v>0</v>
      </c>
      <c r="P11" s="90">
        <v>0</v>
      </c>
      <c r="Q11" s="87">
        <v>0</v>
      </c>
      <c r="R11" s="73">
        <v>-435.71564280000007</v>
      </c>
      <c r="S11" s="33">
        <v>-128</v>
      </c>
      <c r="T11" s="83">
        <v>-1179.1600000000001</v>
      </c>
      <c r="U11" s="79">
        <v>0</v>
      </c>
      <c r="V11" s="64">
        <v>-435.71564280000007</v>
      </c>
      <c r="W11" s="33">
        <f t="shared" si="0"/>
        <v>-128</v>
      </c>
      <c r="X11" s="83">
        <f t="shared" si="0"/>
        <v>-1179.1600000000001</v>
      </c>
      <c r="Y11" s="79">
        <f t="shared" si="0"/>
        <v>0</v>
      </c>
    </row>
    <row r="12" spans="1:52" ht="16.2" thickBot="1">
      <c r="A12" s="43" t="s">
        <v>559</v>
      </c>
      <c r="B12" s="34">
        <f>SUM(B8:B11)</f>
        <v>-6188</v>
      </c>
      <c r="C12" s="52">
        <f t="shared" ref="C12:U12" si="1">SUM(C8:C11)</f>
        <v>-6173</v>
      </c>
      <c r="D12" s="52">
        <f t="shared" si="1"/>
        <v>-800</v>
      </c>
      <c r="E12" s="52">
        <f t="shared" si="1"/>
        <v>-799</v>
      </c>
      <c r="F12" s="34">
        <f t="shared" si="1"/>
        <v>-1295.3203800000001</v>
      </c>
      <c r="G12" s="52">
        <f t="shared" si="1"/>
        <v>-3086</v>
      </c>
      <c r="H12" s="52">
        <f t="shared" si="1"/>
        <v>-400</v>
      </c>
      <c r="I12" s="52">
        <f t="shared" si="1"/>
        <v>-400</v>
      </c>
      <c r="J12" s="34">
        <f t="shared" si="1"/>
        <v>0</v>
      </c>
      <c r="K12" s="52">
        <f t="shared" si="1"/>
        <v>0</v>
      </c>
      <c r="L12" s="52">
        <f t="shared" si="1"/>
        <v>0</v>
      </c>
      <c r="M12" s="52">
        <f t="shared" si="1"/>
        <v>0</v>
      </c>
      <c r="N12" s="34">
        <f t="shared" si="1"/>
        <v>-1295.3203800000001</v>
      </c>
      <c r="O12" s="52">
        <f t="shared" si="1"/>
        <v>-3087</v>
      </c>
      <c r="P12" s="52">
        <f t="shared" si="1"/>
        <v>-400</v>
      </c>
      <c r="Q12" s="52">
        <f t="shared" si="1"/>
        <v>-399</v>
      </c>
      <c r="R12" s="34">
        <f t="shared" si="1"/>
        <v>-435.71564280000007</v>
      </c>
      <c r="S12" s="34">
        <f t="shared" si="1"/>
        <v>-128</v>
      </c>
      <c r="T12" s="34">
        <f t="shared" si="1"/>
        <v>-1179.1600000000001</v>
      </c>
      <c r="U12" s="34">
        <f t="shared" si="1"/>
        <v>0</v>
      </c>
      <c r="V12" s="34">
        <f>SUM(V8:V11)</f>
        <v>-3026.3564028000001</v>
      </c>
      <c r="W12" s="34">
        <f t="shared" ref="W12:Y12" si="2">SUM(W8:W11)</f>
        <v>-6301</v>
      </c>
      <c r="X12" s="34">
        <f t="shared" si="2"/>
        <v>-1979.16</v>
      </c>
      <c r="Y12" s="34">
        <f t="shared" si="2"/>
        <v>-799</v>
      </c>
    </row>
    <row r="13" spans="1:52" ht="15" thickTop="1">
      <c r="A13" s="67"/>
      <c r="B13" s="67"/>
      <c r="C13" s="67"/>
      <c r="D13" s="67"/>
      <c r="E13" s="67"/>
      <c r="F13" s="67"/>
      <c r="G13" s="67"/>
      <c r="H13" s="67"/>
      <c r="I13" s="67"/>
      <c r="J13" s="67"/>
      <c r="K13" s="67"/>
      <c r="L13" s="67"/>
      <c r="M13" s="67"/>
      <c r="N13" s="67"/>
      <c r="O13" s="67"/>
      <c r="P13" s="67"/>
      <c r="Q13" s="67"/>
      <c r="R13" s="67"/>
      <c r="S13" s="67"/>
      <c r="T13" s="67"/>
      <c r="U13" s="67"/>
      <c r="V13" s="67"/>
      <c r="W13" s="67"/>
      <c r="X13" s="67"/>
      <c r="Y13" s="67"/>
    </row>
    <row r="14" spans="1:52">
      <c r="A14" s="18" t="s">
        <v>560</v>
      </c>
      <c r="B14" s="20"/>
      <c r="C14" s="20"/>
      <c r="D14" s="20"/>
      <c r="E14" s="20"/>
      <c r="F14" s="20"/>
      <c r="G14" s="20"/>
      <c r="H14" s="20"/>
      <c r="I14" s="20"/>
      <c r="J14" s="20"/>
      <c r="K14" s="20"/>
      <c r="L14" s="20"/>
      <c r="M14" s="20"/>
      <c r="N14" s="20"/>
      <c r="O14" s="20"/>
      <c r="P14" s="20"/>
      <c r="Q14" s="20"/>
      <c r="R14" s="20"/>
      <c r="S14" s="20"/>
      <c r="T14" s="20"/>
      <c r="U14" s="20"/>
      <c r="V14" s="20"/>
      <c r="W14" s="20"/>
      <c r="X14" s="20"/>
      <c r="Y14" s="20"/>
    </row>
    <row r="15" spans="1:52">
      <c r="A15" s="40" t="s">
        <v>188</v>
      </c>
      <c r="B15" s="65">
        <v>0</v>
      </c>
      <c r="C15" s="54">
        <v>0</v>
      </c>
      <c r="D15" s="89">
        <v>0</v>
      </c>
      <c r="E15" s="86">
        <v>0</v>
      </c>
      <c r="F15" s="72">
        <v>0</v>
      </c>
      <c r="G15" s="54">
        <v>0</v>
      </c>
      <c r="H15" s="89">
        <v>0</v>
      </c>
      <c r="I15" s="86">
        <v>0</v>
      </c>
      <c r="J15" s="72">
        <v>0</v>
      </c>
      <c r="K15" s="54">
        <v>0</v>
      </c>
      <c r="L15" s="89">
        <v>0</v>
      </c>
      <c r="M15" s="86">
        <v>0</v>
      </c>
      <c r="N15" s="72">
        <v>0</v>
      </c>
      <c r="O15" s="54">
        <v>0</v>
      </c>
      <c r="P15" s="89">
        <v>0</v>
      </c>
      <c r="Q15" s="86">
        <v>0</v>
      </c>
      <c r="R15" s="72">
        <v>0</v>
      </c>
      <c r="S15" s="32">
        <v>0</v>
      </c>
      <c r="T15" s="84">
        <v>0</v>
      </c>
      <c r="U15" s="80">
        <v>0</v>
      </c>
      <c r="V15" s="65">
        <v>0</v>
      </c>
      <c r="W15" s="32">
        <f t="shared" ref="W15:Y20" si="3">SUM(G15,K15,O15,S15)</f>
        <v>0</v>
      </c>
      <c r="X15" s="84">
        <f t="shared" si="3"/>
        <v>0</v>
      </c>
      <c r="Y15" s="80">
        <f t="shared" si="3"/>
        <v>0</v>
      </c>
    </row>
    <row r="16" spans="1:52">
      <c r="A16" s="41" t="s">
        <v>181</v>
      </c>
      <c r="B16" s="39">
        <v>0</v>
      </c>
      <c r="C16" s="54">
        <v>0</v>
      </c>
      <c r="D16" s="89">
        <v>0</v>
      </c>
      <c r="E16" s="86">
        <v>0</v>
      </c>
      <c r="F16" s="72">
        <v>0</v>
      </c>
      <c r="G16" s="54">
        <v>0</v>
      </c>
      <c r="H16" s="89">
        <v>0</v>
      </c>
      <c r="I16" s="86">
        <v>0</v>
      </c>
      <c r="J16" s="72">
        <v>0</v>
      </c>
      <c r="K16" s="54">
        <v>0</v>
      </c>
      <c r="L16" s="89">
        <v>0</v>
      </c>
      <c r="M16" s="86">
        <v>0</v>
      </c>
      <c r="N16" s="72">
        <v>0</v>
      </c>
      <c r="O16" s="54">
        <v>0</v>
      </c>
      <c r="P16" s="89">
        <v>0</v>
      </c>
      <c r="Q16" s="86">
        <v>0</v>
      </c>
      <c r="R16" s="72">
        <v>0</v>
      </c>
      <c r="S16" s="22">
        <v>0</v>
      </c>
      <c r="T16" s="82">
        <v>0</v>
      </c>
      <c r="U16" s="78">
        <v>0</v>
      </c>
      <c r="V16" s="39">
        <v>0</v>
      </c>
      <c r="W16" s="22">
        <f t="shared" si="3"/>
        <v>0</v>
      </c>
      <c r="X16" s="82">
        <f t="shared" si="3"/>
        <v>0</v>
      </c>
      <c r="Y16" s="78">
        <f t="shared" si="3"/>
        <v>0</v>
      </c>
    </row>
    <row r="17" spans="1:25">
      <c r="A17" s="92" t="s">
        <v>174</v>
      </c>
      <c r="B17" s="93">
        <v>0</v>
      </c>
      <c r="C17" s="94">
        <v>5737</v>
      </c>
      <c r="D17" s="100">
        <v>742</v>
      </c>
      <c r="E17" s="99">
        <v>743</v>
      </c>
      <c r="F17" s="95">
        <v>0</v>
      </c>
      <c r="G17" s="94">
        <v>0</v>
      </c>
      <c r="H17" s="100">
        <v>0</v>
      </c>
      <c r="I17" s="99">
        <v>0</v>
      </c>
      <c r="J17" s="95">
        <v>0</v>
      </c>
      <c r="K17" s="94">
        <v>0</v>
      </c>
      <c r="L17" s="100">
        <v>0</v>
      </c>
      <c r="M17" s="99">
        <v>0</v>
      </c>
      <c r="N17" s="95">
        <v>0</v>
      </c>
      <c r="O17" s="94">
        <v>0</v>
      </c>
      <c r="P17" s="100">
        <v>0</v>
      </c>
      <c r="Q17" s="99">
        <v>0</v>
      </c>
      <c r="R17" s="95">
        <v>261.2473875</v>
      </c>
      <c r="S17" s="96">
        <v>0</v>
      </c>
      <c r="T17" s="98">
        <v>0</v>
      </c>
      <c r="U17" s="97">
        <v>783.75</v>
      </c>
      <c r="V17" s="93">
        <v>261.2473875</v>
      </c>
      <c r="W17" s="96">
        <f t="shared" si="3"/>
        <v>0</v>
      </c>
      <c r="X17" s="98">
        <f t="shared" si="3"/>
        <v>0</v>
      </c>
      <c r="Y17" s="97">
        <f t="shared" si="3"/>
        <v>783.75</v>
      </c>
    </row>
    <row r="18" spans="1:25">
      <c r="A18" s="41" t="s">
        <v>146</v>
      </c>
      <c r="B18" s="39">
        <v>0</v>
      </c>
      <c r="C18" s="54">
        <v>0</v>
      </c>
      <c r="D18" s="89">
        <v>0</v>
      </c>
      <c r="E18" s="86">
        <v>0</v>
      </c>
      <c r="F18" s="72">
        <v>0</v>
      </c>
      <c r="G18" s="54">
        <v>0</v>
      </c>
      <c r="H18" s="89">
        <v>0</v>
      </c>
      <c r="I18" s="86">
        <v>0</v>
      </c>
      <c r="J18" s="72">
        <v>0</v>
      </c>
      <c r="K18" s="54">
        <v>0</v>
      </c>
      <c r="L18" s="89">
        <v>0</v>
      </c>
      <c r="M18" s="86">
        <v>0</v>
      </c>
      <c r="N18" s="72">
        <v>0</v>
      </c>
      <c r="O18" s="54">
        <v>0</v>
      </c>
      <c r="P18" s="89">
        <v>0</v>
      </c>
      <c r="Q18" s="86">
        <v>0</v>
      </c>
      <c r="R18" s="72">
        <v>0</v>
      </c>
      <c r="S18" s="22">
        <v>0</v>
      </c>
      <c r="T18" s="82">
        <v>0</v>
      </c>
      <c r="U18" s="78">
        <v>0</v>
      </c>
      <c r="V18" s="39">
        <v>0</v>
      </c>
      <c r="W18" s="22">
        <f t="shared" si="3"/>
        <v>0</v>
      </c>
      <c r="X18" s="82">
        <f t="shared" si="3"/>
        <v>0</v>
      </c>
      <c r="Y18" s="78">
        <f t="shared" si="3"/>
        <v>0</v>
      </c>
    </row>
    <row r="19" spans="1:25">
      <c r="A19" s="41" t="s">
        <v>139</v>
      </c>
      <c r="B19" s="39">
        <v>0</v>
      </c>
      <c r="C19" s="54">
        <v>0</v>
      </c>
      <c r="D19" s="89">
        <v>0</v>
      </c>
      <c r="E19" s="86">
        <v>0</v>
      </c>
      <c r="F19" s="72">
        <v>0</v>
      </c>
      <c r="G19" s="54">
        <v>0</v>
      </c>
      <c r="H19" s="89">
        <v>0</v>
      </c>
      <c r="I19" s="86">
        <v>0</v>
      </c>
      <c r="J19" s="72">
        <v>0</v>
      </c>
      <c r="K19" s="54">
        <v>0</v>
      </c>
      <c r="L19" s="89">
        <v>0</v>
      </c>
      <c r="M19" s="86">
        <v>0</v>
      </c>
      <c r="N19" s="72">
        <v>0</v>
      </c>
      <c r="O19" s="54">
        <v>0</v>
      </c>
      <c r="P19" s="89">
        <v>0</v>
      </c>
      <c r="Q19" s="86">
        <v>0</v>
      </c>
      <c r="R19" s="72">
        <v>0</v>
      </c>
      <c r="S19" s="22">
        <v>0</v>
      </c>
      <c r="T19" s="82">
        <v>0</v>
      </c>
      <c r="U19" s="78">
        <v>0</v>
      </c>
      <c r="V19" s="39">
        <v>0</v>
      </c>
      <c r="W19" s="22">
        <f t="shared" si="3"/>
        <v>0</v>
      </c>
      <c r="X19" s="82">
        <f t="shared" si="3"/>
        <v>0</v>
      </c>
      <c r="Y19" s="78">
        <f t="shared" si="3"/>
        <v>0</v>
      </c>
    </row>
    <row r="20" spans="1:25">
      <c r="A20" s="42" t="s">
        <v>129</v>
      </c>
      <c r="B20" s="64">
        <v>0</v>
      </c>
      <c r="C20" s="59">
        <v>57</v>
      </c>
      <c r="D20" s="91">
        <v>9</v>
      </c>
      <c r="E20" s="88">
        <v>8</v>
      </c>
      <c r="F20" s="73">
        <v>0</v>
      </c>
      <c r="G20" s="59">
        <v>0</v>
      </c>
      <c r="H20" s="91">
        <v>0</v>
      </c>
      <c r="I20" s="88">
        <v>0</v>
      </c>
      <c r="J20" s="73">
        <v>0</v>
      </c>
      <c r="K20" s="59">
        <v>0</v>
      </c>
      <c r="L20" s="91">
        <v>0</v>
      </c>
      <c r="M20" s="88">
        <v>0</v>
      </c>
      <c r="N20" s="73">
        <v>0</v>
      </c>
      <c r="O20" s="59">
        <v>0</v>
      </c>
      <c r="P20" s="91">
        <v>0</v>
      </c>
      <c r="Q20" s="88">
        <v>0</v>
      </c>
      <c r="R20" s="73">
        <v>2.8733046</v>
      </c>
      <c r="S20" s="35">
        <v>0</v>
      </c>
      <c r="T20" s="85">
        <v>0</v>
      </c>
      <c r="U20" s="81">
        <v>8.6199999999999992</v>
      </c>
      <c r="V20" s="64">
        <v>2.8733046</v>
      </c>
      <c r="W20" s="35">
        <f t="shared" si="3"/>
        <v>0</v>
      </c>
      <c r="X20" s="85">
        <f t="shared" si="3"/>
        <v>0</v>
      </c>
      <c r="Y20" s="81">
        <f t="shared" si="3"/>
        <v>8.6199999999999992</v>
      </c>
    </row>
    <row r="21" spans="1:25">
      <c r="A21" s="23" t="s">
        <v>561</v>
      </c>
      <c r="B21" s="27">
        <f t="shared" ref="B21:Y21" si="4">SUM(B15:B20)</f>
        <v>0</v>
      </c>
      <c r="C21" s="60">
        <f t="shared" si="4"/>
        <v>5794</v>
      </c>
      <c r="D21" s="60">
        <f t="shared" si="4"/>
        <v>751</v>
      </c>
      <c r="E21" s="60">
        <f t="shared" si="4"/>
        <v>751</v>
      </c>
      <c r="F21" s="27">
        <f t="shared" si="4"/>
        <v>0</v>
      </c>
      <c r="G21" s="56">
        <f t="shared" si="4"/>
        <v>0</v>
      </c>
      <c r="H21" s="56">
        <f t="shared" si="4"/>
        <v>0</v>
      </c>
      <c r="I21" s="56">
        <f t="shared" si="4"/>
        <v>0</v>
      </c>
      <c r="J21" s="27">
        <f t="shared" si="4"/>
        <v>0</v>
      </c>
      <c r="K21" s="60">
        <f t="shared" si="4"/>
        <v>0</v>
      </c>
      <c r="L21" s="60">
        <f t="shared" si="4"/>
        <v>0</v>
      </c>
      <c r="M21" s="60">
        <f t="shared" si="4"/>
        <v>0</v>
      </c>
      <c r="N21" s="27">
        <f t="shared" si="4"/>
        <v>0</v>
      </c>
      <c r="O21" s="60">
        <f t="shared" si="4"/>
        <v>0</v>
      </c>
      <c r="P21" s="60">
        <f t="shared" si="4"/>
        <v>0</v>
      </c>
      <c r="Q21" s="60">
        <f t="shared" si="4"/>
        <v>0</v>
      </c>
      <c r="R21" s="27">
        <f t="shared" si="4"/>
        <v>264.12069209999999</v>
      </c>
      <c r="S21" s="36">
        <f t="shared" si="4"/>
        <v>0</v>
      </c>
      <c r="T21" s="36">
        <f t="shared" si="4"/>
        <v>0</v>
      </c>
      <c r="U21" s="36">
        <f t="shared" si="4"/>
        <v>792.37</v>
      </c>
      <c r="V21" s="27">
        <f t="shared" si="4"/>
        <v>264.12069209999999</v>
      </c>
      <c r="W21" s="36">
        <f t="shared" si="4"/>
        <v>0</v>
      </c>
      <c r="X21" s="36">
        <f t="shared" si="4"/>
        <v>0</v>
      </c>
      <c r="Y21" s="36">
        <f t="shared" si="4"/>
        <v>792.37</v>
      </c>
    </row>
    <row r="22" spans="1:25">
      <c r="A22" s="24" t="s">
        <v>562</v>
      </c>
      <c r="B22" s="25"/>
      <c r="C22" s="25"/>
      <c r="D22" s="25"/>
      <c r="E22" s="25"/>
      <c r="F22" s="25"/>
      <c r="G22" s="25"/>
      <c r="H22" s="25"/>
      <c r="I22" s="25"/>
      <c r="J22" s="25"/>
      <c r="K22" s="25"/>
      <c r="L22" s="25"/>
      <c r="M22" s="25"/>
      <c r="N22" s="25"/>
      <c r="O22" s="25"/>
      <c r="P22" s="25"/>
      <c r="Q22" s="25"/>
      <c r="R22" s="25"/>
      <c r="S22" s="25"/>
      <c r="T22" s="25"/>
      <c r="U22" s="25"/>
      <c r="V22" s="25"/>
      <c r="W22" s="25"/>
      <c r="X22" s="25"/>
      <c r="Y22" s="25"/>
    </row>
    <row r="23" spans="1:25">
      <c r="A23" s="40" t="s">
        <v>127</v>
      </c>
      <c r="B23" s="65">
        <v>5794</v>
      </c>
      <c r="C23" s="54">
        <v>0</v>
      </c>
      <c r="D23" s="89">
        <v>0</v>
      </c>
      <c r="E23" s="86">
        <v>0</v>
      </c>
      <c r="F23" s="72">
        <v>0</v>
      </c>
      <c r="G23" s="54">
        <v>0</v>
      </c>
      <c r="H23" s="89">
        <v>0</v>
      </c>
      <c r="I23" s="86">
        <v>0</v>
      </c>
      <c r="J23" s="72">
        <v>0</v>
      </c>
      <c r="K23" s="54">
        <v>0</v>
      </c>
      <c r="L23" s="89">
        <v>0</v>
      </c>
      <c r="M23" s="86">
        <v>0</v>
      </c>
      <c r="N23" s="72">
        <v>0</v>
      </c>
      <c r="O23" s="54">
        <v>0</v>
      </c>
      <c r="P23" s="89">
        <v>0</v>
      </c>
      <c r="Q23" s="86">
        <v>0</v>
      </c>
      <c r="R23" s="72">
        <v>0</v>
      </c>
      <c r="S23" s="32">
        <v>0</v>
      </c>
      <c r="T23" s="84">
        <v>0</v>
      </c>
      <c r="U23" s="80">
        <v>0</v>
      </c>
      <c r="V23" s="65">
        <v>0</v>
      </c>
      <c r="W23" s="32">
        <f t="shared" ref="W23:Y29" si="5">SUM(G23,K23,O23,S23)</f>
        <v>0</v>
      </c>
      <c r="X23" s="84">
        <f t="shared" si="5"/>
        <v>0</v>
      </c>
      <c r="Y23" s="80">
        <f t="shared" si="5"/>
        <v>0</v>
      </c>
    </row>
    <row r="24" spans="1:25">
      <c r="A24" s="41" t="s">
        <v>120</v>
      </c>
      <c r="B24" s="39">
        <v>0</v>
      </c>
      <c r="C24" s="54">
        <v>0</v>
      </c>
      <c r="D24" s="89">
        <v>0</v>
      </c>
      <c r="E24" s="86">
        <v>0</v>
      </c>
      <c r="F24" s="72">
        <v>0</v>
      </c>
      <c r="G24" s="54">
        <v>0</v>
      </c>
      <c r="H24" s="89">
        <v>0</v>
      </c>
      <c r="I24" s="86">
        <v>0</v>
      </c>
      <c r="J24" s="72">
        <v>0</v>
      </c>
      <c r="K24" s="54">
        <v>0</v>
      </c>
      <c r="L24" s="89">
        <v>0</v>
      </c>
      <c r="M24" s="86">
        <v>0</v>
      </c>
      <c r="N24" s="72">
        <v>0</v>
      </c>
      <c r="O24" s="54">
        <v>0</v>
      </c>
      <c r="P24" s="89">
        <v>0</v>
      </c>
      <c r="Q24" s="86">
        <v>0</v>
      </c>
      <c r="R24" s="72">
        <v>0</v>
      </c>
      <c r="S24" s="22">
        <v>0</v>
      </c>
      <c r="T24" s="82">
        <v>0</v>
      </c>
      <c r="U24" s="78">
        <v>0</v>
      </c>
      <c r="V24" s="39">
        <v>0</v>
      </c>
      <c r="W24" s="22">
        <f t="shared" si="5"/>
        <v>0</v>
      </c>
      <c r="X24" s="82">
        <f t="shared" si="5"/>
        <v>0</v>
      </c>
      <c r="Y24" s="78">
        <f t="shared" si="5"/>
        <v>0</v>
      </c>
    </row>
    <row r="25" spans="1:25">
      <c r="A25" s="41" t="s">
        <v>107</v>
      </c>
      <c r="B25" s="39">
        <v>0</v>
      </c>
      <c r="C25" s="54">
        <v>0</v>
      </c>
      <c r="D25" s="89">
        <v>0</v>
      </c>
      <c r="E25" s="86">
        <v>0</v>
      </c>
      <c r="F25" s="72">
        <v>0</v>
      </c>
      <c r="G25" s="54">
        <v>0</v>
      </c>
      <c r="H25" s="89">
        <v>0</v>
      </c>
      <c r="I25" s="86">
        <v>0</v>
      </c>
      <c r="J25" s="72">
        <v>11.639883600000001</v>
      </c>
      <c r="K25" s="54">
        <v>0</v>
      </c>
      <c r="L25" s="89">
        <v>0</v>
      </c>
      <c r="M25" s="86">
        <v>34.92</v>
      </c>
      <c r="N25" s="72">
        <v>0</v>
      </c>
      <c r="O25" s="54">
        <v>0</v>
      </c>
      <c r="P25" s="89">
        <v>0</v>
      </c>
      <c r="Q25" s="86">
        <v>0</v>
      </c>
      <c r="R25" s="72">
        <v>12.409875899999999</v>
      </c>
      <c r="S25" s="22">
        <v>0</v>
      </c>
      <c r="T25" s="82">
        <v>37.229999999999997</v>
      </c>
      <c r="U25" s="78">
        <v>0</v>
      </c>
      <c r="V25" s="39">
        <v>24.0497595</v>
      </c>
      <c r="W25" s="22">
        <f t="shared" si="5"/>
        <v>0</v>
      </c>
      <c r="X25" s="82">
        <f t="shared" si="5"/>
        <v>37.229999999999997</v>
      </c>
      <c r="Y25" s="78">
        <f t="shared" si="5"/>
        <v>34.92</v>
      </c>
    </row>
    <row r="26" spans="1:25">
      <c r="A26" s="41" t="s">
        <v>104</v>
      </c>
      <c r="B26" s="39">
        <v>0</v>
      </c>
      <c r="C26" s="54">
        <v>0</v>
      </c>
      <c r="D26" s="89">
        <v>0</v>
      </c>
      <c r="E26" s="86">
        <v>0</v>
      </c>
      <c r="F26" s="72">
        <v>0</v>
      </c>
      <c r="G26" s="54">
        <v>0</v>
      </c>
      <c r="H26" s="89">
        <v>0</v>
      </c>
      <c r="I26" s="86">
        <v>0</v>
      </c>
      <c r="J26" s="72">
        <v>0</v>
      </c>
      <c r="K26" s="54">
        <v>0</v>
      </c>
      <c r="L26" s="89">
        <v>0</v>
      </c>
      <c r="M26" s="86">
        <v>0</v>
      </c>
      <c r="N26" s="72">
        <v>0</v>
      </c>
      <c r="O26" s="54">
        <v>0</v>
      </c>
      <c r="P26" s="89">
        <v>0</v>
      </c>
      <c r="Q26" s="86">
        <v>0</v>
      </c>
      <c r="R26" s="72">
        <v>423.56909760000002</v>
      </c>
      <c r="S26" s="22">
        <v>272.64</v>
      </c>
      <c r="T26" s="82">
        <v>947.05</v>
      </c>
      <c r="U26" s="78">
        <v>51.03</v>
      </c>
      <c r="V26" s="39">
        <v>423.56909760000002</v>
      </c>
      <c r="W26" s="22">
        <f t="shared" si="5"/>
        <v>272.64</v>
      </c>
      <c r="X26" s="82">
        <f t="shared" si="5"/>
        <v>947.05</v>
      </c>
      <c r="Y26" s="78">
        <f t="shared" si="5"/>
        <v>51.03</v>
      </c>
    </row>
    <row r="27" spans="1:25">
      <c r="A27" s="41" t="s">
        <v>102</v>
      </c>
      <c r="B27" s="39">
        <v>0</v>
      </c>
      <c r="C27" s="54">
        <v>0</v>
      </c>
      <c r="D27" s="89">
        <v>0</v>
      </c>
      <c r="E27" s="86">
        <v>0</v>
      </c>
      <c r="F27" s="72">
        <v>0</v>
      </c>
      <c r="G27" s="54">
        <v>0</v>
      </c>
      <c r="H27" s="89">
        <v>0</v>
      </c>
      <c r="I27" s="86">
        <v>0</v>
      </c>
      <c r="J27" s="72">
        <v>0</v>
      </c>
      <c r="K27" s="54">
        <v>0</v>
      </c>
      <c r="L27" s="89">
        <v>0</v>
      </c>
      <c r="M27" s="86">
        <v>0</v>
      </c>
      <c r="N27" s="72">
        <v>0</v>
      </c>
      <c r="O27" s="54">
        <v>0</v>
      </c>
      <c r="P27" s="89">
        <v>0</v>
      </c>
      <c r="Q27" s="86">
        <v>0</v>
      </c>
      <c r="R27" s="72">
        <v>13.99986</v>
      </c>
      <c r="S27" s="22">
        <v>42</v>
      </c>
      <c r="T27" s="82">
        <v>0</v>
      </c>
      <c r="U27" s="78">
        <v>0</v>
      </c>
      <c r="V27" s="39">
        <v>13.99986</v>
      </c>
      <c r="W27" s="22">
        <f t="shared" si="5"/>
        <v>42</v>
      </c>
      <c r="X27" s="82">
        <f t="shared" si="5"/>
        <v>0</v>
      </c>
      <c r="Y27" s="78">
        <f t="shared" si="5"/>
        <v>0</v>
      </c>
    </row>
    <row r="28" spans="1:25">
      <c r="A28" s="41" t="s">
        <v>98</v>
      </c>
      <c r="B28" s="39">
        <v>0</v>
      </c>
      <c r="C28" s="54">
        <v>0</v>
      </c>
      <c r="D28" s="89">
        <v>0</v>
      </c>
      <c r="E28" s="86">
        <v>0</v>
      </c>
      <c r="F28" s="72">
        <v>0</v>
      </c>
      <c r="G28" s="54">
        <v>0</v>
      </c>
      <c r="H28" s="89">
        <v>0</v>
      </c>
      <c r="I28" s="86">
        <v>0</v>
      </c>
      <c r="J28" s="72">
        <v>25.333080000000002</v>
      </c>
      <c r="K28" s="54">
        <v>0</v>
      </c>
      <c r="L28" s="89">
        <v>0</v>
      </c>
      <c r="M28" s="86">
        <v>76</v>
      </c>
      <c r="N28" s="72">
        <v>0</v>
      </c>
      <c r="O28" s="54">
        <v>0</v>
      </c>
      <c r="P28" s="89">
        <v>0</v>
      </c>
      <c r="Q28" s="86">
        <v>0</v>
      </c>
      <c r="R28" s="72">
        <v>0</v>
      </c>
      <c r="S28" s="22">
        <v>0</v>
      </c>
      <c r="T28" s="82">
        <v>0</v>
      </c>
      <c r="U28" s="78">
        <v>0</v>
      </c>
      <c r="V28" s="39">
        <v>25.333080000000002</v>
      </c>
      <c r="W28" s="22">
        <f t="shared" si="5"/>
        <v>0</v>
      </c>
      <c r="X28" s="82">
        <f t="shared" si="5"/>
        <v>0</v>
      </c>
      <c r="Y28" s="78">
        <f t="shared" si="5"/>
        <v>76</v>
      </c>
    </row>
    <row r="29" spans="1:25">
      <c r="A29" s="42" t="s">
        <v>84</v>
      </c>
      <c r="B29" s="64">
        <v>0</v>
      </c>
      <c r="C29" s="59">
        <v>0</v>
      </c>
      <c r="D29" s="91">
        <v>0</v>
      </c>
      <c r="E29" s="88">
        <v>0</v>
      </c>
      <c r="F29" s="73">
        <v>53.332800000000006</v>
      </c>
      <c r="G29" s="59">
        <v>160</v>
      </c>
      <c r="H29" s="91">
        <v>0</v>
      </c>
      <c r="I29" s="88">
        <v>0</v>
      </c>
      <c r="J29" s="73">
        <v>508.02825299999995</v>
      </c>
      <c r="K29" s="59">
        <v>1465.6</v>
      </c>
      <c r="L29" s="91">
        <v>13</v>
      </c>
      <c r="M29" s="88">
        <v>45.5</v>
      </c>
      <c r="N29" s="73">
        <v>641.81691510000007</v>
      </c>
      <c r="O29" s="59">
        <v>1088</v>
      </c>
      <c r="P29" s="91">
        <v>837.47</v>
      </c>
      <c r="Q29" s="88">
        <v>0</v>
      </c>
      <c r="R29" s="73">
        <v>733.02933629999995</v>
      </c>
      <c r="S29" s="35">
        <v>2176.21</v>
      </c>
      <c r="T29" s="85">
        <v>22.9</v>
      </c>
      <c r="U29" s="81">
        <v>0</v>
      </c>
      <c r="V29" s="64">
        <v>1936.2073043999999</v>
      </c>
      <c r="W29" s="35">
        <f t="shared" si="5"/>
        <v>4889.8099999999995</v>
      </c>
      <c r="X29" s="85">
        <f t="shared" si="5"/>
        <v>873.37</v>
      </c>
      <c r="Y29" s="81">
        <f t="shared" si="5"/>
        <v>45.5</v>
      </c>
    </row>
    <row r="30" spans="1:25">
      <c r="A30" s="23" t="s">
        <v>563</v>
      </c>
      <c r="B30" s="27">
        <f t="shared" ref="B30:Y30" si="6">SUM(B23:B29)</f>
        <v>5794</v>
      </c>
      <c r="C30" s="60">
        <f t="shared" si="6"/>
        <v>0</v>
      </c>
      <c r="D30" s="60">
        <f t="shared" si="6"/>
        <v>0</v>
      </c>
      <c r="E30" s="60">
        <f t="shared" si="6"/>
        <v>0</v>
      </c>
      <c r="F30" s="27">
        <f t="shared" si="6"/>
        <v>53.332800000000006</v>
      </c>
      <c r="G30" s="60">
        <f t="shared" si="6"/>
        <v>160</v>
      </c>
      <c r="H30" s="60">
        <f t="shared" si="6"/>
        <v>0</v>
      </c>
      <c r="I30" s="60">
        <f t="shared" si="6"/>
        <v>0</v>
      </c>
      <c r="J30" s="27">
        <f t="shared" si="6"/>
        <v>545.00121659999991</v>
      </c>
      <c r="K30" s="60">
        <f t="shared" si="6"/>
        <v>1465.6</v>
      </c>
      <c r="L30" s="60">
        <f t="shared" si="6"/>
        <v>13</v>
      </c>
      <c r="M30" s="60">
        <f t="shared" si="6"/>
        <v>156.42000000000002</v>
      </c>
      <c r="N30" s="27">
        <f t="shared" si="6"/>
        <v>641.81691510000007</v>
      </c>
      <c r="O30" s="60">
        <f t="shared" si="6"/>
        <v>1088</v>
      </c>
      <c r="P30" s="60">
        <f t="shared" si="6"/>
        <v>837.47</v>
      </c>
      <c r="Q30" s="60">
        <f t="shared" si="6"/>
        <v>0</v>
      </c>
      <c r="R30" s="27">
        <f t="shared" si="6"/>
        <v>1183.0081697999999</v>
      </c>
      <c r="S30" s="36">
        <f t="shared" si="6"/>
        <v>2490.85</v>
      </c>
      <c r="T30" s="36">
        <f t="shared" si="6"/>
        <v>1007.18</v>
      </c>
      <c r="U30" s="36">
        <f t="shared" si="6"/>
        <v>51.03</v>
      </c>
      <c r="V30" s="27">
        <f t="shared" si="6"/>
        <v>2423.1591014999999</v>
      </c>
      <c r="W30" s="36">
        <f t="shared" si="6"/>
        <v>5204.45</v>
      </c>
      <c r="X30" s="36">
        <f t="shared" si="6"/>
        <v>1857.65</v>
      </c>
      <c r="Y30" s="36">
        <f t="shared" si="6"/>
        <v>207.45</v>
      </c>
    </row>
    <row r="31" spans="1:25">
      <c r="A31" s="24" t="s">
        <v>429</v>
      </c>
      <c r="B31" s="21"/>
      <c r="C31" s="26"/>
      <c r="D31" s="26"/>
      <c r="E31" s="26"/>
      <c r="F31" s="26"/>
      <c r="G31" s="26"/>
      <c r="H31" s="26"/>
      <c r="I31" s="26"/>
      <c r="J31" s="26"/>
      <c r="K31" s="26"/>
      <c r="L31" s="26"/>
      <c r="M31" s="26"/>
      <c r="N31" s="26"/>
      <c r="O31" s="26"/>
      <c r="P31" s="26"/>
      <c r="Q31" s="26"/>
      <c r="R31" s="26"/>
      <c r="S31" s="26"/>
      <c r="T31" s="26"/>
      <c r="U31" s="26"/>
      <c r="V31" s="21"/>
      <c r="W31" s="26"/>
      <c r="X31" s="26"/>
      <c r="Y31" s="26"/>
    </row>
    <row r="32" spans="1:25">
      <c r="A32" s="40" t="s">
        <v>81</v>
      </c>
      <c r="B32" s="65">
        <v>0</v>
      </c>
      <c r="C32" s="54">
        <v>0</v>
      </c>
      <c r="D32" s="89">
        <v>0</v>
      </c>
      <c r="E32" s="86">
        <v>0</v>
      </c>
      <c r="F32" s="72">
        <v>0</v>
      </c>
      <c r="G32" s="54">
        <v>0</v>
      </c>
      <c r="H32" s="89">
        <v>0</v>
      </c>
      <c r="I32" s="86">
        <v>0</v>
      </c>
      <c r="J32" s="72">
        <v>0</v>
      </c>
      <c r="K32" s="54">
        <v>0</v>
      </c>
      <c r="L32" s="89">
        <v>0</v>
      </c>
      <c r="M32" s="86">
        <v>0</v>
      </c>
      <c r="N32" s="72">
        <v>0</v>
      </c>
      <c r="O32" s="54">
        <v>0</v>
      </c>
      <c r="P32" s="89">
        <v>0</v>
      </c>
      <c r="Q32" s="86">
        <v>0</v>
      </c>
      <c r="R32" s="72">
        <v>0</v>
      </c>
      <c r="S32" s="32">
        <v>0</v>
      </c>
      <c r="T32" s="84">
        <v>0</v>
      </c>
      <c r="U32" s="80">
        <v>0</v>
      </c>
      <c r="V32" s="65">
        <v>0</v>
      </c>
      <c r="W32" s="32">
        <f t="shared" ref="W32:Y33" si="7">SUM(G32,K32,O32,S32)</f>
        <v>0</v>
      </c>
      <c r="X32" s="84">
        <f t="shared" si="7"/>
        <v>0</v>
      </c>
      <c r="Y32" s="80">
        <f t="shared" si="7"/>
        <v>0</v>
      </c>
    </row>
    <row r="33" spans="1:25">
      <c r="A33" s="42" t="s">
        <v>79</v>
      </c>
      <c r="B33" s="64">
        <v>0</v>
      </c>
      <c r="C33" s="59">
        <v>0</v>
      </c>
      <c r="D33" s="91">
        <v>0</v>
      </c>
      <c r="E33" s="88">
        <v>0</v>
      </c>
      <c r="F33" s="73">
        <v>0</v>
      </c>
      <c r="G33" s="59">
        <v>0</v>
      </c>
      <c r="H33" s="91">
        <v>0</v>
      </c>
      <c r="I33" s="88">
        <v>0</v>
      </c>
      <c r="J33" s="73">
        <v>0</v>
      </c>
      <c r="K33" s="59">
        <v>0</v>
      </c>
      <c r="L33" s="91">
        <v>0</v>
      </c>
      <c r="M33" s="88">
        <v>0</v>
      </c>
      <c r="N33" s="73">
        <v>0</v>
      </c>
      <c r="O33" s="59">
        <v>0</v>
      </c>
      <c r="P33" s="91">
        <v>0</v>
      </c>
      <c r="Q33" s="88">
        <v>0</v>
      </c>
      <c r="R33" s="73">
        <v>0</v>
      </c>
      <c r="S33" s="35">
        <v>0</v>
      </c>
      <c r="T33" s="85">
        <v>0</v>
      </c>
      <c r="U33" s="81">
        <v>0</v>
      </c>
      <c r="V33" s="64">
        <v>0</v>
      </c>
      <c r="W33" s="35">
        <f t="shared" si="7"/>
        <v>0</v>
      </c>
      <c r="X33" s="85">
        <f t="shared" si="7"/>
        <v>0</v>
      </c>
      <c r="Y33" s="81">
        <f t="shared" si="7"/>
        <v>0</v>
      </c>
    </row>
    <row r="34" spans="1:25">
      <c r="A34" s="23" t="s">
        <v>564</v>
      </c>
      <c r="B34" s="27">
        <f t="shared" ref="B34:Y34" si="8">SUM(B32:B33)</f>
        <v>0</v>
      </c>
      <c r="C34" s="60">
        <f t="shared" si="8"/>
        <v>0</v>
      </c>
      <c r="D34" s="60">
        <f t="shared" si="8"/>
        <v>0</v>
      </c>
      <c r="E34" s="60">
        <f t="shared" si="8"/>
        <v>0</v>
      </c>
      <c r="F34" s="27">
        <f t="shared" si="8"/>
        <v>0</v>
      </c>
      <c r="G34" s="60">
        <f t="shared" si="8"/>
        <v>0</v>
      </c>
      <c r="H34" s="60">
        <f t="shared" si="8"/>
        <v>0</v>
      </c>
      <c r="I34" s="60">
        <f t="shared" si="8"/>
        <v>0</v>
      </c>
      <c r="J34" s="27">
        <f t="shared" si="8"/>
        <v>0</v>
      </c>
      <c r="K34" s="60">
        <f t="shared" si="8"/>
        <v>0</v>
      </c>
      <c r="L34" s="60">
        <f t="shared" si="8"/>
        <v>0</v>
      </c>
      <c r="M34" s="60">
        <f t="shared" si="8"/>
        <v>0</v>
      </c>
      <c r="N34" s="27">
        <f t="shared" si="8"/>
        <v>0</v>
      </c>
      <c r="O34" s="60">
        <f t="shared" si="8"/>
        <v>0</v>
      </c>
      <c r="P34" s="60">
        <f t="shared" si="8"/>
        <v>0</v>
      </c>
      <c r="Q34" s="60">
        <f t="shared" si="8"/>
        <v>0</v>
      </c>
      <c r="R34" s="27">
        <f t="shared" si="8"/>
        <v>0</v>
      </c>
      <c r="S34" s="36">
        <f t="shared" si="8"/>
        <v>0</v>
      </c>
      <c r="T34" s="36">
        <f t="shared" si="8"/>
        <v>0</v>
      </c>
      <c r="U34" s="36">
        <f t="shared" si="8"/>
        <v>0</v>
      </c>
      <c r="V34" s="27">
        <f t="shared" si="8"/>
        <v>0</v>
      </c>
      <c r="W34" s="36">
        <f t="shared" si="8"/>
        <v>0</v>
      </c>
      <c r="X34" s="36">
        <f t="shared" si="8"/>
        <v>0</v>
      </c>
      <c r="Y34" s="36">
        <f t="shared" si="8"/>
        <v>0</v>
      </c>
    </row>
    <row r="35" spans="1:25">
      <c r="A35" s="24" t="s">
        <v>565</v>
      </c>
      <c r="B35" s="26"/>
      <c r="C35" s="26"/>
      <c r="D35" s="26"/>
      <c r="E35" s="26"/>
      <c r="F35" s="26"/>
      <c r="G35" s="26"/>
      <c r="H35" s="26"/>
      <c r="I35" s="26"/>
      <c r="J35" s="26"/>
      <c r="K35" s="26"/>
      <c r="L35" s="26"/>
      <c r="M35" s="26"/>
      <c r="N35" s="26"/>
      <c r="O35" s="26"/>
      <c r="P35" s="26"/>
      <c r="Q35" s="26"/>
      <c r="R35" s="26"/>
      <c r="S35" s="26"/>
      <c r="T35" s="26"/>
      <c r="U35" s="26"/>
      <c r="V35" s="26"/>
      <c r="W35" s="26"/>
      <c r="X35" s="26"/>
      <c r="Y35" s="26"/>
    </row>
    <row r="36" spans="1:25">
      <c r="A36" s="40" t="s">
        <v>77</v>
      </c>
      <c r="B36" s="65">
        <v>0</v>
      </c>
      <c r="C36" s="54">
        <v>0</v>
      </c>
      <c r="D36" s="89">
        <v>0</v>
      </c>
      <c r="E36" s="86">
        <v>0</v>
      </c>
      <c r="F36" s="72">
        <v>0</v>
      </c>
      <c r="G36" s="54">
        <v>0</v>
      </c>
      <c r="H36" s="89">
        <v>0</v>
      </c>
      <c r="I36" s="86">
        <v>0</v>
      </c>
      <c r="J36" s="72">
        <v>0</v>
      </c>
      <c r="K36" s="54">
        <v>0</v>
      </c>
      <c r="L36" s="89">
        <v>0</v>
      </c>
      <c r="M36" s="86">
        <v>0</v>
      </c>
      <c r="N36" s="72">
        <v>0</v>
      </c>
      <c r="O36" s="54">
        <v>0</v>
      </c>
      <c r="P36" s="89">
        <v>0</v>
      </c>
      <c r="Q36" s="86">
        <v>0</v>
      </c>
      <c r="R36" s="72">
        <v>0</v>
      </c>
      <c r="S36" s="32">
        <v>0</v>
      </c>
      <c r="T36" s="84">
        <v>0</v>
      </c>
      <c r="U36" s="80">
        <v>0</v>
      </c>
      <c r="V36" s="65">
        <v>0</v>
      </c>
      <c r="W36" s="32">
        <f t="shared" ref="W36:Y41" si="9">SUM(G36,K36,O36,S36)</f>
        <v>0</v>
      </c>
      <c r="X36" s="84">
        <f t="shared" si="9"/>
        <v>0</v>
      </c>
      <c r="Y36" s="80">
        <f t="shared" si="9"/>
        <v>0</v>
      </c>
    </row>
    <row r="37" spans="1:25">
      <c r="A37" s="41" t="s">
        <v>59</v>
      </c>
      <c r="B37" s="39">
        <v>0</v>
      </c>
      <c r="C37" s="54">
        <v>0</v>
      </c>
      <c r="D37" s="89">
        <v>0</v>
      </c>
      <c r="E37" s="86">
        <v>0</v>
      </c>
      <c r="F37" s="72">
        <v>0</v>
      </c>
      <c r="G37" s="54">
        <v>0</v>
      </c>
      <c r="H37" s="89">
        <v>0</v>
      </c>
      <c r="I37" s="86">
        <v>0</v>
      </c>
      <c r="J37" s="72">
        <v>0</v>
      </c>
      <c r="K37" s="54">
        <v>0</v>
      </c>
      <c r="L37" s="89">
        <v>0</v>
      </c>
      <c r="M37" s="86">
        <v>0</v>
      </c>
      <c r="N37" s="72">
        <v>0</v>
      </c>
      <c r="O37" s="54">
        <v>0</v>
      </c>
      <c r="P37" s="89">
        <v>0</v>
      </c>
      <c r="Q37" s="86">
        <v>0</v>
      </c>
      <c r="R37" s="72">
        <v>0</v>
      </c>
      <c r="S37" s="22">
        <v>0</v>
      </c>
      <c r="T37" s="82">
        <v>0</v>
      </c>
      <c r="U37" s="78">
        <v>0</v>
      </c>
      <c r="V37" s="39">
        <v>0</v>
      </c>
      <c r="W37" s="22">
        <f t="shared" si="9"/>
        <v>0</v>
      </c>
      <c r="X37" s="82">
        <f t="shared" si="9"/>
        <v>0</v>
      </c>
      <c r="Y37" s="78">
        <f t="shared" si="9"/>
        <v>0</v>
      </c>
    </row>
    <row r="38" spans="1:25">
      <c r="A38" s="41" t="s">
        <v>39</v>
      </c>
      <c r="B38" s="39">
        <v>0</v>
      </c>
      <c r="C38" s="54">
        <v>0</v>
      </c>
      <c r="D38" s="89">
        <v>0</v>
      </c>
      <c r="E38" s="86">
        <v>0</v>
      </c>
      <c r="F38" s="72">
        <v>0</v>
      </c>
      <c r="G38" s="54">
        <v>0</v>
      </c>
      <c r="H38" s="89">
        <v>0</v>
      </c>
      <c r="I38" s="86">
        <v>0</v>
      </c>
      <c r="J38" s="72">
        <v>0</v>
      </c>
      <c r="K38" s="54">
        <v>0</v>
      </c>
      <c r="L38" s="89">
        <v>0</v>
      </c>
      <c r="M38" s="86">
        <v>0</v>
      </c>
      <c r="N38" s="72">
        <v>0</v>
      </c>
      <c r="O38" s="54">
        <v>0</v>
      </c>
      <c r="P38" s="89">
        <v>0</v>
      </c>
      <c r="Q38" s="86">
        <v>0</v>
      </c>
      <c r="R38" s="72">
        <v>0</v>
      </c>
      <c r="S38" s="22">
        <v>0</v>
      </c>
      <c r="T38" s="82">
        <v>0</v>
      </c>
      <c r="U38" s="78">
        <v>0</v>
      </c>
      <c r="V38" s="39">
        <v>0</v>
      </c>
      <c r="W38" s="22">
        <f t="shared" si="9"/>
        <v>0</v>
      </c>
      <c r="X38" s="82">
        <f t="shared" si="9"/>
        <v>0</v>
      </c>
      <c r="Y38" s="78">
        <f t="shared" si="9"/>
        <v>0</v>
      </c>
    </row>
    <row r="39" spans="1:25">
      <c r="A39" s="92" t="s">
        <v>31</v>
      </c>
      <c r="B39" s="93">
        <v>0</v>
      </c>
      <c r="C39" s="94">
        <v>0</v>
      </c>
      <c r="D39" s="100">
        <v>0</v>
      </c>
      <c r="E39" s="99">
        <v>0</v>
      </c>
      <c r="F39" s="95">
        <v>0</v>
      </c>
      <c r="G39" s="94">
        <v>0</v>
      </c>
      <c r="H39" s="100">
        <v>0</v>
      </c>
      <c r="I39" s="99">
        <v>0</v>
      </c>
      <c r="J39" s="95">
        <v>0</v>
      </c>
      <c r="K39" s="94">
        <v>0</v>
      </c>
      <c r="L39" s="100">
        <v>0</v>
      </c>
      <c r="M39" s="99">
        <v>0</v>
      </c>
      <c r="N39" s="95">
        <v>0</v>
      </c>
      <c r="O39" s="94">
        <v>0</v>
      </c>
      <c r="P39" s="100">
        <v>0</v>
      </c>
      <c r="Q39" s="99">
        <v>0</v>
      </c>
      <c r="R39" s="95">
        <v>0</v>
      </c>
      <c r="S39" s="96">
        <v>0</v>
      </c>
      <c r="T39" s="98">
        <v>0</v>
      </c>
      <c r="U39" s="97">
        <v>0</v>
      </c>
      <c r="V39" s="93">
        <v>0</v>
      </c>
      <c r="W39" s="96">
        <f t="shared" si="9"/>
        <v>0</v>
      </c>
      <c r="X39" s="98">
        <f t="shared" si="9"/>
        <v>0</v>
      </c>
      <c r="Y39" s="97">
        <f t="shared" si="9"/>
        <v>0</v>
      </c>
    </row>
    <row r="40" spans="1:25">
      <c r="A40" s="41" t="s">
        <v>27</v>
      </c>
      <c r="B40" s="39">
        <v>364</v>
      </c>
      <c r="C40" s="54">
        <v>350</v>
      </c>
      <c r="D40" s="89">
        <v>45</v>
      </c>
      <c r="E40" s="86">
        <v>43</v>
      </c>
      <c r="F40" s="72">
        <v>3.3532998000000003</v>
      </c>
      <c r="G40" s="54">
        <v>10.06</v>
      </c>
      <c r="H40" s="89">
        <v>0</v>
      </c>
      <c r="I40" s="86">
        <v>0</v>
      </c>
      <c r="J40" s="72">
        <v>33.992993400000003</v>
      </c>
      <c r="K40" s="54">
        <v>92.19</v>
      </c>
      <c r="L40" s="89">
        <v>0.79</v>
      </c>
      <c r="M40" s="86">
        <v>9</v>
      </c>
      <c r="N40" s="72">
        <v>39.676269900000001</v>
      </c>
      <c r="O40" s="54">
        <v>68.44</v>
      </c>
      <c r="P40" s="89">
        <v>50.59</v>
      </c>
      <c r="Q40" s="86">
        <v>0</v>
      </c>
      <c r="R40" s="72">
        <v>88.665780000000012</v>
      </c>
      <c r="S40" s="22">
        <v>156.68</v>
      </c>
      <c r="T40" s="82">
        <v>60.83</v>
      </c>
      <c r="U40" s="78">
        <v>48.49</v>
      </c>
      <c r="V40" s="39">
        <v>165.68834310000003</v>
      </c>
      <c r="W40" s="22">
        <f t="shared" si="9"/>
        <v>327.37</v>
      </c>
      <c r="X40" s="82">
        <f t="shared" si="9"/>
        <v>112.21000000000001</v>
      </c>
      <c r="Y40" s="78">
        <f t="shared" si="9"/>
        <v>57.49</v>
      </c>
    </row>
    <row r="41" spans="1:25">
      <c r="A41" s="42" t="s">
        <v>25</v>
      </c>
      <c r="B41" s="64">
        <v>30</v>
      </c>
      <c r="C41" s="59">
        <v>29</v>
      </c>
      <c r="D41" s="91">
        <v>4</v>
      </c>
      <c r="E41" s="88">
        <v>5</v>
      </c>
      <c r="F41" s="73">
        <v>0.27333059999999998</v>
      </c>
      <c r="G41" s="59">
        <v>0.82</v>
      </c>
      <c r="H41" s="91">
        <v>0</v>
      </c>
      <c r="I41" s="88">
        <v>0</v>
      </c>
      <c r="J41" s="73">
        <v>2.8733046</v>
      </c>
      <c r="K41" s="59">
        <v>7.47</v>
      </c>
      <c r="L41" s="91">
        <v>7.0000000000000007E-2</v>
      </c>
      <c r="M41" s="88">
        <v>1.08</v>
      </c>
      <c r="N41" s="73">
        <v>3.2499675000000003</v>
      </c>
      <c r="O41" s="59">
        <v>5.56</v>
      </c>
      <c r="P41" s="91">
        <v>4.1900000000000004</v>
      </c>
      <c r="Q41" s="88">
        <v>0</v>
      </c>
      <c r="R41" s="73">
        <v>7.8499215000000007</v>
      </c>
      <c r="S41" s="35">
        <v>12.69</v>
      </c>
      <c r="T41" s="85">
        <v>5.04</v>
      </c>
      <c r="U41" s="81">
        <v>5.82</v>
      </c>
      <c r="V41" s="64">
        <v>14.2465242</v>
      </c>
      <c r="W41" s="35">
        <f t="shared" si="9"/>
        <v>26.54</v>
      </c>
      <c r="X41" s="85">
        <f t="shared" si="9"/>
        <v>9.3000000000000007</v>
      </c>
      <c r="Y41" s="81">
        <f t="shared" si="9"/>
        <v>6.9</v>
      </c>
    </row>
    <row r="42" spans="1:25">
      <c r="A42" s="23" t="s">
        <v>566</v>
      </c>
      <c r="B42" s="27">
        <f t="shared" ref="B42:Y42" si="10">SUM(B36:B41)</f>
        <v>394</v>
      </c>
      <c r="C42" s="56">
        <f t="shared" si="10"/>
        <v>379</v>
      </c>
      <c r="D42" s="56">
        <f t="shared" si="10"/>
        <v>49</v>
      </c>
      <c r="E42" s="56">
        <f t="shared" si="10"/>
        <v>48</v>
      </c>
      <c r="F42" s="66">
        <f t="shared" si="10"/>
        <v>3.6266304000000003</v>
      </c>
      <c r="G42" s="56">
        <f t="shared" si="10"/>
        <v>10.88</v>
      </c>
      <c r="H42" s="56">
        <f t="shared" si="10"/>
        <v>0</v>
      </c>
      <c r="I42" s="56">
        <f t="shared" si="10"/>
        <v>0</v>
      </c>
      <c r="J42" s="66">
        <f t="shared" si="10"/>
        <v>36.866298</v>
      </c>
      <c r="K42" s="56">
        <f t="shared" si="10"/>
        <v>99.66</v>
      </c>
      <c r="L42" s="56">
        <f t="shared" si="10"/>
        <v>0.8600000000000001</v>
      </c>
      <c r="M42" s="56">
        <f t="shared" si="10"/>
        <v>10.08</v>
      </c>
      <c r="N42" s="66">
        <f t="shared" si="10"/>
        <v>42.926237400000005</v>
      </c>
      <c r="O42" s="56">
        <f t="shared" si="10"/>
        <v>74</v>
      </c>
      <c r="P42" s="56">
        <f t="shared" si="10"/>
        <v>54.78</v>
      </c>
      <c r="Q42" s="56">
        <f t="shared" si="10"/>
        <v>0</v>
      </c>
      <c r="R42" s="66">
        <f t="shared" si="10"/>
        <v>96.515701500000006</v>
      </c>
      <c r="S42" s="37">
        <f t="shared" si="10"/>
        <v>169.37</v>
      </c>
      <c r="T42" s="37">
        <f t="shared" si="10"/>
        <v>65.87</v>
      </c>
      <c r="U42" s="37">
        <f t="shared" si="10"/>
        <v>54.31</v>
      </c>
      <c r="V42" s="27">
        <f t="shared" si="10"/>
        <v>179.93486730000004</v>
      </c>
      <c r="W42" s="37">
        <f t="shared" si="10"/>
        <v>353.91</v>
      </c>
      <c r="X42" s="37">
        <f t="shared" si="10"/>
        <v>121.51</v>
      </c>
      <c r="Y42" s="37">
        <f t="shared" si="10"/>
        <v>64.39</v>
      </c>
    </row>
    <row r="43" spans="1:25" ht="16.2" thickBot="1">
      <c r="A43" s="43" t="s">
        <v>567</v>
      </c>
      <c r="B43" s="34">
        <f>SUM(B21,B30,B34,B42)</f>
        <v>6188</v>
      </c>
      <c r="C43" s="52">
        <f t="shared" ref="C43:U43" si="11">SUM(C21,C30,C34,C42)</f>
        <v>6173</v>
      </c>
      <c r="D43" s="52">
        <f t="shared" si="11"/>
        <v>800</v>
      </c>
      <c r="E43" s="52">
        <f t="shared" si="11"/>
        <v>799</v>
      </c>
      <c r="F43" s="34">
        <f t="shared" si="11"/>
        <v>56.959430400000009</v>
      </c>
      <c r="G43" s="52">
        <f t="shared" si="11"/>
        <v>170.88</v>
      </c>
      <c r="H43" s="52">
        <f t="shared" si="11"/>
        <v>0</v>
      </c>
      <c r="I43" s="52">
        <f t="shared" si="11"/>
        <v>0</v>
      </c>
      <c r="J43" s="34">
        <f t="shared" si="11"/>
        <v>581.86751459999994</v>
      </c>
      <c r="K43" s="52">
        <f t="shared" si="11"/>
        <v>1565.26</v>
      </c>
      <c r="L43" s="52">
        <f t="shared" si="11"/>
        <v>13.86</v>
      </c>
      <c r="M43" s="52">
        <f t="shared" si="11"/>
        <v>166.50000000000003</v>
      </c>
      <c r="N43" s="34">
        <f t="shared" si="11"/>
        <v>684.74315250000006</v>
      </c>
      <c r="O43" s="52">
        <f t="shared" si="11"/>
        <v>1162</v>
      </c>
      <c r="P43" s="52">
        <f t="shared" si="11"/>
        <v>892.25</v>
      </c>
      <c r="Q43" s="52">
        <f t="shared" si="11"/>
        <v>0</v>
      </c>
      <c r="R43" s="34">
        <f t="shared" si="11"/>
        <v>1543.6445633999999</v>
      </c>
      <c r="S43" s="34">
        <f t="shared" si="11"/>
        <v>2660.22</v>
      </c>
      <c r="T43" s="34">
        <f t="shared" si="11"/>
        <v>1073.05</v>
      </c>
      <c r="U43" s="34">
        <f t="shared" si="11"/>
        <v>897.71</v>
      </c>
      <c r="V43" s="34">
        <f>SUM(V21,V30,V34,V42)</f>
        <v>2867.2146608999997</v>
      </c>
      <c r="W43" s="34">
        <f t="shared" ref="W43:Y43" si="12">SUM(W21,W30,W34,W42)</f>
        <v>5558.36</v>
      </c>
      <c r="X43" s="34">
        <f t="shared" si="12"/>
        <v>1979.16</v>
      </c>
      <c r="Y43" s="34">
        <f t="shared" si="12"/>
        <v>1064.21</v>
      </c>
    </row>
    <row r="44" spans="1:25" ht="15" thickTop="1">
      <c r="A44" s="44" t="s">
        <v>568</v>
      </c>
      <c r="B44" s="28"/>
      <c r="C44" s="20"/>
      <c r="D44" s="20"/>
      <c r="E44" s="20"/>
      <c r="F44" s="28"/>
      <c r="G44" s="20"/>
      <c r="H44" s="20"/>
      <c r="I44" s="20"/>
      <c r="J44" s="28"/>
      <c r="K44" s="20"/>
      <c r="L44" s="20"/>
      <c r="M44" s="20"/>
      <c r="N44" s="28"/>
      <c r="O44" s="20"/>
      <c r="P44" s="20"/>
      <c r="Q44" s="20"/>
      <c r="R44" s="28"/>
      <c r="S44" s="20"/>
      <c r="T44" s="20"/>
      <c r="U44" s="20"/>
      <c r="V44" s="28"/>
      <c r="W44" s="20"/>
      <c r="X44" s="20"/>
      <c r="Y44" s="20"/>
    </row>
    <row r="45" spans="1:25">
      <c r="A45" s="40" t="s">
        <v>23</v>
      </c>
      <c r="B45" s="65">
        <v>0</v>
      </c>
      <c r="C45" s="54">
        <v>0</v>
      </c>
      <c r="D45" s="89">
        <v>0</v>
      </c>
      <c r="E45" s="86">
        <v>0</v>
      </c>
      <c r="F45" s="72">
        <v>0</v>
      </c>
      <c r="G45" s="54">
        <v>0</v>
      </c>
      <c r="H45" s="89">
        <v>0</v>
      </c>
      <c r="I45" s="86">
        <v>0</v>
      </c>
      <c r="J45" s="72">
        <v>0</v>
      </c>
      <c r="K45" s="54">
        <v>0</v>
      </c>
      <c r="L45" s="89">
        <v>0</v>
      </c>
      <c r="M45" s="86">
        <v>0</v>
      </c>
      <c r="N45" s="72">
        <v>0</v>
      </c>
      <c r="O45" s="54">
        <v>0</v>
      </c>
      <c r="P45" s="89">
        <v>0</v>
      </c>
      <c r="Q45" s="86">
        <v>0</v>
      </c>
      <c r="R45" s="72">
        <v>425.80574189999999</v>
      </c>
      <c r="S45" s="32">
        <v>742.64</v>
      </c>
      <c r="T45" s="84">
        <v>0</v>
      </c>
      <c r="U45" s="80">
        <v>534.79</v>
      </c>
      <c r="V45" s="65">
        <v>425.80574189999999</v>
      </c>
      <c r="W45" s="32">
        <f t="shared" ref="W45:Y46" si="13">SUM(G45,K45,O45,S45)</f>
        <v>742.64</v>
      </c>
      <c r="X45" s="84">
        <f t="shared" si="13"/>
        <v>0</v>
      </c>
      <c r="Y45" s="80">
        <f t="shared" si="13"/>
        <v>534.79</v>
      </c>
    </row>
    <row r="46" spans="1:25">
      <c r="A46" s="42" t="s">
        <v>7</v>
      </c>
      <c r="B46" s="64">
        <v>0</v>
      </c>
      <c r="C46" s="59">
        <v>0</v>
      </c>
      <c r="D46" s="91">
        <v>0</v>
      </c>
      <c r="E46" s="88">
        <v>0</v>
      </c>
      <c r="F46" s="73">
        <v>0</v>
      </c>
      <c r="G46" s="59">
        <v>0</v>
      </c>
      <c r="H46" s="91">
        <v>0</v>
      </c>
      <c r="I46" s="88">
        <v>0</v>
      </c>
      <c r="J46" s="73">
        <v>0</v>
      </c>
      <c r="K46" s="59">
        <v>0</v>
      </c>
      <c r="L46" s="91">
        <v>0</v>
      </c>
      <c r="M46" s="88">
        <v>0</v>
      </c>
      <c r="N46" s="73">
        <v>0</v>
      </c>
      <c r="O46" s="59">
        <v>0</v>
      </c>
      <c r="P46" s="91">
        <v>0</v>
      </c>
      <c r="Q46" s="88">
        <v>0</v>
      </c>
      <c r="R46" s="73">
        <v>0</v>
      </c>
      <c r="S46" s="35">
        <v>0</v>
      </c>
      <c r="T46" s="85">
        <v>0</v>
      </c>
      <c r="U46" s="81">
        <v>0</v>
      </c>
      <c r="V46" s="64">
        <v>0</v>
      </c>
      <c r="W46" s="35">
        <f t="shared" si="13"/>
        <v>0</v>
      </c>
      <c r="X46" s="85">
        <f t="shared" si="13"/>
        <v>0</v>
      </c>
      <c r="Y46" s="81">
        <f t="shared" si="13"/>
        <v>0</v>
      </c>
    </row>
    <row r="47" spans="1:25">
      <c r="A47" s="45" t="s">
        <v>569</v>
      </c>
      <c r="B47" s="49">
        <f t="shared" ref="B47:Y47" si="14">SUM(B45:B46)</f>
        <v>0</v>
      </c>
      <c r="C47" s="60">
        <f t="shared" si="14"/>
        <v>0</v>
      </c>
      <c r="D47" s="60">
        <f t="shared" si="14"/>
        <v>0</v>
      </c>
      <c r="E47" s="60">
        <f t="shared" si="14"/>
        <v>0</v>
      </c>
      <c r="F47" s="27">
        <f t="shared" si="14"/>
        <v>0</v>
      </c>
      <c r="G47" s="60">
        <f t="shared" si="14"/>
        <v>0</v>
      </c>
      <c r="H47" s="60">
        <f t="shared" si="14"/>
        <v>0</v>
      </c>
      <c r="I47" s="60">
        <f t="shared" si="14"/>
        <v>0</v>
      </c>
      <c r="J47" s="27">
        <f t="shared" si="14"/>
        <v>0</v>
      </c>
      <c r="K47" s="60">
        <f t="shared" si="14"/>
        <v>0</v>
      </c>
      <c r="L47" s="60">
        <f t="shared" si="14"/>
        <v>0</v>
      </c>
      <c r="M47" s="60">
        <f t="shared" si="14"/>
        <v>0</v>
      </c>
      <c r="N47" s="27">
        <f t="shared" si="14"/>
        <v>0</v>
      </c>
      <c r="O47" s="60">
        <f t="shared" si="14"/>
        <v>0</v>
      </c>
      <c r="P47" s="60">
        <f t="shared" si="14"/>
        <v>0</v>
      </c>
      <c r="Q47" s="60">
        <f t="shared" si="14"/>
        <v>0</v>
      </c>
      <c r="R47" s="27">
        <f t="shared" si="14"/>
        <v>425.80574189999999</v>
      </c>
      <c r="S47" s="36">
        <f t="shared" si="14"/>
        <v>742.64</v>
      </c>
      <c r="T47" s="36">
        <f t="shared" si="14"/>
        <v>0</v>
      </c>
      <c r="U47" s="36">
        <f t="shared" si="14"/>
        <v>534.79</v>
      </c>
      <c r="V47" s="49">
        <f t="shared" si="14"/>
        <v>425.80574189999999</v>
      </c>
      <c r="W47" s="36">
        <f t="shared" si="14"/>
        <v>742.64</v>
      </c>
      <c r="X47" s="36">
        <f t="shared" si="14"/>
        <v>0</v>
      </c>
      <c r="Y47" s="36">
        <f t="shared" si="14"/>
        <v>534.79</v>
      </c>
    </row>
    <row r="48" spans="1:25" ht="16.2" thickBot="1">
      <c r="A48" s="43" t="s">
        <v>570</v>
      </c>
      <c r="B48" s="34">
        <f>SUM(B12,B43,B47)</f>
        <v>0</v>
      </c>
      <c r="C48" s="52">
        <f t="shared" ref="C48:U48" si="15">SUM(C12,C43,C47)</f>
        <v>0</v>
      </c>
      <c r="D48" s="52">
        <f t="shared" si="15"/>
        <v>0</v>
      </c>
      <c r="E48" s="52">
        <f t="shared" si="15"/>
        <v>0</v>
      </c>
      <c r="F48" s="34">
        <f t="shared" si="15"/>
        <v>-1238.3609496000001</v>
      </c>
      <c r="G48" s="52">
        <f t="shared" si="15"/>
        <v>-2915.12</v>
      </c>
      <c r="H48" s="52">
        <f t="shared" si="15"/>
        <v>-400</v>
      </c>
      <c r="I48" s="52">
        <f t="shared" si="15"/>
        <v>-400</v>
      </c>
      <c r="J48" s="34">
        <f t="shared" si="15"/>
        <v>581.86751459999994</v>
      </c>
      <c r="K48" s="52">
        <f t="shared" si="15"/>
        <v>1565.26</v>
      </c>
      <c r="L48" s="52">
        <f t="shared" si="15"/>
        <v>13.86</v>
      </c>
      <c r="M48" s="52">
        <f t="shared" si="15"/>
        <v>166.50000000000003</v>
      </c>
      <c r="N48" s="34">
        <f t="shared" si="15"/>
        <v>-610.57722750000005</v>
      </c>
      <c r="O48" s="52">
        <f t="shared" si="15"/>
        <v>-1925</v>
      </c>
      <c r="P48" s="52">
        <f t="shared" si="15"/>
        <v>492.25</v>
      </c>
      <c r="Q48" s="52">
        <f t="shared" si="15"/>
        <v>-399</v>
      </c>
      <c r="R48" s="34">
        <f t="shared" si="15"/>
        <v>1533.7346624999998</v>
      </c>
      <c r="S48" s="34">
        <f t="shared" si="15"/>
        <v>3274.8599999999997</v>
      </c>
      <c r="T48" s="34">
        <f t="shared" si="15"/>
        <v>-106.11000000000013</v>
      </c>
      <c r="U48" s="34">
        <f t="shared" si="15"/>
        <v>1432.5</v>
      </c>
      <c r="V48" s="34">
        <f>SUM(V12,V43,V47)</f>
        <v>266.66399999999959</v>
      </c>
      <c r="W48" s="34">
        <f t="shared" ref="W48:Y48" si="16">SUM(W12,W43,W47)</f>
        <v>0</v>
      </c>
      <c r="X48" s="34">
        <f t="shared" si="16"/>
        <v>0</v>
      </c>
      <c r="Y48" s="34">
        <f t="shared" si="16"/>
        <v>800</v>
      </c>
    </row>
    <row r="49" spans="1:25" ht="15" thickTop="1">
      <c r="A49" s="29"/>
      <c r="B49" s="19"/>
      <c r="C49" s="48"/>
      <c r="D49" s="48"/>
      <c r="E49" s="48"/>
      <c r="F49" s="19"/>
      <c r="G49" s="48"/>
      <c r="H49" s="48"/>
      <c r="I49" s="48"/>
      <c r="J49" s="19"/>
      <c r="K49" s="48"/>
      <c r="L49" s="48"/>
      <c r="M49" s="48"/>
      <c r="N49" s="19"/>
      <c r="O49" s="48"/>
      <c r="P49" s="48"/>
      <c r="Q49" s="48"/>
      <c r="R49" s="19"/>
      <c r="S49" s="48"/>
      <c r="T49" s="48"/>
      <c r="U49" s="48"/>
      <c r="V49" s="19"/>
      <c r="W49" s="48"/>
      <c r="X49" s="48"/>
      <c r="Y49" s="48"/>
    </row>
  </sheetData>
  <conditionalFormatting sqref="B15:C21 B23:C30 B32:C34 B36:C43 V36:W43 V32:W34 V23:W30 V15:W21 R36:S43 R32:S34 R23:S30 R15:S21 N36:O43 N32:O34 N23:O30 N15:O21 J36:K43 J32:K34 J23:K30 J15:K21 F36:G43 F32:G34 F23:G30 F15:G21">
    <cfRule type="cellIs" dxfId="233" priority="13" operator="lessThan">
      <formula>-0.01</formula>
    </cfRule>
  </conditionalFormatting>
  <conditionalFormatting sqref="Y15:Y21 Y23:Y30 Y32:Y34 Y36:Y43">
    <cfRule type="cellIs" dxfId="232" priority="12" operator="lessThan">
      <formula>-0.01</formula>
    </cfRule>
  </conditionalFormatting>
  <conditionalFormatting sqref="X15:X21 X23:X30 X32:X34 X36:X43">
    <cfRule type="cellIs" dxfId="231" priority="11" operator="lessThan">
      <formula>-0.01</formula>
    </cfRule>
  </conditionalFormatting>
  <conditionalFormatting sqref="U15:U21 U23:U30 U32:U34 U36:U43">
    <cfRule type="cellIs" dxfId="230" priority="10" operator="lessThan">
      <formula>-0.01</formula>
    </cfRule>
  </conditionalFormatting>
  <conditionalFormatting sqref="T15:T21 T23:T30 T32:T34 T36:T43">
    <cfRule type="cellIs" dxfId="229" priority="9" operator="lessThan">
      <formula>-0.01</formula>
    </cfRule>
  </conditionalFormatting>
  <conditionalFormatting sqref="Q15:Q21 Q23:Q30 Q32:Q34 Q36:Q43">
    <cfRule type="cellIs" dxfId="228" priority="8" operator="lessThan">
      <formula>-0.01</formula>
    </cfRule>
  </conditionalFormatting>
  <conditionalFormatting sqref="P15:P21 P23:P30 P32:P34 P36:P43">
    <cfRule type="cellIs" dxfId="227" priority="7" operator="lessThan">
      <formula>-0.01</formula>
    </cfRule>
  </conditionalFormatting>
  <conditionalFormatting sqref="M15:M21 M23:M30 M32:M34 M36:M43">
    <cfRule type="cellIs" dxfId="226" priority="6" operator="lessThan">
      <formula>-0.01</formula>
    </cfRule>
  </conditionalFormatting>
  <conditionalFormatting sqref="L15:L21 L23:L30 L32:L34 L36:L43">
    <cfRule type="cellIs" dxfId="225" priority="5" operator="lessThan">
      <formula>-0.01</formula>
    </cfRule>
  </conditionalFormatting>
  <conditionalFormatting sqref="I15:I21 I23:I30 I32:I34 I36:I43">
    <cfRule type="cellIs" dxfId="224" priority="4" operator="lessThan">
      <formula>-0.01</formula>
    </cfRule>
  </conditionalFormatting>
  <conditionalFormatting sqref="H15:H21 H23:H30 H32:H34 H36:H43">
    <cfRule type="cellIs" dxfId="223" priority="3" operator="lessThan">
      <formula>-0.01</formula>
    </cfRule>
  </conditionalFormatting>
  <conditionalFormatting sqref="E15:E21 E23:E30 E32:E34 E36:E43">
    <cfRule type="cellIs" dxfId="222" priority="2" operator="lessThan">
      <formula>-0.01</formula>
    </cfRule>
  </conditionalFormatting>
  <conditionalFormatting sqref="D15:D21 D23:D30 D32:D34 D36:D43">
    <cfRule type="cellIs" dxfId="221" priority="1" operator="lessThan">
      <formula>-0.01</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F33053-00E4-4909-8A7A-650A2860C1B7}">
  <sheetPr codeName="Sheet4"/>
  <dimension ref="A1:AZ49"/>
  <sheetViews>
    <sheetView showGridLines="0" workbookViewId="0">
      <pane xSplit="1" ySplit="6" topLeftCell="B7" activePane="bottomRight" state="frozen"/>
      <selection pane="topRight" activeCell="B1" sqref="B1"/>
      <selection pane="bottomLeft" activeCell="A7" sqref="A7"/>
      <selection pane="bottomRight"/>
    </sheetView>
  </sheetViews>
  <sheetFormatPr defaultRowHeight="14.4" outlineLevelCol="1"/>
  <cols>
    <col min="1" max="1" width="32.44140625" bestFit="1" customWidth="1"/>
    <col min="2" max="2" width="16.77734375" customWidth="1"/>
    <col min="3" max="5" width="13.44140625" style="57" hidden="1" customWidth="1" outlineLevel="1"/>
    <col min="6" max="6" width="16.77734375" customWidth="1" collapsed="1"/>
    <col min="7" max="9" width="13.44140625" style="57" hidden="1" customWidth="1" outlineLevel="1"/>
    <col min="10" max="10" width="16.77734375" customWidth="1" collapsed="1"/>
    <col min="11" max="13" width="13.44140625" style="57" hidden="1" customWidth="1" outlineLevel="1"/>
    <col min="14" max="14" width="16.77734375" customWidth="1" collapsed="1"/>
    <col min="15" max="17" width="13.44140625" style="57" hidden="1" customWidth="1" outlineLevel="1"/>
    <col min="18" max="18" width="16.77734375" customWidth="1" collapsed="1"/>
    <col min="19" max="21" width="13.44140625" style="57" hidden="1" customWidth="1" outlineLevel="1"/>
    <col min="22" max="22" width="16.77734375" customWidth="1" collapsed="1"/>
    <col min="23" max="25" width="13.44140625" style="57" hidden="1" customWidth="1" outlineLevel="1"/>
    <col min="26" max="26" width="8.88671875" collapsed="1"/>
  </cols>
  <sheetData>
    <row r="1" spans="1:52" ht="15.6">
      <c r="A1" s="68" t="s">
        <v>790</v>
      </c>
      <c r="B1" s="46"/>
      <c r="C1" s="46"/>
      <c r="D1" s="46"/>
      <c r="E1" s="46"/>
      <c r="F1" s="46"/>
      <c r="G1" s="46"/>
      <c r="H1" s="46"/>
      <c r="I1" s="46"/>
      <c r="J1" s="46"/>
      <c r="K1" s="46"/>
      <c r="L1" s="46"/>
      <c r="M1" s="46"/>
      <c r="N1" s="46"/>
      <c r="O1" s="46"/>
      <c r="P1" s="46"/>
      <c r="Q1" s="46"/>
      <c r="R1" s="46"/>
      <c r="V1" s="46"/>
      <c r="W1" s="46"/>
      <c r="X1" s="46"/>
      <c r="Y1" s="46"/>
    </row>
    <row r="2" spans="1:52" ht="15.6">
      <c r="A2" s="69" t="s">
        <v>643</v>
      </c>
      <c r="B2" s="47"/>
      <c r="C2" s="47"/>
      <c r="D2" s="47"/>
      <c r="E2" s="47"/>
      <c r="F2" s="47"/>
      <c r="G2" s="47"/>
      <c r="H2" s="47"/>
      <c r="I2" s="47"/>
      <c r="J2" s="47"/>
      <c r="K2" s="47"/>
      <c r="L2" s="47"/>
      <c r="M2" s="47"/>
      <c r="N2" s="47"/>
      <c r="O2" s="47"/>
      <c r="P2" s="47"/>
      <c r="Q2" s="47"/>
      <c r="R2" s="47"/>
      <c r="V2" s="47"/>
      <c r="W2" s="47"/>
      <c r="X2" s="47"/>
      <c r="Y2" s="47"/>
    </row>
    <row r="3" spans="1:52">
      <c r="A3" s="136"/>
      <c r="B3" s="61" t="s">
        <v>589</v>
      </c>
      <c r="C3" s="50" t="s">
        <v>572</v>
      </c>
      <c r="D3" s="50" t="s">
        <v>572</v>
      </c>
      <c r="E3" s="50" t="s">
        <v>572</v>
      </c>
      <c r="F3" s="61" t="s">
        <v>573</v>
      </c>
      <c r="G3" s="50" t="s">
        <v>573</v>
      </c>
      <c r="H3" s="50" t="s">
        <v>573</v>
      </c>
      <c r="I3" s="50" t="s">
        <v>573</v>
      </c>
      <c r="J3" s="61" t="s">
        <v>575</v>
      </c>
      <c r="K3" s="50" t="s">
        <v>575</v>
      </c>
      <c r="L3" s="50" t="s">
        <v>575</v>
      </c>
      <c r="M3" s="50" t="s">
        <v>575</v>
      </c>
      <c r="N3" s="61" t="s">
        <v>576</v>
      </c>
      <c r="O3" s="50" t="s">
        <v>576</v>
      </c>
      <c r="P3" s="50" t="s">
        <v>576</v>
      </c>
      <c r="Q3" s="50" t="s">
        <v>576</v>
      </c>
      <c r="R3" s="61" t="s">
        <v>577</v>
      </c>
      <c r="S3" s="38" t="s">
        <v>577</v>
      </c>
      <c r="T3" s="38" t="s">
        <v>577</v>
      </c>
      <c r="U3" s="38" t="s">
        <v>577</v>
      </c>
      <c r="V3" s="61" t="s">
        <v>585</v>
      </c>
      <c r="W3" s="38" t="s">
        <v>585</v>
      </c>
      <c r="X3" s="38" t="s">
        <v>585</v>
      </c>
      <c r="Y3" s="38" t="s">
        <v>585</v>
      </c>
      <c r="Z3" s="136"/>
      <c r="AA3" s="136"/>
      <c r="AB3" s="136"/>
      <c r="AC3" s="136"/>
      <c r="AD3" s="136"/>
      <c r="AE3" s="136"/>
      <c r="AF3" s="136"/>
      <c r="AG3" s="136"/>
      <c r="AH3" s="136"/>
      <c r="AI3" s="136"/>
      <c r="AJ3" s="136"/>
      <c r="AK3" s="136"/>
      <c r="AL3" s="136"/>
      <c r="AM3" s="136"/>
      <c r="AN3" s="136"/>
      <c r="AO3" s="136"/>
      <c r="AP3" s="136"/>
      <c r="AQ3" s="136"/>
      <c r="AR3" s="136"/>
      <c r="AS3" s="136"/>
      <c r="AT3" s="136"/>
      <c r="AU3" s="136"/>
      <c r="AV3" s="136"/>
      <c r="AW3" s="136"/>
      <c r="AX3" s="136"/>
      <c r="AY3" s="136"/>
      <c r="AZ3" s="136"/>
    </row>
    <row r="4" spans="1:52">
      <c r="A4" s="16"/>
      <c r="B4" s="31" t="str">
        <f>_xlfn.CONCAT("FY ",rngFY+rngYRS)</f>
        <v>FY 19</v>
      </c>
      <c r="C4" s="51" t="s">
        <v>555</v>
      </c>
      <c r="D4" s="51" t="s">
        <v>555</v>
      </c>
      <c r="E4" s="51" t="s">
        <v>555</v>
      </c>
      <c r="F4" s="31" t="s">
        <v>788</v>
      </c>
      <c r="G4" s="31" t="s">
        <v>789</v>
      </c>
      <c r="H4" s="31" t="s">
        <v>789</v>
      </c>
      <c r="I4" s="31" t="s">
        <v>789</v>
      </c>
      <c r="J4" s="31" t="s">
        <v>788</v>
      </c>
      <c r="K4" s="31" t="s">
        <v>789</v>
      </c>
      <c r="L4" s="31" t="s">
        <v>789</v>
      </c>
      <c r="M4" s="31" t="s">
        <v>789</v>
      </c>
      <c r="N4" s="31" t="s">
        <v>788</v>
      </c>
      <c r="O4" s="31" t="s">
        <v>789</v>
      </c>
      <c r="P4" s="31" t="s">
        <v>789</v>
      </c>
      <c r="Q4" s="31" t="s">
        <v>789</v>
      </c>
      <c r="R4" s="31" t="s">
        <v>788</v>
      </c>
      <c r="S4" s="31" t="s">
        <v>789</v>
      </c>
      <c r="T4" s="31" t="s">
        <v>789</v>
      </c>
      <c r="U4" s="31" t="s">
        <v>789</v>
      </c>
      <c r="V4" s="31" t="s">
        <v>574</v>
      </c>
      <c r="W4" s="31" t="s">
        <v>584</v>
      </c>
      <c r="X4" s="31" t="s">
        <v>584</v>
      </c>
      <c r="Y4" s="31" t="s">
        <v>584</v>
      </c>
    </row>
    <row r="5" spans="1:52">
      <c r="A5" s="17"/>
      <c r="B5" s="31"/>
      <c r="C5" s="51" t="s">
        <v>587</v>
      </c>
      <c r="D5" s="51" t="s">
        <v>586</v>
      </c>
      <c r="E5" s="51" t="s">
        <v>590</v>
      </c>
      <c r="F5" s="31"/>
      <c r="G5" s="51" t="s">
        <v>587</v>
      </c>
      <c r="H5" s="51" t="s">
        <v>586</v>
      </c>
      <c r="I5" s="51" t="s">
        <v>590</v>
      </c>
      <c r="J5" s="31"/>
      <c r="K5" s="51" t="s">
        <v>587</v>
      </c>
      <c r="L5" s="51" t="s">
        <v>586</v>
      </c>
      <c r="M5" s="51" t="s">
        <v>590</v>
      </c>
      <c r="N5" s="31"/>
      <c r="O5" s="51" t="s">
        <v>587</v>
      </c>
      <c r="P5" s="51" t="s">
        <v>586</v>
      </c>
      <c r="Q5" s="51" t="s">
        <v>590</v>
      </c>
      <c r="R5" s="31"/>
      <c r="S5" s="31" t="s">
        <v>587</v>
      </c>
      <c r="T5" s="31" t="s">
        <v>586</v>
      </c>
      <c r="U5" s="31" t="s">
        <v>590</v>
      </c>
      <c r="V5" s="31"/>
      <c r="W5" s="31" t="s">
        <v>587</v>
      </c>
      <c r="X5" s="31" t="s">
        <v>586</v>
      </c>
      <c r="Y5" s="31" t="s">
        <v>590</v>
      </c>
    </row>
    <row r="6" spans="1:52">
      <c r="A6" s="70"/>
      <c r="B6" s="62"/>
      <c r="C6" s="53"/>
      <c r="D6" s="53"/>
      <c r="E6" s="53"/>
      <c r="F6" s="62"/>
      <c r="G6" s="53"/>
      <c r="H6" s="53"/>
      <c r="I6" s="53"/>
      <c r="J6" s="62"/>
      <c r="K6" s="53"/>
      <c r="L6" s="53"/>
      <c r="M6" s="53"/>
      <c r="N6" s="62"/>
      <c r="O6" s="53"/>
      <c r="P6" s="53"/>
      <c r="Q6" s="53"/>
      <c r="R6" s="62"/>
      <c r="S6" s="62"/>
      <c r="T6" s="62"/>
      <c r="U6" s="62"/>
      <c r="V6" s="62"/>
      <c r="W6" s="62"/>
      <c r="X6" s="62"/>
      <c r="Y6" s="62"/>
    </row>
    <row r="7" spans="1:52">
      <c r="A7" s="18" t="s">
        <v>556</v>
      </c>
      <c r="B7" s="63"/>
      <c r="C7" s="58"/>
      <c r="D7" s="58"/>
      <c r="E7" s="58"/>
      <c r="F7" s="63"/>
      <c r="G7" s="58"/>
      <c r="H7" s="58"/>
      <c r="I7" s="58"/>
      <c r="J7" s="63"/>
      <c r="K7" s="58"/>
      <c r="L7" s="58"/>
      <c r="M7" s="58"/>
      <c r="N7" s="63"/>
      <c r="O7" s="58"/>
      <c r="P7" s="58"/>
      <c r="Q7" s="58"/>
      <c r="R7" s="63"/>
      <c r="S7" s="63"/>
      <c r="T7" s="63"/>
      <c r="U7" s="63"/>
      <c r="V7" s="63"/>
      <c r="W7" s="63"/>
      <c r="X7" s="63"/>
      <c r="Y7" s="63"/>
    </row>
    <row r="8" spans="1:52">
      <c r="A8" s="40" t="s">
        <v>557</v>
      </c>
      <c r="B8" s="39">
        <v>-26700</v>
      </c>
      <c r="C8" s="54">
        <v>-26635</v>
      </c>
      <c r="D8" s="89">
        <v>-26635</v>
      </c>
      <c r="E8" s="86">
        <v>-26611</v>
      </c>
      <c r="F8" s="72">
        <v>-9050.7628248000001</v>
      </c>
      <c r="G8" s="54">
        <v>-13317</v>
      </c>
      <c r="H8" s="89">
        <v>-6980.88</v>
      </c>
      <c r="I8" s="86">
        <v>-6854.68</v>
      </c>
      <c r="J8" s="72">
        <v>5288.4804480000003</v>
      </c>
      <c r="K8" s="54">
        <v>0</v>
      </c>
      <c r="L8" s="89">
        <v>9000.2199999999993</v>
      </c>
      <c r="M8" s="86">
        <v>6865.38</v>
      </c>
      <c r="N8" s="72">
        <v>-10599.4106715</v>
      </c>
      <c r="O8" s="54">
        <v>-13318</v>
      </c>
      <c r="P8" s="89">
        <v>-6772.15</v>
      </c>
      <c r="Q8" s="86">
        <v>-11708.4</v>
      </c>
      <c r="R8" s="72">
        <v>1901.7343158000001</v>
      </c>
      <c r="S8" s="22">
        <v>0</v>
      </c>
      <c r="T8" s="82">
        <v>-1795.87</v>
      </c>
      <c r="U8" s="78">
        <v>7501.13</v>
      </c>
      <c r="V8" s="39">
        <v>-12459.958732500001</v>
      </c>
      <c r="W8" s="22">
        <f t="shared" ref="W8:Y11" si="0">SUM(G8,K8,O8,S8)</f>
        <v>-26635</v>
      </c>
      <c r="X8" s="82">
        <f t="shared" si="0"/>
        <v>-6548.68</v>
      </c>
      <c r="Y8" s="78">
        <f t="shared" si="0"/>
        <v>-4196.5700000000006</v>
      </c>
    </row>
    <row r="9" spans="1:52">
      <c r="A9" s="41" t="s">
        <v>558</v>
      </c>
      <c r="B9" s="39">
        <v>0</v>
      </c>
      <c r="C9" s="55">
        <v>0</v>
      </c>
      <c r="D9" s="90">
        <v>0</v>
      </c>
      <c r="E9" s="87">
        <v>0</v>
      </c>
      <c r="F9" s="72">
        <v>0</v>
      </c>
      <c r="G9" s="55">
        <v>0</v>
      </c>
      <c r="H9" s="90">
        <v>0</v>
      </c>
      <c r="I9" s="87">
        <v>0</v>
      </c>
      <c r="J9" s="72">
        <v>0</v>
      </c>
      <c r="K9" s="55">
        <v>0</v>
      </c>
      <c r="L9" s="90">
        <v>0</v>
      </c>
      <c r="M9" s="87">
        <v>0</v>
      </c>
      <c r="N9" s="72">
        <v>0</v>
      </c>
      <c r="O9" s="55">
        <v>0</v>
      </c>
      <c r="P9" s="90">
        <v>0</v>
      </c>
      <c r="Q9" s="87">
        <v>0</v>
      </c>
      <c r="R9" s="72">
        <v>0</v>
      </c>
      <c r="S9" s="33">
        <v>0</v>
      </c>
      <c r="T9" s="83">
        <v>0</v>
      </c>
      <c r="U9" s="79">
        <v>0</v>
      </c>
      <c r="V9" s="39">
        <v>0</v>
      </c>
      <c r="W9" s="33">
        <f t="shared" si="0"/>
        <v>0</v>
      </c>
      <c r="X9" s="83">
        <f t="shared" si="0"/>
        <v>0</v>
      </c>
      <c r="Y9" s="79">
        <f t="shared" si="0"/>
        <v>0</v>
      </c>
    </row>
    <row r="10" spans="1:52">
      <c r="A10" s="41" t="s">
        <v>212</v>
      </c>
      <c r="B10" s="39">
        <v>0</v>
      </c>
      <c r="C10" s="55">
        <v>0</v>
      </c>
      <c r="D10" s="90">
        <v>0</v>
      </c>
      <c r="E10" s="87">
        <v>0</v>
      </c>
      <c r="F10" s="72">
        <v>0</v>
      </c>
      <c r="G10" s="55">
        <v>0</v>
      </c>
      <c r="H10" s="90">
        <v>0</v>
      </c>
      <c r="I10" s="87">
        <v>0</v>
      </c>
      <c r="J10" s="72">
        <v>0</v>
      </c>
      <c r="K10" s="55">
        <v>0</v>
      </c>
      <c r="L10" s="90">
        <v>0</v>
      </c>
      <c r="M10" s="87">
        <v>0</v>
      </c>
      <c r="N10" s="72">
        <v>0</v>
      </c>
      <c r="O10" s="55">
        <v>0</v>
      </c>
      <c r="P10" s="90">
        <v>0</v>
      </c>
      <c r="Q10" s="87">
        <v>0</v>
      </c>
      <c r="R10" s="72">
        <v>0</v>
      </c>
      <c r="S10" s="33">
        <v>0</v>
      </c>
      <c r="T10" s="83">
        <v>0</v>
      </c>
      <c r="U10" s="79">
        <v>0</v>
      </c>
      <c r="V10" s="39">
        <v>0</v>
      </c>
      <c r="W10" s="33">
        <f t="shared" si="0"/>
        <v>0</v>
      </c>
      <c r="X10" s="83">
        <f t="shared" si="0"/>
        <v>0</v>
      </c>
      <c r="Y10" s="79">
        <f t="shared" si="0"/>
        <v>0</v>
      </c>
    </row>
    <row r="11" spans="1:52">
      <c r="A11" s="42" t="s">
        <v>210</v>
      </c>
      <c r="B11" s="64">
        <v>0</v>
      </c>
      <c r="C11" s="55">
        <v>0</v>
      </c>
      <c r="D11" s="90">
        <v>0</v>
      </c>
      <c r="E11" s="87">
        <v>0</v>
      </c>
      <c r="F11" s="73">
        <v>0</v>
      </c>
      <c r="G11" s="55">
        <v>0</v>
      </c>
      <c r="H11" s="90">
        <v>0</v>
      </c>
      <c r="I11" s="87">
        <v>0</v>
      </c>
      <c r="J11" s="73">
        <v>0</v>
      </c>
      <c r="K11" s="55">
        <v>0</v>
      </c>
      <c r="L11" s="90">
        <v>0</v>
      </c>
      <c r="M11" s="87">
        <v>0</v>
      </c>
      <c r="N11" s="73">
        <v>0</v>
      </c>
      <c r="O11" s="55">
        <v>0</v>
      </c>
      <c r="P11" s="90">
        <v>0</v>
      </c>
      <c r="Q11" s="87">
        <v>0</v>
      </c>
      <c r="R11" s="73">
        <v>-6937.7072889000001</v>
      </c>
      <c r="S11" s="33">
        <v>-11106.09</v>
      </c>
      <c r="T11" s="83">
        <v>-6617.62</v>
      </c>
      <c r="U11" s="79">
        <v>-3089.62</v>
      </c>
      <c r="V11" s="64">
        <v>-6937.7072889000001</v>
      </c>
      <c r="W11" s="33">
        <f t="shared" si="0"/>
        <v>-11106.09</v>
      </c>
      <c r="X11" s="83">
        <f t="shared" si="0"/>
        <v>-6617.62</v>
      </c>
      <c r="Y11" s="79">
        <f t="shared" si="0"/>
        <v>-3089.62</v>
      </c>
    </row>
    <row r="12" spans="1:52" ht="16.2" thickBot="1">
      <c r="A12" s="43" t="s">
        <v>559</v>
      </c>
      <c r="B12" s="34">
        <f>SUM(B8:B11)</f>
        <v>-26700</v>
      </c>
      <c r="C12" s="52">
        <f t="shared" ref="C12:U12" si="1">SUM(C8:C11)</f>
        <v>-26635</v>
      </c>
      <c r="D12" s="52">
        <f t="shared" si="1"/>
        <v>-26635</v>
      </c>
      <c r="E12" s="52">
        <f t="shared" si="1"/>
        <v>-26611</v>
      </c>
      <c r="F12" s="34">
        <f t="shared" si="1"/>
        <v>-9050.7628248000001</v>
      </c>
      <c r="G12" s="52">
        <f t="shared" si="1"/>
        <v>-13317</v>
      </c>
      <c r="H12" s="52">
        <f t="shared" si="1"/>
        <v>-6980.88</v>
      </c>
      <c r="I12" s="52">
        <f t="shared" si="1"/>
        <v>-6854.68</v>
      </c>
      <c r="J12" s="34">
        <f t="shared" si="1"/>
        <v>5288.4804480000003</v>
      </c>
      <c r="K12" s="52">
        <f t="shared" si="1"/>
        <v>0</v>
      </c>
      <c r="L12" s="52">
        <f t="shared" si="1"/>
        <v>9000.2199999999993</v>
      </c>
      <c r="M12" s="52">
        <f t="shared" si="1"/>
        <v>6865.38</v>
      </c>
      <c r="N12" s="34">
        <f t="shared" si="1"/>
        <v>-10599.4106715</v>
      </c>
      <c r="O12" s="52">
        <f t="shared" si="1"/>
        <v>-13318</v>
      </c>
      <c r="P12" s="52">
        <f t="shared" si="1"/>
        <v>-6772.15</v>
      </c>
      <c r="Q12" s="52">
        <f t="shared" si="1"/>
        <v>-11708.4</v>
      </c>
      <c r="R12" s="34">
        <f t="shared" si="1"/>
        <v>-5035.9729730999998</v>
      </c>
      <c r="S12" s="34">
        <f t="shared" si="1"/>
        <v>-11106.09</v>
      </c>
      <c r="T12" s="34">
        <f t="shared" si="1"/>
        <v>-8413.49</v>
      </c>
      <c r="U12" s="34">
        <f t="shared" si="1"/>
        <v>4411.51</v>
      </c>
      <c r="V12" s="34">
        <f>SUM(V8:V11)</f>
        <v>-19397.6660214</v>
      </c>
      <c r="W12" s="34">
        <f t="shared" ref="W12:Y12" si="2">SUM(W8:W11)</f>
        <v>-37741.089999999997</v>
      </c>
      <c r="X12" s="34">
        <f t="shared" si="2"/>
        <v>-13166.3</v>
      </c>
      <c r="Y12" s="34">
        <f t="shared" si="2"/>
        <v>-7286.1900000000005</v>
      </c>
    </row>
    <row r="13" spans="1:52" ht="15" thickTop="1">
      <c r="A13" s="67"/>
      <c r="B13" s="67"/>
      <c r="C13" s="67"/>
      <c r="D13" s="67"/>
      <c r="E13" s="67"/>
      <c r="F13" s="67"/>
      <c r="G13" s="67"/>
      <c r="H13" s="67"/>
      <c r="I13" s="67"/>
      <c r="J13" s="67"/>
      <c r="K13" s="67"/>
      <c r="L13" s="67"/>
      <c r="M13" s="67"/>
      <c r="N13" s="67"/>
      <c r="O13" s="67"/>
      <c r="P13" s="67"/>
      <c r="Q13" s="67"/>
      <c r="R13" s="67"/>
      <c r="S13" s="67"/>
      <c r="T13" s="67"/>
      <c r="U13" s="67"/>
      <c r="V13" s="67"/>
      <c r="W13" s="67"/>
      <c r="X13" s="67"/>
      <c r="Y13" s="67"/>
    </row>
    <row r="14" spans="1:52">
      <c r="A14" s="18" t="s">
        <v>560</v>
      </c>
      <c r="B14" s="20"/>
      <c r="C14" s="20"/>
      <c r="D14" s="20"/>
      <c r="E14" s="20"/>
      <c r="F14" s="20"/>
      <c r="G14" s="20"/>
      <c r="H14" s="20"/>
      <c r="I14" s="20"/>
      <c r="J14" s="20"/>
      <c r="K14" s="20"/>
      <c r="L14" s="20"/>
      <c r="M14" s="20"/>
      <c r="N14" s="20"/>
      <c r="O14" s="20"/>
      <c r="P14" s="20"/>
      <c r="Q14" s="20"/>
      <c r="R14" s="20"/>
      <c r="S14" s="20"/>
      <c r="T14" s="20"/>
      <c r="U14" s="20"/>
      <c r="V14" s="20"/>
      <c r="W14" s="20"/>
      <c r="X14" s="20"/>
      <c r="Y14" s="20"/>
    </row>
    <row r="15" spans="1:52">
      <c r="A15" s="40" t="s">
        <v>188</v>
      </c>
      <c r="B15" s="65">
        <v>0</v>
      </c>
      <c r="C15" s="54">
        <v>0</v>
      </c>
      <c r="D15" s="89">
        <v>0</v>
      </c>
      <c r="E15" s="86">
        <v>0</v>
      </c>
      <c r="F15" s="72">
        <v>0</v>
      </c>
      <c r="G15" s="54">
        <v>0</v>
      </c>
      <c r="H15" s="89">
        <v>0</v>
      </c>
      <c r="I15" s="86">
        <v>0</v>
      </c>
      <c r="J15" s="72">
        <v>0</v>
      </c>
      <c r="K15" s="54">
        <v>0</v>
      </c>
      <c r="L15" s="89">
        <v>0</v>
      </c>
      <c r="M15" s="86">
        <v>0</v>
      </c>
      <c r="N15" s="72">
        <v>0</v>
      </c>
      <c r="O15" s="54">
        <v>0</v>
      </c>
      <c r="P15" s="89">
        <v>0</v>
      </c>
      <c r="Q15" s="86">
        <v>0</v>
      </c>
      <c r="R15" s="72">
        <v>0</v>
      </c>
      <c r="S15" s="32">
        <v>0</v>
      </c>
      <c r="T15" s="84">
        <v>0</v>
      </c>
      <c r="U15" s="80">
        <v>0</v>
      </c>
      <c r="V15" s="65">
        <v>0</v>
      </c>
      <c r="W15" s="32">
        <f t="shared" ref="W15:Y20" si="3">SUM(G15,K15,O15,S15)</f>
        <v>0</v>
      </c>
      <c r="X15" s="84">
        <f t="shared" si="3"/>
        <v>0</v>
      </c>
      <c r="Y15" s="80">
        <f t="shared" si="3"/>
        <v>0</v>
      </c>
    </row>
    <row r="16" spans="1:52">
      <c r="A16" s="41" t="s">
        <v>181</v>
      </c>
      <c r="B16" s="39">
        <v>0</v>
      </c>
      <c r="C16" s="54">
        <v>0</v>
      </c>
      <c r="D16" s="89">
        <v>0</v>
      </c>
      <c r="E16" s="86">
        <v>0</v>
      </c>
      <c r="F16" s="72">
        <v>0</v>
      </c>
      <c r="G16" s="54">
        <v>0</v>
      </c>
      <c r="H16" s="89">
        <v>0</v>
      </c>
      <c r="I16" s="86">
        <v>0</v>
      </c>
      <c r="J16" s="72">
        <v>0</v>
      </c>
      <c r="K16" s="54">
        <v>0</v>
      </c>
      <c r="L16" s="89">
        <v>0</v>
      </c>
      <c r="M16" s="86">
        <v>0</v>
      </c>
      <c r="N16" s="72">
        <v>0</v>
      </c>
      <c r="O16" s="54">
        <v>0</v>
      </c>
      <c r="P16" s="89">
        <v>0</v>
      </c>
      <c r="Q16" s="86">
        <v>0</v>
      </c>
      <c r="R16" s="72">
        <v>0</v>
      </c>
      <c r="S16" s="22">
        <v>0</v>
      </c>
      <c r="T16" s="82">
        <v>0</v>
      </c>
      <c r="U16" s="78">
        <v>0</v>
      </c>
      <c r="V16" s="39">
        <v>0</v>
      </c>
      <c r="W16" s="22">
        <f t="shared" si="3"/>
        <v>0</v>
      </c>
      <c r="X16" s="82">
        <f t="shared" si="3"/>
        <v>0</v>
      </c>
      <c r="Y16" s="78">
        <f t="shared" si="3"/>
        <v>0</v>
      </c>
    </row>
    <row r="17" spans="1:25">
      <c r="A17" s="92" t="s">
        <v>174</v>
      </c>
      <c r="B17" s="93">
        <v>0</v>
      </c>
      <c r="C17" s="94">
        <v>0</v>
      </c>
      <c r="D17" s="100">
        <v>0</v>
      </c>
      <c r="E17" s="99">
        <v>0</v>
      </c>
      <c r="F17" s="95">
        <v>-21.333120000000001</v>
      </c>
      <c r="G17" s="94">
        <v>0</v>
      </c>
      <c r="H17" s="100">
        <v>-64</v>
      </c>
      <c r="I17" s="99">
        <v>0</v>
      </c>
      <c r="J17" s="95">
        <v>0</v>
      </c>
      <c r="K17" s="94">
        <v>0</v>
      </c>
      <c r="L17" s="100">
        <v>0</v>
      </c>
      <c r="M17" s="99">
        <v>0</v>
      </c>
      <c r="N17" s="95">
        <v>0</v>
      </c>
      <c r="O17" s="94">
        <v>0</v>
      </c>
      <c r="P17" s="100">
        <v>0</v>
      </c>
      <c r="Q17" s="99">
        <v>0</v>
      </c>
      <c r="R17" s="95">
        <v>170.66496000000001</v>
      </c>
      <c r="S17" s="96">
        <v>0</v>
      </c>
      <c r="T17" s="98">
        <v>0</v>
      </c>
      <c r="U17" s="97">
        <v>512</v>
      </c>
      <c r="V17" s="93">
        <v>149.33184</v>
      </c>
      <c r="W17" s="96">
        <f t="shared" si="3"/>
        <v>0</v>
      </c>
      <c r="X17" s="98">
        <f t="shared" si="3"/>
        <v>-64</v>
      </c>
      <c r="Y17" s="97">
        <f t="shared" si="3"/>
        <v>512</v>
      </c>
    </row>
    <row r="18" spans="1:25">
      <c r="A18" s="41" t="s">
        <v>146</v>
      </c>
      <c r="B18" s="39">
        <v>0</v>
      </c>
      <c r="C18" s="54">
        <v>0</v>
      </c>
      <c r="D18" s="89">
        <v>0</v>
      </c>
      <c r="E18" s="86">
        <v>0</v>
      </c>
      <c r="F18" s="72">
        <v>0</v>
      </c>
      <c r="G18" s="54">
        <v>0</v>
      </c>
      <c r="H18" s="89">
        <v>0</v>
      </c>
      <c r="I18" s="86">
        <v>0</v>
      </c>
      <c r="J18" s="72">
        <v>0</v>
      </c>
      <c r="K18" s="54">
        <v>0</v>
      </c>
      <c r="L18" s="89">
        <v>0</v>
      </c>
      <c r="M18" s="86">
        <v>0</v>
      </c>
      <c r="N18" s="72">
        <v>0</v>
      </c>
      <c r="O18" s="54">
        <v>0</v>
      </c>
      <c r="P18" s="89">
        <v>0</v>
      </c>
      <c r="Q18" s="86">
        <v>0</v>
      </c>
      <c r="R18" s="72">
        <v>0</v>
      </c>
      <c r="S18" s="22">
        <v>0</v>
      </c>
      <c r="T18" s="82">
        <v>0</v>
      </c>
      <c r="U18" s="78">
        <v>0</v>
      </c>
      <c r="V18" s="39">
        <v>0</v>
      </c>
      <c r="W18" s="22">
        <f t="shared" si="3"/>
        <v>0</v>
      </c>
      <c r="X18" s="82">
        <f t="shared" si="3"/>
        <v>0</v>
      </c>
      <c r="Y18" s="78">
        <f t="shared" si="3"/>
        <v>0</v>
      </c>
    </row>
    <row r="19" spans="1:25">
      <c r="A19" s="41" t="s">
        <v>139</v>
      </c>
      <c r="B19" s="39">
        <v>0</v>
      </c>
      <c r="C19" s="54">
        <v>0</v>
      </c>
      <c r="D19" s="89">
        <v>0</v>
      </c>
      <c r="E19" s="86">
        <v>0</v>
      </c>
      <c r="F19" s="72">
        <v>0</v>
      </c>
      <c r="G19" s="54">
        <v>0</v>
      </c>
      <c r="H19" s="89">
        <v>0</v>
      </c>
      <c r="I19" s="86">
        <v>0</v>
      </c>
      <c r="J19" s="72">
        <v>0</v>
      </c>
      <c r="K19" s="54">
        <v>0</v>
      </c>
      <c r="L19" s="89">
        <v>0</v>
      </c>
      <c r="M19" s="86">
        <v>0</v>
      </c>
      <c r="N19" s="72">
        <v>0</v>
      </c>
      <c r="O19" s="54">
        <v>0</v>
      </c>
      <c r="P19" s="89">
        <v>0</v>
      </c>
      <c r="Q19" s="86">
        <v>0</v>
      </c>
      <c r="R19" s="72">
        <v>0</v>
      </c>
      <c r="S19" s="22">
        <v>0</v>
      </c>
      <c r="T19" s="82">
        <v>0</v>
      </c>
      <c r="U19" s="78">
        <v>0</v>
      </c>
      <c r="V19" s="39">
        <v>0</v>
      </c>
      <c r="W19" s="22">
        <f t="shared" si="3"/>
        <v>0</v>
      </c>
      <c r="X19" s="82">
        <f t="shared" si="3"/>
        <v>0</v>
      </c>
      <c r="Y19" s="78">
        <f t="shared" si="3"/>
        <v>0</v>
      </c>
    </row>
    <row r="20" spans="1:25">
      <c r="A20" s="42" t="s">
        <v>129</v>
      </c>
      <c r="B20" s="64">
        <v>0</v>
      </c>
      <c r="C20" s="59">
        <v>0</v>
      </c>
      <c r="D20" s="91">
        <v>0</v>
      </c>
      <c r="E20" s="88">
        <v>0</v>
      </c>
      <c r="F20" s="73">
        <v>-0.23666429999999999</v>
      </c>
      <c r="G20" s="59">
        <v>0</v>
      </c>
      <c r="H20" s="91">
        <v>-0.71</v>
      </c>
      <c r="I20" s="88">
        <v>0</v>
      </c>
      <c r="J20" s="73">
        <v>0</v>
      </c>
      <c r="K20" s="59">
        <v>0</v>
      </c>
      <c r="L20" s="91">
        <v>0</v>
      </c>
      <c r="M20" s="88">
        <v>0</v>
      </c>
      <c r="N20" s="73">
        <v>0</v>
      </c>
      <c r="O20" s="59">
        <v>0</v>
      </c>
      <c r="P20" s="91">
        <v>0</v>
      </c>
      <c r="Q20" s="88">
        <v>0</v>
      </c>
      <c r="R20" s="73">
        <v>1.8799812</v>
      </c>
      <c r="S20" s="35">
        <v>0</v>
      </c>
      <c r="T20" s="85">
        <v>0</v>
      </c>
      <c r="U20" s="81">
        <v>5.64</v>
      </c>
      <c r="V20" s="64">
        <v>1.6433169000000001</v>
      </c>
      <c r="W20" s="35">
        <f t="shared" si="3"/>
        <v>0</v>
      </c>
      <c r="X20" s="85">
        <f t="shared" si="3"/>
        <v>-0.71</v>
      </c>
      <c r="Y20" s="81">
        <f t="shared" si="3"/>
        <v>5.64</v>
      </c>
    </row>
    <row r="21" spans="1:25">
      <c r="A21" s="23" t="s">
        <v>561</v>
      </c>
      <c r="B21" s="27">
        <f t="shared" ref="B21:Y21" si="4">SUM(B15:B20)</f>
        <v>0</v>
      </c>
      <c r="C21" s="60">
        <f t="shared" si="4"/>
        <v>0</v>
      </c>
      <c r="D21" s="60">
        <f t="shared" si="4"/>
        <v>0</v>
      </c>
      <c r="E21" s="60">
        <f t="shared" si="4"/>
        <v>0</v>
      </c>
      <c r="F21" s="27">
        <f t="shared" si="4"/>
        <v>-21.569784300000002</v>
      </c>
      <c r="G21" s="56">
        <f t="shared" si="4"/>
        <v>0</v>
      </c>
      <c r="H21" s="56">
        <f t="shared" si="4"/>
        <v>-64.709999999999994</v>
      </c>
      <c r="I21" s="56">
        <f t="shared" si="4"/>
        <v>0</v>
      </c>
      <c r="J21" s="27">
        <f t="shared" si="4"/>
        <v>0</v>
      </c>
      <c r="K21" s="60">
        <f t="shared" si="4"/>
        <v>0</v>
      </c>
      <c r="L21" s="60">
        <f t="shared" si="4"/>
        <v>0</v>
      </c>
      <c r="M21" s="60">
        <f t="shared" si="4"/>
        <v>0</v>
      </c>
      <c r="N21" s="27">
        <f t="shared" si="4"/>
        <v>0</v>
      </c>
      <c r="O21" s="60">
        <f t="shared" si="4"/>
        <v>0</v>
      </c>
      <c r="P21" s="60">
        <f t="shared" si="4"/>
        <v>0</v>
      </c>
      <c r="Q21" s="60">
        <f t="shared" si="4"/>
        <v>0</v>
      </c>
      <c r="R21" s="27">
        <f t="shared" si="4"/>
        <v>172.54494120000001</v>
      </c>
      <c r="S21" s="36">
        <f t="shared" si="4"/>
        <v>0</v>
      </c>
      <c r="T21" s="36">
        <f t="shared" si="4"/>
        <v>0</v>
      </c>
      <c r="U21" s="36">
        <f t="shared" si="4"/>
        <v>517.64</v>
      </c>
      <c r="V21" s="27">
        <f t="shared" si="4"/>
        <v>150.9751569</v>
      </c>
      <c r="W21" s="36">
        <f t="shared" si="4"/>
        <v>0</v>
      </c>
      <c r="X21" s="36">
        <f t="shared" si="4"/>
        <v>-64.709999999999994</v>
      </c>
      <c r="Y21" s="36">
        <f t="shared" si="4"/>
        <v>517.64</v>
      </c>
    </row>
    <row r="22" spans="1:25">
      <c r="A22" s="24" t="s">
        <v>562</v>
      </c>
      <c r="B22" s="25"/>
      <c r="C22" s="25"/>
      <c r="D22" s="25"/>
      <c r="E22" s="25"/>
      <c r="F22" s="25"/>
      <c r="G22" s="25"/>
      <c r="H22" s="25"/>
      <c r="I22" s="25"/>
      <c r="J22" s="25"/>
      <c r="K22" s="25"/>
      <c r="L22" s="25"/>
      <c r="M22" s="25"/>
      <c r="N22" s="25"/>
      <c r="O22" s="25"/>
      <c r="P22" s="25"/>
      <c r="Q22" s="25"/>
      <c r="R22" s="25"/>
      <c r="S22" s="25"/>
      <c r="T22" s="25"/>
      <c r="U22" s="25"/>
      <c r="V22" s="25"/>
      <c r="W22" s="25"/>
      <c r="X22" s="25"/>
      <c r="Y22" s="25"/>
    </row>
    <row r="23" spans="1:25">
      <c r="A23" s="40" t="s">
        <v>127</v>
      </c>
      <c r="B23" s="65">
        <v>0</v>
      </c>
      <c r="C23" s="54">
        <v>25000</v>
      </c>
      <c r="D23" s="89">
        <v>25000</v>
      </c>
      <c r="E23" s="86">
        <v>25000</v>
      </c>
      <c r="F23" s="72">
        <v>0</v>
      </c>
      <c r="G23" s="54">
        <v>0</v>
      </c>
      <c r="H23" s="89">
        <v>0</v>
      </c>
      <c r="I23" s="86">
        <v>0</v>
      </c>
      <c r="J23" s="72">
        <v>0</v>
      </c>
      <c r="K23" s="54">
        <v>0</v>
      </c>
      <c r="L23" s="89">
        <v>0</v>
      </c>
      <c r="M23" s="86">
        <v>0</v>
      </c>
      <c r="N23" s="72">
        <v>0</v>
      </c>
      <c r="O23" s="54">
        <v>0</v>
      </c>
      <c r="P23" s="89">
        <v>0</v>
      </c>
      <c r="Q23" s="86">
        <v>0</v>
      </c>
      <c r="R23" s="72">
        <v>0</v>
      </c>
      <c r="S23" s="32">
        <v>0</v>
      </c>
      <c r="T23" s="84">
        <v>0</v>
      </c>
      <c r="U23" s="80">
        <v>0</v>
      </c>
      <c r="V23" s="65">
        <v>0</v>
      </c>
      <c r="W23" s="32">
        <f t="shared" ref="W23:Y29" si="5">SUM(G23,K23,O23,S23)</f>
        <v>0</v>
      </c>
      <c r="X23" s="84">
        <f t="shared" si="5"/>
        <v>0</v>
      </c>
      <c r="Y23" s="80">
        <f t="shared" si="5"/>
        <v>0</v>
      </c>
    </row>
    <row r="24" spans="1:25">
      <c r="A24" s="41" t="s">
        <v>120</v>
      </c>
      <c r="B24" s="39">
        <v>0</v>
      </c>
      <c r="C24" s="54">
        <v>0</v>
      </c>
      <c r="D24" s="89">
        <v>0</v>
      </c>
      <c r="E24" s="86">
        <v>0</v>
      </c>
      <c r="F24" s="72">
        <v>0</v>
      </c>
      <c r="G24" s="54">
        <v>0</v>
      </c>
      <c r="H24" s="89">
        <v>0</v>
      </c>
      <c r="I24" s="86">
        <v>0</v>
      </c>
      <c r="J24" s="72">
        <v>0</v>
      </c>
      <c r="K24" s="54">
        <v>0</v>
      </c>
      <c r="L24" s="89">
        <v>0</v>
      </c>
      <c r="M24" s="86">
        <v>0</v>
      </c>
      <c r="N24" s="72">
        <v>0</v>
      </c>
      <c r="O24" s="54">
        <v>0</v>
      </c>
      <c r="P24" s="89">
        <v>0</v>
      </c>
      <c r="Q24" s="86">
        <v>0</v>
      </c>
      <c r="R24" s="72">
        <v>0</v>
      </c>
      <c r="S24" s="22">
        <v>0</v>
      </c>
      <c r="T24" s="82">
        <v>0</v>
      </c>
      <c r="U24" s="78">
        <v>0</v>
      </c>
      <c r="V24" s="39">
        <v>0</v>
      </c>
      <c r="W24" s="22">
        <f t="shared" si="5"/>
        <v>0</v>
      </c>
      <c r="X24" s="82">
        <f t="shared" si="5"/>
        <v>0</v>
      </c>
      <c r="Y24" s="78">
        <f t="shared" si="5"/>
        <v>0</v>
      </c>
    </row>
    <row r="25" spans="1:25">
      <c r="A25" s="41" t="s">
        <v>107</v>
      </c>
      <c r="B25" s="39">
        <v>0</v>
      </c>
      <c r="C25" s="54">
        <v>0</v>
      </c>
      <c r="D25" s="89">
        <v>0</v>
      </c>
      <c r="E25" s="86">
        <v>0</v>
      </c>
      <c r="F25" s="72">
        <v>0</v>
      </c>
      <c r="G25" s="54">
        <v>0</v>
      </c>
      <c r="H25" s="89">
        <v>0</v>
      </c>
      <c r="I25" s="86">
        <v>0</v>
      </c>
      <c r="J25" s="72">
        <v>0</v>
      </c>
      <c r="K25" s="54">
        <v>0</v>
      </c>
      <c r="L25" s="89">
        <v>0</v>
      </c>
      <c r="M25" s="86">
        <v>0</v>
      </c>
      <c r="N25" s="72">
        <v>0</v>
      </c>
      <c r="O25" s="54">
        <v>0</v>
      </c>
      <c r="P25" s="89">
        <v>0</v>
      </c>
      <c r="Q25" s="86">
        <v>0</v>
      </c>
      <c r="R25" s="72">
        <v>0</v>
      </c>
      <c r="S25" s="22">
        <v>0</v>
      </c>
      <c r="T25" s="82">
        <v>0</v>
      </c>
      <c r="U25" s="78">
        <v>0</v>
      </c>
      <c r="V25" s="39">
        <v>0</v>
      </c>
      <c r="W25" s="22">
        <f t="shared" si="5"/>
        <v>0</v>
      </c>
      <c r="X25" s="82">
        <f t="shared" si="5"/>
        <v>0</v>
      </c>
      <c r="Y25" s="78">
        <f t="shared" si="5"/>
        <v>0</v>
      </c>
    </row>
    <row r="26" spans="1:25">
      <c r="A26" s="41" t="s">
        <v>104</v>
      </c>
      <c r="B26" s="39">
        <v>0</v>
      </c>
      <c r="C26" s="54">
        <v>0</v>
      </c>
      <c r="D26" s="89">
        <v>0</v>
      </c>
      <c r="E26" s="86">
        <v>0</v>
      </c>
      <c r="F26" s="72">
        <v>0</v>
      </c>
      <c r="G26" s="54">
        <v>0</v>
      </c>
      <c r="H26" s="89">
        <v>0</v>
      </c>
      <c r="I26" s="86">
        <v>0</v>
      </c>
      <c r="J26" s="72">
        <v>0</v>
      </c>
      <c r="K26" s="54">
        <v>0</v>
      </c>
      <c r="L26" s="89">
        <v>0</v>
      </c>
      <c r="M26" s="86">
        <v>0</v>
      </c>
      <c r="N26" s="72">
        <v>0</v>
      </c>
      <c r="O26" s="54">
        <v>0</v>
      </c>
      <c r="P26" s="89">
        <v>0</v>
      </c>
      <c r="Q26" s="86">
        <v>0</v>
      </c>
      <c r="R26" s="72">
        <v>0</v>
      </c>
      <c r="S26" s="22">
        <v>0</v>
      </c>
      <c r="T26" s="82">
        <v>0</v>
      </c>
      <c r="U26" s="78">
        <v>0</v>
      </c>
      <c r="V26" s="39">
        <v>0</v>
      </c>
      <c r="W26" s="22">
        <f t="shared" si="5"/>
        <v>0</v>
      </c>
      <c r="X26" s="82">
        <f t="shared" si="5"/>
        <v>0</v>
      </c>
      <c r="Y26" s="78">
        <f t="shared" si="5"/>
        <v>0</v>
      </c>
    </row>
    <row r="27" spans="1:25">
      <c r="A27" s="41" t="s">
        <v>102</v>
      </c>
      <c r="B27" s="39">
        <v>0</v>
      </c>
      <c r="C27" s="54">
        <v>0</v>
      </c>
      <c r="D27" s="89">
        <v>0</v>
      </c>
      <c r="E27" s="86">
        <v>0</v>
      </c>
      <c r="F27" s="72">
        <v>0</v>
      </c>
      <c r="G27" s="54">
        <v>0</v>
      </c>
      <c r="H27" s="89">
        <v>0</v>
      </c>
      <c r="I27" s="86">
        <v>0</v>
      </c>
      <c r="J27" s="72">
        <v>0</v>
      </c>
      <c r="K27" s="54">
        <v>0</v>
      </c>
      <c r="L27" s="89">
        <v>0</v>
      </c>
      <c r="M27" s="86">
        <v>0</v>
      </c>
      <c r="N27" s="72">
        <v>0</v>
      </c>
      <c r="O27" s="54">
        <v>0</v>
      </c>
      <c r="P27" s="89">
        <v>0</v>
      </c>
      <c r="Q27" s="86">
        <v>0</v>
      </c>
      <c r="R27" s="72">
        <v>0</v>
      </c>
      <c r="S27" s="22">
        <v>0</v>
      </c>
      <c r="T27" s="82">
        <v>0</v>
      </c>
      <c r="U27" s="78">
        <v>0</v>
      </c>
      <c r="V27" s="39">
        <v>0</v>
      </c>
      <c r="W27" s="22">
        <f t="shared" si="5"/>
        <v>0</v>
      </c>
      <c r="X27" s="82">
        <f t="shared" si="5"/>
        <v>0</v>
      </c>
      <c r="Y27" s="78">
        <f t="shared" si="5"/>
        <v>0</v>
      </c>
    </row>
    <row r="28" spans="1:25">
      <c r="A28" s="41" t="s">
        <v>98</v>
      </c>
      <c r="B28" s="39">
        <v>0</v>
      </c>
      <c r="C28" s="54">
        <v>0</v>
      </c>
      <c r="D28" s="89">
        <v>0</v>
      </c>
      <c r="E28" s="86">
        <v>0</v>
      </c>
      <c r="F28" s="72">
        <v>0</v>
      </c>
      <c r="G28" s="54">
        <v>0</v>
      </c>
      <c r="H28" s="89">
        <v>0</v>
      </c>
      <c r="I28" s="86">
        <v>0</v>
      </c>
      <c r="J28" s="72">
        <v>0</v>
      </c>
      <c r="K28" s="54">
        <v>0</v>
      </c>
      <c r="L28" s="89">
        <v>0</v>
      </c>
      <c r="M28" s="86">
        <v>0</v>
      </c>
      <c r="N28" s="72">
        <v>0</v>
      </c>
      <c r="O28" s="54">
        <v>0</v>
      </c>
      <c r="P28" s="89">
        <v>0</v>
      </c>
      <c r="Q28" s="86">
        <v>0</v>
      </c>
      <c r="R28" s="72">
        <v>0</v>
      </c>
      <c r="S28" s="22">
        <v>0</v>
      </c>
      <c r="T28" s="82">
        <v>0</v>
      </c>
      <c r="U28" s="78">
        <v>0</v>
      </c>
      <c r="V28" s="39">
        <v>0</v>
      </c>
      <c r="W28" s="22">
        <f t="shared" si="5"/>
        <v>0</v>
      </c>
      <c r="X28" s="82">
        <f t="shared" si="5"/>
        <v>0</v>
      </c>
      <c r="Y28" s="78">
        <f t="shared" si="5"/>
        <v>0</v>
      </c>
    </row>
    <row r="29" spans="1:25">
      <c r="A29" s="42" t="s">
        <v>84</v>
      </c>
      <c r="B29" s="64">
        <v>0</v>
      </c>
      <c r="C29" s="59">
        <v>0</v>
      </c>
      <c r="D29" s="91">
        <v>0</v>
      </c>
      <c r="E29" s="88">
        <v>0</v>
      </c>
      <c r="F29" s="73">
        <v>0</v>
      </c>
      <c r="G29" s="59">
        <v>0</v>
      </c>
      <c r="H29" s="91">
        <v>0</v>
      </c>
      <c r="I29" s="88">
        <v>0</v>
      </c>
      <c r="J29" s="73">
        <v>0</v>
      </c>
      <c r="K29" s="59">
        <v>0</v>
      </c>
      <c r="L29" s="91">
        <v>0</v>
      </c>
      <c r="M29" s="88">
        <v>0</v>
      </c>
      <c r="N29" s="73">
        <v>79.185874800000008</v>
      </c>
      <c r="O29" s="59">
        <v>0</v>
      </c>
      <c r="P29" s="91">
        <v>0</v>
      </c>
      <c r="Q29" s="88">
        <v>237.56</v>
      </c>
      <c r="R29" s="73">
        <v>21.989780100000001</v>
      </c>
      <c r="S29" s="35">
        <v>65.97</v>
      </c>
      <c r="T29" s="85">
        <v>0</v>
      </c>
      <c r="U29" s="81">
        <v>0</v>
      </c>
      <c r="V29" s="64">
        <v>101.17565490000001</v>
      </c>
      <c r="W29" s="35">
        <f t="shared" si="5"/>
        <v>65.97</v>
      </c>
      <c r="X29" s="85">
        <f t="shared" si="5"/>
        <v>0</v>
      </c>
      <c r="Y29" s="81">
        <f t="shared" si="5"/>
        <v>237.56</v>
      </c>
    </row>
    <row r="30" spans="1:25">
      <c r="A30" s="23" t="s">
        <v>563</v>
      </c>
      <c r="B30" s="27">
        <f t="shared" ref="B30:Y30" si="6">SUM(B23:B29)</f>
        <v>0</v>
      </c>
      <c r="C30" s="60">
        <f t="shared" si="6"/>
        <v>25000</v>
      </c>
      <c r="D30" s="60">
        <f t="shared" si="6"/>
        <v>25000</v>
      </c>
      <c r="E30" s="60">
        <f t="shared" si="6"/>
        <v>25000</v>
      </c>
      <c r="F30" s="27">
        <f t="shared" si="6"/>
        <v>0</v>
      </c>
      <c r="G30" s="60">
        <f t="shared" si="6"/>
        <v>0</v>
      </c>
      <c r="H30" s="60">
        <f t="shared" si="6"/>
        <v>0</v>
      </c>
      <c r="I30" s="60">
        <f t="shared" si="6"/>
        <v>0</v>
      </c>
      <c r="J30" s="27">
        <f t="shared" si="6"/>
        <v>0</v>
      </c>
      <c r="K30" s="60">
        <f t="shared" si="6"/>
        <v>0</v>
      </c>
      <c r="L30" s="60">
        <f t="shared" si="6"/>
        <v>0</v>
      </c>
      <c r="M30" s="60">
        <f t="shared" si="6"/>
        <v>0</v>
      </c>
      <c r="N30" s="27">
        <f t="shared" si="6"/>
        <v>79.185874800000008</v>
      </c>
      <c r="O30" s="60">
        <f t="shared" si="6"/>
        <v>0</v>
      </c>
      <c r="P30" s="60">
        <f t="shared" si="6"/>
        <v>0</v>
      </c>
      <c r="Q30" s="60">
        <f t="shared" si="6"/>
        <v>237.56</v>
      </c>
      <c r="R30" s="27">
        <f t="shared" si="6"/>
        <v>21.989780100000001</v>
      </c>
      <c r="S30" s="36">
        <f t="shared" si="6"/>
        <v>65.97</v>
      </c>
      <c r="T30" s="36">
        <f t="shared" si="6"/>
        <v>0</v>
      </c>
      <c r="U30" s="36">
        <f t="shared" si="6"/>
        <v>0</v>
      </c>
      <c r="V30" s="27">
        <f t="shared" si="6"/>
        <v>101.17565490000001</v>
      </c>
      <c r="W30" s="36">
        <f t="shared" si="6"/>
        <v>65.97</v>
      </c>
      <c r="X30" s="36">
        <f t="shared" si="6"/>
        <v>0</v>
      </c>
      <c r="Y30" s="36">
        <f t="shared" si="6"/>
        <v>237.56</v>
      </c>
    </row>
    <row r="31" spans="1:25">
      <c r="A31" s="24" t="s">
        <v>429</v>
      </c>
      <c r="B31" s="21"/>
      <c r="C31" s="26"/>
      <c r="D31" s="26"/>
      <c r="E31" s="26"/>
      <c r="F31" s="26"/>
      <c r="G31" s="26"/>
      <c r="H31" s="26"/>
      <c r="I31" s="26"/>
      <c r="J31" s="26"/>
      <c r="K31" s="26"/>
      <c r="L31" s="26"/>
      <c r="M31" s="26"/>
      <c r="N31" s="26"/>
      <c r="O31" s="26"/>
      <c r="P31" s="26"/>
      <c r="Q31" s="26"/>
      <c r="R31" s="26"/>
      <c r="S31" s="26"/>
      <c r="T31" s="26"/>
      <c r="U31" s="26"/>
      <c r="V31" s="21"/>
      <c r="W31" s="26"/>
      <c r="X31" s="26"/>
      <c r="Y31" s="26"/>
    </row>
    <row r="32" spans="1:25">
      <c r="A32" s="40" t="s">
        <v>81</v>
      </c>
      <c r="B32" s="65">
        <v>0</v>
      </c>
      <c r="C32" s="54">
        <v>0</v>
      </c>
      <c r="D32" s="89">
        <v>0</v>
      </c>
      <c r="E32" s="86">
        <v>0</v>
      </c>
      <c r="F32" s="72">
        <v>0</v>
      </c>
      <c r="G32" s="54">
        <v>0</v>
      </c>
      <c r="H32" s="89">
        <v>0</v>
      </c>
      <c r="I32" s="86">
        <v>0</v>
      </c>
      <c r="J32" s="72">
        <v>0</v>
      </c>
      <c r="K32" s="54">
        <v>0</v>
      </c>
      <c r="L32" s="89">
        <v>0</v>
      </c>
      <c r="M32" s="86">
        <v>0</v>
      </c>
      <c r="N32" s="72">
        <v>0</v>
      </c>
      <c r="O32" s="54">
        <v>0</v>
      </c>
      <c r="P32" s="89">
        <v>0</v>
      </c>
      <c r="Q32" s="86">
        <v>0</v>
      </c>
      <c r="R32" s="72">
        <v>0</v>
      </c>
      <c r="S32" s="32">
        <v>0</v>
      </c>
      <c r="T32" s="84">
        <v>0</v>
      </c>
      <c r="U32" s="80">
        <v>0</v>
      </c>
      <c r="V32" s="65">
        <v>0</v>
      </c>
      <c r="W32" s="32">
        <f t="shared" ref="W32:Y33" si="7">SUM(G32,K32,O32,S32)</f>
        <v>0</v>
      </c>
      <c r="X32" s="84">
        <f t="shared" si="7"/>
        <v>0</v>
      </c>
      <c r="Y32" s="80">
        <f t="shared" si="7"/>
        <v>0</v>
      </c>
    </row>
    <row r="33" spans="1:25">
      <c r="A33" s="42" t="s">
        <v>79</v>
      </c>
      <c r="B33" s="64">
        <v>0</v>
      </c>
      <c r="C33" s="59">
        <v>0</v>
      </c>
      <c r="D33" s="91">
        <v>0</v>
      </c>
      <c r="E33" s="88">
        <v>0</v>
      </c>
      <c r="F33" s="73">
        <v>0</v>
      </c>
      <c r="G33" s="59">
        <v>0</v>
      </c>
      <c r="H33" s="91">
        <v>0</v>
      </c>
      <c r="I33" s="88">
        <v>0</v>
      </c>
      <c r="J33" s="73">
        <v>0</v>
      </c>
      <c r="K33" s="59">
        <v>0</v>
      </c>
      <c r="L33" s="91">
        <v>0</v>
      </c>
      <c r="M33" s="88">
        <v>0</v>
      </c>
      <c r="N33" s="73">
        <v>0</v>
      </c>
      <c r="O33" s="59">
        <v>0</v>
      </c>
      <c r="P33" s="91">
        <v>0</v>
      </c>
      <c r="Q33" s="88">
        <v>0</v>
      </c>
      <c r="R33" s="73">
        <v>0</v>
      </c>
      <c r="S33" s="35">
        <v>0</v>
      </c>
      <c r="T33" s="85">
        <v>0</v>
      </c>
      <c r="U33" s="81">
        <v>0</v>
      </c>
      <c r="V33" s="64">
        <v>0</v>
      </c>
      <c r="W33" s="35">
        <f t="shared" si="7"/>
        <v>0</v>
      </c>
      <c r="X33" s="85">
        <f t="shared" si="7"/>
        <v>0</v>
      </c>
      <c r="Y33" s="81">
        <f t="shared" si="7"/>
        <v>0</v>
      </c>
    </row>
    <row r="34" spans="1:25">
      <c r="A34" s="23" t="s">
        <v>564</v>
      </c>
      <c r="B34" s="27">
        <f t="shared" ref="B34:Y34" si="8">SUM(B32:B33)</f>
        <v>0</v>
      </c>
      <c r="C34" s="60">
        <f t="shared" si="8"/>
        <v>0</v>
      </c>
      <c r="D34" s="60">
        <f t="shared" si="8"/>
        <v>0</v>
      </c>
      <c r="E34" s="60">
        <f t="shared" si="8"/>
        <v>0</v>
      </c>
      <c r="F34" s="27">
        <f t="shared" si="8"/>
        <v>0</v>
      </c>
      <c r="G34" s="60">
        <f t="shared" si="8"/>
        <v>0</v>
      </c>
      <c r="H34" s="60">
        <f t="shared" si="8"/>
        <v>0</v>
      </c>
      <c r="I34" s="60">
        <f t="shared" si="8"/>
        <v>0</v>
      </c>
      <c r="J34" s="27">
        <f t="shared" si="8"/>
        <v>0</v>
      </c>
      <c r="K34" s="60">
        <f t="shared" si="8"/>
        <v>0</v>
      </c>
      <c r="L34" s="60">
        <f t="shared" si="8"/>
        <v>0</v>
      </c>
      <c r="M34" s="60">
        <f t="shared" si="8"/>
        <v>0</v>
      </c>
      <c r="N34" s="27">
        <f t="shared" si="8"/>
        <v>0</v>
      </c>
      <c r="O34" s="60">
        <f t="shared" si="8"/>
        <v>0</v>
      </c>
      <c r="P34" s="60">
        <f t="shared" si="8"/>
        <v>0</v>
      </c>
      <c r="Q34" s="60">
        <f t="shared" si="8"/>
        <v>0</v>
      </c>
      <c r="R34" s="27">
        <f t="shared" si="8"/>
        <v>0</v>
      </c>
      <c r="S34" s="36">
        <f t="shared" si="8"/>
        <v>0</v>
      </c>
      <c r="T34" s="36">
        <f t="shared" si="8"/>
        <v>0</v>
      </c>
      <c r="U34" s="36">
        <f t="shared" si="8"/>
        <v>0</v>
      </c>
      <c r="V34" s="27">
        <f t="shared" si="8"/>
        <v>0</v>
      </c>
      <c r="W34" s="36">
        <f t="shared" si="8"/>
        <v>0</v>
      </c>
      <c r="X34" s="36">
        <f t="shared" si="8"/>
        <v>0</v>
      </c>
      <c r="Y34" s="36">
        <f t="shared" si="8"/>
        <v>0</v>
      </c>
    </row>
    <row r="35" spans="1:25">
      <c r="A35" s="24" t="s">
        <v>565</v>
      </c>
      <c r="B35" s="26"/>
      <c r="C35" s="26"/>
      <c r="D35" s="26"/>
      <c r="E35" s="26"/>
      <c r="F35" s="26"/>
      <c r="G35" s="26"/>
      <c r="H35" s="26"/>
      <c r="I35" s="26"/>
      <c r="J35" s="26"/>
      <c r="K35" s="26"/>
      <c r="L35" s="26"/>
      <c r="M35" s="26"/>
      <c r="N35" s="26"/>
      <c r="O35" s="26"/>
      <c r="P35" s="26"/>
      <c r="Q35" s="26"/>
      <c r="R35" s="26"/>
      <c r="S35" s="26"/>
      <c r="T35" s="26"/>
      <c r="U35" s="26"/>
      <c r="V35" s="26"/>
      <c r="W35" s="26"/>
      <c r="X35" s="26"/>
      <c r="Y35" s="26"/>
    </row>
    <row r="36" spans="1:25">
      <c r="A36" s="40" t="s">
        <v>77</v>
      </c>
      <c r="B36" s="65">
        <v>0</v>
      </c>
      <c r="C36" s="54">
        <v>0</v>
      </c>
      <c r="D36" s="89">
        <v>0</v>
      </c>
      <c r="E36" s="86">
        <v>0</v>
      </c>
      <c r="F36" s="72">
        <v>0</v>
      </c>
      <c r="G36" s="54">
        <v>0</v>
      </c>
      <c r="H36" s="89">
        <v>0</v>
      </c>
      <c r="I36" s="86">
        <v>0</v>
      </c>
      <c r="J36" s="72">
        <v>0</v>
      </c>
      <c r="K36" s="54">
        <v>0</v>
      </c>
      <c r="L36" s="89">
        <v>0</v>
      </c>
      <c r="M36" s="86">
        <v>0</v>
      </c>
      <c r="N36" s="72">
        <v>0</v>
      </c>
      <c r="O36" s="54">
        <v>0</v>
      </c>
      <c r="P36" s="89">
        <v>0</v>
      </c>
      <c r="Q36" s="86">
        <v>0</v>
      </c>
      <c r="R36" s="72">
        <v>0</v>
      </c>
      <c r="S36" s="32">
        <v>0</v>
      </c>
      <c r="T36" s="84">
        <v>0</v>
      </c>
      <c r="U36" s="80">
        <v>0</v>
      </c>
      <c r="V36" s="65">
        <v>0</v>
      </c>
      <c r="W36" s="32">
        <f t="shared" ref="W36:Y41" si="9">SUM(G36,K36,O36,S36)</f>
        <v>0</v>
      </c>
      <c r="X36" s="84">
        <f t="shared" si="9"/>
        <v>0</v>
      </c>
      <c r="Y36" s="80">
        <f t="shared" si="9"/>
        <v>0</v>
      </c>
    </row>
    <row r="37" spans="1:25">
      <c r="A37" s="41" t="s">
        <v>59</v>
      </c>
      <c r="B37" s="39">
        <v>0</v>
      </c>
      <c r="C37" s="54">
        <v>0</v>
      </c>
      <c r="D37" s="89">
        <v>0</v>
      </c>
      <c r="E37" s="86">
        <v>0</v>
      </c>
      <c r="F37" s="72">
        <v>0</v>
      </c>
      <c r="G37" s="54">
        <v>0</v>
      </c>
      <c r="H37" s="89">
        <v>0</v>
      </c>
      <c r="I37" s="86">
        <v>0</v>
      </c>
      <c r="J37" s="72">
        <v>0</v>
      </c>
      <c r="K37" s="54">
        <v>0</v>
      </c>
      <c r="L37" s="89">
        <v>0</v>
      </c>
      <c r="M37" s="86">
        <v>0</v>
      </c>
      <c r="N37" s="72">
        <v>0</v>
      </c>
      <c r="O37" s="54">
        <v>0</v>
      </c>
      <c r="P37" s="89">
        <v>0</v>
      </c>
      <c r="Q37" s="86">
        <v>0</v>
      </c>
      <c r="R37" s="72">
        <v>0</v>
      </c>
      <c r="S37" s="22">
        <v>0</v>
      </c>
      <c r="T37" s="82">
        <v>0</v>
      </c>
      <c r="U37" s="78">
        <v>0</v>
      </c>
      <c r="V37" s="39">
        <v>0</v>
      </c>
      <c r="W37" s="22">
        <f t="shared" si="9"/>
        <v>0</v>
      </c>
      <c r="X37" s="82">
        <f t="shared" si="9"/>
        <v>0</v>
      </c>
      <c r="Y37" s="78">
        <f t="shared" si="9"/>
        <v>0</v>
      </c>
    </row>
    <row r="38" spans="1:25">
      <c r="A38" s="41" t="s">
        <v>39</v>
      </c>
      <c r="B38" s="39">
        <v>0</v>
      </c>
      <c r="C38" s="54">
        <v>0</v>
      </c>
      <c r="D38" s="89">
        <v>0</v>
      </c>
      <c r="E38" s="86">
        <v>0</v>
      </c>
      <c r="F38" s="72">
        <v>0</v>
      </c>
      <c r="G38" s="54">
        <v>0</v>
      </c>
      <c r="H38" s="89">
        <v>0</v>
      </c>
      <c r="I38" s="86">
        <v>0</v>
      </c>
      <c r="J38" s="72">
        <v>0</v>
      </c>
      <c r="K38" s="54">
        <v>0</v>
      </c>
      <c r="L38" s="89">
        <v>0</v>
      </c>
      <c r="M38" s="86">
        <v>0</v>
      </c>
      <c r="N38" s="72">
        <v>0</v>
      </c>
      <c r="O38" s="54">
        <v>0</v>
      </c>
      <c r="P38" s="89">
        <v>0</v>
      </c>
      <c r="Q38" s="86">
        <v>0</v>
      </c>
      <c r="R38" s="72">
        <v>0</v>
      </c>
      <c r="S38" s="22">
        <v>0</v>
      </c>
      <c r="T38" s="82">
        <v>0</v>
      </c>
      <c r="U38" s="78">
        <v>0</v>
      </c>
      <c r="V38" s="39">
        <v>0</v>
      </c>
      <c r="W38" s="22">
        <f t="shared" si="9"/>
        <v>0</v>
      </c>
      <c r="X38" s="82">
        <f t="shared" si="9"/>
        <v>0</v>
      </c>
      <c r="Y38" s="78">
        <f t="shared" si="9"/>
        <v>0</v>
      </c>
    </row>
    <row r="39" spans="1:25">
      <c r="A39" s="92" t="s">
        <v>31</v>
      </c>
      <c r="B39" s="93">
        <v>0</v>
      </c>
      <c r="C39" s="94">
        <v>0</v>
      </c>
      <c r="D39" s="100">
        <v>0</v>
      </c>
      <c r="E39" s="99">
        <v>0</v>
      </c>
      <c r="F39" s="95">
        <v>0</v>
      </c>
      <c r="G39" s="94">
        <v>0</v>
      </c>
      <c r="H39" s="100">
        <v>0</v>
      </c>
      <c r="I39" s="99">
        <v>0</v>
      </c>
      <c r="J39" s="95">
        <v>0</v>
      </c>
      <c r="K39" s="94">
        <v>0</v>
      </c>
      <c r="L39" s="100">
        <v>0</v>
      </c>
      <c r="M39" s="99">
        <v>0</v>
      </c>
      <c r="N39" s="95">
        <v>0</v>
      </c>
      <c r="O39" s="94">
        <v>0</v>
      </c>
      <c r="P39" s="100">
        <v>0</v>
      </c>
      <c r="Q39" s="99">
        <v>0</v>
      </c>
      <c r="R39" s="95">
        <v>0</v>
      </c>
      <c r="S39" s="96">
        <v>0</v>
      </c>
      <c r="T39" s="98">
        <v>0</v>
      </c>
      <c r="U39" s="97">
        <v>0</v>
      </c>
      <c r="V39" s="93">
        <v>0</v>
      </c>
      <c r="W39" s="96">
        <f t="shared" si="9"/>
        <v>0</v>
      </c>
      <c r="X39" s="98">
        <f t="shared" si="9"/>
        <v>0</v>
      </c>
      <c r="Y39" s="97">
        <f t="shared" si="9"/>
        <v>0</v>
      </c>
    </row>
    <row r="40" spans="1:25">
      <c r="A40" s="41" t="s">
        <v>27</v>
      </c>
      <c r="B40" s="39">
        <v>0</v>
      </c>
      <c r="C40" s="54">
        <v>1510</v>
      </c>
      <c r="D40" s="89">
        <v>1510</v>
      </c>
      <c r="E40" s="86">
        <v>1438</v>
      </c>
      <c r="F40" s="72">
        <v>-1.3033203000000002</v>
      </c>
      <c r="G40" s="54">
        <v>0</v>
      </c>
      <c r="H40" s="89">
        <v>-3.91</v>
      </c>
      <c r="I40" s="86">
        <v>0</v>
      </c>
      <c r="J40" s="72">
        <v>0</v>
      </c>
      <c r="K40" s="54">
        <v>0</v>
      </c>
      <c r="L40" s="89">
        <v>0</v>
      </c>
      <c r="M40" s="86">
        <v>0</v>
      </c>
      <c r="N40" s="72">
        <v>4.5532878000000006</v>
      </c>
      <c r="O40" s="54">
        <v>0</v>
      </c>
      <c r="P40" s="89">
        <v>0</v>
      </c>
      <c r="Q40" s="86">
        <v>13.66</v>
      </c>
      <c r="R40" s="72">
        <v>11.303220300000001</v>
      </c>
      <c r="S40" s="22">
        <v>4.1500000000000004</v>
      </c>
      <c r="T40" s="82">
        <v>0</v>
      </c>
      <c r="U40" s="78">
        <v>29.76</v>
      </c>
      <c r="V40" s="39">
        <v>14.553187800000002</v>
      </c>
      <c r="W40" s="22">
        <f t="shared" si="9"/>
        <v>4.1500000000000004</v>
      </c>
      <c r="X40" s="82">
        <f t="shared" si="9"/>
        <v>-3.91</v>
      </c>
      <c r="Y40" s="78">
        <f t="shared" si="9"/>
        <v>43.42</v>
      </c>
    </row>
    <row r="41" spans="1:25">
      <c r="A41" s="42" t="s">
        <v>25</v>
      </c>
      <c r="B41" s="64">
        <v>0</v>
      </c>
      <c r="C41" s="59">
        <v>125</v>
      </c>
      <c r="D41" s="91">
        <v>125</v>
      </c>
      <c r="E41" s="88">
        <v>173</v>
      </c>
      <c r="F41" s="73">
        <v>-0.10666560000000001</v>
      </c>
      <c r="G41" s="59">
        <v>0</v>
      </c>
      <c r="H41" s="91">
        <v>-0.32</v>
      </c>
      <c r="I41" s="88">
        <v>0</v>
      </c>
      <c r="J41" s="73">
        <v>0</v>
      </c>
      <c r="K41" s="59">
        <v>0</v>
      </c>
      <c r="L41" s="91">
        <v>0</v>
      </c>
      <c r="M41" s="88">
        <v>0</v>
      </c>
      <c r="N41" s="73">
        <v>0.54666119999999996</v>
      </c>
      <c r="O41" s="59">
        <v>0</v>
      </c>
      <c r="P41" s="91">
        <v>0</v>
      </c>
      <c r="Q41" s="88">
        <v>1.64</v>
      </c>
      <c r="R41" s="73">
        <v>1.3066536000000002</v>
      </c>
      <c r="S41" s="35">
        <v>0.34</v>
      </c>
      <c r="T41" s="85">
        <v>0</v>
      </c>
      <c r="U41" s="81">
        <v>3.58</v>
      </c>
      <c r="V41" s="64">
        <v>1.7466492</v>
      </c>
      <c r="W41" s="35">
        <f t="shared" si="9"/>
        <v>0.34</v>
      </c>
      <c r="X41" s="85">
        <f t="shared" si="9"/>
        <v>-0.32</v>
      </c>
      <c r="Y41" s="81">
        <f t="shared" si="9"/>
        <v>5.22</v>
      </c>
    </row>
    <row r="42" spans="1:25">
      <c r="A42" s="23" t="s">
        <v>566</v>
      </c>
      <c r="B42" s="27">
        <f t="shared" ref="B42:Y42" si="10">SUM(B36:B41)</f>
        <v>0</v>
      </c>
      <c r="C42" s="56">
        <f t="shared" si="10"/>
        <v>1635</v>
      </c>
      <c r="D42" s="56">
        <f t="shared" si="10"/>
        <v>1635</v>
      </c>
      <c r="E42" s="56">
        <f t="shared" si="10"/>
        <v>1611</v>
      </c>
      <c r="F42" s="66">
        <f t="shared" si="10"/>
        <v>-1.4099859000000001</v>
      </c>
      <c r="G42" s="56">
        <f t="shared" si="10"/>
        <v>0</v>
      </c>
      <c r="H42" s="56">
        <f t="shared" si="10"/>
        <v>-4.2300000000000004</v>
      </c>
      <c r="I42" s="56">
        <f t="shared" si="10"/>
        <v>0</v>
      </c>
      <c r="J42" s="66">
        <f t="shared" si="10"/>
        <v>0</v>
      </c>
      <c r="K42" s="56">
        <f t="shared" si="10"/>
        <v>0</v>
      </c>
      <c r="L42" s="56">
        <f t="shared" si="10"/>
        <v>0</v>
      </c>
      <c r="M42" s="56">
        <f t="shared" si="10"/>
        <v>0</v>
      </c>
      <c r="N42" s="66">
        <f t="shared" si="10"/>
        <v>5.0999490000000005</v>
      </c>
      <c r="O42" s="56">
        <f t="shared" si="10"/>
        <v>0</v>
      </c>
      <c r="P42" s="56">
        <f t="shared" si="10"/>
        <v>0</v>
      </c>
      <c r="Q42" s="56">
        <f t="shared" si="10"/>
        <v>15.3</v>
      </c>
      <c r="R42" s="66">
        <f t="shared" si="10"/>
        <v>12.609873900000002</v>
      </c>
      <c r="S42" s="37">
        <f t="shared" si="10"/>
        <v>4.49</v>
      </c>
      <c r="T42" s="37">
        <f t="shared" si="10"/>
        <v>0</v>
      </c>
      <c r="U42" s="37">
        <f t="shared" si="10"/>
        <v>33.340000000000003</v>
      </c>
      <c r="V42" s="27">
        <f t="shared" si="10"/>
        <v>16.299837</v>
      </c>
      <c r="W42" s="37">
        <f t="shared" si="10"/>
        <v>4.49</v>
      </c>
      <c r="X42" s="37">
        <f t="shared" si="10"/>
        <v>-4.2300000000000004</v>
      </c>
      <c r="Y42" s="37">
        <f t="shared" si="10"/>
        <v>48.64</v>
      </c>
    </row>
    <row r="43" spans="1:25" ht="16.2" thickBot="1">
      <c r="A43" s="43" t="s">
        <v>567</v>
      </c>
      <c r="B43" s="34">
        <f>SUM(B21,B30,B34,B42)</f>
        <v>0</v>
      </c>
      <c r="C43" s="52">
        <f t="shared" ref="C43:U43" si="11">SUM(C21,C30,C34,C42)</f>
        <v>26635</v>
      </c>
      <c r="D43" s="52">
        <f t="shared" si="11"/>
        <v>26635</v>
      </c>
      <c r="E43" s="52">
        <f t="shared" si="11"/>
        <v>26611</v>
      </c>
      <c r="F43" s="34">
        <f t="shared" si="11"/>
        <v>-22.979770200000001</v>
      </c>
      <c r="G43" s="52">
        <f t="shared" si="11"/>
        <v>0</v>
      </c>
      <c r="H43" s="52">
        <f t="shared" si="11"/>
        <v>-68.94</v>
      </c>
      <c r="I43" s="52">
        <f t="shared" si="11"/>
        <v>0</v>
      </c>
      <c r="J43" s="34">
        <f t="shared" si="11"/>
        <v>0</v>
      </c>
      <c r="K43" s="52">
        <f t="shared" si="11"/>
        <v>0</v>
      </c>
      <c r="L43" s="52">
        <f t="shared" si="11"/>
        <v>0</v>
      </c>
      <c r="M43" s="52">
        <f t="shared" si="11"/>
        <v>0</v>
      </c>
      <c r="N43" s="34">
        <f t="shared" si="11"/>
        <v>84.285823800000003</v>
      </c>
      <c r="O43" s="52">
        <f t="shared" si="11"/>
        <v>0</v>
      </c>
      <c r="P43" s="52">
        <f t="shared" si="11"/>
        <v>0</v>
      </c>
      <c r="Q43" s="52">
        <f t="shared" si="11"/>
        <v>252.86</v>
      </c>
      <c r="R43" s="34">
        <f t="shared" si="11"/>
        <v>207.1445952</v>
      </c>
      <c r="S43" s="34">
        <f t="shared" si="11"/>
        <v>70.459999999999994</v>
      </c>
      <c r="T43" s="34">
        <f t="shared" si="11"/>
        <v>0</v>
      </c>
      <c r="U43" s="34">
        <f t="shared" si="11"/>
        <v>550.98</v>
      </c>
      <c r="V43" s="34">
        <f>SUM(V21,V30,V34,V42)</f>
        <v>268.45064880000001</v>
      </c>
      <c r="W43" s="34">
        <f t="shared" ref="W43:Y43" si="12">SUM(W21,W30,W34,W42)</f>
        <v>70.459999999999994</v>
      </c>
      <c r="X43" s="34">
        <f t="shared" si="12"/>
        <v>-68.94</v>
      </c>
      <c r="Y43" s="34">
        <f t="shared" si="12"/>
        <v>803.84</v>
      </c>
    </row>
    <row r="44" spans="1:25" ht="15" thickTop="1">
      <c r="A44" s="44" t="s">
        <v>568</v>
      </c>
      <c r="B44" s="28"/>
      <c r="C44" s="20"/>
      <c r="D44" s="20"/>
      <c r="E44" s="20"/>
      <c r="F44" s="28"/>
      <c r="G44" s="20"/>
      <c r="H44" s="20"/>
      <c r="I44" s="20"/>
      <c r="J44" s="28"/>
      <c r="K44" s="20"/>
      <c r="L44" s="20"/>
      <c r="M44" s="20"/>
      <c r="N44" s="28"/>
      <c r="O44" s="20"/>
      <c r="P44" s="20"/>
      <c r="Q44" s="20"/>
      <c r="R44" s="28"/>
      <c r="S44" s="20"/>
      <c r="T44" s="20"/>
      <c r="U44" s="20"/>
      <c r="V44" s="28"/>
      <c r="W44" s="20"/>
      <c r="X44" s="20"/>
      <c r="Y44" s="20"/>
    </row>
    <row r="45" spans="1:25">
      <c r="A45" s="40" t="s">
        <v>23</v>
      </c>
      <c r="B45" s="65">
        <v>26700</v>
      </c>
      <c r="C45" s="54">
        <v>0</v>
      </c>
      <c r="D45" s="89">
        <v>0</v>
      </c>
      <c r="E45" s="86">
        <v>0</v>
      </c>
      <c r="F45" s="72">
        <v>355.99644000000001</v>
      </c>
      <c r="G45" s="54">
        <v>1068</v>
      </c>
      <c r="H45" s="89">
        <v>0</v>
      </c>
      <c r="I45" s="86">
        <v>0</v>
      </c>
      <c r="J45" s="72">
        <v>3280.2371972999999</v>
      </c>
      <c r="K45" s="54">
        <v>9840.81</v>
      </c>
      <c r="L45" s="89">
        <v>0</v>
      </c>
      <c r="M45" s="86">
        <v>0</v>
      </c>
      <c r="N45" s="72">
        <v>3345.29988</v>
      </c>
      <c r="O45" s="54">
        <v>10036</v>
      </c>
      <c r="P45" s="89">
        <v>0</v>
      </c>
      <c r="Q45" s="86">
        <v>0</v>
      </c>
      <c r="R45" s="72">
        <v>6838.6149465000008</v>
      </c>
      <c r="S45" s="32">
        <v>10808.81</v>
      </c>
      <c r="T45" s="84">
        <v>6617.62</v>
      </c>
      <c r="U45" s="80">
        <v>3089.62</v>
      </c>
      <c r="V45" s="65">
        <v>13820.1484638</v>
      </c>
      <c r="W45" s="32">
        <f t="shared" ref="W45:Y46" si="13">SUM(G45,K45,O45,S45)</f>
        <v>31753.619999999995</v>
      </c>
      <c r="X45" s="84">
        <f t="shared" si="13"/>
        <v>6617.62</v>
      </c>
      <c r="Y45" s="80">
        <f t="shared" si="13"/>
        <v>3089.62</v>
      </c>
    </row>
    <row r="46" spans="1:25">
      <c r="A46" s="42" t="s">
        <v>7</v>
      </c>
      <c r="B46" s="64">
        <v>0</v>
      </c>
      <c r="C46" s="59">
        <v>0</v>
      </c>
      <c r="D46" s="91">
        <v>0</v>
      </c>
      <c r="E46" s="88">
        <v>0</v>
      </c>
      <c r="F46" s="73">
        <v>0</v>
      </c>
      <c r="G46" s="59">
        <v>0</v>
      </c>
      <c r="H46" s="91">
        <v>0</v>
      </c>
      <c r="I46" s="88">
        <v>0</v>
      </c>
      <c r="J46" s="73">
        <v>0</v>
      </c>
      <c r="K46" s="59">
        <v>0</v>
      </c>
      <c r="L46" s="91">
        <v>0</v>
      </c>
      <c r="M46" s="88">
        <v>0</v>
      </c>
      <c r="N46" s="73">
        <v>0</v>
      </c>
      <c r="O46" s="59">
        <v>0</v>
      </c>
      <c r="P46" s="91">
        <v>0</v>
      </c>
      <c r="Q46" s="88">
        <v>0</v>
      </c>
      <c r="R46" s="73">
        <v>0</v>
      </c>
      <c r="S46" s="35">
        <v>0</v>
      </c>
      <c r="T46" s="85">
        <v>0</v>
      </c>
      <c r="U46" s="81">
        <v>0</v>
      </c>
      <c r="V46" s="64">
        <v>0</v>
      </c>
      <c r="W46" s="35">
        <f t="shared" si="13"/>
        <v>0</v>
      </c>
      <c r="X46" s="85">
        <f t="shared" si="13"/>
        <v>0</v>
      </c>
      <c r="Y46" s="81">
        <f t="shared" si="13"/>
        <v>0</v>
      </c>
    </row>
    <row r="47" spans="1:25">
      <c r="A47" s="45" t="s">
        <v>569</v>
      </c>
      <c r="B47" s="49">
        <f t="shared" ref="B47:Y47" si="14">SUM(B45:B46)</f>
        <v>26700</v>
      </c>
      <c r="C47" s="60">
        <f t="shared" si="14"/>
        <v>0</v>
      </c>
      <c r="D47" s="60">
        <f t="shared" si="14"/>
        <v>0</v>
      </c>
      <c r="E47" s="60">
        <f t="shared" si="14"/>
        <v>0</v>
      </c>
      <c r="F47" s="27">
        <f t="shared" si="14"/>
        <v>355.99644000000001</v>
      </c>
      <c r="G47" s="60">
        <f t="shared" si="14"/>
        <v>1068</v>
      </c>
      <c r="H47" s="60">
        <f t="shared" si="14"/>
        <v>0</v>
      </c>
      <c r="I47" s="60">
        <f t="shared" si="14"/>
        <v>0</v>
      </c>
      <c r="J47" s="27">
        <f t="shared" si="14"/>
        <v>3280.2371972999999</v>
      </c>
      <c r="K47" s="60">
        <f t="shared" si="14"/>
        <v>9840.81</v>
      </c>
      <c r="L47" s="60">
        <f t="shared" si="14"/>
        <v>0</v>
      </c>
      <c r="M47" s="60">
        <f t="shared" si="14"/>
        <v>0</v>
      </c>
      <c r="N47" s="27">
        <f t="shared" si="14"/>
        <v>3345.29988</v>
      </c>
      <c r="O47" s="60">
        <f t="shared" si="14"/>
        <v>10036</v>
      </c>
      <c r="P47" s="60">
        <f t="shared" si="14"/>
        <v>0</v>
      </c>
      <c r="Q47" s="60">
        <f t="shared" si="14"/>
        <v>0</v>
      </c>
      <c r="R47" s="27">
        <f t="shared" si="14"/>
        <v>6838.6149465000008</v>
      </c>
      <c r="S47" s="36">
        <f t="shared" si="14"/>
        <v>10808.81</v>
      </c>
      <c r="T47" s="36">
        <f t="shared" si="14"/>
        <v>6617.62</v>
      </c>
      <c r="U47" s="36">
        <f t="shared" si="14"/>
        <v>3089.62</v>
      </c>
      <c r="V47" s="49">
        <f t="shared" si="14"/>
        <v>13820.1484638</v>
      </c>
      <c r="W47" s="36">
        <f t="shared" si="14"/>
        <v>31753.619999999995</v>
      </c>
      <c r="X47" s="36">
        <f t="shared" si="14"/>
        <v>6617.62</v>
      </c>
      <c r="Y47" s="36">
        <f t="shared" si="14"/>
        <v>3089.62</v>
      </c>
    </row>
    <row r="48" spans="1:25" ht="16.2" thickBot="1">
      <c r="A48" s="43" t="s">
        <v>570</v>
      </c>
      <c r="B48" s="34">
        <f>SUM(B12,B43,B47)</f>
        <v>0</v>
      </c>
      <c r="C48" s="52">
        <f t="shared" ref="C48:U48" si="15">SUM(C12,C43,C47)</f>
        <v>0</v>
      </c>
      <c r="D48" s="52">
        <f t="shared" si="15"/>
        <v>0</v>
      </c>
      <c r="E48" s="52">
        <f t="shared" si="15"/>
        <v>0</v>
      </c>
      <c r="F48" s="34">
        <f t="shared" si="15"/>
        <v>-8717.7461549999989</v>
      </c>
      <c r="G48" s="52">
        <f t="shared" si="15"/>
        <v>-12249</v>
      </c>
      <c r="H48" s="52">
        <f t="shared" si="15"/>
        <v>-7049.82</v>
      </c>
      <c r="I48" s="52">
        <f t="shared" si="15"/>
        <v>-6854.68</v>
      </c>
      <c r="J48" s="34">
        <f t="shared" si="15"/>
        <v>8568.7176452999993</v>
      </c>
      <c r="K48" s="52">
        <f t="shared" si="15"/>
        <v>9840.81</v>
      </c>
      <c r="L48" s="52">
        <f t="shared" si="15"/>
        <v>9000.2199999999993</v>
      </c>
      <c r="M48" s="52">
        <f t="shared" si="15"/>
        <v>6865.38</v>
      </c>
      <c r="N48" s="34">
        <f t="shared" si="15"/>
        <v>-7169.8249676999985</v>
      </c>
      <c r="O48" s="52">
        <f t="shared" si="15"/>
        <v>-3282</v>
      </c>
      <c r="P48" s="52">
        <f t="shared" si="15"/>
        <v>-6772.15</v>
      </c>
      <c r="Q48" s="52">
        <f t="shared" si="15"/>
        <v>-11455.539999999999</v>
      </c>
      <c r="R48" s="34">
        <f t="shared" si="15"/>
        <v>2009.7865686000014</v>
      </c>
      <c r="S48" s="34">
        <f t="shared" si="15"/>
        <v>-226.82000000000153</v>
      </c>
      <c r="T48" s="34">
        <f t="shared" si="15"/>
        <v>-1795.87</v>
      </c>
      <c r="U48" s="34">
        <f t="shared" si="15"/>
        <v>8052.11</v>
      </c>
      <c r="V48" s="34">
        <f>SUM(V12,V43,V47)</f>
        <v>-5309.0669087999995</v>
      </c>
      <c r="W48" s="34">
        <f t="shared" ref="W48:Y48" si="16">SUM(W12,W43,W47)</f>
        <v>-5917.010000000002</v>
      </c>
      <c r="X48" s="34">
        <f t="shared" si="16"/>
        <v>-6617.62</v>
      </c>
      <c r="Y48" s="34">
        <f t="shared" si="16"/>
        <v>-3392.7300000000005</v>
      </c>
    </row>
    <row r="49" spans="1:25" ht="15" thickTop="1">
      <c r="A49" s="29"/>
      <c r="B49" s="19"/>
      <c r="C49" s="48"/>
      <c r="D49" s="48"/>
      <c r="E49" s="48"/>
      <c r="F49" s="19"/>
      <c r="G49" s="48"/>
      <c r="H49" s="48"/>
      <c r="I49" s="48"/>
      <c r="J49" s="19"/>
      <c r="K49" s="48"/>
      <c r="L49" s="48"/>
      <c r="M49" s="48"/>
      <c r="N49" s="19"/>
      <c r="O49" s="48"/>
      <c r="P49" s="48"/>
      <c r="Q49" s="48"/>
      <c r="R49" s="19"/>
      <c r="S49" s="48"/>
      <c r="T49" s="48"/>
      <c r="U49" s="48"/>
      <c r="V49" s="19"/>
      <c r="W49" s="48"/>
      <c r="X49" s="48"/>
      <c r="Y49" s="48"/>
    </row>
  </sheetData>
  <conditionalFormatting sqref="B15:C21 B23:C30 B32:C34 B36:C43 V36:W43 V32:W34 V23:W30 V15:W21 R36:S43 R32:S34 R23:S30 R15:S21 N36:O43 N32:O34 N23:O30 N15:O21 J36:K43 J32:K34 J23:K30 J15:K21 F36:G43 F32:G34 F23:G30 F15:G21">
    <cfRule type="cellIs" dxfId="220" priority="13" operator="lessThan">
      <formula>-0.01</formula>
    </cfRule>
  </conditionalFormatting>
  <conditionalFormatting sqref="Y15:Y21 Y23:Y30 Y32:Y34 Y36:Y43">
    <cfRule type="cellIs" dxfId="219" priority="12" operator="lessThan">
      <formula>-0.01</formula>
    </cfRule>
  </conditionalFormatting>
  <conditionalFormatting sqref="X15:X21 X23:X30 X32:X34 X36:X43">
    <cfRule type="cellIs" dxfId="218" priority="11" operator="lessThan">
      <formula>-0.01</formula>
    </cfRule>
  </conditionalFormatting>
  <conditionalFormatting sqref="U15:U21 U23:U30 U32:U34 U36:U43">
    <cfRule type="cellIs" dxfId="217" priority="10" operator="lessThan">
      <formula>-0.01</formula>
    </cfRule>
  </conditionalFormatting>
  <conditionalFormatting sqref="T15:T21 T23:T30 T32:T34 T36:T43">
    <cfRule type="cellIs" dxfId="216" priority="9" operator="lessThan">
      <formula>-0.01</formula>
    </cfRule>
  </conditionalFormatting>
  <conditionalFormatting sqref="Q15:Q21 Q23:Q30 Q32:Q34 Q36:Q43">
    <cfRule type="cellIs" dxfId="215" priority="8" operator="lessThan">
      <formula>-0.01</formula>
    </cfRule>
  </conditionalFormatting>
  <conditionalFormatting sqref="P15:P21 P23:P30 P32:P34 P36:P43">
    <cfRule type="cellIs" dxfId="214" priority="7" operator="lessThan">
      <formula>-0.01</formula>
    </cfRule>
  </conditionalFormatting>
  <conditionalFormatting sqref="M15:M21 M23:M30 M32:M34 M36:M43">
    <cfRule type="cellIs" dxfId="213" priority="6" operator="lessThan">
      <formula>-0.01</formula>
    </cfRule>
  </conditionalFormatting>
  <conditionalFormatting sqref="L15:L21 L23:L30 L32:L34 L36:L43">
    <cfRule type="cellIs" dxfId="212" priority="5" operator="lessThan">
      <formula>-0.01</formula>
    </cfRule>
  </conditionalFormatting>
  <conditionalFormatting sqref="I15:I21 I23:I30 I32:I34 I36:I43">
    <cfRule type="cellIs" dxfId="211" priority="4" operator="lessThan">
      <formula>-0.01</formula>
    </cfRule>
  </conditionalFormatting>
  <conditionalFormatting sqref="H15:H21 H23:H30 H32:H34 H36:H43">
    <cfRule type="cellIs" dxfId="210" priority="3" operator="lessThan">
      <formula>-0.01</formula>
    </cfRule>
  </conditionalFormatting>
  <conditionalFormatting sqref="E15:E21 E23:E30 E32:E34 E36:E43">
    <cfRule type="cellIs" dxfId="209" priority="2" operator="lessThan">
      <formula>-0.01</formula>
    </cfRule>
  </conditionalFormatting>
  <conditionalFormatting sqref="D15:D21 D23:D30 D32:D34 D36:D43">
    <cfRule type="cellIs" dxfId="208" priority="1" operator="lessThan">
      <formula>-0.01</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1E13A5-BE52-4A42-96BF-790F2DE5BCC3}">
  <sheetPr codeName="Sheet5"/>
  <dimension ref="A1:AZ49"/>
  <sheetViews>
    <sheetView showGridLines="0" workbookViewId="0">
      <pane xSplit="1" ySplit="6" topLeftCell="B7" activePane="bottomRight" state="frozen"/>
      <selection pane="topRight" activeCell="B1" sqref="B1"/>
      <selection pane="bottomLeft" activeCell="A7" sqref="A7"/>
      <selection pane="bottomRight"/>
    </sheetView>
  </sheetViews>
  <sheetFormatPr defaultRowHeight="14.4" outlineLevelCol="1"/>
  <cols>
    <col min="1" max="1" width="32.44140625" bestFit="1" customWidth="1"/>
    <col min="2" max="2" width="16.77734375" customWidth="1"/>
    <col min="3" max="5" width="13.44140625" style="57" hidden="1" customWidth="1" outlineLevel="1"/>
    <col min="6" max="6" width="16.77734375" customWidth="1" collapsed="1"/>
    <col min="7" max="9" width="13.44140625" style="57" hidden="1" customWidth="1" outlineLevel="1"/>
    <col min="10" max="10" width="16.77734375" customWidth="1" collapsed="1"/>
    <col min="11" max="13" width="13.44140625" style="57" hidden="1" customWidth="1" outlineLevel="1"/>
    <col min="14" max="14" width="16.77734375" customWidth="1" collapsed="1"/>
    <col min="15" max="17" width="13.44140625" style="57" hidden="1" customWidth="1" outlineLevel="1"/>
    <col min="18" max="18" width="16.77734375" customWidth="1" collapsed="1"/>
    <col min="19" max="21" width="13.44140625" style="57" hidden="1" customWidth="1" outlineLevel="1"/>
    <col min="22" max="22" width="16.77734375" customWidth="1" collapsed="1"/>
    <col min="23" max="25" width="13.44140625" style="57" hidden="1" customWidth="1" outlineLevel="1"/>
    <col min="26" max="26" width="8.88671875" collapsed="1"/>
  </cols>
  <sheetData>
    <row r="1" spans="1:52" ht="15.6">
      <c r="A1" s="68" t="s">
        <v>790</v>
      </c>
      <c r="B1" s="46"/>
      <c r="C1" s="46"/>
      <c r="D1" s="46"/>
      <c r="E1" s="46"/>
      <c r="F1" s="46"/>
      <c r="G1" s="46"/>
      <c r="H1" s="46"/>
      <c r="I1" s="46"/>
      <c r="J1" s="46"/>
      <c r="K1" s="46"/>
      <c r="L1" s="46"/>
      <c r="M1" s="46"/>
      <c r="N1" s="46"/>
      <c r="O1" s="46"/>
      <c r="P1" s="46"/>
      <c r="Q1" s="46"/>
      <c r="R1" s="46"/>
      <c r="V1" s="46"/>
      <c r="W1" s="46"/>
      <c r="X1" s="46"/>
      <c r="Y1" s="46"/>
    </row>
    <row r="2" spans="1:52" ht="15.6">
      <c r="A2" s="69" t="s">
        <v>395</v>
      </c>
      <c r="B2" s="47"/>
      <c r="C2" s="47"/>
      <c r="D2" s="47"/>
      <c r="E2" s="47"/>
      <c r="F2" s="47"/>
      <c r="G2" s="47"/>
      <c r="H2" s="47"/>
      <c r="I2" s="47"/>
      <c r="J2" s="47"/>
      <c r="K2" s="47"/>
      <c r="L2" s="47"/>
      <c r="M2" s="47"/>
      <c r="N2" s="47"/>
      <c r="O2" s="47"/>
      <c r="P2" s="47"/>
      <c r="Q2" s="47"/>
      <c r="R2" s="47"/>
      <c r="V2" s="47"/>
      <c r="W2" s="47"/>
      <c r="X2" s="47"/>
      <c r="Y2" s="47"/>
    </row>
    <row r="3" spans="1:52">
      <c r="A3" s="136"/>
      <c r="B3" s="61" t="s">
        <v>589</v>
      </c>
      <c r="C3" s="50" t="s">
        <v>572</v>
      </c>
      <c r="D3" s="50" t="s">
        <v>572</v>
      </c>
      <c r="E3" s="50" t="s">
        <v>572</v>
      </c>
      <c r="F3" s="61" t="s">
        <v>573</v>
      </c>
      <c r="G3" s="50" t="s">
        <v>573</v>
      </c>
      <c r="H3" s="50" t="s">
        <v>573</v>
      </c>
      <c r="I3" s="50" t="s">
        <v>573</v>
      </c>
      <c r="J3" s="61" t="s">
        <v>575</v>
      </c>
      <c r="K3" s="50" t="s">
        <v>575</v>
      </c>
      <c r="L3" s="50" t="s">
        <v>575</v>
      </c>
      <c r="M3" s="50" t="s">
        <v>575</v>
      </c>
      <c r="N3" s="61" t="s">
        <v>576</v>
      </c>
      <c r="O3" s="50" t="s">
        <v>576</v>
      </c>
      <c r="P3" s="50" t="s">
        <v>576</v>
      </c>
      <c r="Q3" s="50" t="s">
        <v>576</v>
      </c>
      <c r="R3" s="61" t="s">
        <v>577</v>
      </c>
      <c r="S3" s="38" t="s">
        <v>577</v>
      </c>
      <c r="T3" s="38" t="s">
        <v>577</v>
      </c>
      <c r="U3" s="38" t="s">
        <v>577</v>
      </c>
      <c r="V3" s="61" t="s">
        <v>585</v>
      </c>
      <c r="W3" s="38" t="s">
        <v>585</v>
      </c>
      <c r="X3" s="38" t="s">
        <v>585</v>
      </c>
      <c r="Y3" s="38" t="s">
        <v>585</v>
      </c>
      <c r="Z3" s="136"/>
      <c r="AA3" s="136"/>
      <c r="AB3" s="136"/>
      <c r="AC3" s="136"/>
      <c r="AD3" s="136"/>
      <c r="AE3" s="136"/>
      <c r="AF3" s="136"/>
      <c r="AG3" s="136"/>
      <c r="AH3" s="136"/>
      <c r="AI3" s="136"/>
      <c r="AJ3" s="136"/>
      <c r="AK3" s="136"/>
      <c r="AL3" s="136"/>
      <c r="AM3" s="136"/>
      <c r="AN3" s="136"/>
      <c r="AO3" s="136"/>
      <c r="AP3" s="136"/>
      <c r="AQ3" s="136"/>
      <c r="AR3" s="136"/>
      <c r="AS3" s="136"/>
      <c r="AT3" s="136"/>
      <c r="AU3" s="136"/>
      <c r="AV3" s="136"/>
      <c r="AW3" s="136"/>
      <c r="AX3" s="136"/>
      <c r="AY3" s="136"/>
      <c r="AZ3" s="136"/>
    </row>
    <row r="4" spans="1:52">
      <c r="A4" s="16"/>
      <c r="B4" s="31" t="str">
        <f>_xlfn.CONCAT("FY ",rngFY+rngYRS)</f>
        <v>FY 19</v>
      </c>
      <c r="C4" s="51" t="s">
        <v>555</v>
      </c>
      <c r="D4" s="51" t="s">
        <v>555</v>
      </c>
      <c r="E4" s="51" t="s">
        <v>555</v>
      </c>
      <c r="F4" s="31" t="s">
        <v>788</v>
      </c>
      <c r="G4" s="31" t="s">
        <v>789</v>
      </c>
      <c r="H4" s="31" t="s">
        <v>789</v>
      </c>
      <c r="I4" s="31" t="s">
        <v>789</v>
      </c>
      <c r="J4" s="31" t="s">
        <v>788</v>
      </c>
      <c r="K4" s="31" t="s">
        <v>789</v>
      </c>
      <c r="L4" s="31" t="s">
        <v>789</v>
      </c>
      <c r="M4" s="31" t="s">
        <v>789</v>
      </c>
      <c r="N4" s="31" t="s">
        <v>788</v>
      </c>
      <c r="O4" s="31" t="s">
        <v>789</v>
      </c>
      <c r="P4" s="31" t="s">
        <v>789</v>
      </c>
      <c r="Q4" s="31" t="s">
        <v>789</v>
      </c>
      <c r="R4" s="31" t="s">
        <v>788</v>
      </c>
      <c r="S4" s="31" t="s">
        <v>789</v>
      </c>
      <c r="T4" s="31" t="s">
        <v>789</v>
      </c>
      <c r="U4" s="31" t="s">
        <v>789</v>
      </c>
      <c r="V4" s="31" t="s">
        <v>574</v>
      </c>
      <c r="W4" s="31" t="s">
        <v>584</v>
      </c>
      <c r="X4" s="31" t="s">
        <v>584</v>
      </c>
      <c r="Y4" s="31" t="s">
        <v>584</v>
      </c>
    </row>
    <row r="5" spans="1:52">
      <c r="A5" s="17"/>
      <c r="B5" s="31"/>
      <c r="C5" s="51" t="s">
        <v>587</v>
      </c>
      <c r="D5" s="51" t="s">
        <v>586</v>
      </c>
      <c r="E5" s="51" t="s">
        <v>590</v>
      </c>
      <c r="F5" s="31"/>
      <c r="G5" s="51" t="s">
        <v>587</v>
      </c>
      <c r="H5" s="51" t="s">
        <v>586</v>
      </c>
      <c r="I5" s="51" t="s">
        <v>590</v>
      </c>
      <c r="J5" s="31"/>
      <c r="K5" s="51" t="s">
        <v>587</v>
      </c>
      <c r="L5" s="51" t="s">
        <v>586</v>
      </c>
      <c r="M5" s="51" t="s">
        <v>590</v>
      </c>
      <c r="N5" s="31"/>
      <c r="O5" s="51" t="s">
        <v>587</v>
      </c>
      <c r="P5" s="51" t="s">
        <v>586</v>
      </c>
      <c r="Q5" s="51" t="s">
        <v>590</v>
      </c>
      <c r="R5" s="31"/>
      <c r="S5" s="31" t="s">
        <v>587</v>
      </c>
      <c r="T5" s="31" t="s">
        <v>586</v>
      </c>
      <c r="U5" s="31" t="s">
        <v>590</v>
      </c>
      <c r="V5" s="31"/>
      <c r="W5" s="31" t="s">
        <v>587</v>
      </c>
      <c r="X5" s="31" t="s">
        <v>586</v>
      </c>
      <c r="Y5" s="31" t="s">
        <v>590</v>
      </c>
    </row>
    <row r="6" spans="1:52">
      <c r="A6" s="70"/>
      <c r="B6" s="62"/>
      <c r="C6" s="53"/>
      <c r="D6" s="53"/>
      <c r="E6" s="53"/>
      <c r="F6" s="62"/>
      <c r="G6" s="53"/>
      <c r="H6" s="53"/>
      <c r="I6" s="53"/>
      <c r="J6" s="62"/>
      <c r="K6" s="53"/>
      <c r="L6" s="53"/>
      <c r="M6" s="53"/>
      <c r="N6" s="62"/>
      <c r="O6" s="53"/>
      <c r="P6" s="53"/>
      <c r="Q6" s="53"/>
      <c r="R6" s="62"/>
      <c r="S6" s="62"/>
      <c r="T6" s="62"/>
      <c r="U6" s="62"/>
      <c r="V6" s="62"/>
      <c r="W6" s="62"/>
      <c r="X6" s="62"/>
      <c r="Y6" s="62"/>
    </row>
    <row r="7" spans="1:52">
      <c r="A7" s="18" t="s">
        <v>556</v>
      </c>
      <c r="B7" s="63"/>
      <c r="C7" s="58"/>
      <c r="D7" s="58"/>
      <c r="E7" s="58"/>
      <c r="F7" s="63"/>
      <c r="G7" s="58"/>
      <c r="H7" s="58"/>
      <c r="I7" s="58"/>
      <c r="J7" s="63"/>
      <c r="K7" s="58"/>
      <c r="L7" s="58"/>
      <c r="M7" s="58"/>
      <c r="N7" s="63"/>
      <c r="O7" s="58"/>
      <c r="P7" s="58"/>
      <c r="Q7" s="58"/>
      <c r="R7" s="63"/>
      <c r="S7" s="63"/>
      <c r="T7" s="63"/>
      <c r="U7" s="63"/>
      <c r="V7" s="63"/>
      <c r="W7" s="63"/>
      <c r="X7" s="63"/>
      <c r="Y7" s="63"/>
    </row>
    <row r="8" spans="1:52">
      <c r="A8" s="40" t="s">
        <v>557</v>
      </c>
      <c r="B8" s="39">
        <v>-10466</v>
      </c>
      <c r="C8" s="54">
        <v>-10441</v>
      </c>
      <c r="D8" s="89">
        <v>-10441</v>
      </c>
      <c r="E8" s="86">
        <v>-10432</v>
      </c>
      <c r="F8" s="72">
        <v>-5218.9478099999997</v>
      </c>
      <c r="G8" s="54">
        <v>-5220</v>
      </c>
      <c r="H8" s="89">
        <v>-5221</v>
      </c>
      <c r="I8" s="86">
        <v>-5216</v>
      </c>
      <c r="J8" s="72">
        <v>0</v>
      </c>
      <c r="K8" s="54">
        <v>0</v>
      </c>
      <c r="L8" s="89">
        <v>0</v>
      </c>
      <c r="M8" s="86">
        <v>0</v>
      </c>
      <c r="N8" s="72">
        <v>-5218.9478099999997</v>
      </c>
      <c r="O8" s="54">
        <v>-5221</v>
      </c>
      <c r="P8" s="89">
        <v>-5220</v>
      </c>
      <c r="Q8" s="86">
        <v>-5216</v>
      </c>
      <c r="R8" s="72">
        <v>0</v>
      </c>
      <c r="S8" s="22">
        <v>0</v>
      </c>
      <c r="T8" s="82">
        <v>0</v>
      </c>
      <c r="U8" s="78">
        <v>0</v>
      </c>
      <c r="V8" s="39">
        <v>-10437.895619999999</v>
      </c>
      <c r="W8" s="22">
        <f t="shared" ref="W8:Y11" si="0">SUM(G8,K8,O8,S8)</f>
        <v>-10441</v>
      </c>
      <c r="X8" s="82">
        <f t="shared" si="0"/>
        <v>-10441</v>
      </c>
      <c r="Y8" s="78">
        <f t="shared" si="0"/>
        <v>-10432</v>
      </c>
    </row>
    <row r="9" spans="1:52">
      <c r="A9" s="41" t="s">
        <v>558</v>
      </c>
      <c r="B9" s="39">
        <v>0</v>
      </c>
      <c r="C9" s="55">
        <v>0</v>
      </c>
      <c r="D9" s="90">
        <v>0</v>
      </c>
      <c r="E9" s="87">
        <v>0</v>
      </c>
      <c r="F9" s="72">
        <v>0</v>
      </c>
      <c r="G9" s="55">
        <v>0</v>
      </c>
      <c r="H9" s="90">
        <v>0</v>
      </c>
      <c r="I9" s="87">
        <v>0</v>
      </c>
      <c r="J9" s="72">
        <v>0</v>
      </c>
      <c r="K9" s="55">
        <v>0</v>
      </c>
      <c r="L9" s="90">
        <v>0</v>
      </c>
      <c r="M9" s="87">
        <v>0</v>
      </c>
      <c r="N9" s="72">
        <v>0</v>
      </c>
      <c r="O9" s="55">
        <v>0</v>
      </c>
      <c r="P9" s="90">
        <v>0</v>
      </c>
      <c r="Q9" s="87">
        <v>0</v>
      </c>
      <c r="R9" s="72">
        <v>0</v>
      </c>
      <c r="S9" s="33">
        <v>0</v>
      </c>
      <c r="T9" s="83">
        <v>0</v>
      </c>
      <c r="U9" s="79">
        <v>0</v>
      </c>
      <c r="V9" s="39">
        <v>0</v>
      </c>
      <c r="W9" s="33">
        <f t="shared" si="0"/>
        <v>0</v>
      </c>
      <c r="X9" s="83">
        <f t="shared" si="0"/>
        <v>0</v>
      </c>
      <c r="Y9" s="79">
        <f t="shared" si="0"/>
        <v>0</v>
      </c>
    </row>
    <row r="10" spans="1:52">
      <c r="A10" s="41" t="s">
        <v>212</v>
      </c>
      <c r="B10" s="39">
        <v>0</v>
      </c>
      <c r="C10" s="55">
        <v>0</v>
      </c>
      <c r="D10" s="90">
        <v>0</v>
      </c>
      <c r="E10" s="87">
        <v>0</v>
      </c>
      <c r="F10" s="72">
        <v>0</v>
      </c>
      <c r="G10" s="55">
        <v>0</v>
      </c>
      <c r="H10" s="90">
        <v>0</v>
      </c>
      <c r="I10" s="87">
        <v>0</v>
      </c>
      <c r="J10" s="72">
        <v>0</v>
      </c>
      <c r="K10" s="55">
        <v>0</v>
      </c>
      <c r="L10" s="90">
        <v>0</v>
      </c>
      <c r="M10" s="87">
        <v>0</v>
      </c>
      <c r="N10" s="72">
        <v>0</v>
      </c>
      <c r="O10" s="55">
        <v>0</v>
      </c>
      <c r="P10" s="90">
        <v>0</v>
      </c>
      <c r="Q10" s="87">
        <v>0</v>
      </c>
      <c r="R10" s="72">
        <v>0</v>
      </c>
      <c r="S10" s="33">
        <v>0</v>
      </c>
      <c r="T10" s="83">
        <v>0</v>
      </c>
      <c r="U10" s="79">
        <v>0</v>
      </c>
      <c r="V10" s="39">
        <v>0</v>
      </c>
      <c r="W10" s="33">
        <f t="shared" si="0"/>
        <v>0</v>
      </c>
      <c r="X10" s="83">
        <f t="shared" si="0"/>
        <v>0</v>
      </c>
      <c r="Y10" s="79">
        <f t="shared" si="0"/>
        <v>0</v>
      </c>
    </row>
    <row r="11" spans="1:52">
      <c r="A11" s="42" t="s">
        <v>210</v>
      </c>
      <c r="B11" s="64">
        <v>0</v>
      </c>
      <c r="C11" s="55">
        <v>0</v>
      </c>
      <c r="D11" s="90">
        <v>0</v>
      </c>
      <c r="E11" s="87">
        <v>0</v>
      </c>
      <c r="F11" s="73">
        <v>0</v>
      </c>
      <c r="G11" s="55">
        <v>0</v>
      </c>
      <c r="H11" s="90">
        <v>0</v>
      </c>
      <c r="I11" s="87">
        <v>0</v>
      </c>
      <c r="J11" s="73">
        <v>0</v>
      </c>
      <c r="K11" s="55">
        <v>0</v>
      </c>
      <c r="L11" s="90">
        <v>0</v>
      </c>
      <c r="M11" s="87">
        <v>0</v>
      </c>
      <c r="N11" s="73">
        <v>0</v>
      </c>
      <c r="O11" s="55">
        <v>0</v>
      </c>
      <c r="P11" s="90">
        <v>0</v>
      </c>
      <c r="Q11" s="87">
        <v>0</v>
      </c>
      <c r="R11" s="73">
        <v>-649.99350000000004</v>
      </c>
      <c r="S11" s="33">
        <v>-1950</v>
      </c>
      <c r="T11" s="83">
        <v>0</v>
      </c>
      <c r="U11" s="79">
        <v>0</v>
      </c>
      <c r="V11" s="64">
        <v>-649.99350000000004</v>
      </c>
      <c r="W11" s="33">
        <f t="shared" si="0"/>
        <v>-1950</v>
      </c>
      <c r="X11" s="83">
        <f t="shared" si="0"/>
        <v>0</v>
      </c>
      <c r="Y11" s="79">
        <f t="shared" si="0"/>
        <v>0</v>
      </c>
    </row>
    <row r="12" spans="1:52" ht="16.2" thickBot="1">
      <c r="A12" s="43" t="s">
        <v>559</v>
      </c>
      <c r="B12" s="34">
        <f>SUM(B8:B11)</f>
        <v>-10466</v>
      </c>
      <c r="C12" s="52">
        <f t="shared" ref="C12:U12" si="1">SUM(C8:C11)</f>
        <v>-10441</v>
      </c>
      <c r="D12" s="52">
        <f t="shared" si="1"/>
        <v>-10441</v>
      </c>
      <c r="E12" s="52">
        <f t="shared" si="1"/>
        <v>-10432</v>
      </c>
      <c r="F12" s="34">
        <f t="shared" si="1"/>
        <v>-5218.9478099999997</v>
      </c>
      <c r="G12" s="52">
        <f t="shared" si="1"/>
        <v>-5220</v>
      </c>
      <c r="H12" s="52">
        <f t="shared" si="1"/>
        <v>-5221</v>
      </c>
      <c r="I12" s="52">
        <f t="shared" si="1"/>
        <v>-5216</v>
      </c>
      <c r="J12" s="34">
        <f t="shared" si="1"/>
        <v>0</v>
      </c>
      <c r="K12" s="52">
        <f t="shared" si="1"/>
        <v>0</v>
      </c>
      <c r="L12" s="52">
        <f t="shared" si="1"/>
        <v>0</v>
      </c>
      <c r="M12" s="52">
        <f t="shared" si="1"/>
        <v>0</v>
      </c>
      <c r="N12" s="34">
        <f t="shared" si="1"/>
        <v>-5218.9478099999997</v>
      </c>
      <c r="O12" s="52">
        <f t="shared" si="1"/>
        <v>-5221</v>
      </c>
      <c r="P12" s="52">
        <f t="shared" si="1"/>
        <v>-5220</v>
      </c>
      <c r="Q12" s="52">
        <f t="shared" si="1"/>
        <v>-5216</v>
      </c>
      <c r="R12" s="34">
        <f t="shared" si="1"/>
        <v>-649.99350000000004</v>
      </c>
      <c r="S12" s="34">
        <f t="shared" si="1"/>
        <v>-1950</v>
      </c>
      <c r="T12" s="34">
        <f t="shared" si="1"/>
        <v>0</v>
      </c>
      <c r="U12" s="34">
        <f t="shared" si="1"/>
        <v>0</v>
      </c>
      <c r="V12" s="34">
        <f>SUM(V8:V11)</f>
        <v>-11087.88912</v>
      </c>
      <c r="W12" s="34">
        <f t="shared" ref="W12:Y12" si="2">SUM(W8:W11)</f>
        <v>-12391</v>
      </c>
      <c r="X12" s="34">
        <f t="shared" si="2"/>
        <v>-10441</v>
      </c>
      <c r="Y12" s="34">
        <f t="shared" si="2"/>
        <v>-10432</v>
      </c>
    </row>
    <row r="13" spans="1:52" ht="15" thickTop="1">
      <c r="A13" s="67"/>
      <c r="B13" s="67"/>
      <c r="C13" s="67"/>
      <c r="D13" s="67"/>
      <c r="E13" s="67"/>
      <c r="F13" s="67"/>
      <c r="G13" s="67"/>
      <c r="H13" s="67"/>
      <c r="I13" s="67"/>
      <c r="J13" s="67"/>
      <c r="K13" s="67"/>
      <c r="L13" s="67"/>
      <c r="M13" s="67"/>
      <c r="N13" s="67"/>
      <c r="O13" s="67"/>
      <c r="P13" s="67"/>
      <c r="Q13" s="67"/>
      <c r="R13" s="67"/>
      <c r="S13" s="67"/>
      <c r="T13" s="67"/>
      <c r="U13" s="67"/>
      <c r="V13" s="67"/>
      <c r="W13" s="67"/>
      <c r="X13" s="67"/>
      <c r="Y13" s="67"/>
    </row>
    <row r="14" spans="1:52">
      <c r="A14" s="18" t="s">
        <v>560</v>
      </c>
      <c r="B14" s="20"/>
      <c r="C14" s="20"/>
      <c r="D14" s="20"/>
      <c r="E14" s="20"/>
      <c r="F14" s="20"/>
      <c r="G14" s="20"/>
      <c r="H14" s="20"/>
      <c r="I14" s="20"/>
      <c r="J14" s="20"/>
      <c r="K14" s="20"/>
      <c r="L14" s="20"/>
      <c r="M14" s="20"/>
      <c r="N14" s="20"/>
      <c r="O14" s="20"/>
      <c r="P14" s="20"/>
      <c r="Q14" s="20"/>
      <c r="R14" s="20"/>
      <c r="S14" s="20"/>
      <c r="T14" s="20"/>
      <c r="U14" s="20"/>
      <c r="V14" s="20"/>
      <c r="W14" s="20"/>
      <c r="X14" s="20"/>
      <c r="Y14" s="20"/>
    </row>
    <row r="15" spans="1:52">
      <c r="A15" s="40" t="s">
        <v>188</v>
      </c>
      <c r="B15" s="65">
        <v>0</v>
      </c>
      <c r="C15" s="54">
        <v>0</v>
      </c>
      <c r="D15" s="89">
        <v>0</v>
      </c>
      <c r="E15" s="86">
        <v>0</v>
      </c>
      <c r="F15" s="72">
        <v>0</v>
      </c>
      <c r="G15" s="54">
        <v>0</v>
      </c>
      <c r="H15" s="89">
        <v>0</v>
      </c>
      <c r="I15" s="86">
        <v>0</v>
      </c>
      <c r="J15" s="72">
        <v>0</v>
      </c>
      <c r="K15" s="54">
        <v>0</v>
      </c>
      <c r="L15" s="89">
        <v>0</v>
      </c>
      <c r="M15" s="86">
        <v>0</v>
      </c>
      <c r="N15" s="72">
        <v>0</v>
      </c>
      <c r="O15" s="54">
        <v>0</v>
      </c>
      <c r="P15" s="89">
        <v>0</v>
      </c>
      <c r="Q15" s="86">
        <v>0</v>
      </c>
      <c r="R15" s="72">
        <v>0</v>
      </c>
      <c r="S15" s="32">
        <v>0</v>
      </c>
      <c r="T15" s="84">
        <v>0</v>
      </c>
      <c r="U15" s="80">
        <v>0</v>
      </c>
      <c r="V15" s="65">
        <v>0</v>
      </c>
      <c r="W15" s="32">
        <f t="shared" ref="W15:Y20" si="3">SUM(G15,K15,O15,S15)</f>
        <v>0</v>
      </c>
      <c r="X15" s="84">
        <f t="shared" si="3"/>
        <v>0</v>
      </c>
      <c r="Y15" s="80">
        <f t="shared" si="3"/>
        <v>0</v>
      </c>
    </row>
    <row r="16" spans="1:52">
      <c r="A16" s="41" t="s">
        <v>181</v>
      </c>
      <c r="B16" s="39">
        <v>0</v>
      </c>
      <c r="C16" s="54">
        <v>0</v>
      </c>
      <c r="D16" s="89">
        <v>0</v>
      </c>
      <c r="E16" s="86">
        <v>0</v>
      </c>
      <c r="F16" s="72">
        <v>0</v>
      </c>
      <c r="G16" s="54">
        <v>0</v>
      </c>
      <c r="H16" s="89">
        <v>0</v>
      </c>
      <c r="I16" s="86">
        <v>0</v>
      </c>
      <c r="J16" s="72">
        <v>0</v>
      </c>
      <c r="K16" s="54">
        <v>0</v>
      </c>
      <c r="L16" s="89">
        <v>0</v>
      </c>
      <c r="M16" s="86">
        <v>0</v>
      </c>
      <c r="N16" s="72">
        <v>0</v>
      </c>
      <c r="O16" s="54">
        <v>0</v>
      </c>
      <c r="P16" s="89">
        <v>0</v>
      </c>
      <c r="Q16" s="86">
        <v>0</v>
      </c>
      <c r="R16" s="72">
        <v>0</v>
      </c>
      <c r="S16" s="22">
        <v>0</v>
      </c>
      <c r="T16" s="82">
        <v>0</v>
      </c>
      <c r="U16" s="78">
        <v>0</v>
      </c>
      <c r="V16" s="39">
        <v>0</v>
      </c>
      <c r="W16" s="22">
        <f t="shared" si="3"/>
        <v>0</v>
      </c>
      <c r="X16" s="82">
        <f t="shared" si="3"/>
        <v>0</v>
      </c>
      <c r="Y16" s="78">
        <f t="shared" si="3"/>
        <v>0</v>
      </c>
    </row>
    <row r="17" spans="1:25">
      <c r="A17" s="92" t="s">
        <v>174</v>
      </c>
      <c r="B17" s="93">
        <v>0</v>
      </c>
      <c r="C17" s="94">
        <v>0</v>
      </c>
      <c r="D17" s="100">
        <v>0</v>
      </c>
      <c r="E17" s="99">
        <v>0</v>
      </c>
      <c r="F17" s="95">
        <v>0</v>
      </c>
      <c r="G17" s="94">
        <v>0</v>
      </c>
      <c r="H17" s="100">
        <v>0</v>
      </c>
      <c r="I17" s="99">
        <v>0</v>
      </c>
      <c r="J17" s="95">
        <v>0</v>
      </c>
      <c r="K17" s="94">
        <v>0</v>
      </c>
      <c r="L17" s="100">
        <v>0</v>
      </c>
      <c r="M17" s="99">
        <v>0</v>
      </c>
      <c r="N17" s="95">
        <v>318.19681800000001</v>
      </c>
      <c r="O17" s="94">
        <v>954.6</v>
      </c>
      <c r="P17" s="100">
        <v>0</v>
      </c>
      <c r="Q17" s="99">
        <v>0</v>
      </c>
      <c r="R17" s="95">
        <v>-219.86446800000004</v>
      </c>
      <c r="S17" s="96">
        <v>-843.6</v>
      </c>
      <c r="T17" s="98">
        <v>0</v>
      </c>
      <c r="U17" s="97">
        <v>184</v>
      </c>
      <c r="V17" s="93">
        <v>98.332350000000005</v>
      </c>
      <c r="W17" s="96">
        <f t="shared" si="3"/>
        <v>111</v>
      </c>
      <c r="X17" s="98">
        <f t="shared" si="3"/>
        <v>0</v>
      </c>
      <c r="Y17" s="97">
        <f t="shared" si="3"/>
        <v>184</v>
      </c>
    </row>
    <row r="18" spans="1:25">
      <c r="A18" s="41" t="s">
        <v>146</v>
      </c>
      <c r="B18" s="39">
        <v>0</v>
      </c>
      <c r="C18" s="54">
        <v>0</v>
      </c>
      <c r="D18" s="89">
        <v>0</v>
      </c>
      <c r="E18" s="86">
        <v>0</v>
      </c>
      <c r="F18" s="72">
        <v>0</v>
      </c>
      <c r="G18" s="54">
        <v>0</v>
      </c>
      <c r="H18" s="89">
        <v>0</v>
      </c>
      <c r="I18" s="86">
        <v>0</v>
      </c>
      <c r="J18" s="72">
        <v>0</v>
      </c>
      <c r="K18" s="54">
        <v>0</v>
      </c>
      <c r="L18" s="89">
        <v>0</v>
      </c>
      <c r="M18" s="86">
        <v>0</v>
      </c>
      <c r="N18" s="72">
        <v>0</v>
      </c>
      <c r="O18" s="54">
        <v>0</v>
      </c>
      <c r="P18" s="89">
        <v>0</v>
      </c>
      <c r="Q18" s="86">
        <v>0</v>
      </c>
      <c r="R18" s="72">
        <v>0</v>
      </c>
      <c r="S18" s="22">
        <v>0</v>
      </c>
      <c r="T18" s="82">
        <v>0</v>
      </c>
      <c r="U18" s="78">
        <v>0</v>
      </c>
      <c r="V18" s="39">
        <v>0</v>
      </c>
      <c r="W18" s="22">
        <f t="shared" si="3"/>
        <v>0</v>
      </c>
      <c r="X18" s="82">
        <f t="shared" si="3"/>
        <v>0</v>
      </c>
      <c r="Y18" s="78">
        <f t="shared" si="3"/>
        <v>0</v>
      </c>
    </row>
    <row r="19" spans="1:25">
      <c r="A19" s="41" t="s">
        <v>139</v>
      </c>
      <c r="B19" s="39">
        <v>0</v>
      </c>
      <c r="C19" s="54">
        <v>0</v>
      </c>
      <c r="D19" s="89">
        <v>0</v>
      </c>
      <c r="E19" s="86">
        <v>0</v>
      </c>
      <c r="F19" s="72">
        <v>0</v>
      </c>
      <c r="G19" s="54">
        <v>0</v>
      </c>
      <c r="H19" s="89">
        <v>0</v>
      </c>
      <c r="I19" s="86">
        <v>0</v>
      </c>
      <c r="J19" s="72">
        <v>0</v>
      </c>
      <c r="K19" s="54">
        <v>0</v>
      </c>
      <c r="L19" s="89">
        <v>0</v>
      </c>
      <c r="M19" s="86">
        <v>0</v>
      </c>
      <c r="N19" s="72">
        <v>0</v>
      </c>
      <c r="O19" s="54">
        <v>0</v>
      </c>
      <c r="P19" s="89">
        <v>0</v>
      </c>
      <c r="Q19" s="86">
        <v>0</v>
      </c>
      <c r="R19" s="72">
        <v>0</v>
      </c>
      <c r="S19" s="22">
        <v>0</v>
      </c>
      <c r="T19" s="82">
        <v>0</v>
      </c>
      <c r="U19" s="78">
        <v>0</v>
      </c>
      <c r="V19" s="39">
        <v>0</v>
      </c>
      <c r="W19" s="22">
        <f t="shared" si="3"/>
        <v>0</v>
      </c>
      <c r="X19" s="82">
        <f t="shared" si="3"/>
        <v>0</v>
      </c>
      <c r="Y19" s="78">
        <f t="shared" si="3"/>
        <v>0</v>
      </c>
    </row>
    <row r="20" spans="1:25">
      <c r="A20" s="42" t="s">
        <v>129</v>
      </c>
      <c r="B20" s="64">
        <v>0</v>
      </c>
      <c r="C20" s="59">
        <v>0</v>
      </c>
      <c r="D20" s="91">
        <v>0</v>
      </c>
      <c r="E20" s="88">
        <v>0</v>
      </c>
      <c r="F20" s="73">
        <v>0</v>
      </c>
      <c r="G20" s="59">
        <v>0</v>
      </c>
      <c r="H20" s="91">
        <v>0</v>
      </c>
      <c r="I20" s="88">
        <v>0</v>
      </c>
      <c r="J20" s="73">
        <v>0</v>
      </c>
      <c r="K20" s="59">
        <v>0</v>
      </c>
      <c r="L20" s="91">
        <v>0</v>
      </c>
      <c r="M20" s="88">
        <v>0</v>
      </c>
      <c r="N20" s="73">
        <v>3.1833015000000002</v>
      </c>
      <c r="O20" s="59">
        <v>9.5500000000000007</v>
      </c>
      <c r="P20" s="91">
        <v>0</v>
      </c>
      <c r="Q20" s="88">
        <v>0</v>
      </c>
      <c r="R20" s="73">
        <v>-2.1399786000000001</v>
      </c>
      <c r="S20" s="35">
        <v>-8.44</v>
      </c>
      <c r="T20" s="85">
        <v>0</v>
      </c>
      <c r="U20" s="81">
        <v>2.02</v>
      </c>
      <c r="V20" s="64">
        <v>1.0433229000000004</v>
      </c>
      <c r="W20" s="35">
        <f t="shared" si="3"/>
        <v>1.1100000000000012</v>
      </c>
      <c r="X20" s="85">
        <f t="shared" si="3"/>
        <v>0</v>
      </c>
      <c r="Y20" s="81">
        <f t="shared" si="3"/>
        <v>2.02</v>
      </c>
    </row>
    <row r="21" spans="1:25">
      <c r="A21" s="23" t="s">
        <v>561</v>
      </c>
      <c r="B21" s="27">
        <f t="shared" ref="B21:Y21" si="4">SUM(B15:B20)</f>
        <v>0</v>
      </c>
      <c r="C21" s="60">
        <f t="shared" si="4"/>
        <v>0</v>
      </c>
      <c r="D21" s="60">
        <f t="shared" si="4"/>
        <v>0</v>
      </c>
      <c r="E21" s="60">
        <f t="shared" si="4"/>
        <v>0</v>
      </c>
      <c r="F21" s="27">
        <f t="shared" si="4"/>
        <v>0</v>
      </c>
      <c r="G21" s="56">
        <f t="shared" si="4"/>
        <v>0</v>
      </c>
      <c r="H21" s="56">
        <f t="shared" si="4"/>
        <v>0</v>
      </c>
      <c r="I21" s="56">
        <f t="shared" si="4"/>
        <v>0</v>
      </c>
      <c r="J21" s="27">
        <f t="shared" si="4"/>
        <v>0</v>
      </c>
      <c r="K21" s="60">
        <f t="shared" si="4"/>
        <v>0</v>
      </c>
      <c r="L21" s="60">
        <f t="shared" si="4"/>
        <v>0</v>
      </c>
      <c r="M21" s="60">
        <f t="shared" si="4"/>
        <v>0</v>
      </c>
      <c r="N21" s="27">
        <f t="shared" si="4"/>
        <v>321.38011950000003</v>
      </c>
      <c r="O21" s="60">
        <f t="shared" si="4"/>
        <v>964.15</v>
      </c>
      <c r="P21" s="60">
        <f t="shared" si="4"/>
        <v>0</v>
      </c>
      <c r="Q21" s="60">
        <f t="shared" si="4"/>
        <v>0</v>
      </c>
      <c r="R21" s="27">
        <f t="shared" si="4"/>
        <v>-222.00444660000005</v>
      </c>
      <c r="S21" s="36">
        <f t="shared" si="4"/>
        <v>-852.04000000000008</v>
      </c>
      <c r="T21" s="36">
        <f t="shared" si="4"/>
        <v>0</v>
      </c>
      <c r="U21" s="36">
        <f t="shared" si="4"/>
        <v>186.02</v>
      </c>
      <c r="V21" s="27">
        <f t="shared" si="4"/>
        <v>99.375672900000012</v>
      </c>
      <c r="W21" s="36">
        <f t="shared" si="4"/>
        <v>112.11</v>
      </c>
      <c r="X21" s="36">
        <f t="shared" si="4"/>
        <v>0</v>
      </c>
      <c r="Y21" s="36">
        <f t="shared" si="4"/>
        <v>186.02</v>
      </c>
    </row>
    <row r="22" spans="1:25">
      <c r="A22" s="24" t="s">
        <v>562</v>
      </c>
      <c r="B22" s="25"/>
      <c r="C22" s="25"/>
      <c r="D22" s="25"/>
      <c r="E22" s="25"/>
      <c r="F22" s="25"/>
      <c r="G22" s="25"/>
      <c r="H22" s="25"/>
      <c r="I22" s="25"/>
      <c r="J22" s="25"/>
      <c r="K22" s="25"/>
      <c r="L22" s="25"/>
      <c r="M22" s="25"/>
      <c r="N22" s="25"/>
      <c r="O22" s="25"/>
      <c r="P22" s="25"/>
      <c r="Q22" s="25"/>
      <c r="R22" s="25"/>
      <c r="S22" s="25"/>
      <c r="T22" s="25"/>
      <c r="U22" s="25"/>
      <c r="V22" s="25"/>
      <c r="W22" s="25"/>
      <c r="X22" s="25"/>
      <c r="Y22" s="25"/>
    </row>
    <row r="23" spans="1:25">
      <c r="A23" s="40" t="s">
        <v>127</v>
      </c>
      <c r="B23" s="65">
        <v>9800</v>
      </c>
      <c r="C23" s="54">
        <v>9800</v>
      </c>
      <c r="D23" s="89">
        <v>9800</v>
      </c>
      <c r="E23" s="86">
        <v>9800</v>
      </c>
      <c r="F23" s="72">
        <v>0</v>
      </c>
      <c r="G23" s="54">
        <v>0</v>
      </c>
      <c r="H23" s="89">
        <v>0</v>
      </c>
      <c r="I23" s="86">
        <v>0</v>
      </c>
      <c r="J23" s="72">
        <v>0</v>
      </c>
      <c r="K23" s="54">
        <v>0</v>
      </c>
      <c r="L23" s="89">
        <v>0</v>
      </c>
      <c r="M23" s="86">
        <v>0</v>
      </c>
      <c r="N23" s="72">
        <v>0</v>
      </c>
      <c r="O23" s="54">
        <v>0</v>
      </c>
      <c r="P23" s="89">
        <v>0</v>
      </c>
      <c r="Q23" s="86">
        <v>0</v>
      </c>
      <c r="R23" s="72">
        <v>0</v>
      </c>
      <c r="S23" s="32">
        <v>0</v>
      </c>
      <c r="T23" s="84">
        <v>0</v>
      </c>
      <c r="U23" s="80">
        <v>0</v>
      </c>
      <c r="V23" s="65">
        <v>0</v>
      </c>
      <c r="W23" s="32">
        <f t="shared" ref="W23:Y29" si="5">SUM(G23,K23,O23,S23)</f>
        <v>0</v>
      </c>
      <c r="X23" s="84">
        <f t="shared" si="5"/>
        <v>0</v>
      </c>
      <c r="Y23" s="80">
        <f t="shared" si="5"/>
        <v>0</v>
      </c>
    </row>
    <row r="24" spans="1:25">
      <c r="A24" s="41" t="s">
        <v>120</v>
      </c>
      <c r="B24" s="39">
        <v>0</v>
      </c>
      <c r="C24" s="54">
        <v>0</v>
      </c>
      <c r="D24" s="89">
        <v>0</v>
      </c>
      <c r="E24" s="86">
        <v>0</v>
      </c>
      <c r="F24" s="72">
        <v>0</v>
      </c>
      <c r="G24" s="54">
        <v>0</v>
      </c>
      <c r="H24" s="89">
        <v>0</v>
      </c>
      <c r="I24" s="86">
        <v>0</v>
      </c>
      <c r="J24" s="72">
        <v>0</v>
      </c>
      <c r="K24" s="54">
        <v>0</v>
      </c>
      <c r="L24" s="89">
        <v>0</v>
      </c>
      <c r="M24" s="86">
        <v>0</v>
      </c>
      <c r="N24" s="72">
        <v>0</v>
      </c>
      <c r="O24" s="54">
        <v>0</v>
      </c>
      <c r="P24" s="89">
        <v>0</v>
      </c>
      <c r="Q24" s="86">
        <v>0</v>
      </c>
      <c r="R24" s="72">
        <v>0</v>
      </c>
      <c r="S24" s="22">
        <v>0</v>
      </c>
      <c r="T24" s="82">
        <v>0</v>
      </c>
      <c r="U24" s="78">
        <v>0</v>
      </c>
      <c r="V24" s="39">
        <v>0</v>
      </c>
      <c r="W24" s="22">
        <f t="shared" si="5"/>
        <v>0</v>
      </c>
      <c r="X24" s="82">
        <f t="shared" si="5"/>
        <v>0</v>
      </c>
      <c r="Y24" s="78">
        <f t="shared" si="5"/>
        <v>0</v>
      </c>
    </row>
    <row r="25" spans="1:25">
      <c r="A25" s="41" t="s">
        <v>107</v>
      </c>
      <c r="B25" s="39">
        <v>0</v>
      </c>
      <c r="C25" s="54">
        <v>0</v>
      </c>
      <c r="D25" s="89">
        <v>0</v>
      </c>
      <c r="E25" s="86">
        <v>0</v>
      </c>
      <c r="F25" s="72">
        <v>0</v>
      </c>
      <c r="G25" s="54">
        <v>0</v>
      </c>
      <c r="H25" s="89">
        <v>0</v>
      </c>
      <c r="I25" s="86">
        <v>0</v>
      </c>
      <c r="J25" s="72">
        <v>7.0765959000000001</v>
      </c>
      <c r="K25" s="54">
        <v>0</v>
      </c>
      <c r="L25" s="89">
        <v>21.23</v>
      </c>
      <c r="M25" s="86">
        <v>0</v>
      </c>
      <c r="N25" s="72">
        <v>0</v>
      </c>
      <c r="O25" s="54">
        <v>0</v>
      </c>
      <c r="P25" s="89">
        <v>0</v>
      </c>
      <c r="Q25" s="86">
        <v>0</v>
      </c>
      <c r="R25" s="72">
        <v>4010.4432284999998</v>
      </c>
      <c r="S25" s="22">
        <v>1950</v>
      </c>
      <c r="T25" s="82">
        <v>5086.45</v>
      </c>
      <c r="U25" s="78">
        <v>4995</v>
      </c>
      <c r="V25" s="39">
        <v>4017.5198243999998</v>
      </c>
      <c r="W25" s="22">
        <f t="shared" si="5"/>
        <v>1950</v>
      </c>
      <c r="X25" s="82">
        <f t="shared" si="5"/>
        <v>5107.6799999999994</v>
      </c>
      <c r="Y25" s="78">
        <f t="shared" si="5"/>
        <v>4995</v>
      </c>
    </row>
    <row r="26" spans="1:25">
      <c r="A26" s="41" t="s">
        <v>104</v>
      </c>
      <c r="B26" s="39">
        <v>0</v>
      </c>
      <c r="C26" s="54">
        <v>0</v>
      </c>
      <c r="D26" s="89">
        <v>0</v>
      </c>
      <c r="E26" s="86">
        <v>0</v>
      </c>
      <c r="F26" s="72">
        <v>0</v>
      </c>
      <c r="G26" s="54">
        <v>0</v>
      </c>
      <c r="H26" s="89">
        <v>0</v>
      </c>
      <c r="I26" s="86">
        <v>0</v>
      </c>
      <c r="J26" s="72">
        <v>394.40938919999996</v>
      </c>
      <c r="K26" s="54">
        <v>724.27</v>
      </c>
      <c r="L26" s="89">
        <v>82.4</v>
      </c>
      <c r="M26" s="86">
        <v>376.57</v>
      </c>
      <c r="N26" s="72">
        <v>489.48510510000006</v>
      </c>
      <c r="O26" s="54">
        <v>206.78</v>
      </c>
      <c r="P26" s="89">
        <v>291.69</v>
      </c>
      <c r="Q26" s="86">
        <v>970</v>
      </c>
      <c r="R26" s="72">
        <v>1859.3214066</v>
      </c>
      <c r="S26" s="22">
        <v>2643.76</v>
      </c>
      <c r="T26" s="82">
        <v>1363.91</v>
      </c>
      <c r="U26" s="78">
        <v>1570.35</v>
      </c>
      <c r="V26" s="39">
        <v>2743.2159009000002</v>
      </c>
      <c r="W26" s="22">
        <f t="shared" si="5"/>
        <v>3574.8100000000004</v>
      </c>
      <c r="X26" s="82">
        <f t="shared" si="5"/>
        <v>1738</v>
      </c>
      <c r="Y26" s="78">
        <f t="shared" si="5"/>
        <v>2916.92</v>
      </c>
    </row>
    <row r="27" spans="1:25">
      <c r="A27" s="41" t="s">
        <v>102</v>
      </c>
      <c r="B27" s="39">
        <v>0</v>
      </c>
      <c r="C27" s="54">
        <v>0</v>
      </c>
      <c r="D27" s="89">
        <v>0</v>
      </c>
      <c r="E27" s="86">
        <v>0</v>
      </c>
      <c r="F27" s="72">
        <v>0</v>
      </c>
      <c r="G27" s="54">
        <v>0</v>
      </c>
      <c r="H27" s="89">
        <v>0</v>
      </c>
      <c r="I27" s="86">
        <v>0</v>
      </c>
      <c r="J27" s="72">
        <v>145.66521</v>
      </c>
      <c r="K27" s="54">
        <v>72</v>
      </c>
      <c r="L27" s="89">
        <v>365</v>
      </c>
      <c r="M27" s="86">
        <v>0</v>
      </c>
      <c r="N27" s="72">
        <v>0</v>
      </c>
      <c r="O27" s="54">
        <v>0</v>
      </c>
      <c r="P27" s="89">
        <v>0</v>
      </c>
      <c r="Q27" s="86">
        <v>0</v>
      </c>
      <c r="R27" s="72">
        <v>0</v>
      </c>
      <c r="S27" s="22">
        <v>0</v>
      </c>
      <c r="T27" s="82">
        <v>0</v>
      </c>
      <c r="U27" s="78">
        <v>0</v>
      </c>
      <c r="V27" s="39">
        <v>145.66521</v>
      </c>
      <c r="W27" s="22">
        <f t="shared" si="5"/>
        <v>72</v>
      </c>
      <c r="X27" s="82">
        <f t="shared" si="5"/>
        <v>365</v>
      </c>
      <c r="Y27" s="78">
        <f t="shared" si="5"/>
        <v>0</v>
      </c>
    </row>
    <row r="28" spans="1:25">
      <c r="A28" s="41" t="s">
        <v>98</v>
      </c>
      <c r="B28" s="39">
        <v>0</v>
      </c>
      <c r="C28" s="54">
        <v>0</v>
      </c>
      <c r="D28" s="89">
        <v>0</v>
      </c>
      <c r="E28" s="86">
        <v>0</v>
      </c>
      <c r="F28" s="72">
        <v>3.9199608000000001</v>
      </c>
      <c r="G28" s="54">
        <v>11.76</v>
      </c>
      <c r="H28" s="89">
        <v>0</v>
      </c>
      <c r="I28" s="86">
        <v>0</v>
      </c>
      <c r="J28" s="72">
        <v>354.46978860000002</v>
      </c>
      <c r="K28" s="54">
        <v>15.83</v>
      </c>
      <c r="L28" s="89">
        <v>374.4</v>
      </c>
      <c r="M28" s="86">
        <v>673.19</v>
      </c>
      <c r="N28" s="72">
        <v>240.17759820000001</v>
      </c>
      <c r="O28" s="54">
        <v>60.31</v>
      </c>
      <c r="P28" s="89">
        <v>660.23</v>
      </c>
      <c r="Q28" s="86">
        <v>0</v>
      </c>
      <c r="R28" s="72">
        <v>260.95739040000001</v>
      </c>
      <c r="S28" s="22">
        <v>159.03</v>
      </c>
      <c r="T28" s="82">
        <v>623.85</v>
      </c>
      <c r="U28" s="78">
        <v>0</v>
      </c>
      <c r="V28" s="39">
        <v>859.52473800000007</v>
      </c>
      <c r="W28" s="22">
        <f t="shared" si="5"/>
        <v>246.93</v>
      </c>
      <c r="X28" s="82">
        <f t="shared" si="5"/>
        <v>1658.48</v>
      </c>
      <c r="Y28" s="78">
        <f t="shared" si="5"/>
        <v>673.19</v>
      </c>
    </row>
    <row r="29" spans="1:25">
      <c r="A29" s="42" t="s">
        <v>84</v>
      </c>
      <c r="B29" s="64">
        <v>0</v>
      </c>
      <c r="C29" s="59">
        <v>0</v>
      </c>
      <c r="D29" s="91">
        <v>0</v>
      </c>
      <c r="E29" s="88">
        <v>0</v>
      </c>
      <c r="F29" s="73">
        <v>-30.666360000000001</v>
      </c>
      <c r="G29" s="59">
        <v>0</v>
      </c>
      <c r="H29" s="91">
        <v>-92</v>
      </c>
      <c r="I29" s="88">
        <v>0</v>
      </c>
      <c r="J29" s="73">
        <v>30.666360000000001</v>
      </c>
      <c r="K29" s="59">
        <v>0</v>
      </c>
      <c r="L29" s="91">
        <v>92</v>
      </c>
      <c r="M29" s="88">
        <v>0</v>
      </c>
      <c r="N29" s="73">
        <v>22.983103500000002</v>
      </c>
      <c r="O29" s="59">
        <v>0</v>
      </c>
      <c r="P29" s="91">
        <v>68.95</v>
      </c>
      <c r="Q29" s="88">
        <v>0</v>
      </c>
      <c r="R29" s="73">
        <v>162.82503840000001</v>
      </c>
      <c r="S29" s="35">
        <v>0</v>
      </c>
      <c r="T29" s="85">
        <v>0</v>
      </c>
      <c r="U29" s="81">
        <v>488.48</v>
      </c>
      <c r="V29" s="64">
        <v>185.80814190000001</v>
      </c>
      <c r="W29" s="35">
        <f t="shared" si="5"/>
        <v>0</v>
      </c>
      <c r="X29" s="85">
        <f t="shared" si="5"/>
        <v>68.95</v>
      </c>
      <c r="Y29" s="81">
        <f t="shared" si="5"/>
        <v>488.48</v>
      </c>
    </row>
    <row r="30" spans="1:25">
      <c r="A30" s="23" t="s">
        <v>563</v>
      </c>
      <c r="B30" s="27">
        <f t="shared" ref="B30:Y30" si="6">SUM(B23:B29)</f>
        <v>9800</v>
      </c>
      <c r="C30" s="60">
        <f t="shared" si="6"/>
        <v>9800</v>
      </c>
      <c r="D30" s="60">
        <f t="shared" si="6"/>
        <v>9800</v>
      </c>
      <c r="E30" s="60">
        <f t="shared" si="6"/>
        <v>9800</v>
      </c>
      <c r="F30" s="27">
        <f t="shared" si="6"/>
        <v>-26.746399199999999</v>
      </c>
      <c r="G30" s="60">
        <f t="shared" si="6"/>
        <v>11.76</v>
      </c>
      <c r="H30" s="60">
        <f t="shared" si="6"/>
        <v>-92</v>
      </c>
      <c r="I30" s="60">
        <f t="shared" si="6"/>
        <v>0</v>
      </c>
      <c r="J30" s="27">
        <f t="shared" si="6"/>
        <v>932.28734370000006</v>
      </c>
      <c r="K30" s="60">
        <f t="shared" si="6"/>
        <v>812.1</v>
      </c>
      <c r="L30" s="60">
        <f t="shared" si="6"/>
        <v>935.03</v>
      </c>
      <c r="M30" s="60">
        <f t="shared" si="6"/>
        <v>1049.76</v>
      </c>
      <c r="N30" s="27">
        <f t="shared" si="6"/>
        <v>752.64580680000006</v>
      </c>
      <c r="O30" s="60">
        <f t="shared" si="6"/>
        <v>267.09000000000003</v>
      </c>
      <c r="P30" s="60">
        <f t="shared" si="6"/>
        <v>1020.8700000000001</v>
      </c>
      <c r="Q30" s="60">
        <f t="shared" si="6"/>
        <v>970</v>
      </c>
      <c r="R30" s="27">
        <f t="shared" si="6"/>
        <v>6293.5470639000005</v>
      </c>
      <c r="S30" s="36">
        <f t="shared" si="6"/>
        <v>4752.79</v>
      </c>
      <c r="T30" s="36">
        <f t="shared" si="6"/>
        <v>7074.21</v>
      </c>
      <c r="U30" s="36">
        <f t="shared" si="6"/>
        <v>7053.83</v>
      </c>
      <c r="V30" s="27">
        <f t="shared" si="6"/>
        <v>7951.7338152000002</v>
      </c>
      <c r="W30" s="36">
        <f t="shared" si="6"/>
        <v>5843.7400000000007</v>
      </c>
      <c r="X30" s="36">
        <f t="shared" si="6"/>
        <v>8938.11</v>
      </c>
      <c r="Y30" s="36">
        <f t="shared" si="6"/>
        <v>9073.59</v>
      </c>
    </row>
    <row r="31" spans="1:25">
      <c r="A31" s="24" t="s">
        <v>429</v>
      </c>
      <c r="B31" s="21"/>
      <c r="C31" s="26"/>
      <c r="D31" s="26"/>
      <c r="E31" s="26"/>
      <c r="F31" s="26"/>
      <c r="G31" s="26"/>
      <c r="H31" s="26"/>
      <c r="I31" s="26"/>
      <c r="J31" s="26"/>
      <c r="K31" s="26"/>
      <c r="L31" s="26"/>
      <c r="M31" s="26"/>
      <c r="N31" s="26"/>
      <c r="O31" s="26"/>
      <c r="P31" s="26"/>
      <c r="Q31" s="26"/>
      <c r="R31" s="26"/>
      <c r="S31" s="26"/>
      <c r="T31" s="26"/>
      <c r="U31" s="26"/>
      <c r="V31" s="21"/>
      <c r="W31" s="26"/>
      <c r="X31" s="26"/>
      <c r="Y31" s="26"/>
    </row>
    <row r="32" spans="1:25">
      <c r="A32" s="40" t="s">
        <v>81</v>
      </c>
      <c r="B32" s="65">
        <v>0</v>
      </c>
      <c r="C32" s="54">
        <v>0</v>
      </c>
      <c r="D32" s="89">
        <v>0</v>
      </c>
      <c r="E32" s="86">
        <v>0</v>
      </c>
      <c r="F32" s="72">
        <v>0</v>
      </c>
      <c r="G32" s="54">
        <v>0</v>
      </c>
      <c r="H32" s="89">
        <v>0</v>
      </c>
      <c r="I32" s="86">
        <v>0</v>
      </c>
      <c r="J32" s="72">
        <v>0</v>
      </c>
      <c r="K32" s="54">
        <v>0</v>
      </c>
      <c r="L32" s="89">
        <v>0</v>
      </c>
      <c r="M32" s="86">
        <v>0</v>
      </c>
      <c r="N32" s="72">
        <v>0</v>
      </c>
      <c r="O32" s="54">
        <v>0</v>
      </c>
      <c r="P32" s="89">
        <v>0</v>
      </c>
      <c r="Q32" s="86">
        <v>0</v>
      </c>
      <c r="R32" s="72">
        <v>0</v>
      </c>
      <c r="S32" s="32">
        <v>0</v>
      </c>
      <c r="T32" s="84">
        <v>0</v>
      </c>
      <c r="U32" s="80">
        <v>0</v>
      </c>
      <c r="V32" s="65">
        <v>0</v>
      </c>
      <c r="W32" s="32">
        <f t="shared" ref="W32:Y33" si="7">SUM(G32,K32,O32,S32)</f>
        <v>0</v>
      </c>
      <c r="X32" s="84">
        <f t="shared" si="7"/>
        <v>0</v>
      </c>
      <c r="Y32" s="80">
        <f t="shared" si="7"/>
        <v>0</v>
      </c>
    </row>
    <row r="33" spans="1:25">
      <c r="A33" s="42" t="s">
        <v>79</v>
      </c>
      <c r="B33" s="64">
        <v>0</v>
      </c>
      <c r="C33" s="59">
        <v>0</v>
      </c>
      <c r="D33" s="91">
        <v>0</v>
      </c>
      <c r="E33" s="88">
        <v>0</v>
      </c>
      <c r="F33" s="73">
        <v>0</v>
      </c>
      <c r="G33" s="59">
        <v>0</v>
      </c>
      <c r="H33" s="91">
        <v>0</v>
      </c>
      <c r="I33" s="88">
        <v>0</v>
      </c>
      <c r="J33" s="73">
        <v>0</v>
      </c>
      <c r="K33" s="59">
        <v>0</v>
      </c>
      <c r="L33" s="91">
        <v>0</v>
      </c>
      <c r="M33" s="88">
        <v>0</v>
      </c>
      <c r="N33" s="73">
        <v>0</v>
      </c>
      <c r="O33" s="59">
        <v>0</v>
      </c>
      <c r="P33" s="91">
        <v>0</v>
      </c>
      <c r="Q33" s="88">
        <v>0</v>
      </c>
      <c r="R33" s="73">
        <v>0</v>
      </c>
      <c r="S33" s="35">
        <v>0</v>
      </c>
      <c r="T33" s="85">
        <v>0</v>
      </c>
      <c r="U33" s="81">
        <v>0</v>
      </c>
      <c r="V33" s="64">
        <v>0</v>
      </c>
      <c r="W33" s="35">
        <f t="shared" si="7"/>
        <v>0</v>
      </c>
      <c r="X33" s="85">
        <f t="shared" si="7"/>
        <v>0</v>
      </c>
      <c r="Y33" s="81">
        <f t="shared" si="7"/>
        <v>0</v>
      </c>
    </row>
    <row r="34" spans="1:25">
      <c r="A34" s="23" t="s">
        <v>564</v>
      </c>
      <c r="B34" s="27">
        <f t="shared" ref="B34:Y34" si="8">SUM(B32:B33)</f>
        <v>0</v>
      </c>
      <c r="C34" s="60">
        <f t="shared" si="8"/>
        <v>0</v>
      </c>
      <c r="D34" s="60">
        <f t="shared" si="8"/>
        <v>0</v>
      </c>
      <c r="E34" s="60">
        <f t="shared" si="8"/>
        <v>0</v>
      </c>
      <c r="F34" s="27">
        <f t="shared" si="8"/>
        <v>0</v>
      </c>
      <c r="G34" s="60">
        <f t="shared" si="8"/>
        <v>0</v>
      </c>
      <c r="H34" s="60">
        <f t="shared" si="8"/>
        <v>0</v>
      </c>
      <c r="I34" s="60">
        <f t="shared" si="8"/>
        <v>0</v>
      </c>
      <c r="J34" s="27">
        <f t="shared" si="8"/>
        <v>0</v>
      </c>
      <c r="K34" s="60">
        <f t="shared" si="8"/>
        <v>0</v>
      </c>
      <c r="L34" s="60">
        <f t="shared" si="8"/>
        <v>0</v>
      </c>
      <c r="M34" s="60">
        <f t="shared" si="8"/>
        <v>0</v>
      </c>
      <c r="N34" s="27">
        <f t="shared" si="8"/>
        <v>0</v>
      </c>
      <c r="O34" s="60">
        <f t="shared" si="8"/>
        <v>0</v>
      </c>
      <c r="P34" s="60">
        <f t="shared" si="8"/>
        <v>0</v>
      </c>
      <c r="Q34" s="60">
        <f t="shared" si="8"/>
        <v>0</v>
      </c>
      <c r="R34" s="27">
        <f t="shared" si="8"/>
        <v>0</v>
      </c>
      <c r="S34" s="36">
        <f t="shared" si="8"/>
        <v>0</v>
      </c>
      <c r="T34" s="36">
        <f t="shared" si="8"/>
        <v>0</v>
      </c>
      <c r="U34" s="36">
        <f t="shared" si="8"/>
        <v>0</v>
      </c>
      <c r="V34" s="27">
        <f t="shared" si="8"/>
        <v>0</v>
      </c>
      <c r="W34" s="36">
        <f t="shared" si="8"/>
        <v>0</v>
      </c>
      <c r="X34" s="36">
        <f t="shared" si="8"/>
        <v>0</v>
      </c>
      <c r="Y34" s="36">
        <f t="shared" si="8"/>
        <v>0</v>
      </c>
    </row>
    <row r="35" spans="1:25">
      <c r="A35" s="24" t="s">
        <v>565</v>
      </c>
      <c r="B35" s="26"/>
      <c r="C35" s="26"/>
      <c r="D35" s="26"/>
      <c r="E35" s="26"/>
      <c r="F35" s="26"/>
      <c r="G35" s="26"/>
      <c r="H35" s="26"/>
      <c r="I35" s="26"/>
      <c r="J35" s="26"/>
      <c r="K35" s="26"/>
      <c r="L35" s="26"/>
      <c r="M35" s="26"/>
      <c r="N35" s="26"/>
      <c r="O35" s="26"/>
      <c r="P35" s="26"/>
      <c r="Q35" s="26"/>
      <c r="R35" s="26"/>
      <c r="S35" s="26"/>
      <c r="T35" s="26"/>
      <c r="U35" s="26"/>
      <c r="V35" s="26"/>
      <c r="W35" s="26"/>
      <c r="X35" s="26"/>
      <c r="Y35" s="26"/>
    </row>
    <row r="36" spans="1:25">
      <c r="A36" s="40" t="s">
        <v>77</v>
      </c>
      <c r="B36" s="65">
        <v>0</v>
      </c>
      <c r="C36" s="54">
        <v>0</v>
      </c>
      <c r="D36" s="89">
        <v>0</v>
      </c>
      <c r="E36" s="86">
        <v>0</v>
      </c>
      <c r="F36" s="72">
        <v>0</v>
      </c>
      <c r="G36" s="54">
        <v>0</v>
      </c>
      <c r="H36" s="89">
        <v>0</v>
      </c>
      <c r="I36" s="86">
        <v>0</v>
      </c>
      <c r="J36" s="72">
        <v>0</v>
      </c>
      <c r="K36" s="54">
        <v>0</v>
      </c>
      <c r="L36" s="89">
        <v>0</v>
      </c>
      <c r="M36" s="86">
        <v>0</v>
      </c>
      <c r="N36" s="72">
        <v>0</v>
      </c>
      <c r="O36" s="54">
        <v>0</v>
      </c>
      <c r="P36" s="89">
        <v>0</v>
      </c>
      <c r="Q36" s="86">
        <v>0</v>
      </c>
      <c r="R36" s="72">
        <v>0</v>
      </c>
      <c r="S36" s="32">
        <v>0</v>
      </c>
      <c r="T36" s="84">
        <v>0</v>
      </c>
      <c r="U36" s="80">
        <v>0</v>
      </c>
      <c r="V36" s="65">
        <v>0</v>
      </c>
      <c r="W36" s="32">
        <f t="shared" ref="W36:Y41" si="9">SUM(G36,K36,O36,S36)</f>
        <v>0</v>
      </c>
      <c r="X36" s="84">
        <f t="shared" si="9"/>
        <v>0</v>
      </c>
      <c r="Y36" s="80">
        <f t="shared" si="9"/>
        <v>0</v>
      </c>
    </row>
    <row r="37" spans="1:25">
      <c r="A37" s="41" t="s">
        <v>59</v>
      </c>
      <c r="B37" s="39">
        <v>0</v>
      </c>
      <c r="C37" s="54">
        <v>0</v>
      </c>
      <c r="D37" s="89">
        <v>0</v>
      </c>
      <c r="E37" s="86">
        <v>0</v>
      </c>
      <c r="F37" s="72">
        <v>0</v>
      </c>
      <c r="G37" s="54">
        <v>0</v>
      </c>
      <c r="H37" s="89">
        <v>0</v>
      </c>
      <c r="I37" s="86">
        <v>0</v>
      </c>
      <c r="J37" s="72">
        <v>0</v>
      </c>
      <c r="K37" s="54">
        <v>0</v>
      </c>
      <c r="L37" s="89">
        <v>0</v>
      </c>
      <c r="M37" s="86">
        <v>0</v>
      </c>
      <c r="N37" s="72">
        <v>0</v>
      </c>
      <c r="O37" s="54">
        <v>0</v>
      </c>
      <c r="P37" s="89">
        <v>0</v>
      </c>
      <c r="Q37" s="86">
        <v>0</v>
      </c>
      <c r="R37" s="72">
        <v>0</v>
      </c>
      <c r="S37" s="22">
        <v>0</v>
      </c>
      <c r="T37" s="82">
        <v>0</v>
      </c>
      <c r="U37" s="78">
        <v>0</v>
      </c>
      <c r="V37" s="39">
        <v>0</v>
      </c>
      <c r="W37" s="22">
        <f t="shared" si="9"/>
        <v>0</v>
      </c>
      <c r="X37" s="82">
        <f t="shared" si="9"/>
        <v>0</v>
      </c>
      <c r="Y37" s="78">
        <f t="shared" si="9"/>
        <v>0</v>
      </c>
    </row>
    <row r="38" spans="1:25">
      <c r="A38" s="41" t="s">
        <v>39</v>
      </c>
      <c r="B38" s="39">
        <v>0</v>
      </c>
      <c r="C38" s="54">
        <v>0</v>
      </c>
      <c r="D38" s="89">
        <v>0</v>
      </c>
      <c r="E38" s="86">
        <v>0</v>
      </c>
      <c r="F38" s="72">
        <v>0</v>
      </c>
      <c r="G38" s="54">
        <v>0</v>
      </c>
      <c r="H38" s="89">
        <v>0</v>
      </c>
      <c r="I38" s="86">
        <v>0</v>
      </c>
      <c r="J38" s="72">
        <v>0</v>
      </c>
      <c r="K38" s="54">
        <v>0</v>
      </c>
      <c r="L38" s="89">
        <v>0</v>
      </c>
      <c r="M38" s="86">
        <v>0</v>
      </c>
      <c r="N38" s="72">
        <v>0</v>
      </c>
      <c r="O38" s="54">
        <v>0</v>
      </c>
      <c r="P38" s="89">
        <v>0</v>
      </c>
      <c r="Q38" s="86">
        <v>0</v>
      </c>
      <c r="R38" s="72">
        <v>0</v>
      </c>
      <c r="S38" s="22">
        <v>0</v>
      </c>
      <c r="T38" s="82">
        <v>0</v>
      </c>
      <c r="U38" s="78">
        <v>0</v>
      </c>
      <c r="V38" s="39">
        <v>0</v>
      </c>
      <c r="W38" s="22">
        <f t="shared" si="9"/>
        <v>0</v>
      </c>
      <c r="X38" s="82">
        <f t="shared" si="9"/>
        <v>0</v>
      </c>
      <c r="Y38" s="78">
        <f t="shared" si="9"/>
        <v>0</v>
      </c>
    </row>
    <row r="39" spans="1:25">
      <c r="A39" s="92" t="s">
        <v>31</v>
      </c>
      <c r="B39" s="93">
        <v>0</v>
      </c>
      <c r="C39" s="94">
        <v>0</v>
      </c>
      <c r="D39" s="100">
        <v>0</v>
      </c>
      <c r="E39" s="99">
        <v>0</v>
      </c>
      <c r="F39" s="95">
        <v>0</v>
      </c>
      <c r="G39" s="94">
        <v>0</v>
      </c>
      <c r="H39" s="100">
        <v>0</v>
      </c>
      <c r="I39" s="99">
        <v>0</v>
      </c>
      <c r="J39" s="95">
        <v>0</v>
      </c>
      <c r="K39" s="94">
        <v>0</v>
      </c>
      <c r="L39" s="100">
        <v>0</v>
      </c>
      <c r="M39" s="99">
        <v>0</v>
      </c>
      <c r="N39" s="95">
        <v>0</v>
      </c>
      <c r="O39" s="94">
        <v>0</v>
      </c>
      <c r="P39" s="100">
        <v>0</v>
      </c>
      <c r="Q39" s="99">
        <v>0</v>
      </c>
      <c r="R39" s="95">
        <v>0</v>
      </c>
      <c r="S39" s="96">
        <v>0</v>
      </c>
      <c r="T39" s="98">
        <v>0</v>
      </c>
      <c r="U39" s="97">
        <v>0</v>
      </c>
      <c r="V39" s="93">
        <v>0</v>
      </c>
      <c r="W39" s="96">
        <f t="shared" si="9"/>
        <v>0</v>
      </c>
      <c r="X39" s="98">
        <f t="shared" si="9"/>
        <v>0</v>
      </c>
      <c r="Y39" s="97">
        <f t="shared" si="9"/>
        <v>0</v>
      </c>
    </row>
    <row r="40" spans="1:25">
      <c r="A40" s="41" t="s">
        <v>27</v>
      </c>
      <c r="B40" s="39">
        <v>616</v>
      </c>
      <c r="C40" s="54">
        <v>592</v>
      </c>
      <c r="D40" s="89">
        <v>592</v>
      </c>
      <c r="E40" s="86">
        <v>564</v>
      </c>
      <c r="F40" s="72">
        <v>-1.6066506</v>
      </c>
      <c r="G40" s="54">
        <v>0.74</v>
      </c>
      <c r="H40" s="89">
        <v>-5.56</v>
      </c>
      <c r="I40" s="86">
        <v>0</v>
      </c>
      <c r="J40" s="72">
        <v>55.972773599999996</v>
      </c>
      <c r="K40" s="54">
        <v>51.08</v>
      </c>
      <c r="L40" s="89">
        <v>56.48</v>
      </c>
      <c r="M40" s="86">
        <v>60.36</v>
      </c>
      <c r="N40" s="72">
        <v>64.959350400000005</v>
      </c>
      <c r="O40" s="54">
        <v>77.44</v>
      </c>
      <c r="P40" s="89">
        <v>61.66</v>
      </c>
      <c r="Q40" s="86">
        <v>55.78</v>
      </c>
      <c r="R40" s="72">
        <v>362.97970350000003</v>
      </c>
      <c r="S40" s="22">
        <v>245.37</v>
      </c>
      <c r="T40" s="82">
        <v>427.29</v>
      </c>
      <c r="U40" s="78">
        <v>416.29</v>
      </c>
      <c r="V40" s="39">
        <v>482.30517689999999</v>
      </c>
      <c r="W40" s="22">
        <f t="shared" si="9"/>
        <v>374.63</v>
      </c>
      <c r="X40" s="82">
        <f t="shared" si="9"/>
        <v>539.87</v>
      </c>
      <c r="Y40" s="78">
        <f t="shared" si="9"/>
        <v>532.43000000000006</v>
      </c>
    </row>
    <row r="41" spans="1:25">
      <c r="A41" s="42" t="s">
        <v>25</v>
      </c>
      <c r="B41" s="64">
        <v>50</v>
      </c>
      <c r="C41" s="59">
        <v>49</v>
      </c>
      <c r="D41" s="91">
        <v>49</v>
      </c>
      <c r="E41" s="88">
        <v>68</v>
      </c>
      <c r="F41" s="73">
        <v>-0.13333200000000001</v>
      </c>
      <c r="G41" s="59">
        <v>0.06</v>
      </c>
      <c r="H41" s="91">
        <v>-0.46</v>
      </c>
      <c r="I41" s="88">
        <v>0</v>
      </c>
      <c r="J41" s="73">
        <v>5.3599464000000001</v>
      </c>
      <c r="K41" s="59">
        <v>4.1500000000000004</v>
      </c>
      <c r="L41" s="91">
        <v>4.68</v>
      </c>
      <c r="M41" s="88">
        <v>7.25</v>
      </c>
      <c r="N41" s="73">
        <v>6.0232731000000008</v>
      </c>
      <c r="O41" s="59">
        <v>6.28</v>
      </c>
      <c r="P41" s="91">
        <v>5.0999999999999996</v>
      </c>
      <c r="Q41" s="88">
        <v>6.69</v>
      </c>
      <c r="R41" s="73">
        <v>35.076315899999997</v>
      </c>
      <c r="S41" s="35">
        <v>19.899999999999999</v>
      </c>
      <c r="T41" s="85">
        <v>35.369999999999997</v>
      </c>
      <c r="U41" s="81">
        <v>49.96</v>
      </c>
      <c r="V41" s="64">
        <v>46.326203400000004</v>
      </c>
      <c r="W41" s="35">
        <f t="shared" si="9"/>
        <v>30.39</v>
      </c>
      <c r="X41" s="85">
        <f t="shared" si="9"/>
        <v>44.69</v>
      </c>
      <c r="Y41" s="81">
        <f t="shared" si="9"/>
        <v>63.900000000000006</v>
      </c>
    </row>
    <row r="42" spans="1:25">
      <c r="A42" s="23" t="s">
        <v>566</v>
      </c>
      <c r="B42" s="27">
        <f t="shared" ref="B42:Y42" si="10">SUM(B36:B41)</f>
        <v>666</v>
      </c>
      <c r="C42" s="56">
        <f t="shared" si="10"/>
        <v>641</v>
      </c>
      <c r="D42" s="56">
        <f t="shared" si="10"/>
        <v>641</v>
      </c>
      <c r="E42" s="56">
        <f t="shared" si="10"/>
        <v>632</v>
      </c>
      <c r="F42" s="66">
        <f t="shared" si="10"/>
        <v>-1.7399826</v>
      </c>
      <c r="G42" s="56">
        <f t="shared" si="10"/>
        <v>0.8</v>
      </c>
      <c r="H42" s="56">
        <f t="shared" si="10"/>
        <v>-6.02</v>
      </c>
      <c r="I42" s="56">
        <f t="shared" si="10"/>
        <v>0</v>
      </c>
      <c r="J42" s="66">
        <f t="shared" si="10"/>
        <v>61.332719999999995</v>
      </c>
      <c r="K42" s="56">
        <f t="shared" si="10"/>
        <v>55.23</v>
      </c>
      <c r="L42" s="56">
        <f t="shared" si="10"/>
        <v>61.16</v>
      </c>
      <c r="M42" s="56">
        <f t="shared" si="10"/>
        <v>67.61</v>
      </c>
      <c r="N42" s="66">
        <f t="shared" si="10"/>
        <v>70.982623500000003</v>
      </c>
      <c r="O42" s="56">
        <f t="shared" si="10"/>
        <v>83.72</v>
      </c>
      <c r="P42" s="56">
        <f t="shared" si="10"/>
        <v>66.759999999999991</v>
      </c>
      <c r="Q42" s="56">
        <f t="shared" si="10"/>
        <v>62.47</v>
      </c>
      <c r="R42" s="66">
        <f t="shared" si="10"/>
        <v>398.05601940000003</v>
      </c>
      <c r="S42" s="37">
        <f t="shared" si="10"/>
        <v>265.27</v>
      </c>
      <c r="T42" s="37">
        <f t="shared" si="10"/>
        <v>462.66</v>
      </c>
      <c r="U42" s="37">
        <f t="shared" si="10"/>
        <v>466.25</v>
      </c>
      <c r="V42" s="27">
        <f t="shared" si="10"/>
        <v>528.63138030000005</v>
      </c>
      <c r="W42" s="37">
        <f t="shared" si="10"/>
        <v>405.02</v>
      </c>
      <c r="X42" s="37">
        <f t="shared" si="10"/>
        <v>584.55999999999995</v>
      </c>
      <c r="Y42" s="37">
        <f t="shared" si="10"/>
        <v>596.33000000000004</v>
      </c>
    </row>
    <row r="43" spans="1:25" ht="16.2" thickBot="1">
      <c r="A43" s="43" t="s">
        <v>567</v>
      </c>
      <c r="B43" s="34">
        <f>SUM(B21,B30,B34,B42)</f>
        <v>10466</v>
      </c>
      <c r="C43" s="52">
        <f t="shared" ref="C43:U43" si="11">SUM(C21,C30,C34,C42)</f>
        <v>10441</v>
      </c>
      <c r="D43" s="52">
        <f t="shared" si="11"/>
        <v>10441</v>
      </c>
      <c r="E43" s="52">
        <f t="shared" si="11"/>
        <v>10432</v>
      </c>
      <c r="F43" s="34">
        <f t="shared" si="11"/>
        <v>-28.4863818</v>
      </c>
      <c r="G43" s="52">
        <f t="shared" si="11"/>
        <v>12.56</v>
      </c>
      <c r="H43" s="52">
        <f t="shared" si="11"/>
        <v>-98.02</v>
      </c>
      <c r="I43" s="52">
        <f t="shared" si="11"/>
        <v>0</v>
      </c>
      <c r="J43" s="34">
        <f t="shared" si="11"/>
        <v>993.62006370000006</v>
      </c>
      <c r="K43" s="52">
        <f t="shared" si="11"/>
        <v>867.33</v>
      </c>
      <c r="L43" s="52">
        <f t="shared" si="11"/>
        <v>996.18999999999994</v>
      </c>
      <c r="M43" s="52">
        <f t="shared" si="11"/>
        <v>1117.3699999999999</v>
      </c>
      <c r="N43" s="34">
        <f t="shared" si="11"/>
        <v>1145.0085498000001</v>
      </c>
      <c r="O43" s="52">
        <f t="shared" si="11"/>
        <v>1314.96</v>
      </c>
      <c r="P43" s="52">
        <f t="shared" si="11"/>
        <v>1087.6300000000001</v>
      </c>
      <c r="Q43" s="52">
        <f t="shared" si="11"/>
        <v>1032.47</v>
      </c>
      <c r="R43" s="34">
        <f t="shared" si="11"/>
        <v>6469.5986367000005</v>
      </c>
      <c r="S43" s="34">
        <f t="shared" si="11"/>
        <v>4166.0200000000004</v>
      </c>
      <c r="T43" s="34">
        <f t="shared" si="11"/>
        <v>7536.87</v>
      </c>
      <c r="U43" s="34">
        <f t="shared" si="11"/>
        <v>7706.1</v>
      </c>
      <c r="V43" s="34">
        <f>SUM(V21,V30,V34,V42)</f>
        <v>8579.7408684000002</v>
      </c>
      <c r="W43" s="34">
        <f t="shared" ref="W43:Y43" si="12">SUM(W21,W30,W34,W42)</f>
        <v>6360.8700000000008</v>
      </c>
      <c r="X43" s="34">
        <f t="shared" si="12"/>
        <v>9522.67</v>
      </c>
      <c r="Y43" s="34">
        <f t="shared" si="12"/>
        <v>9855.94</v>
      </c>
    </row>
    <row r="44" spans="1:25" ht="15" thickTop="1">
      <c r="A44" s="44" t="s">
        <v>568</v>
      </c>
      <c r="B44" s="28"/>
      <c r="C44" s="20"/>
      <c r="D44" s="20"/>
      <c r="E44" s="20"/>
      <c r="F44" s="28"/>
      <c r="G44" s="20"/>
      <c r="H44" s="20"/>
      <c r="I44" s="20"/>
      <c r="J44" s="28"/>
      <c r="K44" s="20"/>
      <c r="L44" s="20"/>
      <c r="M44" s="20"/>
      <c r="N44" s="28"/>
      <c r="O44" s="20"/>
      <c r="P44" s="20"/>
      <c r="Q44" s="20"/>
      <c r="R44" s="28"/>
      <c r="S44" s="20"/>
      <c r="T44" s="20"/>
      <c r="U44" s="20"/>
      <c r="V44" s="28"/>
      <c r="W44" s="20"/>
      <c r="X44" s="20"/>
      <c r="Y44" s="20"/>
    </row>
    <row r="45" spans="1:25">
      <c r="A45" s="40" t="s">
        <v>23</v>
      </c>
      <c r="B45" s="65">
        <v>0</v>
      </c>
      <c r="C45" s="54">
        <v>0</v>
      </c>
      <c r="D45" s="89">
        <v>0</v>
      </c>
      <c r="E45" s="86">
        <v>0</v>
      </c>
      <c r="F45" s="72">
        <v>0</v>
      </c>
      <c r="G45" s="54">
        <v>0</v>
      </c>
      <c r="H45" s="89">
        <v>0</v>
      </c>
      <c r="I45" s="86">
        <v>0</v>
      </c>
      <c r="J45" s="72">
        <v>0</v>
      </c>
      <c r="K45" s="54">
        <v>0</v>
      </c>
      <c r="L45" s="89">
        <v>0</v>
      </c>
      <c r="M45" s="86">
        <v>0</v>
      </c>
      <c r="N45" s="72">
        <v>0</v>
      </c>
      <c r="O45" s="54">
        <v>0</v>
      </c>
      <c r="P45" s="89">
        <v>0</v>
      </c>
      <c r="Q45" s="86">
        <v>0</v>
      </c>
      <c r="R45" s="72">
        <v>4517.1581612999998</v>
      </c>
      <c r="S45" s="32">
        <v>6030.13</v>
      </c>
      <c r="T45" s="84">
        <v>918.34</v>
      </c>
      <c r="U45" s="80">
        <v>6603.14</v>
      </c>
      <c r="V45" s="65">
        <v>4517.1581612999998</v>
      </c>
      <c r="W45" s="32">
        <f t="shared" ref="W45:Y46" si="13">SUM(G45,K45,O45,S45)</f>
        <v>6030.13</v>
      </c>
      <c r="X45" s="84">
        <f t="shared" si="13"/>
        <v>918.34</v>
      </c>
      <c r="Y45" s="80">
        <f t="shared" si="13"/>
        <v>6603.14</v>
      </c>
    </row>
    <row r="46" spans="1:25">
      <c r="A46" s="42" t="s">
        <v>7</v>
      </c>
      <c r="B46" s="64">
        <v>0</v>
      </c>
      <c r="C46" s="59">
        <v>0</v>
      </c>
      <c r="D46" s="91">
        <v>0</v>
      </c>
      <c r="E46" s="88">
        <v>0</v>
      </c>
      <c r="F46" s="73">
        <v>0</v>
      </c>
      <c r="G46" s="59">
        <v>0</v>
      </c>
      <c r="H46" s="91">
        <v>0</v>
      </c>
      <c r="I46" s="88">
        <v>0</v>
      </c>
      <c r="J46" s="73">
        <v>0</v>
      </c>
      <c r="K46" s="59">
        <v>0</v>
      </c>
      <c r="L46" s="91">
        <v>0</v>
      </c>
      <c r="M46" s="88">
        <v>0</v>
      </c>
      <c r="N46" s="73">
        <v>0</v>
      </c>
      <c r="O46" s="59">
        <v>0</v>
      </c>
      <c r="P46" s="91">
        <v>0</v>
      </c>
      <c r="Q46" s="88">
        <v>0</v>
      </c>
      <c r="R46" s="73">
        <v>0</v>
      </c>
      <c r="S46" s="35">
        <v>0</v>
      </c>
      <c r="T46" s="85">
        <v>0</v>
      </c>
      <c r="U46" s="81">
        <v>0</v>
      </c>
      <c r="V46" s="64">
        <v>0</v>
      </c>
      <c r="W46" s="35">
        <f t="shared" si="13"/>
        <v>0</v>
      </c>
      <c r="X46" s="85">
        <f t="shared" si="13"/>
        <v>0</v>
      </c>
      <c r="Y46" s="81">
        <f t="shared" si="13"/>
        <v>0</v>
      </c>
    </row>
    <row r="47" spans="1:25">
      <c r="A47" s="45" t="s">
        <v>569</v>
      </c>
      <c r="B47" s="49">
        <f t="shared" ref="B47:Y47" si="14">SUM(B45:B46)</f>
        <v>0</v>
      </c>
      <c r="C47" s="60">
        <f t="shared" si="14"/>
        <v>0</v>
      </c>
      <c r="D47" s="60">
        <f t="shared" si="14"/>
        <v>0</v>
      </c>
      <c r="E47" s="60">
        <f t="shared" si="14"/>
        <v>0</v>
      </c>
      <c r="F47" s="27">
        <f t="shared" si="14"/>
        <v>0</v>
      </c>
      <c r="G47" s="60">
        <f t="shared" si="14"/>
        <v>0</v>
      </c>
      <c r="H47" s="60">
        <f t="shared" si="14"/>
        <v>0</v>
      </c>
      <c r="I47" s="60">
        <f t="shared" si="14"/>
        <v>0</v>
      </c>
      <c r="J47" s="27">
        <f t="shared" si="14"/>
        <v>0</v>
      </c>
      <c r="K47" s="60">
        <f t="shared" si="14"/>
        <v>0</v>
      </c>
      <c r="L47" s="60">
        <f t="shared" si="14"/>
        <v>0</v>
      </c>
      <c r="M47" s="60">
        <f t="shared" si="14"/>
        <v>0</v>
      </c>
      <c r="N47" s="27">
        <f t="shared" si="14"/>
        <v>0</v>
      </c>
      <c r="O47" s="60">
        <f t="shared" si="14"/>
        <v>0</v>
      </c>
      <c r="P47" s="60">
        <f t="shared" si="14"/>
        <v>0</v>
      </c>
      <c r="Q47" s="60">
        <f t="shared" si="14"/>
        <v>0</v>
      </c>
      <c r="R47" s="27">
        <f t="shared" si="14"/>
        <v>4517.1581612999998</v>
      </c>
      <c r="S47" s="36">
        <f t="shared" si="14"/>
        <v>6030.13</v>
      </c>
      <c r="T47" s="36">
        <f t="shared" si="14"/>
        <v>918.34</v>
      </c>
      <c r="U47" s="36">
        <f t="shared" si="14"/>
        <v>6603.14</v>
      </c>
      <c r="V47" s="49">
        <f t="shared" si="14"/>
        <v>4517.1581612999998</v>
      </c>
      <c r="W47" s="36">
        <f t="shared" si="14"/>
        <v>6030.13</v>
      </c>
      <c r="X47" s="36">
        <f t="shared" si="14"/>
        <v>918.34</v>
      </c>
      <c r="Y47" s="36">
        <f t="shared" si="14"/>
        <v>6603.14</v>
      </c>
    </row>
    <row r="48" spans="1:25" ht="16.2" thickBot="1">
      <c r="A48" s="43" t="s">
        <v>570</v>
      </c>
      <c r="B48" s="34">
        <f>SUM(B12,B43,B47)</f>
        <v>0</v>
      </c>
      <c r="C48" s="52">
        <f t="shared" ref="C48:U48" si="15">SUM(C12,C43,C47)</f>
        <v>0</v>
      </c>
      <c r="D48" s="52">
        <f t="shared" si="15"/>
        <v>0</v>
      </c>
      <c r="E48" s="52">
        <f t="shared" si="15"/>
        <v>0</v>
      </c>
      <c r="F48" s="34">
        <f t="shared" si="15"/>
        <v>-5247.4341918</v>
      </c>
      <c r="G48" s="52">
        <f t="shared" si="15"/>
        <v>-5207.4399999999996</v>
      </c>
      <c r="H48" s="52">
        <f t="shared" si="15"/>
        <v>-5319.02</v>
      </c>
      <c r="I48" s="52">
        <f t="shared" si="15"/>
        <v>-5216</v>
      </c>
      <c r="J48" s="34">
        <f t="shared" si="15"/>
        <v>993.62006370000006</v>
      </c>
      <c r="K48" s="52">
        <f t="shared" si="15"/>
        <v>867.33</v>
      </c>
      <c r="L48" s="52">
        <f t="shared" si="15"/>
        <v>996.18999999999994</v>
      </c>
      <c r="M48" s="52">
        <f t="shared" si="15"/>
        <v>1117.3699999999999</v>
      </c>
      <c r="N48" s="34">
        <f t="shared" si="15"/>
        <v>-4073.9392601999998</v>
      </c>
      <c r="O48" s="52">
        <f t="shared" si="15"/>
        <v>-3906.04</v>
      </c>
      <c r="P48" s="52">
        <f t="shared" si="15"/>
        <v>-4132.37</v>
      </c>
      <c r="Q48" s="52">
        <f t="shared" si="15"/>
        <v>-4183.53</v>
      </c>
      <c r="R48" s="34">
        <f t="shared" si="15"/>
        <v>10336.763298</v>
      </c>
      <c r="S48" s="34">
        <f t="shared" si="15"/>
        <v>8246.1500000000015</v>
      </c>
      <c r="T48" s="34">
        <f t="shared" si="15"/>
        <v>8455.2099999999991</v>
      </c>
      <c r="U48" s="34">
        <f t="shared" si="15"/>
        <v>14309.240000000002</v>
      </c>
      <c r="V48" s="34">
        <f>SUM(V12,V43,V47)</f>
        <v>2009.0099097000002</v>
      </c>
      <c r="W48" s="34">
        <f t="shared" ref="W48:Y48" si="16">SUM(W12,W43,W47)</f>
        <v>0</v>
      </c>
      <c r="X48" s="34">
        <f t="shared" si="16"/>
        <v>1.0000000000104592E-2</v>
      </c>
      <c r="Y48" s="34">
        <f t="shared" si="16"/>
        <v>6027.0800000000008</v>
      </c>
    </row>
    <row r="49" spans="1:25" ht="15" thickTop="1">
      <c r="A49" s="29"/>
      <c r="B49" s="19"/>
      <c r="C49" s="48"/>
      <c r="D49" s="48"/>
      <c r="E49" s="48"/>
      <c r="F49" s="19"/>
      <c r="G49" s="48"/>
      <c r="H49" s="48"/>
      <c r="I49" s="48"/>
      <c r="J49" s="19"/>
      <c r="K49" s="48"/>
      <c r="L49" s="48"/>
      <c r="M49" s="48"/>
      <c r="N49" s="19"/>
      <c r="O49" s="48"/>
      <c r="P49" s="48"/>
      <c r="Q49" s="48"/>
      <c r="R49" s="19"/>
      <c r="S49" s="48"/>
      <c r="T49" s="48"/>
      <c r="U49" s="48"/>
      <c r="V49" s="19"/>
      <c r="W49" s="48"/>
      <c r="X49" s="48"/>
      <c r="Y49" s="48"/>
    </row>
  </sheetData>
  <conditionalFormatting sqref="B15:C21 B23:C30 B32:C34 B36:C43 V36:W43 V32:W34 V23:W30 V15:W21 R36:S43 R32:S34 R23:S30 R15:S21 N36:O43 N32:O34 N23:O30 N15:O21 J36:K43 J32:K34 J23:K30 J15:K21 F36:G43 F32:G34 F23:G30 F15:G21">
    <cfRule type="cellIs" dxfId="207" priority="13" operator="lessThan">
      <formula>-0.01</formula>
    </cfRule>
  </conditionalFormatting>
  <conditionalFormatting sqref="Y15:Y21 Y23:Y30 Y32:Y34 Y36:Y43">
    <cfRule type="cellIs" dxfId="206" priority="12" operator="lessThan">
      <formula>-0.01</formula>
    </cfRule>
  </conditionalFormatting>
  <conditionalFormatting sqref="X15:X21 X23:X30 X32:X34 X36:X43">
    <cfRule type="cellIs" dxfId="205" priority="11" operator="lessThan">
      <formula>-0.01</formula>
    </cfRule>
  </conditionalFormatting>
  <conditionalFormatting sqref="U15:U21 U23:U30 U32:U34 U36:U43">
    <cfRule type="cellIs" dxfId="204" priority="10" operator="lessThan">
      <formula>-0.01</formula>
    </cfRule>
  </conditionalFormatting>
  <conditionalFormatting sqref="T15:T21 T23:T30 T32:T34 T36:T43">
    <cfRule type="cellIs" dxfId="203" priority="9" operator="lessThan">
      <formula>-0.01</formula>
    </cfRule>
  </conditionalFormatting>
  <conditionalFormatting sqref="Q15:Q21 Q23:Q30 Q32:Q34 Q36:Q43">
    <cfRule type="cellIs" dxfId="202" priority="8" operator="lessThan">
      <formula>-0.01</formula>
    </cfRule>
  </conditionalFormatting>
  <conditionalFormatting sqref="P15:P21 P23:P30 P32:P34 P36:P43">
    <cfRule type="cellIs" dxfId="201" priority="7" operator="lessThan">
      <formula>-0.01</formula>
    </cfRule>
  </conditionalFormatting>
  <conditionalFormatting sqref="M15:M21 M23:M30 M32:M34 M36:M43">
    <cfRule type="cellIs" dxfId="200" priority="6" operator="lessThan">
      <formula>-0.01</formula>
    </cfRule>
  </conditionalFormatting>
  <conditionalFormatting sqref="L15:L21 L23:L30 L32:L34 L36:L43">
    <cfRule type="cellIs" dxfId="199" priority="5" operator="lessThan">
      <formula>-0.01</formula>
    </cfRule>
  </conditionalFormatting>
  <conditionalFormatting sqref="I15:I21 I23:I30 I32:I34 I36:I43">
    <cfRule type="cellIs" dxfId="198" priority="4" operator="lessThan">
      <formula>-0.01</formula>
    </cfRule>
  </conditionalFormatting>
  <conditionalFormatting sqref="H15:H21 H23:H30 H32:H34 H36:H43">
    <cfRule type="cellIs" dxfId="197" priority="3" operator="lessThan">
      <formula>-0.01</formula>
    </cfRule>
  </conditionalFormatting>
  <conditionalFormatting sqref="E15:E21 E23:E30 E32:E34 E36:E43">
    <cfRule type="cellIs" dxfId="196" priority="2" operator="lessThan">
      <formula>-0.01</formula>
    </cfRule>
  </conditionalFormatting>
  <conditionalFormatting sqref="D15:D21 D23:D30 D32:D34 D36:D43">
    <cfRule type="cellIs" dxfId="195" priority="1" operator="lessThan">
      <formula>-0.01</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497871-93B7-46FC-8BEA-4845342D68E2}">
  <sheetPr codeName="Sheet6"/>
  <dimension ref="A1:AZ49"/>
  <sheetViews>
    <sheetView showGridLines="0" workbookViewId="0">
      <pane xSplit="1" ySplit="6" topLeftCell="B7" activePane="bottomRight" state="frozen"/>
      <selection pane="topRight" activeCell="B1" sqref="B1"/>
      <selection pane="bottomLeft" activeCell="A7" sqref="A7"/>
      <selection pane="bottomRight"/>
    </sheetView>
  </sheetViews>
  <sheetFormatPr defaultRowHeight="14.4" outlineLevelCol="1"/>
  <cols>
    <col min="1" max="1" width="32.44140625" bestFit="1" customWidth="1"/>
    <col min="2" max="2" width="16.77734375" customWidth="1"/>
    <col min="3" max="5" width="13.44140625" style="57" hidden="1" customWidth="1" outlineLevel="1"/>
    <col min="6" max="6" width="16.77734375" customWidth="1" collapsed="1"/>
    <col min="7" max="9" width="13.44140625" style="57" hidden="1" customWidth="1" outlineLevel="1"/>
    <col min="10" max="10" width="16.77734375" customWidth="1" collapsed="1"/>
    <col min="11" max="13" width="13.44140625" style="57" hidden="1" customWidth="1" outlineLevel="1"/>
    <col min="14" max="14" width="16.77734375" customWidth="1" collapsed="1"/>
    <col min="15" max="17" width="13.44140625" style="57" hidden="1" customWidth="1" outlineLevel="1"/>
    <col min="18" max="18" width="16.77734375" customWidth="1" collapsed="1"/>
    <col min="19" max="21" width="13.44140625" style="57" hidden="1" customWidth="1" outlineLevel="1"/>
    <col min="22" max="22" width="16.77734375" customWidth="1" collapsed="1"/>
    <col min="23" max="25" width="13.44140625" style="57" hidden="1" customWidth="1" outlineLevel="1"/>
    <col min="26" max="26" width="8.88671875" collapsed="1"/>
  </cols>
  <sheetData>
    <row r="1" spans="1:52" ht="15.6">
      <c r="A1" s="68" t="s">
        <v>790</v>
      </c>
      <c r="B1" s="46"/>
      <c r="C1" s="46"/>
      <c r="D1" s="46"/>
      <c r="E1" s="46"/>
      <c r="F1" s="46"/>
      <c r="G1" s="46"/>
      <c r="H1" s="46"/>
      <c r="I1" s="46"/>
      <c r="J1" s="46"/>
      <c r="K1" s="46"/>
      <c r="L1" s="46"/>
      <c r="M1" s="46"/>
      <c r="N1" s="46"/>
      <c r="O1" s="46"/>
      <c r="P1" s="46"/>
      <c r="Q1" s="46"/>
      <c r="R1" s="46"/>
      <c r="V1" s="46"/>
      <c r="W1" s="46"/>
      <c r="X1" s="46"/>
      <c r="Y1" s="46"/>
    </row>
    <row r="2" spans="1:52" ht="15.6">
      <c r="A2" s="69" t="s">
        <v>397</v>
      </c>
      <c r="B2" s="47"/>
      <c r="C2" s="47"/>
      <c r="D2" s="47"/>
      <c r="E2" s="47"/>
      <c r="F2" s="47"/>
      <c r="G2" s="47"/>
      <c r="H2" s="47"/>
      <c r="I2" s="47"/>
      <c r="J2" s="47"/>
      <c r="K2" s="47"/>
      <c r="L2" s="47"/>
      <c r="M2" s="47"/>
      <c r="N2" s="47"/>
      <c r="O2" s="47"/>
      <c r="P2" s="47"/>
      <c r="Q2" s="47"/>
      <c r="R2" s="47"/>
      <c r="V2" s="47"/>
      <c r="W2" s="47"/>
      <c r="X2" s="47"/>
      <c r="Y2" s="47"/>
    </row>
    <row r="3" spans="1:52">
      <c r="A3" s="136"/>
      <c r="B3" s="61" t="s">
        <v>589</v>
      </c>
      <c r="C3" s="50" t="s">
        <v>572</v>
      </c>
      <c r="D3" s="50" t="s">
        <v>572</v>
      </c>
      <c r="E3" s="50" t="s">
        <v>572</v>
      </c>
      <c r="F3" s="61" t="s">
        <v>573</v>
      </c>
      <c r="G3" s="50" t="s">
        <v>573</v>
      </c>
      <c r="H3" s="50" t="s">
        <v>573</v>
      </c>
      <c r="I3" s="50" t="s">
        <v>573</v>
      </c>
      <c r="J3" s="61" t="s">
        <v>575</v>
      </c>
      <c r="K3" s="50" t="s">
        <v>575</v>
      </c>
      <c r="L3" s="50" t="s">
        <v>575</v>
      </c>
      <c r="M3" s="50" t="s">
        <v>575</v>
      </c>
      <c r="N3" s="61" t="s">
        <v>576</v>
      </c>
      <c r="O3" s="50" t="s">
        <v>576</v>
      </c>
      <c r="P3" s="50" t="s">
        <v>576</v>
      </c>
      <c r="Q3" s="50" t="s">
        <v>576</v>
      </c>
      <c r="R3" s="61" t="s">
        <v>577</v>
      </c>
      <c r="S3" s="38" t="s">
        <v>577</v>
      </c>
      <c r="T3" s="38" t="s">
        <v>577</v>
      </c>
      <c r="U3" s="38" t="s">
        <v>577</v>
      </c>
      <c r="V3" s="61" t="s">
        <v>585</v>
      </c>
      <c r="W3" s="38" t="s">
        <v>585</v>
      </c>
      <c r="X3" s="38" t="s">
        <v>585</v>
      </c>
      <c r="Y3" s="38" t="s">
        <v>585</v>
      </c>
      <c r="Z3" s="136"/>
      <c r="AA3" s="136"/>
      <c r="AB3" s="136"/>
      <c r="AC3" s="136"/>
      <c r="AD3" s="136"/>
      <c r="AE3" s="136"/>
      <c r="AF3" s="136"/>
      <c r="AG3" s="136"/>
      <c r="AH3" s="136"/>
      <c r="AI3" s="136"/>
      <c r="AJ3" s="136"/>
      <c r="AK3" s="136"/>
      <c r="AL3" s="136"/>
      <c r="AM3" s="136"/>
      <c r="AN3" s="136"/>
      <c r="AO3" s="136"/>
      <c r="AP3" s="136"/>
      <c r="AQ3" s="136"/>
      <c r="AR3" s="136"/>
      <c r="AS3" s="136"/>
      <c r="AT3" s="136"/>
      <c r="AU3" s="136"/>
      <c r="AV3" s="136"/>
      <c r="AW3" s="136"/>
      <c r="AX3" s="136"/>
      <c r="AY3" s="136"/>
      <c r="AZ3" s="136"/>
    </row>
    <row r="4" spans="1:52">
      <c r="A4" s="16"/>
      <c r="B4" s="31" t="str">
        <f>_xlfn.CONCAT("FY ",rngFY+rngYRS)</f>
        <v>FY 19</v>
      </c>
      <c r="C4" s="51" t="s">
        <v>555</v>
      </c>
      <c r="D4" s="51" t="s">
        <v>555</v>
      </c>
      <c r="E4" s="51" t="s">
        <v>555</v>
      </c>
      <c r="F4" s="31" t="s">
        <v>788</v>
      </c>
      <c r="G4" s="31" t="s">
        <v>789</v>
      </c>
      <c r="H4" s="31" t="s">
        <v>789</v>
      </c>
      <c r="I4" s="31" t="s">
        <v>789</v>
      </c>
      <c r="J4" s="31" t="s">
        <v>788</v>
      </c>
      <c r="K4" s="31" t="s">
        <v>789</v>
      </c>
      <c r="L4" s="31" t="s">
        <v>789</v>
      </c>
      <c r="M4" s="31" t="s">
        <v>789</v>
      </c>
      <c r="N4" s="31" t="s">
        <v>788</v>
      </c>
      <c r="O4" s="31" t="s">
        <v>789</v>
      </c>
      <c r="P4" s="31" t="s">
        <v>789</v>
      </c>
      <c r="Q4" s="31" t="s">
        <v>789</v>
      </c>
      <c r="R4" s="31" t="s">
        <v>788</v>
      </c>
      <c r="S4" s="31" t="s">
        <v>789</v>
      </c>
      <c r="T4" s="31" t="s">
        <v>789</v>
      </c>
      <c r="U4" s="31" t="s">
        <v>789</v>
      </c>
      <c r="V4" s="31" t="s">
        <v>574</v>
      </c>
      <c r="W4" s="31" t="s">
        <v>584</v>
      </c>
      <c r="X4" s="31" t="s">
        <v>584</v>
      </c>
      <c r="Y4" s="31" t="s">
        <v>584</v>
      </c>
    </row>
    <row r="5" spans="1:52">
      <c r="A5" s="17"/>
      <c r="B5" s="31"/>
      <c r="C5" s="51" t="s">
        <v>587</v>
      </c>
      <c r="D5" s="51" t="s">
        <v>586</v>
      </c>
      <c r="E5" s="51" t="s">
        <v>590</v>
      </c>
      <c r="F5" s="31"/>
      <c r="G5" s="51" t="s">
        <v>587</v>
      </c>
      <c r="H5" s="51" t="s">
        <v>586</v>
      </c>
      <c r="I5" s="51" t="s">
        <v>590</v>
      </c>
      <c r="J5" s="31"/>
      <c r="K5" s="51" t="s">
        <v>587</v>
      </c>
      <c r="L5" s="51" t="s">
        <v>586</v>
      </c>
      <c r="M5" s="51" t="s">
        <v>590</v>
      </c>
      <c r="N5" s="31"/>
      <c r="O5" s="51" t="s">
        <v>587</v>
      </c>
      <c r="P5" s="51" t="s">
        <v>586</v>
      </c>
      <c r="Q5" s="51" t="s">
        <v>590</v>
      </c>
      <c r="R5" s="31"/>
      <c r="S5" s="31" t="s">
        <v>587</v>
      </c>
      <c r="T5" s="31" t="s">
        <v>586</v>
      </c>
      <c r="U5" s="31" t="s">
        <v>590</v>
      </c>
      <c r="V5" s="31"/>
      <c r="W5" s="31" t="s">
        <v>587</v>
      </c>
      <c r="X5" s="31" t="s">
        <v>586</v>
      </c>
      <c r="Y5" s="31" t="s">
        <v>590</v>
      </c>
    </row>
    <row r="6" spans="1:52">
      <c r="A6" s="70"/>
      <c r="B6" s="62"/>
      <c r="C6" s="53"/>
      <c r="D6" s="53"/>
      <c r="E6" s="53"/>
      <c r="F6" s="62"/>
      <c r="G6" s="53"/>
      <c r="H6" s="53"/>
      <c r="I6" s="53"/>
      <c r="J6" s="62"/>
      <c r="K6" s="53"/>
      <c r="L6" s="53"/>
      <c r="M6" s="53"/>
      <c r="N6" s="62"/>
      <c r="O6" s="53"/>
      <c r="P6" s="53"/>
      <c r="Q6" s="53"/>
      <c r="R6" s="62"/>
      <c r="S6" s="62"/>
      <c r="T6" s="62"/>
      <c r="U6" s="62"/>
      <c r="V6" s="62"/>
      <c r="W6" s="62"/>
      <c r="X6" s="62"/>
      <c r="Y6" s="62"/>
    </row>
    <row r="7" spans="1:52">
      <c r="A7" s="18" t="s">
        <v>556</v>
      </c>
      <c r="B7" s="63"/>
      <c r="C7" s="58"/>
      <c r="D7" s="58"/>
      <c r="E7" s="58"/>
      <c r="F7" s="63"/>
      <c r="G7" s="58"/>
      <c r="H7" s="58"/>
      <c r="I7" s="58"/>
      <c r="J7" s="63"/>
      <c r="K7" s="58"/>
      <c r="L7" s="58"/>
      <c r="M7" s="58"/>
      <c r="N7" s="63"/>
      <c r="O7" s="58"/>
      <c r="P7" s="58"/>
      <c r="Q7" s="58"/>
      <c r="R7" s="63"/>
      <c r="S7" s="63"/>
      <c r="T7" s="63"/>
      <c r="U7" s="63"/>
      <c r="V7" s="63"/>
      <c r="W7" s="63"/>
      <c r="X7" s="63"/>
      <c r="Y7" s="63"/>
    </row>
    <row r="8" spans="1:52">
      <c r="A8" s="40" t="s">
        <v>557</v>
      </c>
      <c r="B8" s="39">
        <v>-137883</v>
      </c>
      <c r="C8" s="54">
        <v>-137548</v>
      </c>
      <c r="D8" s="89">
        <v>-130472</v>
      </c>
      <c r="E8" s="86">
        <v>-130360</v>
      </c>
      <c r="F8" s="72">
        <v>-66396.002699999997</v>
      </c>
      <c r="G8" s="54">
        <v>-68774</v>
      </c>
      <c r="H8" s="89">
        <v>-65236</v>
      </c>
      <c r="I8" s="86">
        <v>-65180</v>
      </c>
      <c r="J8" s="72">
        <v>0</v>
      </c>
      <c r="K8" s="54">
        <v>0</v>
      </c>
      <c r="L8" s="89">
        <v>0</v>
      </c>
      <c r="M8" s="86">
        <v>0</v>
      </c>
      <c r="N8" s="72">
        <v>-66396.002699999997</v>
      </c>
      <c r="O8" s="54">
        <v>-68774</v>
      </c>
      <c r="P8" s="89">
        <v>-65236</v>
      </c>
      <c r="Q8" s="86">
        <v>-65180</v>
      </c>
      <c r="R8" s="72">
        <v>0</v>
      </c>
      <c r="S8" s="22">
        <v>0</v>
      </c>
      <c r="T8" s="82">
        <v>0</v>
      </c>
      <c r="U8" s="78">
        <v>0</v>
      </c>
      <c r="V8" s="39">
        <v>-132792.00539999999</v>
      </c>
      <c r="W8" s="22">
        <f t="shared" ref="W8:Y11" si="0">SUM(G8,K8,O8,S8)</f>
        <v>-137548</v>
      </c>
      <c r="X8" s="82">
        <f t="shared" si="0"/>
        <v>-130472</v>
      </c>
      <c r="Y8" s="78">
        <f t="shared" si="0"/>
        <v>-130360</v>
      </c>
    </row>
    <row r="9" spans="1:52">
      <c r="A9" s="41" t="s">
        <v>558</v>
      </c>
      <c r="B9" s="39">
        <v>0</v>
      </c>
      <c r="C9" s="55">
        <v>0</v>
      </c>
      <c r="D9" s="90">
        <v>0</v>
      </c>
      <c r="E9" s="87">
        <v>0</v>
      </c>
      <c r="F9" s="72">
        <v>0</v>
      </c>
      <c r="G9" s="55">
        <v>0</v>
      </c>
      <c r="H9" s="90">
        <v>0</v>
      </c>
      <c r="I9" s="87">
        <v>0</v>
      </c>
      <c r="J9" s="72">
        <v>0</v>
      </c>
      <c r="K9" s="55">
        <v>0</v>
      </c>
      <c r="L9" s="90">
        <v>0</v>
      </c>
      <c r="M9" s="87">
        <v>0</v>
      </c>
      <c r="N9" s="72">
        <v>0</v>
      </c>
      <c r="O9" s="55">
        <v>0</v>
      </c>
      <c r="P9" s="90">
        <v>0</v>
      </c>
      <c r="Q9" s="87">
        <v>0</v>
      </c>
      <c r="R9" s="72">
        <v>0</v>
      </c>
      <c r="S9" s="33">
        <v>0</v>
      </c>
      <c r="T9" s="83">
        <v>0</v>
      </c>
      <c r="U9" s="79">
        <v>0</v>
      </c>
      <c r="V9" s="39">
        <v>0</v>
      </c>
      <c r="W9" s="33">
        <f t="shared" si="0"/>
        <v>0</v>
      </c>
      <c r="X9" s="83">
        <f t="shared" si="0"/>
        <v>0</v>
      </c>
      <c r="Y9" s="79">
        <f t="shared" si="0"/>
        <v>0</v>
      </c>
    </row>
    <row r="10" spans="1:52">
      <c r="A10" s="41" t="s">
        <v>212</v>
      </c>
      <c r="B10" s="39">
        <v>0</v>
      </c>
      <c r="C10" s="55">
        <v>0</v>
      </c>
      <c r="D10" s="90">
        <v>0</v>
      </c>
      <c r="E10" s="87">
        <v>0</v>
      </c>
      <c r="F10" s="72">
        <v>0</v>
      </c>
      <c r="G10" s="55">
        <v>0</v>
      </c>
      <c r="H10" s="90">
        <v>0</v>
      </c>
      <c r="I10" s="87">
        <v>0</v>
      </c>
      <c r="J10" s="72">
        <v>0</v>
      </c>
      <c r="K10" s="55">
        <v>0</v>
      </c>
      <c r="L10" s="90">
        <v>0</v>
      </c>
      <c r="M10" s="87">
        <v>0</v>
      </c>
      <c r="N10" s="72">
        <v>0</v>
      </c>
      <c r="O10" s="55">
        <v>0</v>
      </c>
      <c r="P10" s="90">
        <v>0</v>
      </c>
      <c r="Q10" s="87">
        <v>0</v>
      </c>
      <c r="R10" s="72">
        <v>0</v>
      </c>
      <c r="S10" s="33">
        <v>0</v>
      </c>
      <c r="T10" s="83">
        <v>0</v>
      </c>
      <c r="U10" s="79">
        <v>0</v>
      </c>
      <c r="V10" s="39">
        <v>0</v>
      </c>
      <c r="W10" s="33">
        <f t="shared" si="0"/>
        <v>0</v>
      </c>
      <c r="X10" s="83">
        <f t="shared" si="0"/>
        <v>0</v>
      </c>
      <c r="Y10" s="79">
        <f t="shared" si="0"/>
        <v>0</v>
      </c>
    </row>
    <row r="11" spans="1:52">
      <c r="A11" s="42" t="s">
        <v>210</v>
      </c>
      <c r="B11" s="64">
        <v>0</v>
      </c>
      <c r="C11" s="55">
        <v>0</v>
      </c>
      <c r="D11" s="90">
        <v>0</v>
      </c>
      <c r="E11" s="87">
        <v>0</v>
      </c>
      <c r="F11" s="73">
        <v>0</v>
      </c>
      <c r="G11" s="55">
        <v>0</v>
      </c>
      <c r="H11" s="90">
        <v>0</v>
      </c>
      <c r="I11" s="87">
        <v>0</v>
      </c>
      <c r="J11" s="73">
        <v>0</v>
      </c>
      <c r="K11" s="55">
        <v>0</v>
      </c>
      <c r="L11" s="90">
        <v>0</v>
      </c>
      <c r="M11" s="87">
        <v>0</v>
      </c>
      <c r="N11" s="73">
        <v>0</v>
      </c>
      <c r="O11" s="55">
        <v>0</v>
      </c>
      <c r="P11" s="90">
        <v>0</v>
      </c>
      <c r="Q11" s="87">
        <v>0</v>
      </c>
      <c r="R11" s="73">
        <v>-515.99484000000007</v>
      </c>
      <c r="S11" s="33">
        <v>-1548</v>
      </c>
      <c r="T11" s="83">
        <v>0</v>
      </c>
      <c r="U11" s="79">
        <v>0</v>
      </c>
      <c r="V11" s="64">
        <v>-515.99484000000007</v>
      </c>
      <c r="W11" s="33">
        <f t="shared" si="0"/>
        <v>-1548</v>
      </c>
      <c r="X11" s="83">
        <f t="shared" si="0"/>
        <v>0</v>
      </c>
      <c r="Y11" s="79">
        <f t="shared" si="0"/>
        <v>0</v>
      </c>
    </row>
    <row r="12" spans="1:52" ht="16.2" thickBot="1">
      <c r="A12" s="43" t="s">
        <v>559</v>
      </c>
      <c r="B12" s="34">
        <f>SUM(B8:B11)</f>
        <v>-137883</v>
      </c>
      <c r="C12" s="52">
        <f t="shared" ref="C12:U12" si="1">SUM(C8:C11)</f>
        <v>-137548</v>
      </c>
      <c r="D12" s="52">
        <f t="shared" si="1"/>
        <v>-130472</v>
      </c>
      <c r="E12" s="52">
        <f t="shared" si="1"/>
        <v>-130360</v>
      </c>
      <c r="F12" s="34">
        <f t="shared" si="1"/>
        <v>-66396.002699999997</v>
      </c>
      <c r="G12" s="52">
        <f t="shared" si="1"/>
        <v>-68774</v>
      </c>
      <c r="H12" s="52">
        <f t="shared" si="1"/>
        <v>-65236</v>
      </c>
      <c r="I12" s="52">
        <f t="shared" si="1"/>
        <v>-65180</v>
      </c>
      <c r="J12" s="34">
        <f t="shared" si="1"/>
        <v>0</v>
      </c>
      <c r="K12" s="52">
        <f t="shared" si="1"/>
        <v>0</v>
      </c>
      <c r="L12" s="52">
        <f t="shared" si="1"/>
        <v>0</v>
      </c>
      <c r="M12" s="52">
        <f t="shared" si="1"/>
        <v>0</v>
      </c>
      <c r="N12" s="34">
        <f t="shared" si="1"/>
        <v>-66396.002699999997</v>
      </c>
      <c r="O12" s="52">
        <f t="shared" si="1"/>
        <v>-68774</v>
      </c>
      <c r="P12" s="52">
        <f t="shared" si="1"/>
        <v>-65236</v>
      </c>
      <c r="Q12" s="52">
        <f t="shared" si="1"/>
        <v>-65180</v>
      </c>
      <c r="R12" s="34">
        <f t="shared" si="1"/>
        <v>-515.99484000000007</v>
      </c>
      <c r="S12" s="34">
        <f t="shared" si="1"/>
        <v>-1548</v>
      </c>
      <c r="T12" s="34">
        <f t="shared" si="1"/>
        <v>0</v>
      </c>
      <c r="U12" s="34">
        <f t="shared" si="1"/>
        <v>0</v>
      </c>
      <c r="V12" s="34">
        <f>SUM(V8:V11)</f>
        <v>-133308.00023999999</v>
      </c>
      <c r="W12" s="34">
        <f t="shared" ref="W12:Y12" si="2">SUM(W8:W11)</f>
        <v>-139096</v>
      </c>
      <c r="X12" s="34">
        <f t="shared" si="2"/>
        <v>-130472</v>
      </c>
      <c r="Y12" s="34">
        <f t="shared" si="2"/>
        <v>-130360</v>
      </c>
    </row>
    <row r="13" spans="1:52" ht="15" thickTop="1">
      <c r="A13" s="67"/>
      <c r="B13" s="67"/>
      <c r="C13" s="67"/>
      <c r="D13" s="67"/>
      <c r="E13" s="67"/>
      <c r="F13" s="67"/>
      <c r="G13" s="67"/>
      <c r="H13" s="67"/>
      <c r="I13" s="67"/>
      <c r="J13" s="67"/>
      <c r="K13" s="67"/>
      <c r="L13" s="67"/>
      <c r="M13" s="67"/>
      <c r="N13" s="67"/>
      <c r="O13" s="67"/>
      <c r="P13" s="67"/>
      <c r="Q13" s="67"/>
      <c r="R13" s="67"/>
      <c r="S13" s="67"/>
      <c r="T13" s="67"/>
      <c r="U13" s="67"/>
      <c r="V13" s="67"/>
      <c r="W13" s="67"/>
      <c r="X13" s="67"/>
      <c r="Y13" s="67"/>
    </row>
    <row r="14" spans="1:52">
      <c r="A14" s="18" t="s">
        <v>560</v>
      </c>
      <c r="B14" s="20"/>
      <c r="C14" s="20"/>
      <c r="D14" s="20"/>
      <c r="E14" s="20"/>
      <c r="F14" s="20"/>
      <c r="G14" s="20"/>
      <c r="H14" s="20"/>
      <c r="I14" s="20"/>
      <c r="J14" s="20"/>
      <c r="K14" s="20"/>
      <c r="L14" s="20"/>
      <c r="M14" s="20"/>
      <c r="N14" s="20"/>
      <c r="O14" s="20"/>
      <c r="P14" s="20"/>
      <c r="Q14" s="20"/>
      <c r="R14" s="20"/>
      <c r="S14" s="20"/>
      <c r="T14" s="20"/>
      <c r="U14" s="20"/>
      <c r="V14" s="20"/>
      <c r="W14" s="20"/>
      <c r="X14" s="20"/>
      <c r="Y14" s="20"/>
    </row>
    <row r="15" spans="1:52">
      <c r="A15" s="40" t="s">
        <v>188</v>
      </c>
      <c r="B15" s="65">
        <v>0</v>
      </c>
      <c r="C15" s="54">
        <v>0</v>
      </c>
      <c r="D15" s="89">
        <v>0</v>
      </c>
      <c r="E15" s="86">
        <v>0</v>
      </c>
      <c r="F15" s="72">
        <v>0</v>
      </c>
      <c r="G15" s="54">
        <v>0</v>
      </c>
      <c r="H15" s="89">
        <v>0</v>
      </c>
      <c r="I15" s="86">
        <v>0</v>
      </c>
      <c r="J15" s="72">
        <v>0</v>
      </c>
      <c r="K15" s="54">
        <v>0</v>
      </c>
      <c r="L15" s="89">
        <v>0</v>
      </c>
      <c r="M15" s="86">
        <v>0</v>
      </c>
      <c r="N15" s="72">
        <v>0</v>
      </c>
      <c r="O15" s="54">
        <v>0</v>
      </c>
      <c r="P15" s="89">
        <v>0</v>
      </c>
      <c r="Q15" s="86">
        <v>0</v>
      </c>
      <c r="R15" s="72">
        <v>0</v>
      </c>
      <c r="S15" s="32">
        <v>0</v>
      </c>
      <c r="T15" s="84">
        <v>0</v>
      </c>
      <c r="U15" s="80">
        <v>0</v>
      </c>
      <c r="V15" s="65">
        <v>0</v>
      </c>
      <c r="W15" s="32">
        <f t="shared" ref="W15:Y20" si="3">SUM(G15,K15,O15,S15)</f>
        <v>0</v>
      </c>
      <c r="X15" s="84">
        <f t="shared" si="3"/>
        <v>0</v>
      </c>
      <c r="Y15" s="80">
        <f t="shared" si="3"/>
        <v>0</v>
      </c>
    </row>
    <row r="16" spans="1:52">
      <c r="A16" s="41" t="s">
        <v>181</v>
      </c>
      <c r="B16" s="39">
        <v>0</v>
      </c>
      <c r="C16" s="54">
        <v>0</v>
      </c>
      <c r="D16" s="89">
        <v>0</v>
      </c>
      <c r="E16" s="86">
        <v>0</v>
      </c>
      <c r="F16" s="72">
        <v>279.99720000000002</v>
      </c>
      <c r="G16" s="54">
        <v>0</v>
      </c>
      <c r="H16" s="89">
        <v>0</v>
      </c>
      <c r="I16" s="86">
        <v>840</v>
      </c>
      <c r="J16" s="72">
        <v>82.499175000000008</v>
      </c>
      <c r="K16" s="54">
        <v>0</v>
      </c>
      <c r="L16" s="89">
        <v>0</v>
      </c>
      <c r="M16" s="86">
        <v>247.5</v>
      </c>
      <c r="N16" s="72">
        <v>239.99760000000001</v>
      </c>
      <c r="O16" s="54">
        <v>0</v>
      </c>
      <c r="P16" s="89">
        <v>0</v>
      </c>
      <c r="Q16" s="86">
        <v>720</v>
      </c>
      <c r="R16" s="72">
        <v>1571.9842800000001</v>
      </c>
      <c r="S16" s="22">
        <v>0</v>
      </c>
      <c r="T16" s="82">
        <v>0</v>
      </c>
      <c r="U16" s="78">
        <v>4716</v>
      </c>
      <c r="V16" s="39">
        <v>2174.478255</v>
      </c>
      <c r="W16" s="22">
        <f t="shared" si="3"/>
        <v>0</v>
      </c>
      <c r="X16" s="82">
        <f t="shared" si="3"/>
        <v>0</v>
      </c>
      <c r="Y16" s="78">
        <f t="shared" si="3"/>
        <v>6523.5</v>
      </c>
    </row>
    <row r="17" spans="1:25">
      <c r="A17" s="92" t="s">
        <v>174</v>
      </c>
      <c r="B17" s="93">
        <v>83272</v>
      </c>
      <c r="C17" s="94">
        <v>127826</v>
      </c>
      <c r="D17" s="100">
        <v>121011</v>
      </c>
      <c r="E17" s="99">
        <v>121140</v>
      </c>
      <c r="F17" s="95">
        <v>11333.726661600002</v>
      </c>
      <c r="G17" s="94">
        <v>5069.67</v>
      </c>
      <c r="H17" s="100">
        <v>9009.56</v>
      </c>
      <c r="I17" s="99">
        <v>19922.29</v>
      </c>
      <c r="J17" s="95">
        <v>34488.175114800004</v>
      </c>
      <c r="K17" s="94">
        <v>32873.08</v>
      </c>
      <c r="L17" s="100">
        <v>28623.74</v>
      </c>
      <c r="M17" s="99">
        <v>41968.74</v>
      </c>
      <c r="N17" s="95">
        <v>21222.267775200002</v>
      </c>
      <c r="O17" s="94">
        <v>21519.54</v>
      </c>
      <c r="P17" s="100">
        <v>14232.99</v>
      </c>
      <c r="Q17" s="99">
        <v>27914.91</v>
      </c>
      <c r="R17" s="95">
        <v>17710.2662289</v>
      </c>
      <c r="S17" s="96">
        <v>17351.05</v>
      </c>
      <c r="T17" s="98">
        <v>17815.849999999999</v>
      </c>
      <c r="U17" s="97">
        <v>17964.43</v>
      </c>
      <c r="V17" s="93">
        <v>84754.435780500004</v>
      </c>
      <c r="W17" s="96">
        <f t="shared" si="3"/>
        <v>76813.34</v>
      </c>
      <c r="X17" s="98">
        <f t="shared" si="3"/>
        <v>69682.14</v>
      </c>
      <c r="Y17" s="97">
        <f t="shared" si="3"/>
        <v>107770.37</v>
      </c>
    </row>
    <row r="18" spans="1:25">
      <c r="A18" s="41" t="s">
        <v>146</v>
      </c>
      <c r="B18" s="39">
        <v>0</v>
      </c>
      <c r="C18" s="54">
        <v>0</v>
      </c>
      <c r="D18" s="89">
        <v>0</v>
      </c>
      <c r="E18" s="86">
        <v>0</v>
      </c>
      <c r="F18" s="72">
        <v>0</v>
      </c>
      <c r="G18" s="54">
        <v>0</v>
      </c>
      <c r="H18" s="89">
        <v>0</v>
      </c>
      <c r="I18" s="86">
        <v>0</v>
      </c>
      <c r="J18" s="72">
        <v>0</v>
      </c>
      <c r="K18" s="54">
        <v>0</v>
      </c>
      <c r="L18" s="89">
        <v>0</v>
      </c>
      <c r="M18" s="86">
        <v>0</v>
      </c>
      <c r="N18" s="72">
        <v>0</v>
      </c>
      <c r="O18" s="54">
        <v>0</v>
      </c>
      <c r="P18" s="89">
        <v>0</v>
      </c>
      <c r="Q18" s="86">
        <v>0</v>
      </c>
      <c r="R18" s="72">
        <v>0</v>
      </c>
      <c r="S18" s="22">
        <v>0</v>
      </c>
      <c r="T18" s="82">
        <v>0</v>
      </c>
      <c r="U18" s="78">
        <v>0</v>
      </c>
      <c r="V18" s="39">
        <v>0</v>
      </c>
      <c r="W18" s="22">
        <f t="shared" si="3"/>
        <v>0</v>
      </c>
      <c r="X18" s="82">
        <f t="shared" si="3"/>
        <v>0</v>
      </c>
      <c r="Y18" s="78">
        <f t="shared" si="3"/>
        <v>0</v>
      </c>
    </row>
    <row r="19" spans="1:25">
      <c r="A19" s="41" t="s">
        <v>139</v>
      </c>
      <c r="B19" s="39">
        <v>0</v>
      </c>
      <c r="C19" s="54">
        <v>0</v>
      </c>
      <c r="D19" s="89">
        <v>0</v>
      </c>
      <c r="E19" s="86">
        <v>0</v>
      </c>
      <c r="F19" s="72">
        <v>46.199537999999997</v>
      </c>
      <c r="G19" s="54">
        <v>0</v>
      </c>
      <c r="H19" s="89">
        <v>0</v>
      </c>
      <c r="I19" s="86">
        <v>138.6</v>
      </c>
      <c r="J19" s="72">
        <v>13.613197200000002</v>
      </c>
      <c r="K19" s="54">
        <v>0</v>
      </c>
      <c r="L19" s="89">
        <v>0</v>
      </c>
      <c r="M19" s="86">
        <v>40.840000000000003</v>
      </c>
      <c r="N19" s="72">
        <v>39.599603999999999</v>
      </c>
      <c r="O19" s="54">
        <v>0</v>
      </c>
      <c r="P19" s="89">
        <v>0</v>
      </c>
      <c r="Q19" s="86">
        <v>118.8</v>
      </c>
      <c r="R19" s="72">
        <v>259.3807395</v>
      </c>
      <c r="S19" s="22">
        <v>0</v>
      </c>
      <c r="T19" s="82">
        <v>0</v>
      </c>
      <c r="U19" s="78">
        <v>778.15</v>
      </c>
      <c r="V19" s="39">
        <v>358.79307869999997</v>
      </c>
      <c r="W19" s="22">
        <f t="shared" si="3"/>
        <v>0</v>
      </c>
      <c r="X19" s="82">
        <f t="shared" si="3"/>
        <v>0</v>
      </c>
      <c r="Y19" s="78">
        <f t="shared" si="3"/>
        <v>1076.3899999999999</v>
      </c>
    </row>
    <row r="20" spans="1:25">
      <c r="A20" s="42" t="s">
        <v>129</v>
      </c>
      <c r="B20" s="64">
        <v>833</v>
      </c>
      <c r="C20" s="59">
        <v>1278</v>
      </c>
      <c r="D20" s="91">
        <v>1452</v>
      </c>
      <c r="E20" s="88">
        <v>1333</v>
      </c>
      <c r="F20" s="73">
        <v>125.9787402</v>
      </c>
      <c r="G20" s="59">
        <v>50.69</v>
      </c>
      <c r="H20" s="91">
        <v>108.11</v>
      </c>
      <c r="I20" s="88">
        <v>219.14</v>
      </c>
      <c r="J20" s="73">
        <v>377.95622040000006</v>
      </c>
      <c r="K20" s="59">
        <v>328.73</v>
      </c>
      <c r="L20" s="91">
        <v>343.49</v>
      </c>
      <c r="M20" s="88">
        <v>461.66</v>
      </c>
      <c r="N20" s="73">
        <v>231.01768980000003</v>
      </c>
      <c r="O20" s="59">
        <v>215.19</v>
      </c>
      <c r="P20" s="91">
        <v>170.8</v>
      </c>
      <c r="Q20" s="88">
        <v>307.07</v>
      </c>
      <c r="R20" s="73">
        <v>194.9713836</v>
      </c>
      <c r="S20" s="35">
        <v>173.51</v>
      </c>
      <c r="T20" s="85">
        <v>213.8</v>
      </c>
      <c r="U20" s="81">
        <v>197.61</v>
      </c>
      <c r="V20" s="64">
        <v>929.92403400000001</v>
      </c>
      <c r="W20" s="35">
        <f t="shared" si="3"/>
        <v>768.12</v>
      </c>
      <c r="X20" s="85">
        <f t="shared" si="3"/>
        <v>836.2</v>
      </c>
      <c r="Y20" s="81">
        <f t="shared" si="3"/>
        <v>1185.48</v>
      </c>
    </row>
    <row r="21" spans="1:25">
      <c r="A21" s="23" t="s">
        <v>561</v>
      </c>
      <c r="B21" s="27">
        <f t="shared" ref="B21:Y21" si="4">SUM(B15:B20)</f>
        <v>84105</v>
      </c>
      <c r="C21" s="60">
        <f t="shared" si="4"/>
        <v>129104</v>
      </c>
      <c r="D21" s="60">
        <f t="shared" si="4"/>
        <v>122463</v>
      </c>
      <c r="E21" s="60">
        <f t="shared" si="4"/>
        <v>122473</v>
      </c>
      <c r="F21" s="27">
        <f t="shared" si="4"/>
        <v>11785.902139800002</v>
      </c>
      <c r="G21" s="56">
        <f t="shared" si="4"/>
        <v>5120.3599999999997</v>
      </c>
      <c r="H21" s="56">
        <f t="shared" si="4"/>
        <v>9117.67</v>
      </c>
      <c r="I21" s="56">
        <f t="shared" si="4"/>
        <v>21120.03</v>
      </c>
      <c r="J21" s="27">
        <f t="shared" si="4"/>
        <v>34962.243707400004</v>
      </c>
      <c r="K21" s="60">
        <f t="shared" si="4"/>
        <v>33201.810000000005</v>
      </c>
      <c r="L21" s="60">
        <f t="shared" si="4"/>
        <v>28967.230000000003</v>
      </c>
      <c r="M21" s="60">
        <f t="shared" si="4"/>
        <v>42718.74</v>
      </c>
      <c r="N21" s="27">
        <f t="shared" si="4"/>
        <v>21732.882668999999</v>
      </c>
      <c r="O21" s="60">
        <f t="shared" si="4"/>
        <v>21734.73</v>
      </c>
      <c r="P21" s="60">
        <f t="shared" si="4"/>
        <v>14403.789999999999</v>
      </c>
      <c r="Q21" s="60">
        <f t="shared" si="4"/>
        <v>29060.78</v>
      </c>
      <c r="R21" s="27">
        <f t="shared" si="4"/>
        <v>19736.602632000002</v>
      </c>
      <c r="S21" s="36">
        <f t="shared" si="4"/>
        <v>17524.559999999998</v>
      </c>
      <c r="T21" s="36">
        <f t="shared" si="4"/>
        <v>18029.649999999998</v>
      </c>
      <c r="U21" s="36">
        <f t="shared" si="4"/>
        <v>23656.190000000002</v>
      </c>
      <c r="V21" s="27">
        <f t="shared" si="4"/>
        <v>88217.631148199987</v>
      </c>
      <c r="W21" s="36">
        <f t="shared" si="4"/>
        <v>77581.459999999992</v>
      </c>
      <c r="X21" s="36">
        <f t="shared" si="4"/>
        <v>70518.34</v>
      </c>
      <c r="Y21" s="36">
        <f t="shared" si="4"/>
        <v>116555.73999999999</v>
      </c>
    </row>
    <row r="22" spans="1:25">
      <c r="A22" s="24" t="s">
        <v>562</v>
      </c>
      <c r="B22" s="25"/>
      <c r="C22" s="25"/>
      <c r="D22" s="25"/>
      <c r="E22" s="25"/>
      <c r="F22" s="25"/>
      <c r="G22" s="25"/>
      <c r="H22" s="25"/>
      <c r="I22" s="25"/>
      <c r="J22" s="25"/>
      <c r="K22" s="25"/>
      <c r="L22" s="25"/>
      <c r="M22" s="25"/>
      <c r="N22" s="25"/>
      <c r="O22" s="25"/>
      <c r="P22" s="25"/>
      <c r="Q22" s="25"/>
      <c r="R22" s="25"/>
      <c r="S22" s="25"/>
      <c r="T22" s="25"/>
      <c r="U22" s="25"/>
      <c r="V22" s="25"/>
      <c r="W22" s="25"/>
      <c r="X22" s="25"/>
      <c r="Y22" s="25"/>
    </row>
    <row r="23" spans="1:25">
      <c r="A23" s="40" t="s">
        <v>127</v>
      </c>
      <c r="B23" s="65">
        <v>45000</v>
      </c>
      <c r="C23" s="54">
        <v>0</v>
      </c>
      <c r="D23" s="89">
        <v>0</v>
      </c>
      <c r="E23" s="86">
        <v>0</v>
      </c>
      <c r="F23" s="72">
        <v>0</v>
      </c>
      <c r="G23" s="54">
        <v>0</v>
      </c>
      <c r="H23" s="89">
        <v>0</v>
      </c>
      <c r="I23" s="86">
        <v>0</v>
      </c>
      <c r="J23" s="72">
        <v>0</v>
      </c>
      <c r="K23" s="54">
        <v>0</v>
      </c>
      <c r="L23" s="89">
        <v>0</v>
      </c>
      <c r="M23" s="86">
        <v>0</v>
      </c>
      <c r="N23" s="72">
        <v>0</v>
      </c>
      <c r="O23" s="54">
        <v>0</v>
      </c>
      <c r="P23" s="89">
        <v>0</v>
      </c>
      <c r="Q23" s="86">
        <v>0</v>
      </c>
      <c r="R23" s="72">
        <v>0</v>
      </c>
      <c r="S23" s="32">
        <v>0</v>
      </c>
      <c r="T23" s="84">
        <v>0</v>
      </c>
      <c r="U23" s="80">
        <v>0</v>
      </c>
      <c r="V23" s="65">
        <v>0</v>
      </c>
      <c r="W23" s="32">
        <f t="shared" ref="W23:Y29" si="5">SUM(G23,K23,O23,S23)</f>
        <v>0</v>
      </c>
      <c r="X23" s="84">
        <f t="shared" si="5"/>
        <v>0</v>
      </c>
      <c r="Y23" s="80">
        <f t="shared" si="5"/>
        <v>0</v>
      </c>
    </row>
    <row r="24" spans="1:25">
      <c r="A24" s="41" t="s">
        <v>120</v>
      </c>
      <c r="B24" s="39">
        <v>0</v>
      </c>
      <c r="C24" s="54">
        <v>0</v>
      </c>
      <c r="D24" s="89">
        <v>0</v>
      </c>
      <c r="E24" s="86">
        <v>0</v>
      </c>
      <c r="F24" s="72">
        <v>0</v>
      </c>
      <c r="G24" s="54">
        <v>0</v>
      </c>
      <c r="H24" s="89">
        <v>0</v>
      </c>
      <c r="I24" s="86">
        <v>0</v>
      </c>
      <c r="J24" s="72">
        <v>0</v>
      </c>
      <c r="K24" s="54">
        <v>0</v>
      </c>
      <c r="L24" s="89">
        <v>0</v>
      </c>
      <c r="M24" s="86">
        <v>0</v>
      </c>
      <c r="N24" s="72">
        <v>0</v>
      </c>
      <c r="O24" s="54">
        <v>0</v>
      </c>
      <c r="P24" s="89">
        <v>0</v>
      </c>
      <c r="Q24" s="86">
        <v>0</v>
      </c>
      <c r="R24" s="72">
        <v>0</v>
      </c>
      <c r="S24" s="22">
        <v>0</v>
      </c>
      <c r="T24" s="82">
        <v>0</v>
      </c>
      <c r="U24" s="78">
        <v>0</v>
      </c>
      <c r="V24" s="39">
        <v>0</v>
      </c>
      <c r="W24" s="22">
        <f t="shared" si="5"/>
        <v>0</v>
      </c>
      <c r="X24" s="82">
        <f t="shared" si="5"/>
        <v>0</v>
      </c>
      <c r="Y24" s="78">
        <f t="shared" si="5"/>
        <v>0</v>
      </c>
    </row>
    <row r="25" spans="1:25">
      <c r="A25" s="41" t="s">
        <v>107</v>
      </c>
      <c r="B25" s="39">
        <v>0</v>
      </c>
      <c r="C25" s="54">
        <v>0</v>
      </c>
      <c r="D25" s="89">
        <v>0</v>
      </c>
      <c r="E25" s="86">
        <v>0</v>
      </c>
      <c r="F25" s="72">
        <v>280.6171938</v>
      </c>
      <c r="G25" s="54">
        <v>237.12</v>
      </c>
      <c r="H25" s="89">
        <v>340.98</v>
      </c>
      <c r="I25" s="86">
        <v>263.76</v>
      </c>
      <c r="J25" s="72">
        <v>280.6171938</v>
      </c>
      <c r="K25" s="54">
        <v>237.12</v>
      </c>
      <c r="L25" s="89">
        <v>340.98</v>
      </c>
      <c r="M25" s="86">
        <v>263.76</v>
      </c>
      <c r="N25" s="72">
        <v>280.6171938</v>
      </c>
      <c r="O25" s="54">
        <v>237.12</v>
      </c>
      <c r="P25" s="89">
        <v>340.98</v>
      </c>
      <c r="Q25" s="86">
        <v>263.76</v>
      </c>
      <c r="R25" s="72">
        <v>280.6171938</v>
      </c>
      <c r="S25" s="22">
        <v>237.12</v>
      </c>
      <c r="T25" s="82">
        <v>340.98</v>
      </c>
      <c r="U25" s="78">
        <v>263.76</v>
      </c>
      <c r="V25" s="39">
        <v>1122.4687752</v>
      </c>
      <c r="W25" s="22">
        <f t="shared" si="5"/>
        <v>948.48</v>
      </c>
      <c r="X25" s="82">
        <f t="shared" si="5"/>
        <v>1363.92</v>
      </c>
      <c r="Y25" s="78">
        <f t="shared" si="5"/>
        <v>1055.04</v>
      </c>
    </row>
    <row r="26" spans="1:25">
      <c r="A26" s="41" t="s">
        <v>104</v>
      </c>
      <c r="B26" s="39">
        <v>0</v>
      </c>
      <c r="C26" s="54">
        <v>0</v>
      </c>
      <c r="D26" s="89">
        <v>0</v>
      </c>
      <c r="E26" s="86">
        <v>0</v>
      </c>
      <c r="F26" s="72">
        <v>0</v>
      </c>
      <c r="G26" s="54">
        <v>0</v>
      </c>
      <c r="H26" s="89">
        <v>0</v>
      </c>
      <c r="I26" s="86">
        <v>0</v>
      </c>
      <c r="J26" s="72">
        <v>0</v>
      </c>
      <c r="K26" s="54">
        <v>0</v>
      </c>
      <c r="L26" s="89">
        <v>0</v>
      </c>
      <c r="M26" s="86">
        <v>0</v>
      </c>
      <c r="N26" s="72">
        <v>0</v>
      </c>
      <c r="O26" s="54">
        <v>0</v>
      </c>
      <c r="P26" s="89">
        <v>0</v>
      </c>
      <c r="Q26" s="86">
        <v>0</v>
      </c>
      <c r="R26" s="72">
        <v>0</v>
      </c>
      <c r="S26" s="22">
        <v>0</v>
      </c>
      <c r="T26" s="82">
        <v>0</v>
      </c>
      <c r="U26" s="78">
        <v>0</v>
      </c>
      <c r="V26" s="39">
        <v>0</v>
      </c>
      <c r="W26" s="22">
        <f t="shared" si="5"/>
        <v>0</v>
      </c>
      <c r="X26" s="82">
        <f t="shared" si="5"/>
        <v>0</v>
      </c>
      <c r="Y26" s="78">
        <f t="shared" si="5"/>
        <v>0</v>
      </c>
    </row>
    <row r="27" spans="1:25">
      <c r="A27" s="41" t="s">
        <v>102</v>
      </c>
      <c r="B27" s="39">
        <v>0</v>
      </c>
      <c r="C27" s="54">
        <v>0</v>
      </c>
      <c r="D27" s="89">
        <v>0</v>
      </c>
      <c r="E27" s="86">
        <v>0</v>
      </c>
      <c r="F27" s="72">
        <v>0</v>
      </c>
      <c r="G27" s="54">
        <v>0</v>
      </c>
      <c r="H27" s="89">
        <v>0</v>
      </c>
      <c r="I27" s="86">
        <v>0</v>
      </c>
      <c r="J27" s="72">
        <v>0</v>
      </c>
      <c r="K27" s="54">
        <v>0</v>
      </c>
      <c r="L27" s="89">
        <v>0</v>
      </c>
      <c r="M27" s="86">
        <v>0</v>
      </c>
      <c r="N27" s="72">
        <v>0</v>
      </c>
      <c r="O27" s="54">
        <v>0</v>
      </c>
      <c r="P27" s="89">
        <v>0</v>
      </c>
      <c r="Q27" s="86">
        <v>0</v>
      </c>
      <c r="R27" s="72">
        <v>0</v>
      </c>
      <c r="S27" s="22">
        <v>0</v>
      </c>
      <c r="T27" s="82">
        <v>0</v>
      </c>
      <c r="U27" s="78">
        <v>0</v>
      </c>
      <c r="V27" s="39">
        <v>0</v>
      </c>
      <c r="W27" s="22">
        <f t="shared" si="5"/>
        <v>0</v>
      </c>
      <c r="X27" s="82">
        <f t="shared" si="5"/>
        <v>0</v>
      </c>
      <c r="Y27" s="78">
        <f t="shared" si="5"/>
        <v>0</v>
      </c>
    </row>
    <row r="28" spans="1:25">
      <c r="A28" s="41" t="s">
        <v>98</v>
      </c>
      <c r="B28" s="39">
        <v>0</v>
      </c>
      <c r="C28" s="54">
        <v>0</v>
      </c>
      <c r="D28" s="89">
        <v>0</v>
      </c>
      <c r="E28" s="86">
        <v>0</v>
      </c>
      <c r="F28" s="72">
        <v>0</v>
      </c>
      <c r="G28" s="54">
        <v>0</v>
      </c>
      <c r="H28" s="89">
        <v>0</v>
      </c>
      <c r="I28" s="86">
        <v>0</v>
      </c>
      <c r="J28" s="72">
        <v>0</v>
      </c>
      <c r="K28" s="54">
        <v>0</v>
      </c>
      <c r="L28" s="89">
        <v>0</v>
      </c>
      <c r="M28" s="86">
        <v>0</v>
      </c>
      <c r="N28" s="72">
        <v>0</v>
      </c>
      <c r="O28" s="54">
        <v>0</v>
      </c>
      <c r="P28" s="89">
        <v>0</v>
      </c>
      <c r="Q28" s="86">
        <v>0</v>
      </c>
      <c r="R28" s="72">
        <v>0</v>
      </c>
      <c r="S28" s="22">
        <v>0</v>
      </c>
      <c r="T28" s="82">
        <v>0</v>
      </c>
      <c r="U28" s="78">
        <v>0</v>
      </c>
      <c r="V28" s="39">
        <v>0</v>
      </c>
      <c r="W28" s="22">
        <f t="shared" si="5"/>
        <v>0</v>
      </c>
      <c r="X28" s="82">
        <f t="shared" si="5"/>
        <v>0</v>
      </c>
      <c r="Y28" s="78">
        <f t="shared" si="5"/>
        <v>0</v>
      </c>
    </row>
    <row r="29" spans="1:25">
      <c r="A29" s="42" t="s">
        <v>84</v>
      </c>
      <c r="B29" s="64">
        <v>0</v>
      </c>
      <c r="C29" s="59">
        <v>0</v>
      </c>
      <c r="D29" s="91">
        <v>0</v>
      </c>
      <c r="E29" s="88">
        <v>0</v>
      </c>
      <c r="F29" s="73">
        <v>5134.9486500000003</v>
      </c>
      <c r="G29" s="59">
        <v>7740</v>
      </c>
      <c r="H29" s="91">
        <v>7665</v>
      </c>
      <c r="I29" s="88">
        <v>0</v>
      </c>
      <c r="J29" s="73">
        <v>7188.9281100000007</v>
      </c>
      <c r="K29" s="59">
        <v>10836</v>
      </c>
      <c r="L29" s="91">
        <v>10731</v>
      </c>
      <c r="M29" s="88">
        <v>0</v>
      </c>
      <c r="N29" s="73">
        <v>5129.9487000000008</v>
      </c>
      <c r="O29" s="59">
        <v>6192</v>
      </c>
      <c r="P29" s="91">
        <v>9198</v>
      </c>
      <c r="Q29" s="88">
        <v>0</v>
      </c>
      <c r="R29" s="73">
        <v>9926.6007330000011</v>
      </c>
      <c r="S29" s="35">
        <v>11274.6</v>
      </c>
      <c r="T29" s="85">
        <v>12373.5</v>
      </c>
      <c r="U29" s="81">
        <v>6132</v>
      </c>
      <c r="V29" s="64">
        <v>27380.426192999999</v>
      </c>
      <c r="W29" s="35">
        <f t="shared" si="5"/>
        <v>36042.6</v>
      </c>
      <c r="X29" s="85">
        <f t="shared" si="5"/>
        <v>39967.5</v>
      </c>
      <c r="Y29" s="81">
        <f t="shared" si="5"/>
        <v>6132</v>
      </c>
    </row>
    <row r="30" spans="1:25">
      <c r="A30" s="23" t="s">
        <v>563</v>
      </c>
      <c r="B30" s="27">
        <f t="shared" ref="B30:Y30" si="6">SUM(B23:B29)</f>
        <v>45000</v>
      </c>
      <c r="C30" s="60">
        <f t="shared" si="6"/>
        <v>0</v>
      </c>
      <c r="D30" s="60">
        <f t="shared" si="6"/>
        <v>0</v>
      </c>
      <c r="E30" s="60">
        <f t="shared" si="6"/>
        <v>0</v>
      </c>
      <c r="F30" s="27">
        <f t="shared" si="6"/>
        <v>5415.5658438</v>
      </c>
      <c r="G30" s="60">
        <f t="shared" si="6"/>
        <v>7977.12</v>
      </c>
      <c r="H30" s="60">
        <f t="shared" si="6"/>
        <v>8005.98</v>
      </c>
      <c r="I30" s="60">
        <f t="shared" si="6"/>
        <v>263.76</v>
      </c>
      <c r="J30" s="27">
        <f t="shared" si="6"/>
        <v>7469.5453038000005</v>
      </c>
      <c r="K30" s="60">
        <f t="shared" si="6"/>
        <v>11073.12</v>
      </c>
      <c r="L30" s="60">
        <f t="shared" si="6"/>
        <v>11071.98</v>
      </c>
      <c r="M30" s="60">
        <f t="shared" si="6"/>
        <v>263.76</v>
      </c>
      <c r="N30" s="27">
        <f t="shared" si="6"/>
        <v>5410.5658938000006</v>
      </c>
      <c r="O30" s="60">
        <f t="shared" si="6"/>
        <v>6429.12</v>
      </c>
      <c r="P30" s="60">
        <f t="shared" si="6"/>
        <v>9538.98</v>
      </c>
      <c r="Q30" s="60">
        <f t="shared" si="6"/>
        <v>263.76</v>
      </c>
      <c r="R30" s="27">
        <f t="shared" si="6"/>
        <v>10207.217926800002</v>
      </c>
      <c r="S30" s="36">
        <f t="shared" si="6"/>
        <v>11511.720000000001</v>
      </c>
      <c r="T30" s="36">
        <f t="shared" si="6"/>
        <v>12714.48</v>
      </c>
      <c r="U30" s="36">
        <f t="shared" si="6"/>
        <v>6395.76</v>
      </c>
      <c r="V30" s="27">
        <f t="shared" si="6"/>
        <v>28502.894968199998</v>
      </c>
      <c r="W30" s="36">
        <f t="shared" si="6"/>
        <v>36991.08</v>
      </c>
      <c r="X30" s="36">
        <f t="shared" si="6"/>
        <v>41331.42</v>
      </c>
      <c r="Y30" s="36">
        <f t="shared" si="6"/>
        <v>7187.04</v>
      </c>
    </row>
    <row r="31" spans="1:25">
      <c r="A31" s="24" t="s">
        <v>429</v>
      </c>
      <c r="B31" s="21"/>
      <c r="C31" s="26"/>
      <c r="D31" s="26"/>
      <c r="E31" s="26"/>
      <c r="F31" s="26"/>
      <c r="G31" s="26"/>
      <c r="H31" s="26"/>
      <c r="I31" s="26"/>
      <c r="J31" s="26"/>
      <c r="K31" s="26"/>
      <c r="L31" s="26"/>
      <c r="M31" s="26"/>
      <c r="N31" s="26"/>
      <c r="O31" s="26"/>
      <c r="P31" s="26"/>
      <c r="Q31" s="26"/>
      <c r="R31" s="26"/>
      <c r="S31" s="26"/>
      <c r="T31" s="26"/>
      <c r="U31" s="26"/>
      <c r="V31" s="21"/>
      <c r="W31" s="26"/>
      <c r="X31" s="26"/>
      <c r="Y31" s="26"/>
    </row>
    <row r="32" spans="1:25">
      <c r="A32" s="40" t="s">
        <v>81</v>
      </c>
      <c r="B32" s="65">
        <v>0</v>
      </c>
      <c r="C32" s="54">
        <v>0</v>
      </c>
      <c r="D32" s="89">
        <v>0</v>
      </c>
      <c r="E32" s="86">
        <v>0</v>
      </c>
      <c r="F32" s="72">
        <v>0</v>
      </c>
      <c r="G32" s="54">
        <v>0</v>
      </c>
      <c r="H32" s="89">
        <v>0</v>
      </c>
      <c r="I32" s="86">
        <v>0</v>
      </c>
      <c r="J32" s="72">
        <v>0</v>
      </c>
      <c r="K32" s="54">
        <v>0</v>
      </c>
      <c r="L32" s="89">
        <v>0</v>
      </c>
      <c r="M32" s="86">
        <v>0</v>
      </c>
      <c r="N32" s="72">
        <v>0</v>
      </c>
      <c r="O32" s="54">
        <v>0</v>
      </c>
      <c r="P32" s="89">
        <v>0</v>
      </c>
      <c r="Q32" s="86">
        <v>0</v>
      </c>
      <c r="R32" s="72">
        <v>0</v>
      </c>
      <c r="S32" s="32">
        <v>0</v>
      </c>
      <c r="T32" s="84">
        <v>0</v>
      </c>
      <c r="U32" s="80">
        <v>0</v>
      </c>
      <c r="V32" s="65">
        <v>0</v>
      </c>
      <c r="W32" s="32">
        <f t="shared" ref="W32:Y33" si="7">SUM(G32,K32,O32,S32)</f>
        <v>0</v>
      </c>
      <c r="X32" s="84">
        <f t="shared" si="7"/>
        <v>0</v>
      </c>
      <c r="Y32" s="80">
        <f t="shared" si="7"/>
        <v>0</v>
      </c>
    </row>
    <row r="33" spans="1:25">
      <c r="A33" s="42" t="s">
        <v>79</v>
      </c>
      <c r="B33" s="64">
        <v>0</v>
      </c>
      <c r="C33" s="59">
        <v>0</v>
      </c>
      <c r="D33" s="91">
        <v>0</v>
      </c>
      <c r="E33" s="88">
        <v>0</v>
      </c>
      <c r="F33" s="73">
        <v>0</v>
      </c>
      <c r="G33" s="59">
        <v>0</v>
      </c>
      <c r="H33" s="91">
        <v>0</v>
      </c>
      <c r="I33" s="88">
        <v>0</v>
      </c>
      <c r="J33" s="73">
        <v>0</v>
      </c>
      <c r="K33" s="59">
        <v>0</v>
      </c>
      <c r="L33" s="91">
        <v>0</v>
      </c>
      <c r="M33" s="88">
        <v>0</v>
      </c>
      <c r="N33" s="73">
        <v>0</v>
      </c>
      <c r="O33" s="59">
        <v>0</v>
      </c>
      <c r="P33" s="91">
        <v>0</v>
      </c>
      <c r="Q33" s="88">
        <v>0</v>
      </c>
      <c r="R33" s="73">
        <v>0</v>
      </c>
      <c r="S33" s="35">
        <v>0</v>
      </c>
      <c r="T33" s="85">
        <v>0</v>
      </c>
      <c r="U33" s="81">
        <v>0</v>
      </c>
      <c r="V33" s="64">
        <v>0</v>
      </c>
      <c r="W33" s="35">
        <f t="shared" si="7"/>
        <v>0</v>
      </c>
      <c r="X33" s="85">
        <f t="shared" si="7"/>
        <v>0</v>
      </c>
      <c r="Y33" s="81">
        <f t="shared" si="7"/>
        <v>0</v>
      </c>
    </row>
    <row r="34" spans="1:25">
      <c r="A34" s="23" t="s">
        <v>564</v>
      </c>
      <c r="B34" s="27">
        <f t="shared" ref="B34:Y34" si="8">SUM(B32:B33)</f>
        <v>0</v>
      </c>
      <c r="C34" s="60">
        <f t="shared" si="8"/>
        <v>0</v>
      </c>
      <c r="D34" s="60">
        <f t="shared" si="8"/>
        <v>0</v>
      </c>
      <c r="E34" s="60">
        <f t="shared" si="8"/>
        <v>0</v>
      </c>
      <c r="F34" s="27">
        <f t="shared" si="8"/>
        <v>0</v>
      </c>
      <c r="G34" s="60">
        <f t="shared" si="8"/>
        <v>0</v>
      </c>
      <c r="H34" s="60">
        <f t="shared" si="8"/>
        <v>0</v>
      </c>
      <c r="I34" s="60">
        <f t="shared" si="8"/>
        <v>0</v>
      </c>
      <c r="J34" s="27">
        <f t="shared" si="8"/>
        <v>0</v>
      </c>
      <c r="K34" s="60">
        <f t="shared" si="8"/>
        <v>0</v>
      </c>
      <c r="L34" s="60">
        <f t="shared" si="8"/>
        <v>0</v>
      </c>
      <c r="M34" s="60">
        <f t="shared" si="8"/>
        <v>0</v>
      </c>
      <c r="N34" s="27">
        <f t="shared" si="8"/>
        <v>0</v>
      </c>
      <c r="O34" s="60">
        <f t="shared" si="8"/>
        <v>0</v>
      </c>
      <c r="P34" s="60">
        <f t="shared" si="8"/>
        <v>0</v>
      </c>
      <c r="Q34" s="60">
        <f t="shared" si="8"/>
        <v>0</v>
      </c>
      <c r="R34" s="27">
        <f t="shared" si="8"/>
        <v>0</v>
      </c>
      <c r="S34" s="36">
        <f t="shared" si="8"/>
        <v>0</v>
      </c>
      <c r="T34" s="36">
        <f t="shared" si="8"/>
        <v>0</v>
      </c>
      <c r="U34" s="36">
        <f t="shared" si="8"/>
        <v>0</v>
      </c>
      <c r="V34" s="27">
        <f t="shared" si="8"/>
        <v>0</v>
      </c>
      <c r="W34" s="36">
        <f t="shared" si="8"/>
        <v>0</v>
      </c>
      <c r="X34" s="36">
        <f t="shared" si="8"/>
        <v>0</v>
      </c>
      <c r="Y34" s="36">
        <f t="shared" si="8"/>
        <v>0</v>
      </c>
    </row>
    <row r="35" spans="1:25">
      <c r="A35" s="24" t="s">
        <v>565</v>
      </c>
      <c r="B35" s="26"/>
      <c r="C35" s="26"/>
      <c r="D35" s="26"/>
      <c r="E35" s="26"/>
      <c r="F35" s="26"/>
      <c r="G35" s="26"/>
      <c r="H35" s="26"/>
      <c r="I35" s="26"/>
      <c r="J35" s="26"/>
      <c r="K35" s="26"/>
      <c r="L35" s="26"/>
      <c r="M35" s="26"/>
      <c r="N35" s="26"/>
      <c r="O35" s="26"/>
      <c r="P35" s="26"/>
      <c r="Q35" s="26"/>
      <c r="R35" s="26"/>
      <c r="S35" s="26"/>
      <c r="T35" s="26"/>
      <c r="U35" s="26"/>
      <c r="V35" s="26"/>
      <c r="W35" s="26"/>
      <c r="X35" s="26"/>
      <c r="Y35" s="26"/>
    </row>
    <row r="36" spans="1:25">
      <c r="A36" s="40" t="s">
        <v>77</v>
      </c>
      <c r="B36" s="65">
        <v>0</v>
      </c>
      <c r="C36" s="54">
        <v>0</v>
      </c>
      <c r="D36" s="89">
        <v>0</v>
      </c>
      <c r="E36" s="86">
        <v>0</v>
      </c>
      <c r="F36" s="72">
        <v>0</v>
      </c>
      <c r="G36" s="54">
        <v>0</v>
      </c>
      <c r="H36" s="89">
        <v>0</v>
      </c>
      <c r="I36" s="86">
        <v>0</v>
      </c>
      <c r="J36" s="72">
        <v>0</v>
      </c>
      <c r="K36" s="54">
        <v>0</v>
      </c>
      <c r="L36" s="89">
        <v>0</v>
      </c>
      <c r="M36" s="86">
        <v>0</v>
      </c>
      <c r="N36" s="72">
        <v>0</v>
      </c>
      <c r="O36" s="54">
        <v>0</v>
      </c>
      <c r="P36" s="89">
        <v>0</v>
      </c>
      <c r="Q36" s="86">
        <v>0</v>
      </c>
      <c r="R36" s="72">
        <v>0</v>
      </c>
      <c r="S36" s="32">
        <v>0</v>
      </c>
      <c r="T36" s="84">
        <v>0</v>
      </c>
      <c r="U36" s="80">
        <v>0</v>
      </c>
      <c r="V36" s="65">
        <v>0</v>
      </c>
      <c r="W36" s="32">
        <f t="shared" ref="W36:Y41" si="9">SUM(G36,K36,O36,S36)</f>
        <v>0</v>
      </c>
      <c r="X36" s="84">
        <f t="shared" si="9"/>
        <v>0</v>
      </c>
      <c r="Y36" s="80">
        <f t="shared" si="9"/>
        <v>0</v>
      </c>
    </row>
    <row r="37" spans="1:25">
      <c r="A37" s="41" t="s">
        <v>59</v>
      </c>
      <c r="B37" s="39">
        <v>0</v>
      </c>
      <c r="C37" s="54">
        <v>0</v>
      </c>
      <c r="D37" s="89">
        <v>0</v>
      </c>
      <c r="E37" s="86">
        <v>0</v>
      </c>
      <c r="F37" s="72">
        <v>0</v>
      </c>
      <c r="G37" s="54">
        <v>0</v>
      </c>
      <c r="H37" s="89">
        <v>0</v>
      </c>
      <c r="I37" s="86">
        <v>0</v>
      </c>
      <c r="J37" s="72">
        <v>0</v>
      </c>
      <c r="K37" s="54">
        <v>0</v>
      </c>
      <c r="L37" s="89">
        <v>0</v>
      </c>
      <c r="M37" s="86">
        <v>0</v>
      </c>
      <c r="N37" s="72">
        <v>0</v>
      </c>
      <c r="O37" s="54">
        <v>0</v>
      </c>
      <c r="P37" s="89">
        <v>0</v>
      </c>
      <c r="Q37" s="86">
        <v>0</v>
      </c>
      <c r="R37" s="72">
        <v>0</v>
      </c>
      <c r="S37" s="22">
        <v>0</v>
      </c>
      <c r="T37" s="82">
        <v>0</v>
      </c>
      <c r="U37" s="78">
        <v>0</v>
      </c>
      <c r="V37" s="39">
        <v>0</v>
      </c>
      <c r="W37" s="22">
        <f t="shared" si="9"/>
        <v>0</v>
      </c>
      <c r="X37" s="82">
        <f t="shared" si="9"/>
        <v>0</v>
      </c>
      <c r="Y37" s="78">
        <f t="shared" si="9"/>
        <v>0</v>
      </c>
    </row>
    <row r="38" spans="1:25">
      <c r="A38" s="41" t="s">
        <v>39</v>
      </c>
      <c r="B38" s="39">
        <v>0</v>
      </c>
      <c r="C38" s="54">
        <v>0</v>
      </c>
      <c r="D38" s="89">
        <v>0</v>
      </c>
      <c r="E38" s="86">
        <v>0</v>
      </c>
      <c r="F38" s="72">
        <v>0</v>
      </c>
      <c r="G38" s="54">
        <v>0</v>
      </c>
      <c r="H38" s="89">
        <v>0</v>
      </c>
      <c r="I38" s="86">
        <v>0</v>
      </c>
      <c r="J38" s="72">
        <v>0</v>
      </c>
      <c r="K38" s="54">
        <v>0</v>
      </c>
      <c r="L38" s="89">
        <v>0</v>
      </c>
      <c r="M38" s="86">
        <v>0</v>
      </c>
      <c r="N38" s="72">
        <v>0</v>
      </c>
      <c r="O38" s="54">
        <v>0</v>
      </c>
      <c r="P38" s="89">
        <v>0</v>
      </c>
      <c r="Q38" s="86">
        <v>0</v>
      </c>
      <c r="R38" s="72">
        <v>0</v>
      </c>
      <c r="S38" s="22">
        <v>0</v>
      </c>
      <c r="T38" s="82">
        <v>0</v>
      </c>
      <c r="U38" s="78">
        <v>0</v>
      </c>
      <c r="V38" s="39">
        <v>0</v>
      </c>
      <c r="W38" s="22">
        <f t="shared" si="9"/>
        <v>0</v>
      </c>
      <c r="X38" s="82">
        <f t="shared" si="9"/>
        <v>0</v>
      </c>
      <c r="Y38" s="78">
        <f t="shared" si="9"/>
        <v>0</v>
      </c>
    </row>
    <row r="39" spans="1:25">
      <c r="A39" s="92" t="s">
        <v>31</v>
      </c>
      <c r="B39" s="93">
        <v>0</v>
      </c>
      <c r="C39" s="94">
        <v>0</v>
      </c>
      <c r="D39" s="100">
        <v>0</v>
      </c>
      <c r="E39" s="99">
        <v>0</v>
      </c>
      <c r="F39" s="95">
        <v>0</v>
      </c>
      <c r="G39" s="94">
        <v>0</v>
      </c>
      <c r="H39" s="100">
        <v>0</v>
      </c>
      <c r="I39" s="99">
        <v>0</v>
      </c>
      <c r="J39" s="95">
        <v>0</v>
      </c>
      <c r="K39" s="94">
        <v>0</v>
      </c>
      <c r="L39" s="100">
        <v>0</v>
      </c>
      <c r="M39" s="99">
        <v>0</v>
      </c>
      <c r="N39" s="95">
        <v>0</v>
      </c>
      <c r="O39" s="94">
        <v>0</v>
      </c>
      <c r="P39" s="100">
        <v>0</v>
      </c>
      <c r="Q39" s="99">
        <v>0</v>
      </c>
      <c r="R39" s="95">
        <v>0</v>
      </c>
      <c r="S39" s="96">
        <v>0</v>
      </c>
      <c r="T39" s="98">
        <v>0</v>
      </c>
      <c r="U39" s="97">
        <v>0</v>
      </c>
      <c r="V39" s="93">
        <v>0</v>
      </c>
      <c r="W39" s="96">
        <f t="shared" si="9"/>
        <v>0</v>
      </c>
      <c r="X39" s="98">
        <f t="shared" si="9"/>
        <v>0</v>
      </c>
      <c r="Y39" s="97">
        <f t="shared" si="9"/>
        <v>0</v>
      </c>
    </row>
    <row r="40" spans="1:25">
      <c r="A40" s="41" t="s">
        <v>27</v>
      </c>
      <c r="B40" s="39">
        <v>8120</v>
      </c>
      <c r="C40" s="54">
        <v>7798</v>
      </c>
      <c r="D40" s="89">
        <v>7397</v>
      </c>
      <c r="E40" s="86">
        <v>7042</v>
      </c>
      <c r="F40" s="72">
        <v>1029.2163743999999</v>
      </c>
      <c r="G40" s="54">
        <v>823.84</v>
      </c>
      <c r="H40" s="89">
        <v>1034.27</v>
      </c>
      <c r="I40" s="86">
        <v>1229.57</v>
      </c>
      <c r="J40" s="72">
        <v>2555.7111093000003</v>
      </c>
      <c r="K40" s="54">
        <v>2784.9</v>
      </c>
      <c r="L40" s="89">
        <v>2418.37</v>
      </c>
      <c r="M40" s="86">
        <v>2463.94</v>
      </c>
      <c r="N40" s="72">
        <v>1637.1069621000001</v>
      </c>
      <c r="O40" s="54">
        <v>1771.5</v>
      </c>
      <c r="P40" s="89">
        <v>1446.15</v>
      </c>
      <c r="Q40" s="86">
        <v>1693.72</v>
      </c>
      <c r="R40" s="72">
        <v>1803.7552956000004</v>
      </c>
      <c r="S40" s="22">
        <v>1826.39</v>
      </c>
      <c r="T40" s="82">
        <v>1856.95</v>
      </c>
      <c r="U40" s="78">
        <v>1727.98</v>
      </c>
      <c r="V40" s="39">
        <v>7025.7897414000008</v>
      </c>
      <c r="W40" s="22">
        <f t="shared" si="9"/>
        <v>7206.63</v>
      </c>
      <c r="X40" s="82">
        <f t="shared" si="9"/>
        <v>6755.74</v>
      </c>
      <c r="Y40" s="78">
        <f t="shared" si="9"/>
        <v>7115.2100000000009</v>
      </c>
    </row>
    <row r="41" spans="1:25">
      <c r="A41" s="42" t="s">
        <v>25</v>
      </c>
      <c r="B41" s="64">
        <v>659</v>
      </c>
      <c r="C41" s="59">
        <v>646</v>
      </c>
      <c r="D41" s="91">
        <v>612</v>
      </c>
      <c r="E41" s="88">
        <v>845</v>
      </c>
      <c r="F41" s="73">
        <v>99.98233350000001</v>
      </c>
      <c r="G41" s="59">
        <v>66.790000000000006</v>
      </c>
      <c r="H41" s="91">
        <v>85.61</v>
      </c>
      <c r="I41" s="88">
        <v>147.55000000000001</v>
      </c>
      <c r="J41" s="73">
        <v>240.55092780000001</v>
      </c>
      <c r="K41" s="59">
        <v>225.8</v>
      </c>
      <c r="L41" s="91">
        <v>200.19</v>
      </c>
      <c r="M41" s="88">
        <v>295.67</v>
      </c>
      <c r="N41" s="73">
        <v>155.52511140000001</v>
      </c>
      <c r="O41" s="59">
        <v>143.63</v>
      </c>
      <c r="P41" s="91">
        <v>119.71</v>
      </c>
      <c r="Q41" s="88">
        <v>203.24</v>
      </c>
      <c r="R41" s="73">
        <v>169.72163610000001</v>
      </c>
      <c r="S41" s="35">
        <v>148.09</v>
      </c>
      <c r="T41" s="85">
        <v>153.72</v>
      </c>
      <c r="U41" s="81">
        <v>207.36</v>
      </c>
      <c r="V41" s="64">
        <v>665.78000880000013</v>
      </c>
      <c r="W41" s="35">
        <f t="shared" si="9"/>
        <v>584.31000000000006</v>
      </c>
      <c r="X41" s="85">
        <f t="shared" si="9"/>
        <v>559.23</v>
      </c>
      <c r="Y41" s="81">
        <f t="shared" si="9"/>
        <v>853.82</v>
      </c>
    </row>
    <row r="42" spans="1:25">
      <c r="A42" s="23" t="s">
        <v>566</v>
      </c>
      <c r="B42" s="27">
        <f t="shared" ref="B42:Y42" si="10">SUM(B36:B41)</f>
        <v>8779</v>
      </c>
      <c r="C42" s="56">
        <f t="shared" si="10"/>
        <v>8444</v>
      </c>
      <c r="D42" s="56">
        <f t="shared" si="10"/>
        <v>8009</v>
      </c>
      <c r="E42" s="56">
        <f t="shared" si="10"/>
        <v>7887</v>
      </c>
      <c r="F42" s="66">
        <f t="shared" si="10"/>
        <v>1129.1987079</v>
      </c>
      <c r="G42" s="56">
        <f t="shared" si="10"/>
        <v>890.63</v>
      </c>
      <c r="H42" s="56">
        <f t="shared" si="10"/>
        <v>1119.8799999999999</v>
      </c>
      <c r="I42" s="56">
        <f t="shared" si="10"/>
        <v>1377.12</v>
      </c>
      <c r="J42" s="66">
        <f t="shared" si="10"/>
        <v>2796.2620371000003</v>
      </c>
      <c r="K42" s="56">
        <f t="shared" si="10"/>
        <v>3010.7000000000003</v>
      </c>
      <c r="L42" s="56">
        <f t="shared" si="10"/>
        <v>2618.56</v>
      </c>
      <c r="M42" s="56">
        <f t="shared" si="10"/>
        <v>2759.61</v>
      </c>
      <c r="N42" s="66">
        <f t="shared" si="10"/>
        <v>1792.6320735000002</v>
      </c>
      <c r="O42" s="56">
        <f t="shared" si="10"/>
        <v>1915.13</v>
      </c>
      <c r="P42" s="56">
        <f t="shared" si="10"/>
        <v>1565.8600000000001</v>
      </c>
      <c r="Q42" s="56">
        <f t="shared" si="10"/>
        <v>1896.96</v>
      </c>
      <c r="R42" s="66">
        <f t="shared" si="10"/>
        <v>1973.4769317000005</v>
      </c>
      <c r="S42" s="37">
        <f t="shared" si="10"/>
        <v>1974.48</v>
      </c>
      <c r="T42" s="37">
        <f t="shared" si="10"/>
        <v>2010.67</v>
      </c>
      <c r="U42" s="37">
        <f t="shared" si="10"/>
        <v>1935.3400000000001</v>
      </c>
      <c r="V42" s="27">
        <f t="shared" si="10"/>
        <v>7691.5697502000012</v>
      </c>
      <c r="W42" s="37">
        <f t="shared" si="10"/>
        <v>7790.9400000000005</v>
      </c>
      <c r="X42" s="37">
        <f t="shared" si="10"/>
        <v>7314.9699999999993</v>
      </c>
      <c r="Y42" s="37">
        <f t="shared" si="10"/>
        <v>7969.0300000000007</v>
      </c>
    </row>
    <row r="43" spans="1:25" ht="16.2" thickBot="1">
      <c r="A43" s="43" t="s">
        <v>567</v>
      </c>
      <c r="B43" s="34">
        <f>SUM(B21,B30,B34,B42)</f>
        <v>137884</v>
      </c>
      <c r="C43" s="52">
        <f t="shared" ref="C43:U43" si="11">SUM(C21,C30,C34,C42)</f>
        <v>137548</v>
      </c>
      <c r="D43" s="52">
        <f t="shared" si="11"/>
        <v>130472</v>
      </c>
      <c r="E43" s="52">
        <f t="shared" si="11"/>
        <v>130360</v>
      </c>
      <c r="F43" s="34">
        <f t="shared" si="11"/>
        <v>18330.666691500002</v>
      </c>
      <c r="G43" s="52">
        <f t="shared" si="11"/>
        <v>13988.109999999999</v>
      </c>
      <c r="H43" s="52">
        <f t="shared" si="11"/>
        <v>18243.530000000002</v>
      </c>
      <c r="I43" s="52">
        <f t="shared" si="11"/>
        <v>22760.909999999996</v>
      </c>
      <c r="J43" s="34">
        <f t="shared" si="11"/>
        <v>45228.051048300003</v>
      </c>
      <c r="K43" s="52">
        <f t="shared" si="11"/>
        <v>47285.630000000005</v>
      </c>
      <c r="L43" s="52">
        <f t="shared" si="11"/>
        <v>42657.770000000004</v>
      </c>
      <c r="M43" s="52">
        <f t="shared" si="11"/>
        <v>45742.11</v>
      </c>
      <c r="N43" s="34">
        <f t="shared" si="11"/>
        <v>28936.080636300001</v>
      </c>
      <c r="O43" s="52">
        <f t="shared" si="11"/>
        <v>30078.98</v>
      </c>
      <c r="P43" s="52">
        <f t="shared" si="11"/>
        <v>25508.629999999997</v>
      </c>
      <c r="Q43" s="52">
        <f t="shared" si="11"/>
        <v>31221.499999999996</v>
      </c>
      <c r="R43" s="34">
        <f t="shared" si="11"/>
        <v>31917.297490500005</v>
      </c>
      <c r="S43" s="34">
        <f t="shared" si="11"/>
        <v>31010.76</v>
      </c>
      <c r="T43" s="34">
        <f t="shared" si="11"/>
        <v>32754.799999999996</v>
      </c>
      <c r="U43" s="34">
        <f t="shared" si="11"/>
        <v>31987.290000000005</v>
      </c>
      <c r="V43" s="34">
        <f>SUM(V21,V30,V34,V42)</f>
        <v>124412.09586659998</v>
      </c>
      <c r="W43" s="34">
        <f t="shared" ref="W43:Y43" si="12">SUM(W21,W30,W34,W42)</f>
        <v>122363.48</v>
      </c>
      <c r="X43" s="34">
        <f t="shared" si="12"/>
        <v>119164.73</v>
      </c>
      <c r="Y43" s="34">
        <f t="shared" si="12"/>
        <v>131711.81</v>
      </c>
    </row>
    <row r="44" spans="1:25" ht="15" thickTop="1">
      <c r="A44" s="44" t="s">
        <v>568</v>
      </c>
      <c r="B44" s="28"/>
      <c r="C44" s="20"/>
      <c r="D44" s="20"/>
      <c r="E44" s="20"/>
      <c r="F44" s="28"/>
      <c r="G44" s="20"/>
      <c r="H44" s="20"/>
      <c r="I44" s="20"/>
      <c r="J44" s="28"/>
      <c r="K44" s="20"/>
      <c r="L44" s="20"/>
      <c r="M44" s="20"/>
      <c r="N44" s="28"/>
      <c r="O44" s="20"/>
      <c r="P44" s="20"/>
      <c r="Q44" s="20"/>
      <c r="R44" s="28"/>
      <c r="S44" s="20"/>
      <c r="T44" s="20"/>
      <c r="U44" s="20"/>
      <c r="V44" s="28"/>
      <c r="W44" s="20"/>
      <c r="X44" s="20"/>
      <c r="Y44" s="20"/>
    </row>
    <row r="45" spans="1:25">
      <c r="A45" s="40" t="s">
        <v>23</v>
      </c>
      <c r="B45" s="65">
        <v>0</v>
      </c>
      <c r="C45" s="54">
        <v>0</v>
      </c>
      <c r="D45" s="89">
        <v>0</v>
      </c>
      <c r="E45" s="86">
        <v>0</v>
      </c>
      <c r="F45" s="72">
        <v>0</v>
      </c>
      <c r="G45" s="54">
        <v>0</v>
      </c>
      <c r="H45" s="89">
        <v>0</v>
      </c>
      <c r="I45" s="86">
        <v>0</v>
      </c>
      <c r="J45" s="72">
        <v>0</v>
      </c>
      <c r="K45" s="54">
        <v>0</v>
      </c>
      <c r="L45" s="89">
        <v>0</v>
      </c>
      <c r="M45" s="86">
        <v>0</v>
      </c>
      <c r="N45" s="72">
        <v>0</v>
      </c>
      <c r="O45" s="54">
        <v>0</v>
      </c>
      <c r="P45" s="89">
        <v>0</v>
      </c>
      <c r="Q45" s="86">
        <v>0</v>
      </c>
      <c r="R45" s="72">
        <v>9762.0890448000009</v>
      </c>
      <c r="S45" s="32">
        <v>16732.52</v>
      </c>
      <c r="T45" s="84">
        <v>11307.27</v>
      </c>
      <c r="U45" s="80">
        <v>1246.77</v>
      </c>
      <c r="V45" s="65">
        <v>9762.0890448000009</v>
      </c>
      <c r="W45" s="32">
        <f t="shared" ref="W45:Y46" si="13">SUM(G45,K45,O45,S45)</f>
        <v>16732.52</v>
      </c>
      <c r="X45" s="84">
        <f t="shared" si="13"/>
        <v>11307.27</v>
      </c>
      <c r="Y45" s="80">
        <f t="shared" si="13"/>
        <v>1246.77</v>
      </c>
    </row>
    <row r="46" spans="1:25">
      <c r="A46" s="42" t="s">
        <v>7</v>
      </c>
      <c r="B46" s="64">
        <v>0</v>
      </c>
      <c r="C46" s="59">
        <v>0</v>
      </c>
      <c r="D46" s="91">
        <v>0</v>
      </c>
      <c r="E46" s="88">
        <v>0</v>
      </c>
      <c r="F46" s="73">
        <v>0</v>
      </c>
      <c r="G46" s="59">
        <v>0</v>
      </c>
      <c r="H46" s="91">
        <v>0</v>
      </c>
      <c r="I46" s="88">
        <v>0</v>
      </c>
      <c r="J46" s="73">
        <v>0</v>
      </c>
      <c r="K46" s="59">
        <v>0</v>
      </c>
      <c r="L46" s="91">
        <v>0</v>
      </c>
      <c r="M46" s="88">
        <v>0</v>
      </c>
      <c r="N46" s="73">
        <v>0</v>
      </c>
      <c r="O46" s="59">
        <v>0</v>
      </c>
      <c r="P46" s="91">
        <v>0</v>
      </c>
      <c r="Q46" s="88">
        <v>0</v>
      </c>
      <c r="R46" s="73">
        <v>0</v>
      </c>
      <c r="S46" s="35">
        <v>0</v>
      </c>
      <c r="T46" s="85">
        <v>0</v>
      </c>
      <c r="U46" s="81">
        <v>0</v>
      </c>
      <c r="V46" s="64">
        <v>0</v>
      </c>
      <c r="W46" s="35">
        <f t="shared" si="13"/>
        <v>0</v>
      </c>
      <c r="X46" s="85">
        <f t="shared" si="13"/>
        <v>0</v>
      </c>
      <c r="Y46" s="81">
        <f t="shared" si="13"/>
        <v>0</v>
      </c>
    </row>
    <row r="47" spans="1:25">
      <c r="A47" s="45" t="s">
        <v>569</v>
      </c>
      <c r="B47" s="49">
        <f t="shared" ref="B47:Y47" si="14">SUM(B45:B46)</f>
        <v>0</v>
      </c>
      <c r="C47" s="60">
        <f t="shared" si="14"/>
        <v>0</v>
      </c>
      <c r="D47" s="60">
        <f t="shared" si="14"/>
        <v>0</v>
      </c>
      <c r="E47" s="60">
        <f t="shared" si="14"/>
        <v>0</v>
      </c>
      <c r="F47" s="27">
        <f t="shared" si="14"/>
        <v>0</v>
      </c>
      <c r="G47" s="60">
        <f t="shared" si="14"/>
        <v>0</v>
      </c>
      <c r="H47" s="60">
        <f t="shared" si="14"/>
        <v>0</v>
      </c>
      <c r="I47" s="60">
        <f t="shared" si="14"/>
        <v>0</v>
      </c>
      <c r="J47" s="27">
        <f t="shared" si="14"/>
        <v>0</v>
      </c>
      <c r="K47" s="60">
        <f t="shared" si="14"/>
        <v>0</v>
      </c>
      <c r="L47" s="60">
        <f t="shared" si="14"/>
        <v>0</v>
      </c>
      <c r="M47" s="60">
        <f t="shared" si="14"/>
        <v>0</v>
      </c>
      <c r="N47" s="27">
        <f t="shared" si="14"/>
        <v>0</v>
      </c>
      <c r="O47" s="60">
        <f t="shared" si="14"/>
        <v>0</v>
      </c>
      <c r="P47" s="60">
        <f t="shared" si="14"/>
        <v>0</v>
      </c>
      <c r="Q47" s="60">
        <f t="shared" si="14"/>
        <v>0</v>
      </c>
      <c r="R47" s="27">
        <f t="shared" si="14"/>
        <v>9762.0890448000009</v>
      </c>
      <c r="S47" s="36">
        <f t="shared" si="14"/>
        <v>16732.52</v>
      </c>
      <c r="T47" s="36">
        <f t="shared" si="14"/>
        <v>11307.27</v>
      </c>
      <c r="U47" s="36">
        <f t="shared" si="14"/>
        <v>1246.77</v>
      </c>
      <c r="V47" s="49">
        <f t="shared" si="14"/>
        <v>9762.0890448000009</v>
      </c>
      <c r="W47" s="36">
        <f t="shared" si="14"/>
        <v>16732.52</v>
      </c>
      <c r="X47" s="36">
        <f t="shared" si="14"/>
        <v>11307.27</v>
      </c>
      <c r="Y47" s="36">
        <f t="shared" si="14"/>
        <v>1246.77</v>
      </c>
    </row>
    <row r="48" spans="1:25" ht="16.2" thickBot="1">
      <c r="A48" s="43" t="s">
        <v>570</v>
      </c>
      <c r="B48" s="34">
        <f>SUM(B12,B43,B47)</f>
        <v>1</v>
      </c>
      <c r="C48" s="52">
        <f t="shared" ref="C48:U48" si="15">SUM(C12,C43,C47)</f>
        <v>0</v>
      </c>
      <c r="D48" s="52">
        <f t="shared" si="15"/>
        <v>0</v>
      </c>
      <c r="E48" s="52">
        <f t="shared" si="15"/>
        <v>0</v>
      </c>
      <c r="F48" s="34">
        <f t="shared" si="15"/>
        <v>-48065.336008499995</v>
      </c>
      <c r="G48" s="52">
        <f t="shared" si="15"/>
        <v>-54785.89</v>
      </c>
      <c r="H48" s="52">
        <f t="shared" si="15"/>
        <v>-46992.47</v>
      </c>
      <c r="I48" s="52">
        <f t="shared" si="15"/>
        <v>-42419.090000000004</v>
      </c>
      <c r="J48" s="34">
        <f t="shared" si="15"/>
        <v>45228.051048300003</v>
      </c>
      <c r="K48" s="52">
        <f t="shared" si="15"/>
        <v>47285.630000000005</v>
      </c>
      <c r="L48" s="52">
        <f t="shared" si="15"/>
        <v>42657.770000000004</v>
      </c>
      <c r="M48" s="52">
        <f t="shared" si="15"/>
        <v>45742.11</v>
      </c>
      <c r="N48" s="34">
        <f t="shared" si="15"/>
        <v>-37459.922063699996</v>
      </c>
      <c r="O48" s="52">
        <f t="shared" si="15"/>
        <v>-38695.020000000004</v>
      </c>
      <c r="P48" s="52">
        <f t="shared" si="15"/>
        <v>-39727.370000000003</v>
      </c>
      <c r="Q48" s="52">
        <f t="shared" si="15"/>
        <v>-33958.5</v>
      </c>
      <c r="R48" s="34">
        <f t="shared" si="15"/>
        <v>41163.391695300008</v>
      </c>
      <c r="S48" s="34">
        <f t="shared" si="15"/>
        <v>46195.28</v>
      </c>
      <c r="T48" s="34">
        <f t="shared" si="15"/>
        <v>44062.069999999992</v>
      </c>
      <c r="U48" s="34">
        <f t="shared" si="15"/>
        <v>33234.060000000005</v>
      </c>
      <c r="V48" s="34">
        <f>SUM(V12,V43,V47)</f>
        <v>866.18467139998575</v>
      </c>
      <c r="W48" s="34">
        <f t="shared" ref="W48:Y48" si="16">SUM(W12,W43,W47)</f>
        <v>0</v>
      </c>
      <c r="X48" s="34">
        <f t="shared" si="16"/>
        <v>0</v>
      </c>
      <c r="Y48" s="34">
        <f t="shared" si="16"/>
        <v>2598.5799999999977</v>
      </c>
    </row>
    <row r="49" spans="1:25" ht="15" thickTop="1">
      <c r="A49" s="29"/>
      <c r="B49" s="19"/>
      <c r="C49" s="48"/>
      <c r="D49" s="48"/>
      <c r="E49" s="48"/>
      <c r="F49" s="19"/>
      <c r="G49" s="48"/>
      <c r="H49" s="48"/>
      <c r="I49" s="48"/>
      <c r="J49" s="19"/>
      <c r="K49" s="48"/>
      <c r="L49" s="48"/>
      <c r="M49" s="48"/>
      <c r="N49" s="19"/>
      <c r="O49" s="48"/>
      <c r="P49" s="48"/>
      <c r="Q49" s="48"/>
      <c r="R49" s="19"/>
      <c r="S49" s="48"/>
      <c r="T49" s="48"/>
      <c r="U49" s="48"/>
      <c r="V49" s="19"/>
      <c r="W49" s="48"/>
      <c r="X49" s="48"/>
      <c r="Y49" s="48"/>
    </row>
  </sheetData>
  <conditionalFormatting sqref="B15:C21 B23:C30 B32:C34 B36:C43 V36:W43 V32:W34 V23:W30 V15:W21 R36:S43 R32:S34 R23:S30 R15:S21 N36:O43 N32:O34 N23:O30 N15:O21 J36:K43 J32:K34 J23:K30 J15:K21 F36:G43 F32:G34 F23:G30 F15:G21">
    <cfRule type="cellIs" dxfId="194" priority="13" operator="lessThan">
      <formula>-0.01</formula>
    </cfRule>
  </conditionalFormatting>
  <conditionalFormatting sqref="Y15:Y21 Y23:Y30 Y32:Y34 Y36:Y43">
    <cfRule type="cellIs" dxfId="193" priority="12" operator="lessThan">
      <formula>-0.01</formula>
    </cfRule>
  </conditionalFormatting>
  <conditionalFormatting sqref="X15:X21 X23:X30 X32:X34 X36:X43">
    <cfRule type="cellIs" dxfId="192" priority="11" operator="lessThan">
      <formula>-0.01</formula>
    </cfRule>
  </conditionalFormatting>
  <conditionalFormatting sqref="U15:U21 U23:U30 U32:U34 U36:U43">
    <cfRule type="cellIs" dxfId="191" priority="10" operator="lessThan">
      <formula>-0.01</formula>
    </cfRule>
  </conditionalFormatting>
  <conditionalFormatting sqref="T15:T21 T23:T30 T32:T34 T36:T43">
    <cfRule type="cellIs" dxfId="190" priority="9" operator="lessThan">
      <formula>-0.01</formula>
    </cfRule>
  </conditionalFormatting>
  <conditionalFormatting sqref="Q15:Q21 Q23:Q30 Q32:Q34 Q36:Q43">
    <cfRule type="cellIs" dxfId="189" priority="8" operator="lessThan">
      <formula>-0.01</formula>
    </cfRule>
  </conditionalFormatting>
  <conditionalFormatting sqref="P15:P21 P23:P30 P32:P34 P36:P43">
    <cfRule type="cellIs" dxfId="188" priority="7" operator="lessThan">
      <formula>-0.01</formula>
    </cfRule>
  </conditionalFormatting>
  <conditionalFormatting sqref="M15:M21 M23:M30 M32:M34 M36:M43">
    <cfRule type="cellIs" dxfId="187" priority="6" operator="lessThan">
      <formula>-0.01</formula>
    </cfRule>
  </conditionalFormatting>
  <conditionalFormatting sqref="L15:L21 L23:L30 L32:L34 L36:L43">
    <cfRule type="cellIs" dxfId="186" priority="5" operator="lessThan">
      <formula>-0.01</formula>
    </cfRule>
  </conditionalFormatting>
  <conditionalFormatting sqref="I15:I21 I23:I30 I32:I34 I36:I43">
    <cfRule type="cellIs" dxfId="185" priority="4" operator="lessThan">
      <formula>-0.01</formula>
    </cfRule>
  </conditionalFormatting>
  <conditionalFormatting sqref="H15:H21 H23:H30 H32:H34 H36:H43">
    <cfRule type="cellIs" dxfId="184" priority="3" operator="lessThan">
      <formula>-0.01</formula>
    </cfRule>
  </conditionalFormatting>
  <conditionalFormatting sqref="E15:E21 E23:E30 E32:E34 E36:E43">
    <cfRule type="cellIs" dxfId="183" priority="2" operator="lessThan">
      <formula>-0.01</formula>
    </cfRule>
  </conditionalFormatting>
  <conditionalFormatting sqref="D15:D21 D23:D30 D32:D34 D36:D43">
    <cfRule type="cellIs" dxfId="182" priority="1" operator="lessThan">
      <formula>-0.01</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A47D02-913D-4A9B-954C-29789935D416}">
  <sheetPr codeName="Sheet7"/>
  <dimension ref="A1:AZ49"/>
  <sheetViews>
    <sheetView showGridLines="0" workbookViewId="0">
      <pane xSplit="1" ySplit="6" topLeftCell="B7" activePane="bottomRight" state="frozen"/>
      <selection pane="topRight" activeCell="B1" sqref="B1"/>
      <selection pane="bottomLeft" activeCell="A7" sqref="A7"/>
      <selection pane="bottomRight"/>
    </sheetView>
  </sheetViews>
  <sheetFormatPr defaultRowHeight="14.4" outlineLevelCol="1"/>
  <cols>
    <col min="1" max="1" width="32.44140625" bestFit="1" customWidth="1"/>
    <col min="2" max="2" width="16.77734375" customWidth="1"/>
    <col min="3" max="5" width="13.44140625" style="57" hidden="1" customWidth="1" outlineLevel="1"/>
    <col min="6" max="6" width="16.77734375" customWidth="1" collapsed="1"/>
    <col min="7" max="9" width="13.44140625" style="57" hidden="1" customWidth="1" outlineLevel="1"/>
    <col min="10" max="10" width="16.77734375" customWidth="1" collapsed="1"/>
    <col min="11" max="13" width="13.44140625" style="57" hidden="1" customWidth="1" outlineLevel="1"/>
    <col min="14" max="14" width="16.77734375" customWidth="1" collapsed="1"/>
    <col min="15" max="17" width="13.44140625" style="57" hidden="1" customWidth="1" outlineLevel="1"/>
    <col min="18" max="18" width="16.77734375" customWidth="1" collapsed="1"/>
    <col min="19" max="21" width="13.44140625" style="57" hidden="1" customWidth="1" outlineLevel="1"/>
    <col min="22" max="22" width="16.77734375" customWidth="1" collapsed="1"/>
    <col min="23" max="25" width="13.44140625" style="57" hidden="1" customWidth="1" outlineLevel="1"/>
    <col min="26" max="26" width="8.88671875" collapsed="1"/>
  </cols>
  <sheetData>
    <row r="1" spans="1:52" ht="15.6">
      <c r="A1" s="68" t="s">
        <v>790</v>
      </c>
      <c r="B1" s="46"/>
      <c r="C1" s="46"/>
      <c r="D1" s="46"/>
      <c r="E1" s="46"/>
      <c r="F1" s="46"/>
      <c r="G1" s="46"/>
      <c r="H1" s="46"/>
      <c r="I1" s="46"/>
      <c r="J1" s="46"/>
      <c r="K1" s="46"/>
      <c r="L1" s="46"/>
      <c r="M1" s="46"/>
      <c r="N1" s="46"/>
      <c r="O1" s="46"/>
      <c r="P1" s="46"/>
      <c r="Q1" s="46"/>
      <c r="R1" s="46"/>
      <c r="V1" s="46"/>
      <c r="W1" s="46"/>
      <c r="X1" s="46"/>
      <c r="Y1" s="46"/>
    </row>
    <row r="2" spans="1:52" ht="15.6">
      <c r="A2" s="69" t="s">
        <v>399</v>
      </c>
      <c r="B2" s="47"/>
      <c r="C2" s="47"/>
      <c r="D2" s="47"/>
      <c r="E2" s="47"/>
      <c r="F2" s="47"/>
      <c r="G2" s="47"/>
      <c r="H2" s="47"/>
      <c r="I2" s="47"/>
      <c r="J2" s="47"/>
      <c r="K2" s="47"/>
      <c r="L2" s="47"/>
      <c r="M2" s="47"/>
      <c r="N2" s="47"/>
      <c r="O2" s="47"/>
      <c r="P2" s="47"/>
      <c r="Q2" s="47"/>
      <c r="R2" s="47"/>
      <c r="V2" s="47"/>
      <c r="W2" s="47"/>
      <c r="X2" s="47"/>
      <c r="Y2" s="47"/>
    </row>
    <row r="3" spans="1:52">
      <c r="A3" s="136"/>
      <c r="B3" s="61" t="s">
        <v>589</v>
      </c>
      <c r="C3" s="50" t="s">
        <v>572</v>
      </c>
      <c r="D3" s="50" t="s">
        <v>572</v>
      </c>
      <c r="E3" s="50" t="s">
        <v>572</v>
      </c>
      <c r="F3" s="61" t="s">
        <v>573</v>
      </c>
      <c r="G3" s="50" t="s">
        <v>573</v>
      </c>
      <c r="H3" s="50" t="s">
        <v>573</v>
      </c>
      <c r="I3" s="50" t="s">
        <v>573</v>
      </c>
      <c r="J3" s="61" t="s">
        <v>575</v>
      </c>
      <c r="K3" s="50" t="s">
        <v>575</v>
      </c>
      <c r="L3" s="50" t="s">
        <v>575</v>
      </c>
      <c r="M3" s="50" t="s">
        <v>575</v>
      </c>
      <c r="N3" s="61" t="s">
        <v>576</v>
      </c>
      <c r="O3" s="50" t="s">
        <v>576</v>
      </c>
      <c r="P3" s="50" t="s">
        <v>576</v>
      </c>
      <c r="Q3" s="50" t="s">
        <v>576</v>
      </c>
      <c r="R3" s="61" t="s">
        <v>577</v>
      </c>
      <c r="S3" s="38" t="s">
        <v>577</v>
      </c>
      <c r="T3" s="38" t="s">
        <v>577</v>
      </c>
      <c r="U3" s="38" t="s">
        <v>577</v>
      </c>
      <c r="V3" s="61" t="s">
        <v>585</v>
      </c>
      <c r="W3" s="38" t="s">
        <v>585</v>
      </c>
      <c r="X3" s="38" t="s">
        <v>585</v>
      </c>
      <c r="Y3" s="38" t="s">
        <v>585</v>
      </c>
      <c r="Z3" s="136"/>
      <c r="AA3" s="136"/>
      <c r="AB3" s="136"/>
      <c r="AC3" s="136"/>
      <c r="AD3" s="136"/>
      <c r="AE3" s="136"/>
      <c r="AF3" s="136"/>
      <c r="AG3" s="136"/>
      <c r="AH3" s="136"/>
      <c r="AI3" s="136"/>
      <c r="AJ3" s="136"/>
      <c r="AK3" s="136"/>
      <c r="AL3" s="136"/>
      <c r="AM3" s="136"/>
      <c r="AN3" s="136"/>
      <c r="AO3" s="136"/>
      <c r="AP3" s="136"/>
      <c r="AQ3" s="136"/>
      <c r="AR3" s="136"/>
      <c r="AS3" s="136"/>
      <c r="AT3" s="136"/>
      <c r="AU3" s="136"/>
      <c r="AV3" s="136"/>
      <c r="AW3" s="136"/>
      <c r="AX3" s="136"/>
      <c r="AY3" s="136"/>
      <c r="AZ3" s="136"/>
    </row>
    <row r="4" spans="1:52">
      <c r="A4" s="16"/>
      <c r="B4" s="31" t="str">
        <f>_xlfn.CONCAT("FY ",rngFY+rngYRS)</f>
        <v>FY 19</v>
      </c>
      <c r="C4" s="51" t="s">
        <v>555</v>
      </c>
      <c r="D4" s="51" t="s">
        <v>555</v>
      </c>
      <c r="E4" s="51" t="s">
        <v>555</v>
      </c>
      <c r="F4" s="31" t="s">
        <v>788</v>
      </c>
      <c r="G4" s="31" t="s">
        <v>789</v>
      </c>
      <c r="H4" s="31" t="s">
        <v>789</v>
      </c>
      <c r="I4" s="31" t="s">
        <v>789</v>
      </c>
      <c r="J4" s="31" t="s">
        <v>788</v>
      </c>
      <c r="K4" s="31" t="s">
        <v>789</v>
      </c>
      <c r="L4" s="31" t="s">
        <v>789</v>
      </c>
      <c r="M4" s="31" t="s">
        <v>789</v>
      </c>
      <c r="N4" s="31" t="s">
        <v>788</v>
      </c>
      <c r="O4" s="31" t="s">
        <v>789</v>
      </c>
      <c r="P4" s="31" t="s">
        <v>789</v>
      </c>
      <c r="Q4" s="31" t="s">
        <v>789</v>
      </c>
      <c r="R4" s="31" t="s">
        <v>788</v>
      </c>
      <c r="S4" s="31" t="s">
        <v>789</v>
      </c>
      <c r="T4" s="31" t="s">
        <v>789</v>
      </c>
      <c r="U4" s="31" t="s">
        <v>789</v>
      </c>
      <c r="V4" s="31" t="s">
        <v>574</v>
      </c>
      <c r="W4" s="31" t="s">
        <v>584</v>
      </c>
      <c r="X4" s="31" t="s">
        <v>584</v>
      </c>
      <c r="Y4" s="31" t="s">
        <v>584</v>
      </c>
    </row>
    <row r="5" spans="1:52">
      <c r="A5" s="17"/>
      <c r="B5" s="31"/>
      <c r="C5" s="51" t="s">
        <v>587</v>
      </c>
      <c r="D5" s="51" t="s">
        <v>586</v>
      </c>
      <c r="E5" s="51" t="s">
        <v>590</v>
      </c>
      <c r="F5" s="31"/>
      <c r="G5" s="51" t="s">
        <v>587</v>
      </c>
      <c r="H5" s="51" t="s">
        <v>586</v>
      </c>
      <c r="I5" s="51" t="s">
        <v>590</v>
      </c>
      <c r="J5" s="31"/>
      <c r="K5" s="51" t="s">
        <v>587</v>
      </c>
      <c r="L5" s="51" t="s">
        <v>586</v>
      </c>
      <c r="M5" s="51" t="s">
        <v>590</v>
      </c>
      <c r="N5" s="31"/>
      <c r="O5" s="51" t="s">
        <v>587</v>
      </c>
      <c r="P5" s="51" t="s">
        <v>586</v>
      </c>
      <c r="Q5" s="51" t="s">
        <v>590</v>
      </c>
      <c r="R5" s="31"/>
      <c r="S5" s="31" t="s">
        <v>587</v>
      </c>
      <c r="T5" s="31" t="s">
        <v>586</v>
      </c>
      <c r="U5" s="31" t="s">
        <v>590</v>
      </c>
      <c r="V5" s="31"/>
      <c r="W5" s="31" t="s">
        <v>587</v>
      </c>
      <c r="X5" s="31" t="s">
        <v>586</v>
      </c>
      <c r="Y5" s="31" t="s">
        <v>590</v>
      </c>
    </row>
    <row r="6" spans="1:52">
      <c r="A6" s="70"/>
      <c r="B6" s="62"/>
      <c r="C6" s="53"/>
      <c r="D6" s="53"/>
      <c r="E6" s="53"/>
      <c r="F6" s="62"/>
      <c r="G6" s="53"/>
      <c r="H6" s="53"/>
      <c r="I6" s="53"/>
      <c r="J6" s="62"/>
      <c r="K6" s="53"/>
      <c r="L6" s="53"/>
      <c r="M6" s="53"/>
      <c r="N6" s="62"/>
      <c r="O6" s="53"/>
      <c r="P6" s="53"/>
      <c r="Q6" s="53"/>
      <c r="R6" s="62"/>
      <c r="S6" s="62"/>
      <c r="T6" s="62"/>
      <c r="U6" s="62"/>
      <c r="V6" s="62"/>
      <c r="W6" s="62"/>
      <c r="X6" s="62"/>
      <c r="Y6" s="62"/>
    </row>
    <row r="7" spans="1:52">
      <c r="A7" s="18" t="s">
        <v>556</v>
      </c>
      <c r="B7" s="63"/>
      <c r="C7" s="58"/>
      <c r="D7" s="58"/>
      <c r="E7" s="58"/>
      <c r="F7" s="63"/>
      <c r="G7" s="58"/>
      <c r="H7" s="58"/>
      <c r="I7" s="58"/>
      <c r="J7" s="63"/>
      <c r="K7" s="58"/>
      <c r="L7" s="58"/>
      <c r="M7" s="58"/>
      <c r="N7" s="63"/>
      <c r="O7" s="58"/>
      <c r="P7" s="58"/>
      <c r="Q7" s="58"/>
      <c r="R7" s="63"/>
      <c r="S7" s="63"/>
      <c r="T7" s="63"/>
      <c r="U7" s="63"/>
      <c r="V7" s="63"/>
      <c r="W7" s="63"/>
      <c r="X7" s="63"/>
      <c r="Y7" s="63"/>
    </row>
    <row r="8" spans="1:52">
      <c r="A8" s="40" t="s">
        <v>557</v>
      </c>
      <c r="B8" s="39">
        <v>-1602</v>
      </c>
      <c r="C8" s="54">
        <v>-1599</v>
      </c>
      <c r="D8" s="89">
        <v>-1599</v>
      </c>
      <c r="E8" s="86">
        <v>-1596</v>
      </c>
      <c r="F8" s="72">
        <v>-798.99201000000005</v>
      </c>
      <c r="G8" s="54">
        <v>-799</v>
      </c>
      <c r="H8" s="89">
        <v>-800</v>
      </c>
      <c r="I8" s="86">
        <v>-798</v>
      </c>
      <c r="J8" s="72">
        <v>0</v>
      </c>
      <c r="K8" s="54">
        <v>0</v>
      </c>
      <c r="L8" s="89">
        <v>0</v>
      </c>
      <c r="M8" s="86">
        <v>0</v>
      </c>
      <c r="N8" s="72">
        <v>-798.99201000000005</v>
      </c>
      <c r="O8" s="54">
        <v>-800</v>
      </c>
      <c r="P8" s="89">
        <v>-799</v>
      </c>
      <c r="Q8" s="86">
        <v>-798</v>
      </c>
      <c r="R8" s="72">
        <v>0</v>
      </c>
      <c r="S8" s="22">
        <v>0</v>
      </c>
      <c r="T8" s="82">
        <v>0</v>
      </c>
      <c r="U8" s="78">
        <v>0</v>
      </c>
      <c r="V8" s="39">
        <v>-1597.9840200000001</v>
      </c>
      <c r="W8" s="22">
        <f t="shared" ref="W8:Y11" si="0">SUM(G8,K8,O8,S8)</f>
        <v>-1599</v>
      </c>
      <c r="X8" s="82">
        <f t="shared" si="0"/>
        <v>-1599</v>
      </c>
      <c r="Y8" s="78">
        <f t="shared" si="0"/>
        <v>-1596</v>
      </c>
    </row>
    <row r="9" spans="1:52">
      <c r="A9" s="41" t="s">
        <v>558</v>
      </c>
      <c r="B9" s="39">
        <v>0</v>
      </c>
      <c r="C9" s="55">
        <v>0</v>
      </c>
      <c r="D9" s="90">
        <v>0</v>
      </c>
      <c r="E9" s="87">
        <v>0</v>
      </c>
      <c r="F9" s="72">
        <v>0</v>
      </c>
      <c r="G9" s="55">
        <v>0</v>
      </c>
      <c r="H9" s="90">
        <v>0</v>
      </c>
      <c r="I9" s="87">
        <v>0</v>
      </c>
      <c r="J9" s="72">
        <v>0</v>
      </c>
      <c r="K9" s="55">
        <v>0</v>
      </c>
      <c r="L9" s="90">
        <v>0</v>
      </c>
      <c r="M9" s="87">
        <v>0</v>
      </c>
      <c r="N9" s="72">
        <v>0</v>
      </c>
      <c r="O9" s="55">
        <v>0</v>
      </c>
      <c r="P9" s="90">
        <v>0</v>
      </c>
      <c r="Q9" s="87">
        <v>0</v>
      </c>
      <c r="R9" s="72">
        <v>0</v>
      </c>
      <c r="S9" s="33">
        <v>0</v>
      </c>
      <c r="T9" s="83">
        <v>0</v>
      </c>
      <c r="U9" s="79">
        <v>0</v>
      </c>
      <c r="V9" s="39">
        <v>0</v>
      </c>
      <c r="W9" s="33">
        <f t="shared" si="0"/>
        <v>0</v>
      </c>
      <c r="X9" s="83">
        <f t="shared" si="0"/>
        <v>0</v>
      </c>
      <c r="Y9" s="79">
        <f t="shared" si="0"/>
        <v>0</v>
      </c>
    </row>
    <row r="10" spans="1:52">
      <c r="A10" s="41" t="s">
        <v>212</v>
      </c>
      <c r="B10" s="39">
        <v>0</v>
      </c>
      <c r="C10" s="55">
        <v>0</v>
      </c>
      <c r="D10" s="90">
        <v>0</v>
      </c>
      <c r="E10" s="87">
        <v>0</v>
      </c>
      <c r="F10" s="72">
        <v>0</v>
      </c>
      <c r="G10" s="55">
        <v>0</v>
      </c>
      <c r="H10" s="90">
        <v>0</v>
      </c>
      <c r="I10" s="87">
        <v>0</v>
      </c>
      <c r="J10" s="72">
        <v>0</v>
      </c>
      <c r="K10" s="55">
        <v>0</v>
      </c>
      <c r="L10" s="90">
        <v>0</v>
      </c>
      <c r="M10" s="87">
        <v>0</v>
      </c>
      <c r="N10" s="72">
        <v>0</v>
      </c>
      <c r="O10" s="55">
        <v>0</v>
      </c>
      <c r="P10" s="90">
        <v>0</v>
      </c>
      <c r="Q10" s="87">
        <v>0</v>
      </c>
      <c r="R10" s="72">
        <v>0</v>
      </c>
      <c r="S10" s="33">
        <v>0</v>
      </c>
      <c r="T10" s="83">
        <v>0</v>
      </c>
      <c r="U10" s="79">
        <v>0</v>
      </c>
      <c r="V10" s="39">
        <v>0</v>
      </c>
      <c r="W10" s="33">
        <f t="shared" si="0"/>
        <v>0</v>
      </c>
      <c r="X10" s="83">
        <f t="shared" si="0"/>
        <v>0</v>
      </c>
      <c r="Y10" s="79">
        <f t="shared" si="0"/>
        <v>0</v>
      </c>
    </row>
    <row r="11" spans="1:52">
      <c r="A11" s="42" t="s">
        <v>210</v>
      </c>
      <c r="B11" s="64">
        <v>0</v>
      </c>
      <c r="C11" s="55">
        <v>0</v>
      </c>
      <c r="D11" s="90">
        <v>0</v>
      </c>
      <c r="E11" s="87">
        <v>0</v>
      </c>
      <c r="F11" s="73">
        <v>0</v>
      </c>
      <c r="G11" s="55">
        <v>0</v>
      </c>
      <c r="H11" s="90">
        <v>0</v>
      </c>
      <c r="I11" s="87">
        <v>0</v>
      </c>
      <c r="J11" s="73">
        <v>0</v>
      </c>
      <c r="K11" s="55">
        <v>0</v>
      </c>
      <c r="L11" s="90">
        <v>0</v>
      </c>
      <c r="M11" s="87">
        <v>0</v>
      </c>
      <c r="N11" s="73">
        <v>0</v>
      </c>
      <c r="O11" s="55">
        <v>0</v>
      </c>
      <c r="P11" s="90">
        <v>0</v>
      </c>
      <c r="Q11" s="87">
        <v>0</v>
      </c>
      <c r="R11" s="73">
        <v>-16.783165500000003</v>
      </c>
      <c r="S11" s="33">
        <v>0</v>
      </c>
      <c r="T11" s="83">
        <v>0</v>
      </c>
      <c r="U11" s="79">
        <v>-50.35</v>
      </c>
      <c r="V11" s="64">
        <v>-16.783165500000003</v>
      </c>
      <c r="W11" s="33">
        <f t="shared" si="0"/>
        <v>0</v>
      </c>
      <c r="X11" s="83">
        <f t="shared" si="0"/>
        <v>0</v>
      </c>
      <c r="Y11" s="79">
        <f t="shared" si="0"/>
        <v>-50.35</v>
      </c>
    </row>
    <row r="12" spans="1:52" ht="16.2" thickBot="1">
      <c r="A12" s="43" t="s">
        <v>559</v>
      </c>
      <c r="B12" s="34">
        <f>SUM(B8:B11)</f>
        <v>-1602</v>
      </c>
      <c r="C12" s="52">
        <f t="shared" ref="C12:U12" si="1">SUM(C8:C11)</f>
        <v>-1599</v>
      </c>
      <c r="D12" s="52">
        <f t="shared" si="1"/>
        <v>-1599</v>
      </c>
      <c r="E12" s="52">
        <f t="shared" si="1"/>
        <v>-1596</v>
      </c>
      <c r="F12" s="34">
        <f t="shared" si="1"/>
        <v>-798.99201000000005</v>
      </c>
      <c r="G12" s="52">
        <f t="shared" si="1"/>
        <v>-799</v>
      </c>
      <c r="H12" s="52">
        <f t="shared" si="1"/>
        <v>-800</v>
      </c>
      <c r="I12" s="52">
        <f t="shared" si="1"/>
        <v>-798</v>
      </c>
      <c r="J12" s="34">
        <f t="shared" si="1"/>
        <v>0</v>
      </c>
      <c r="K12" s="52">
        <f t="shared" si="1"/>
        <v>0</v>
      </c>
      <c r="L12" s="52">
        <f t="shared" si="1"/>
        <v>0</v>
      </c>
      <c r="M12" s="52">
        <f t="shared" si="1"/>
        <v>0</v>
      </c>
      <c r="N12" s="34">
        <f t="shared" si="1"/>
        <v>-798.99201000000005</v>
      </c>
      <c r="O12" s="52">
        <f t="shared" si="1"/>
        <v>-800</v>
      </c>
      <c r="P12" s="52">
        <f t="shared" si="1"/>
        <v>-799</v>
      </c>
      <c r="Q12" s="52">
        <f t="shared" si="1"/>
        <v>-798</v>
      </c>
      <c r="R12" s="34">
        <f t="shared" si="1"/>
        <v>-16.783165500000003</v>
      </c>
      <c r="S12" s="34">
        <f t="shared" si="1"/>
        <v>0</v>
      </c>
      <c r="T12" s="34">
        <f t="shared" si="1"/>
        <v>0</v>
      </c>
      <c r="U12" s="34">
        <f t="shared" si="1"/>
        <v>-50.35</v>
      </c>
      <c r="V12" s="34">
        <f>SUM(V8:V11)</f>
        <v>-1614.7671855000001</v>
      </c>
      <c r="W12" s="34">
        <f t="shared" ref="W12:Y12" si="2">SUM(W8:W11)</f>
        <v>-1599</v>
      </c>
      <c r="X12" s="34">
        <f t="shared" si="2"/>
        <v>-1599</v>
      </c>
      <c r="Y12" s="34">
        <f t="shared" si="2"/>
        <v>-1646.35</v>
      </c>
    </row>
    <row r="13" spans="1:52" ht="15" thickTop="1">
      <c r="A13" s="67"/>
      <c r="B13" s="67"/>
      <c r="C13" s="67"/>
      <c r="D13" s="67"/>
      <c r="E13" s="67"/>
      <c r="F13" s="67"/>
      <c r="G13" s="67"/>
      <c r="H13" s="67"/>
      <c r="I13" s="67"/>
      <c r="J13" s="67"/>
      <c r="K13" s="67"/>
      <c r="L13" s="67"/>
      <c r="M13" s="67"/>
      <c r="N13" s="67"/>
      <c r="O13" s="67"/>
      <c r="P13" s="67"/>
      <c r="Q13" s="67"/>
      <c r="R13" s="67"/>
      <c r="S13" s="67"/>
      <c r="T13" s="67"/>
      <c r="U13" s="67"/>
      <c r="V13" s="67"/>
      <c r="W13" s="67"/>
      <c r="X13" s="67"/>
      <c r="Y13" s="67"/>
    </row>
    <row r="14" spans="1:52">
      <c r="A14" s="18" t="s">
        <v>560</v>
      </c>
      <c r="B14" s="20"/>
      <c r="C14" s="20"/>
      <c r="D14" s="20"/>
      <c r="E14" s="20"/>
      <c r="F14" s="20"/>
      <c r="G14" s="20"/>
      <c r="H14" s="20"/>
      <c r="I14" s="20"/>
      <c r="J14" s="20"/>
      <c r="K14" s="20"/>
      <c r="L14" s="20"/>
      <c r="M14" s="20"/>
      <c r="N14" s="20"/>
      <c r="O14" s="20"/>
      <c r="P14" s="20"/>
      <c r="Q14" s="20"/>
      <c r="R14" s="20"/>
      <c r="S14" s="20"/>
      <c r="T14" s="20"/>
      <c r="U14" s="20"/>
      <c r="V14" s="20"/>
      <c r="W14" s="20"/>
      <c r="X14" s="20"/>
      <c r="Y14" s="20"/>
    </row>
    <row r="15" spans="1:52">
      <c r="A15" s="40" t="s">
        <v>188</v>
      </c>
      <c r="B15" s="65">
        <v>0</v>
      </c>
      <c r="C15" s="54">
        <v>0</v>
      </c>
      <c r="D15" s="89">
        <v>0</v>
      </c>
      <c r="E15" s="86">
        <v>0</v>
      </c>
      <c r="F15" s="72">
        <v>0</v>
      </c>
      <c r="G15" s="54">
        <v>0</v>
      </c>
      <c r="H15" s="89">
        <v>0</v>
      </c>
      <c r="I15" s="86">
        <v>0</v>
      </c>
      <c r="J15" s="72">
        <v>0</v>
      </c>
      <c r="K15" s="54">
        <v>0</v>
      </c>
      <c r="L15" s="89">
        <v>0</v>
      </c>
      <c r="M15" s="86">
        <v>0</v>
      </c>
      <c r="N15" s="72">
        <v>0</v>
      </c>
      <c r="O15" s="54">
        <v>0</v>
      </c>
      <c r="P15" s="89">
        <v>0</v>
      </c>
      <c r="Q15" s="86">
        <v>0</v>
      </c>
      <c r="R15" s="72">
        <v>0</v>
      </c>
      <c r="S15" s="32">
        <v>0</v>
      </c>
      <c r="T15" s="84">
        <v>0</v>
      </c>
      <c r="U15" s="80">
        <v>0</v>
      </c>
      <c r="V15" s="65">
        <v>0</v>
      </c>
      <c r="W15" s="32">
        <f t="shared" ref="W15:Y20" si="3">SUM(G15,K15,O15,S15)</f>
        <v>0</v>
      </c>
      <c r="X15" s="84">
        <f t="shared" si="3"/>
        <v>0</v>
      </c>
      <c r="Y15" s="80">
        <f t="shared" si="3"/>
        <v>0</v>
      </c>
    </row>
    <row r="16" spans="1:52">
      <c r="A16" s="41" t="s">
        <v>181</v>
      </c>
      <c r="B16" s="39">
        <v>0</v>
      </c>
      <c r="C16" s="54">
        <v>0</v>
      </c>
      <c r="D16" s="89">
        <v>0</v>
      </c>
      <c r="E16" s="86">
        <v>0</v>
      </c>
      <c r="F16" s="72">
        <v>0</v>
      </c>
      <c r="G16" s="54">
        <v>0</v>
      </c>
      <c r="H16" s="89">
        <v>0</v>
      </c>
      <c r="I16" s="86">
        <v>0</v>
      </c>
      <c r="J16" s="72">
        <v>0</v>
      </c>
      <c r="K16" s="54">
        <v>0</v>
      </c>
      <c r="L16" s="89">
        <v>0</v>
      </c>
      <c r="M16" s="86">
        <v>0</v>
      </c>
      <c r="N16" s="72">
        <v>0</v>
      </c>
      <c r="O16" s="54">
        <v>0</v>
      </c>
      <c r="P16" s="89">
        <v>0</v>
      </c>
      <c r="Q16" s="86">
        <v>0</v>
      </c>
      <c r="R16" s="72">
        <v>0</v>
      </c>
      <c r="S16" s="22">
        <v>0</v>
      </c>
      <c r="T16" s="82">
        <v>0</v>
      </c>
      <c r="U16" s="78">
        <v>0</v>
      </c>
      <c r="V16" s="39">
        <v>0</v>
      </c>
      <c r="W16" s="22">
        <f t="shared" si="3"/>
        <v>0</v>
      </c>
      <c r="X16" s="82">
        <f t="shared" si="3"/>
        <v>0</v>
      </c>
      <c r="Y16" s="78">
        <f t="shared" si="3"/>
        <v>0</v>
      </c>
    </row>
    <row r="17" spans="1:25">
      <c r="A17" s="92" t="s">
        <v>174</v>
      </c>
      <c r="B17" s="93">
        <v>0</v>
      </c>
      <c r="C17" s="94">
        <v>0</v>
      </c>
      <c r="D17" s="100">
        <v>0</v>
      </c>
      <c r="E17" s="99">
        <v>0</v>
      </c>
      <c r="F17" s="95">
        <v>0</v>
      </c>
      <c r="G17" s="94">
        <v>0</v>
      </c>
      <c r="H17" s="100">
        <v>0</v>
      </c>
      <c r="I17" s="99">
        <v>0</v>
      </c>
      <c r="J17" s="95">
        <v>0</v>
      </c>
      <c r="K17" s="94">
        <v>0</v>
      </c>
      <c r="L17" s="100">
        <v>0</v>
      </c>
      <c r="M17" s="99">
        <v>0</v>
      </c>
      <c r="N17" s="95">
        <v>0</v>
      </c>
      <c r="O17" s="94">
        <v>0</v>
      </c>
      <c r="P17" s="100">
        <v>0</v>
      </c>
      <c r="Q17" s="99">
        <v>0</v>
      </c>
      <c r="R17" s="95">
        <v>0</v>
      </c>
      <c r="S17" s="96">
        <v>0</v>
      </c>
      <c r="T17" s="98">
        <v>0</v>
      </c>
      <c r="U17" s="97">
        <v>0</v>
      </c>
      <c r="V17" s="93">
        <v>0</v>
      </c>
      <c r="W17" s="96">
        <f t="shared" si="3"/>
        <v>0</v>
      </c>
      <c r="X17" s="98">
        <f t="shared" si="3"/>
        <v>0</v>
      </c>
      <c r="Y17" s="97">
        <f t="shared" si="3"/>
        <v>0</v>
      </c>
    </row>
    <row r="18" spans="1:25">
      <c r="A18" s="41" t="s">
        <v>146</v>
      </c>
      <c r="B18" s="39">
        <v>0</v>
      </c>
      <c r="C18" s="54">
        <v>0</v>
      </c>
      <c r="D18" s="89">
        <v>0</v>
      </c>
      <c r="E18" s="86">
        <v>0</v>
      </c>
      <c r="F18" s="72">
        <v>0</v>
      </c>
      <c r="G18" s="54">
        <v>0</v>
      </c>
      <c r="H18" s="89">
        <v>0</v>
      </c>
      <c r="I18" s="86">
        <v>0</v>
      </c>
      <c r="J18" s="72">
        <v>0</v>
      </c>
      <c r="K18" s="54">
        <v>0</v>
      </c>
      <c r="L18" s="89">
        <v>0</v>
      </c>
      <c r="M18" s="86">
        <v>0</v>
      </c>
      <c r="N18" s="72">
        <v>0</v>
      </c>
      <c r="O18" s="54">
        <v>0</v>
      </c>
      <c r="P18" s="89">
        <v>0</v>
      </c>
      <c r="Q18" s="86">
        <v>0</v>
      </c>
      <c r="R18" s="72">
        <v>0</v>
      </c>
      <c r="S18" s="22">
        <v>0</v>
      </c>
      <c r="T18" s="82">
        <v>0</v>
      </c>
      <c r="U18" s="78">
        <v>0</v>
      </c>
      <c r="V18" s="39">
        <v>0</v>
      </c>
      <c r="W18" s="22">
        <f t="shared" si="3"/>
        <v>0</v>
      </c>
      <c r="X18" s="82">
        <f t="shared" si="3"/>
        <v>0</v>
      </c>
      <c r="Y18" s="78">
        <f t="shared" si="3"/>
        <v>0</v>
      </c>
    </row>
    <row r="19" spans="1:25">
      <c r="A19" s="41" t="s">
        <v>139</v>
      </c>
      <c r="B19" s="39">
        <v>0</v>
      </c>
      <c r="C19" s="54">
        <v>0</v>
      </c>
      <c r="D19" s="89">
        <v>0</v>
      </c>
      <c r="E19" s="86">
        <v>0</v>
      </c>
      <c r="F19" s="72">
        <v>0</v>
      </c>
      <c r="G19" s="54">
        <v>0</v>
      </c>
      <c r="H19" s="89">
        <v>0</v>
      </c>
      <c r="I19" s="86">
        <v>0</v>
      </c>
      <c r="J19" s="72">
        <v>0</v>
      </c>
      <c r="K19" s="54">
        <v>0</v>
      </c>
      <c r="L19" s="89">
        <v>0</v>
      </c>
      <c r="M19" s="86">
        <v>0</v>
      </c>
      <c r="N19" s="72">
        <v>0</v>
      </c>
      <c r="O19" s="54">
        <v>0</v>
      </c>
      <c r="P19" s="89">
        <v>0</v>
      </c>
      <c r="Q19" s="86">
        <v>0</v>
      </c>
      <c r="R19" s="72">
        <v>0</v>
      </c>
      <c r="S19" s="22">
        <v>0</v>
      </c>
      <c r="T19" s="82">
        <v>0</v>
      </c>
      <c r="U19" s="78">
        <v>0</v>
      </c>
      <c r="V19" s="39">
        <v>0</v>
      </c>
      <c r="W19" s="22">
        <f t="shared" si="3"/>
        <v>0</v>
      </c>
      <c r="X19" s="82">
        <f t="shared" si="3"/>
        <v>0</v>
      </c>
      <c r="Y19" s="78">
        <f t="shared" si="3"/>
        <v>0</v>
      </c>
    </row>
    <row r="20" spans="1:25">
      <c r="A20" s="42" t="s">
        <v>129</v>
      </c>
      <c r="B20" s="64">
        <v>0</v>
      </c>
      <c r="C20" s="59">
        <v>0</v>
      </c>
      <c r="D20" s="91">
        <v>0</v>
      </c>
      <c r="E20" s="88">
        <v>0</v>
      </c>
      <c r="F20" s="73">
        <v>0</v>
      </c>
      <c r="G20" s="59">
        <v>0</v>
      </c>
      <c r="H20" s="91">
        <v>0</v>
      </c>
      <c r="I20" s="88">
        <v>0</v>
      </c>
      <c r="J20" s="73">
        <v>0</v>
      </c>
      <c r="K20" s="59">
        <v>0</v>
      </c>
      <c r="L20" s="91">
        <v>0</v>
      </c>
      <c r="M20" s="88">
        <v>0</v>
      </c>
      <c r="N20" s="73">
        <v>0</v>
      </c>
      <c r="O20" s="59">
        <v>0</v>
      </c>
      <c r="P20" s="91">
        <v>0</v>
      </c>
      <c r="Q20" s="88">
        <v>0</v>
      </c>
      <c r="R20" s="73">
        <v>0</v>
      </c>
      <c r="S20" s="35">
        <v>0</v>
      </c>
      <c r="T20" s="85">
        <v>0</v>
      </c>
      <c r="U20" s="81">
        <v>0</v>
      </c>
      <c r="V20" s="64">
        <v>0</v>
      </c>
      <c r="W20" s="35">
        <f t="shared" si="3"/>
        <v>0</v>
      </c>
      <c r="X20" s="85">
        <f t="shared" si="3"/>
        <v>0</v>
      </c>
      <c r="Y20" s="81">
        <f t="shared" si="3"/>
        <v>0</v>
      </c>
    </row>
    <row r="21" spans="1:25">
      <c r="A21" s="23" t="s">
        <v>561</v>
      </c>
      <c r="B21" s="27">
        <f t="shared" ref="B21:Y21" si="4">SUM(B15:B20)</f>
        <v>0</v>
      </c>
      <c r="C21" s="60">
        <f t="shared" si="4"/>
        <v>0</v>
      </c>
      <c r="D21" s="60">
        <f t="shared" si="4"/>
        <v>0</v>
      </c>
      <c r="E21" s="60">
        <f t="shared" si="4"/>
        <v>0</v>
      </c>
      <c r="F21" s="27">
        <f t="shared" si="4"/>
        <v>0</v>
      </c>
      <c r="G21" s="56">
        <f t="shared" si="4"/>
        <v>0</v>
      </c>
      <c r="H21" s="56">
        <f t="shared" si="4"/>
        <v>0</v>
      </c>
      <c r="I21" s="56">
        <f t="shared" si="4"/>
        <v>0</v>
      </c>
      <c r="J21" s="27">
        <f t="shared" si="4"/>
        <v>0</v>
      </c>
      <c r="K21" s="60">
        <f t="shared" si="4"/>
        <v>0</v>
      </c>
      <c r="L21" s="60">
        <f t="shared" si="4"/>
        <v>0</v>
      </c>
      <c r="M21" s="60">
        <f t="shared" si="4"/>
        <v>0</v>
      </c>
      <c r="N21" s="27">
        <f t="shared" si="4"/>
        <v>0</v>
      </c>
      <c r="O21" s="60">
        <f t="shared" si="4"/>
        <v>0</v>
      </c>
      <c r="P21" s="60">
        <f t="shared" si="4"/>
        <v>0</v>
      </c>
      <c r="Q21" s="60">
        <f t="shared" si="4"/>
        <v>0</v>
      </c>
      <c r="R21" s="27">
        <f t="shared" si="4"/>
        <v>0</v>
      </c>
      <c r="S21" s="36">
        <f t="shared" si="4"/>
        <v>0</v>
      </c>
      <c r="T21" s="36">
        <f t="shared" si="4"/>
        <v>0</v>
      </c>
      <c r="U21" s="36">
        <f t="shared" si="4"/>
        <v>0</v>
      </c>
      <c r="V21" s="27">
        <f t="shared" si="4"/>
        <v>0</v>
      </c>
      <c r="W21" s="36">
        <f t="shared" si="4"/>
        <v>0</v>
      </c>
      <c r="X21" s="36">
        <f t="shared" si="4"/>
        <v>0</v>
      </c>
      <c r="Y21" s="36">
        <f t="shared" si="4"/>
        <v>0</v>
      </c>
    </row>
    <row r="22" spans="1:25">
      <c r="A22" s="24" t="s">
        <v>562</v>
      </c>
      <c r="B22" s="25"/>
      <c r="C22" s="25"/>
      <c r="D22" s="25"/>
      <c r="E22" s="25"/>
      <c r="F22" s="25"/>
      <c r="G22" s="25"/>
      <c r="H22" s="25"/>
      <c r="I22" s="25"/>
      <c r="J22" s="25"/>
      <c r="K22" s="25"/>
      <c r="L22" s="25"/>
      <c r="M22" s="25"/>
      <c r="N22" s="25"/>
      <c r="O22" s="25"/>
      <c r="P22" s="25"/>
      <c r="Q22" s="25"/>
      <c r="R22" s="25"/>
      <c r="S22" s="25"/>
      <c r="T22" s="25"/>
      <c r="U22" s="25"/>
      <c r="V22" s="25"/>
      <c r="W22" s="25"/>
      <c r="X22" s="25"/>
      <c r="Y22" s="25"/>
    </row>
    <row r="23" spans="1:25">
      <c r="A23" s="40" t="s">
        <v>127</v>
      </c>
      <c r="B23" s="65">
        <v>1500</v>
      </c>
      <c r="C23" s="54">
        <v>1500</v>
      </c>
      <c r="D23" s="89">
        <v>1500</v>
      </c>
      <c r="E23" s="86">
        <v>1500</v>
      </c>
      <c r="F23" s="72">
        <v>0</v>
      </c>
      <c r="G23" s="54">
        <v>0</v>
      </c>
      <c r="H23" s="89">
        <v>0</v>
      </c>
      <c r="I23" s="86">
        <v>0</v>
      </c>
      <c r="J23" s="72">
        <v>0</v>
      </c>
      <c r="K23" s="54">
        <v>0</v>
      </c>
      <c r="L23" s="89">
        <v>0</v>
      </c>
      <c r="M23" s="86">
        <v>0</v>
      </c>
      <c r="N23" s="72">
        <v>0</v>
      </c>
      <c r="O23" s="54">
        <v>0</v>
      </c>
      <c r="P23" s="89">
        <v>0</v>
      </c>
      <c r="Q23" s="86">
        <v>0</v>
      </c>
      <c r="R23" s="72">
        <v>0</v>
      </c>
      <c r="S23" s="32">
        <v>0</v>
      </c>
      <c r="T23" s="84">
        <v>0</v>
      </c>
      <c r="U23" s="80">
        <v>0</v>
      </c>
      <c r="V23" s="65">
        <v>0</v>
      </c>
      <c r="W23" s="32">
        <f t="shared" ref="W23:Y29" si="5">SUM(G23,K23,O23,S23)</f>
        <v>0</v>
      </c>
      <c r="X23" s="84">
        <f t="shared" si="5"/>
        <v>0</v>
      </c>
      <c r="Y23" s="80">
        <f t="shared" si="5"/>
        <v>0</v>
      </c>
    </row>
    <row r="24" spans="1:25">
      <c r="A24" s="41" t="s">
        <v>120</v>
      </c>
      <c r="B24" s="39">
        <v>0</v>
      </c>
      <c r="C24" s="54">
        <v>0</v>
      </c>
      <c r="D24" s="89">
        <v>0</v>
      </c>
      <c r="E24" s="86">
        <v>0</v>
      </c>
      <c r="F24" s="72">
        <v>0</v>
      </c>
      <c r="G24" s="54">
        <v>0</v>
      </c>
      <c r="H24" s="89">
        <v>0</v>
      </c>
      <c r="I24" s="86">
        <v>0</v>
      </c>
      <c r="J24" s="72">
        <v>0</v>
      </c>
      <c r="K24" s="54">
        <v>0</v>
      </c>
      <c r="L24" s="89">
        <v>0</v>
      </c>
      <c r="M24" s="86">
        <v>0</v>
      </c>
      <c r="N24" s="72">
        <v>0</v>
      </c>
      <c r="O24" s="54">
        <v>0</v>
      </c>
      <c r="P24" s="89">
        <v>0</v>
      </c>
      <c r="Q24" s="86">
        <v>0</v>
      </c>
      <c r="R24" s="72">
        <v>0</v>
      </c>
      <c r="S24" s="22">
        <v>0</v>
      </c>
      <c r="T24" s="82">
        <v>0</v>
      </c>
      <c r="U24" s="78">
        <v>0</v>
      </c>
      <c r="V24" s="39">
        <v>0</v>
      </c>
      <c r="W24" s="22">
        <f t="shared" si="5"/>
        <v>0</v>
      </c>
      <c r="X24" s="82">
        <f t="shared" si="5"/>
        <v>0</v>
      </c>
      <c r="Y24" s="78">
        <f t="shared" si="5"/>
        <v>0</v>
      </c>
    </row>
    <row r="25" spans="1:25">
      <c r="A25" s="41" t="s">
        <v>107</v>
      </c>
      <c r="B25" s="39">
        <v>0</v>
      </c>
      <c r="C25" s="54">
        <v>0</v>
      </c>
      <c r="D25" s="89">
        <v>0</v>
      </c>
      <c r="E25" s="86">
        <v>0</v>
      </c>
      <c r="F25" s="72">
        <v>0</v>
      </c>
      <c r="G25" s="54">
        <v>0</v>
      </c>
      <c r="H25" s="89">
        <v>0</v>
      </c>
      <c r="I25" s="86">
        <v>0</v>
      </c>
      <c r="J25" s="72">
        <v>0</v>
      </c>
      <c r="K25" s="54">
        <v>0</v>
      </c>
      <c r="L25" s="89">
        <v>0</v>
      </c>
      <c r="M25" s="86">
        <v>0</v>
      </c>
      <c r="N25" s="72">
        <v>5.3899461000000004</v>
      </c>
      <c r="O25" s="54">
        <v>10.18</v>
      </c>
      <c r="P25" s="89">
        <v>5.99</v>
      </c>
      <c r="Q25" s="86">
        <v>0</v>
      </c>
      <c r="R25" s="72">
        <v>0</v>
      </c>
      <c r="S25" s="22">
        <v>0</v>
      </c>
      <c r="T25" s="82">
        <v>0</v>
      </c>
      <c r="U25" s="78">
        <v>0</v>
      </c>
      <c r="V25" s="39">
        <v>5.3899461000000004</v>
      </c>
      <c r="W25" s="22">
        <f t="shared" si="5"/>
        <v>10.18</v>
      </c>
      <c r="X25" s="82">
        <f t="shared" si="5"/>
        <v>5.99</v>
      </c>
      <c r="Y25" s="78">
        <f t="shared" si="5"/>
        <v>0</v>
      </c>
    </row>
    <row r="26" spans="1:25">
      <c r="A26" s="41" t="s">
        <v>104</v>
      </c>
      <c r="B26" s="39">
        <v>0</v>
      </c>
      <c r="C26" s="54">
        <v>0</v>
      </c>
      <c r="D26" s="89">
        <v>0</v>
      </c>
      <c r="E26" s="86">
        <v>0</v>
      </c>
      <c r="F26" s="72">
        <v>0</v>
      </c>
      <c r="G26" s="54">
        <v>0</v>
      </c>
      <c r="H26" s="89">
        <v>0</v>
      </c>
      <c r="I26" s="86">
        <v>0</v>
      </c>
      <c r="J26" s="72">
        <v>0</v>
      </c>
      <c r="K26" s="54">
        <v>0</v>
      </c>
      <c r="L26" s="89">
        <v>0</v>
      </c>
      <c r="M26" s="86">
        <v>0</v>
      </c>
      <c r="N26" s="72">
        <v>1278.3838827000002</v>
      </c>
      <c r="O26" s="54">
        <v>1316</v>
      </c>
      <c r="P26" s="89">
        <v>1106.19</v>
      </c>
      <c r="Q26" s="86">
        <v>1413</v>
      </c>
      <c r="R26" s="72">
        <v>0</v>
      </c>
      <c r="S26" s="22">
        <v>0</v>
      </c>
      <c r="T26" s="82">
        <v>0</v>
      </c>
      <c r="U26" s="78">
        <v>0</v>
      </c>
      <c r="V26" s="39">
        <v>1278.3838827000002</v>
      </c>
      <c r="W26" s="22">
        <f t="shared" si="5"/>
        <v>1316</v>
      </c>
      <c r="X26" s="82">
        <f t="shared" si="5"/>
        <v>1106.19</v>
      </c>
      <c r="Y26" s="78">
        <f t="shared" si="5"/>
        <v>1413</v>
      </c>
    </row>
    <row r="27" spans="1:25">
      <c r="A27" s="41" t="s">
        <v>102</v>
      </c>
      <c r="B27" s="39">
        <v>0</v>
      </c>
      <c r="C27" s="54">
        <v>0</v>
      </c>
      <c r="D27" s="89">
        <v>0</v>
      </c>
      <c r="E27" s="86">
        <v>0</v>
      </c>
      <c r="F27" s="72">
        <v>0</v>
      </c>
      <c r="G27" s="54">
        <v>0</v>
      </c>
      <c r="H27" s="89">
        <v>0</v>
      </c>
      <c r="I27" s="86">
        <v>0</v>
      </c>
      <c r="J27" s="72">
        <v>0</v>
      </c>
      <c r="K27" s="54">
        <v>0</v>
      </c>
      <c r="L27" s="89">
        <v>0</v>
      </c>
      <c r="M27" s="86">
        <v>0</v>
      </c>
      <c r="N27" s="72">
        <v>11.666550000000001</v>
      </c>
      <c r="O27" s="54">
        <v>0</v>
      </c>
      <c r="P27" s="89">
        <v>35</v>
      </c>
      <c r="Q27" s="86">
        <v>0</v>
      </c>
      <c r="R27" s="72">
        <v>0</v>
      </c>
      <c r="S27" s="22">
        <v>0</v>
      </c>
      <c r="T27" s="82">
        <v>0</v>
      </c>
      <c r="U27" s="78">
        <v>0</v>
      </c>
      <c r="V27" s="39">
        <v>11.666550000000001</v>
      </c>
      <c r="W27" s="22">
        <f t="shared" si="5"/>
        <v>0</v>
      </c>
      <c r="X27" s="82">
        <f t="shared" si="5"/>
        <v>35</v>
      </c>
      <c r="Y27" s="78">
        <f t="shared" si="5"/>
        <v>0</v>
      </c>
    </row>
    <row r="28" spans="1:25">
      <c r="A28" s="41" t="s">
        <v>98</v>
      </c>
      <c r="B28" s="39">
        <v>0</v>
      </c>
      <c r="C28" s="54">
        <v>0</v>
      </c>
      <c r="D28" s="89">
        <v>0</v>
      </c>
      <c r="E28" s="86">
        <v>0</v>
      </c>
      <c r="F28" s="72">
        <v>0</v>
      </c>
      <c r="G28" s="54">
        <v>0</v>
      </c>
      <c r="H28" s="89">
        <v>0</v>
      </c>
      <c r="I28" s="86">
        <v>0</v>
      </c>
      <c r="J28" s="72">
        <v>0</v>
      </c>
      <c r="K28" s="54">
        <v>0</v>
      </c>
      <c r="L28" s="89">
        <v>0</v>
      </c>
      <c r="M28" s="86">
        <v>0</v>
      </c>
      <c r="N28" s="72">
        <v>0</v>
      </c>
      <c r="O28" s="54">
        <v>0</v>
      </c>
      <c r="P28" s="89">
        <v>0</v>
      </c>
      <c r="Q28" s="86">
        <v>0</v>
      </c>
      <c r="R28" s="72">
        <v>16.333169999999999</v>
      </c>
      <c r="S28" s="22">
        <v>0</v>
      </c>
      <c r="T28" s="82">
        <v>49</v>
      </c>
      <c r="U28" s="78">
        <v>0</v>
      </c>
      <c r="V28" s="39">
        <v>16.333169999999999</v>
      </c>
      <c r="W28" s="22">
        <f t="shared" si="5"/>
        <v>0</v>
      </c>
      <c r="X28" s="82">
        <f t="shared" si="5"/>
        <v>49</v>
      </c>
      <c r="Y28" s="78">
        <f t="shared" si="5"/>
        <v>0</v>
      </c>
    </row>
    <row r="29" spans="1:25">
      <c r="A29" s="42" t="s">
        <v>84</v>
      </c>
      <c r="B29" s="64">
        <v>0</v>
      </c>
      <c r="C29" s="59">
        <v>0</v>
      </c>
      <c r="D29" s="91">
        <v>0</v>
      </c>
      <c r="E29" s="88">
        <v>0</v>
      </c>
      <c r="F29" s="73">
        <v>8.6665799999999997</v>
      </c>
      <c r="G29" s="59">
        <v>26</v>
      </c>
      <c r="H29" s="91">
        <v>0</v>
      </c>
      <c r="I29" s="88">
        <v>0</v>
      </c>
      <c r="J29" s="73">
        <v>19.133141999999999</v>
      </c>
      <c r="K29" s="59">
        <v>0</v>
      </c>
      <c r="L29" s="91">
        <v>25.5</v>
      </c>
      <c r="M29" s="88">
        <v>31.9</v>
      </c>
      <c r="N29" s="73">
        <v>8.399916000000001</v>
      </c>
      <c r="O29" s="59">
        <v>13</v>
      </c>
      <c r="P29" s="91">
        <v>12.2</v>
      </c>
      <c r="Q29" s="88">
        <v>0</v>
      </c>
      <c r="R29" s="73">
        <v>0</v>
      </c>
      <c r="S29" s="35">
        <v>0</v>
      </c>
      <c r="T29" s="85">
        <v>0</v>
      </c>
      <c r="U29" s="81">
        <v>0</v>
      </c>
      <c r="V29" s="64">
        <v>36.199638</v>
      </c>
      <c r="W29" s="35">
        <f t="shared" si="5"/>
        <v>39</v>
      </c>
      <c r="X29" s="85">
        <f t="shared" si="5"/>
        <v>37.700000000000003</v>
      </c>
      <c r="Y29" s="81">
        <f t="shared" si="5"/>
        <v>31.9</v>
      </c>
    </row>
    <row r="30" spans="1:25">
      <c r="A30" s="23" t="s">
        <v>563</v>
      </c>
      <c r="B30" s="27">
        <f t="shared" ref="B30:Y30" si="6">SUM(B23:B29)</f>
        <v>1500</v>
      </c>
      <c r="C30" s="60">
        <f t="shared" si="6"/>
        <v>1500</v>
      </c>
      <c r="D30" s="60">
        <f t="shared" si="6"/>
        <v>1500</v>
      </c>
      <c r="E30" s="60">
        <f t="shared" si="6"/>
        <v>1500</v>
      </c>
      <c r="F30" s="27">
        <f t="shared" si="6"/>
        <v>8.6665799999999997</v>
      </c>
      <c r="G30" s="60">
        <f t="shared" si="6"/>
        <v>26</v>
      </c>
      <c r="H30" s="60">
        <f t="shared" si="6"/>
        <v>0</v>
      </c>
      <c r="I30" s="60">
        <f t="shared" si="6"/>
        <v>0</v>
      </c>
      <c r="J30" s="27">
        <f t="shared" si="6"/>
        <v>19.133141999999999</v>
      </c>
      <c r="K30" s="60">
        <f t="shared" si="6"/>
        <v>0</v>
      </c>
      <c r="L30" s="60">
        <f t="shared" si="6"/>
        <v>25.5</v>
      </c>
      <c r="M30" s="60">
        <f t="shared" si="6"/>
        <v>31.9</v>
      </c>
      <c r="N30" s="27">
        <f t="shared" si="6"/>
        <v>1303.8402948000003</v>
      </c>
      <c r="O30" s="60">
        <f t="shared" si="6"/>
        <v>1339.18</v>
      </c>
      <c r="P30" s="60">
        <f t="shared" si="6"/>
        <v>1159.3800000000001</v>
      </c>
      <c r="Q30" s="60">
        <f t="shared" si="6"/>
        <v>1413</v>
      </c>
      <c r="R30" s="27">
        <f t="shared" si="6"/>
        <v>16.333169999999999</v>
      </c>
      <c r="S30" s="36">
        <f t="shared" si="6"/>
        <v>0</v>
      </c>
      <c r="T30" s="36">
        <f t="shared" si="6"/>
        <v>49</v>
      </c>
      <c r="U30" s="36">
        <f t="shared" si="6"/>
        <v>0</v>
      </c>
      <c r="V30" s="27">
        <f t="shared" si="6"/>
        <v>1347.9731868000003</v>
      </c>
      <c r="W30" s="36">
        <f t="shared" si="6"/>
        <v>1365.18</v>
      </c>
      <c r="X30" s="36">
        <f t="shared" si="6"/>
        <v>1233.8800000000001</v>
      </c>
      <c r="Y30" s="36">
        <f t="shared" si="6"/>
        <v>1444.9</v>
      </c>
    </row>
    <row r="31" spans="1:25">
      <c r="A31" s="24" t="s">
        <v>429</v>
      </c>
      <c r="B31" s="21"/>
      <c r="C31" s="26"/>
      <c r="D31" s="26"/>
      <c r="E31" s="26"/>
      <c r="F31" s="26"/>
      <c r="G31" s="26"/>
      <c r="H31" s="26"/>
      <c r="I31" s="26"/>
      <c r="J31" s="26"/>
      <c r="K31" s="26"/>
      <c r="L31" s="26"/>
      <c r="M31" s="26"/>
      <c r="N31" s="26"/>
      <c r="O31" s="26"/>
      <c r="P31" s="26"/>
      <c r="Q31" s="26"/>
      <c r="R31" s="26"/>
      <c r="S31" s="26"/>
      <c r="T31" s="26"/>
      <c r="U31" s="26"/>
      <c r="V31" s="21"/>
      <c r="W31" s="26"/>
      <c r="X31" s="26"/>
      <c r="Y31" s="26"/>
    </row>
    <row r="32" spans="1:25">
      <c r="A32" s="40" t="s">
        <v>81</v>
      </c>
      <c r="B32" s="65">
        <v>0</v>
      </c>
      <c r="C32" s="54">
        <v>0</v>
      </c>
      <c r="D32" s="89">
        <v>0</v>
      </c>
      <c r="E32" s="86">
        <v>0</v>
      </c>
      <c r="F32" s="72">
        <v>0</v>
      </c>
      <c r="G32" s="54">
        <v>0</v>
      </c>
      <c r="H32" s="89">
        <v>0</v>
      </c>
      <c r="I32" s="86">
        <v>0</v>
      </c>
      <c r="J32" s="72">
        <v>0</v>
      </c>
      <c r="K32" s="54">
        <v>0</v>
      </c>
      <c r="L32" s="89">
        <v>0</v>
      </c>
      <c r="M32" s="86">
        <v>0</v>
      </c>
      <c r="N32" s="72">
        <v>0</v>
      </c>
      <c r="O32" s="54">
        <v>0</v>
      </c>
      <c r="P32" s="89">
        <v>0</v>
      </c>
      <c r="Q32" s="86">
        <v>0</v>
      </c>
      <c r="R32" s="72">
        <v>0</v>
      </c>
      <c r="S32" s="32">
        <v>0</v>
      </c>
      <c r="T32" s="84">
        <v>0</v>
      </c>
      <c r="U32" s="80">
        <v>0</v>
      </c>
      <c r="V32" s="65">
        <v>0</v>
      </c>
      <c r="W32" s="32">
        <f t="shared" ref="W32:Y33" si="7">SUM(G32,K32,O32,S32)</f>
        <v>0</v>
      </c>
      <c r="X32" s="84">
        <f t="shared" si="7"/>
        <v>0</v>
      </c>
      <c r="Y32" s="80">
        <f t="shared" si="7"/>
        <v>0</v>
      </c>
    </row>
    <row r="33" spans="1:25">
      <c r="A33" s="42" t="s">
        <v>79</v>
      </c>
      <c r="B33" s="64">
        <v>0</v>
      </c>
      <c r="C33" s="59">
        <v>0</v>
      </c>
      <c r="D33" s="91">
        <v>0</v>
      </c>
      <c r="E33" s="88">
        <v>0</v>
      </c>
      <c r="F33" s="73">
        <v>0</v>
      </c>
      <c r="G33" s="59">
        <v>0</v>
      </c>
      <c r="H33" s="91">
        <v>0</v>
      </c>
      <c r="I33" s="88">
        <v>0</v>
      </c>
      <c r="J33" s="73">
        <v>0</v>
      </c>
      <c r="K33" s="59">
        <v>0</v>
      </c>
      <c r="L33" s="91">
        <v>0</v>
      </c>
      <c r="M33" s="88">
        <v>0</v>
      </c>
      <c r="N33" s="73">
        <v>0</v>
      </c>
      <c r="O33" s="59">
        <v>0</v>
      </c>
      <c r="P33" s="91">
        <v>0</v>
      </c>
      <c r="Q33" s="88">
        <v>0</v>
      </c>
      <c r="R33" s="73">
        <v>0</v>
      </c>
      <c r="S33" s="35">
        <v>0</v>
      </c>
      <c r="T33" s="85">
        <v>0</v>
      </c>
      <c r="U33" s="81">
        <v>0</v>
      </c>
      <c r="V33" s="64">
        <v>0</v>
      </c>
      <c r="W33" s="35">
        <f t="shared" si="7"/>
        <v>0</v>
      </c>
      <c r="X33" s="85">
        <f t="shared" si="7"/>
        <v>0</v>
      </c>
      <c r="Y33" s="81">
        <f t="shared" si="7"/>
        <v>0</v>
      </c>
    </row>
    <row r="34" spans="1:25">
      <c r="A34" s="23" t="s">
        <v>564</v>
      </c>
      <c r="B34" s="27">
        <f t="shared" ref="B34:Y34" si="8">SUM(B32:B33)</f>
        <v>0</v>
      </c>
      <c r="C34" s="60">
        <f t="shared" si="8"/>
        <v>0</v>
      </c>
      <c r="D34" s="60">
        <f t="shared" si="8"/>
        <v>0</v>
      </c>
      <c r="E34" s="60">
        <f t="shared" si="8"/>
        <v>0</v>
      </c>
      <c r="F34" s="27">
        <f t="shared" si="8"/>
        <v>0</v>
      </c>
      <c r="G34" s="60">
        <f t="shared" si="8"/>
        <v>0</v>
      </c>
      <c r="H34" s="60">
        <f t="shared" si="8"/>
        <v>0</v>
      </c>
      <c r="I34" s="60">
        <f t="shared" si="8"/>
        <v>0</v>
      </c>
      <c r="J34" s="27">
        <f t="shared" si="8"/>
        <v>0</v>
      </c>
      <c r="K34" s="60">
        <f t="shared" si="8"/>
        <v>0</v>
      </c>
      <c r="L34" s="60">
        <f t="shared" si="8"/>
        <v>0</v>
      </c>
      <c r="M34" s="60">
        <f t="shared" si="8"/>
        <v>0</v>
      </c>
      <c r="N34" s="27">
        <f t="shared" si="8"/>
        <v>0</v>
      </c>
      <c r="O34" s="60">
        <f t="shared" si="8"/>
        <v>0</v>
      </c>
      <c r="P34" s="60">
        <f t="shared" si="8"/>
        <v>0</v>
      </c>
      <c r="Q34" s="60">
        <f t="shared" si="8"/>
        <v>0</v>
      </c>
      <c r="R34" s="27">
        <f t="shared" si="8"/>
        <v>0</v>
      </c>
      <c r="S34" s="36">
        <f t="shared" si="8"/>
        <v>0</v>
      </c>
      <c r="T34" s="36">
        <f t="shared" si="8"/>
        <v>0</v>
      </c>
      <c r="U34" s="36">
        <f t="shared" si="8"/>
        <v>0</v>
      </c>
      <c r="V34" s="27">
        <f t="shared" si="8"/>
        <v>0</v>
      </c>
      <c r="W34" s="36">
        <f t="shared" si="8"/>
        <v>0</v>
      </c>
      <c r="X34" s="36">
        <f t="shared" si="8"/>
        <v>0</v>
      </c>
      <c r="Y34" s="36">
        <f t="shared" si="8"/>
        <v>0</v>
      </c>
    </row>
    <row r="35" spans="1:25">
      <c r="A35" s="24" t="s">
        <v>565</v>
      </c>
      <c r="B35" s="26"/>
      <c r="C35" s="26"/>
      <c r="D35" s="26"/>
      <c r="E35" s="26"/>
      <c r="F35" s="26"/>
      <c r="G35" s="26"/>
      <c r="H35" s="26"/>
      <c r="I35" s="26"/>
      <c r="J35" s="26"/>
      <c r="K35" s="26"/>
      <c r="L35" s="26"/>
      <c r="M35" s="26"/>
      <c r="N35" s="26"/>
      <c r="O35" s="26"/>
      <c r="P35" s="26"/>
      <c r="Q35" s="26"/>
      <c r="R35" s="26"/>
      <c r="S35" s="26"/>
      <c r="T35" s="26"/>
      <c r="U35" s="26"/>
      <c r="V35" s="26"/>
      <c r="W35" s="26"/>
      <c r="X35" s="26"/>
      <c r="Y35" s="26"/>
    </row>
    <row r="36" spans="1:25">
      <c r="A36" s="40" t="s">
        <v>77</v>
      </c>
      <c r="B36" s="65">
        <v>0</v>
      </c>
      <c r="C36" s="54">
        <v>0</v>
      </c>
      <c r="D36" s="89">
        <v>0</v>
      </c>
      <c r="E36" s="86">
        <v>0</v>
      </c>
      <c r="F36" s="72">
        <v>0</v>
      </c>
      <c r="G36" s="54">
        <v>0</v>
      </c>
      <c r="H36" s="89">
        <v>0</v>
      </c>
      <c r="I36" s="86">
        <v>0</v>
      </c>
      <c r="J36" s="72">
        <v>0</v>
      </c>
      <c r="K36" s="54">
        <v>0</v>
      </c>
      <c r="L36" s="89">
        <v>0</v>
      </c>
      <c r="M36" s="86">
        <v>0</v>
      </c>
      <c r="N36" s="72">
        <v>0</v>
      </c>
      <c r="O36" s="54">
        <v>0</v>
      </c>
      <c r="P36" s="89">
        <v>0</v>
      </c>
      <c r="Q36" s="86">
        <v>0</v>
      </c>
      <c r="R36" s="72">
        <v>0</v>
      </c>
      <c r="S36" s="32">
        <v>0</v>
      </c>
      <c r="T36" s="84">
        <v>0</v>
      </c>
      <c r="U36" s="80">
        <v>0</v>
      </c>
      <c r="V36" s="65">
        <v>0</v>
      </c>
      <c r="W36" s="32">
        <f t="shared" ref="W36:Y41" si="9">SUM(G36,K36,O36,S36)</f>
        <v>0</v>
      </c>
      <c r="X36" s="84">
        <f t="shared" si="9"/>
        <v>0</v>
      </c>
      <c r="Y36" s="80">
        <f t="shared" si="9"/>
        <v>0</v>
      </c>
    </row>
    <row r="37" spans="1:25">
      <c r="A37" s="41" t="s">
        <v>59</v>
      </c>
      <c r="B37" s="39">
        <v>0</v>
      </c>
      <c r="C37" s="54">
        <v>0</v>
      </c>
      <c r="D37" s="89">
        <v>0</v>
      </c>
      <c r="E37" s="86">
        <v>0</v>
      </c>
      <c r="F37" s="72">
        <v>0</v>
      </c>
      <c r="G37" s="54">
        <v>0</v>
      </c>
      <c r="H37" s="89">
        <v>0</v>
      </c>
      <c r="I37" s="86">
        <v>0</v>
      </c>
      <c r="J37" s="72">
        <v>0</v>
      </c>
      <c r="K37" s="54">
        <v>0</v>
      </c>
      <c r="L37" s="89">
        <v>0</v>
      </c>
      <c r="M37" s="86">
        <v>0</v>
      </c>
      <c r="N37" s="72">
        <v>0</v>
      </c>
      <c r="O37" s="54">
        <v>0</v>
      </c>
      <c r="P37" s="89">
        <v>0</v>
      </c>
      <c r="Q37" s="86">
        <v>0</v>
      </c>
      <c r="R37" s="72">
        <v>0</v>
      </c>
      <c r="S37" s="22">
        <v>0</v>
      </c>
      <c r="T37" s="82">
        <v>0</v>
      </c>
      <c r="U37" s="78">
        <v>0</v>
      </c>
      <c r="V37" s="39">
        <v>0</v>
      </c>
      <c r="W37" s="22">
        <f t="shared" si="9"/>
        <v>0</v>
      </c>
      <c r="X37" s="82">
        <f t="shared" si="9"/>
        <v>0</v>
      </c>
      <c r="Y37" s="78">
        <f t="shared" si="9"/>
        <v>0</v>
      </c>
    </row>
    <row r="38" spans="1:25">
      <c r="A38" s="41" t="s">
        <v>39</v>
      </c>
      <c r="B38" s="39">
        <v>0</v>
      </c>
      <c r="C38" s="54">
        <v>0</v>
      </c>
      <c r="D38" s="89">
        <v>0</v>
      </c>
      <c r="E38" s="86">
        <v>0</v>
      </c>
      <c r="F38" s="72">
        <v>0</v>
      </c>
      <c r="G38" s="54">
        <v>0</v>
      </c>
      <c r="H38" s="89">
        <v>0</v>
      </c>
      <c r="I38" s="86">
        <v>0</v>
      </c>
      <c r="J38" s="72">
        <v>0</v>
      </c>
      <c r="K38" s="54">
        <v>0</v>
      </c>
      <c r="L38" s="89">
        <v>0</v>
      </c>
      <c r="M38" s="86">
        <v>0</v>
      </c>
      <c r="N38" s="72">
        <v>0</v>
      </c>
      <c r="O38" s="54">
        <v>0</v>
      </c>
      <c r="P38" s="89">
        <v>0</v>
      </c>
      <c r="Q38" s="86">
        <v>0</v>
      </c>
      <c r="R38" s="72">
        <v>0</v>
      </c>
      <c r="S38" s="22">
        <v>0</v>
      </c>
      <c r="T38" s="82">
        <v>0</v>
      </c>
      <c r="U38" s="78">
        <v>0</v>
      </c>
      <c r="V38" s="39">
        <v>0</v>
      </c>
      <c r="W38" s="22">
        <f t="shared" si="9"/>
        <v>0</v>
      </c>
      <c r="X38" s="82">
        <f t="shared" si="9"/>
        <v>0</v>
      </c>
      <c r="Y38" s="78">
        <f t="shared" si="9"/>
        <v>0</v>
      </c>
    </row>
    <row r="39" spans="1:25">
      <c r="A39" s="92" t="s">
        <v>31</v>
      </c>
      <c r="B39" s="93">
        <v>0</v>
      </c>
      <c r="C39" s="94">
        <v>0</v>
      </c>
      <c r="D39" s="100">
        <v>0</v>
      </c>
      <c r="E39" s="99">
        <v>0</v>
      </c>
      <c r="F39" s="95">
        <v>0</v>
      </c>
      <c r="G39" s="94">
        <v>0</v>
      </c>
      <c r="H39" s="100">
        <v>0</v>
      </c>
      <c r="I39" s="99">
        <v>0</v>
      </c>
      <c r="J39" s="95">
        <v>0</v>
      </c>
      <c r="K39" s="94">
        <v>0</v>
      </c>
      <c r="L39" s="100">
        <v>0</v>
      </c>
      <c r="M39" s="99">
        <v>0</v>
      </c>
      <c r="N39" s="95">
        <v>0</v>
      </c>
      <c r="O39" s="94">
        <v>0</v>
      </c>
      <c r="P39" s="100">
        <v>0</v>
      </c>
      <c r="Q39" s="99">
        <v>0</v>
      </c>
      <c r="R39" s="95">
        <v>0</v>
      </c>
      <c r="S39" s="96">
        <v>0</v>
      </c>
      <c r="T39" s="98">
        <v>0</v>
      </c>
      <c r="U39" s="97">
        <v>0</v>
      </c>
      <c r="V39" s="93">
        <v>0</v>
      </c>
      <c r="W39" s="96">
        <f t="shared" si="9"/>
        <v>0</v>
      </c>
      <c r="X39" s="98">
        <f t="shared" si="9"/>
        <v>0</v>
      </c>
      <c r="Y39" s="97">
        <f t="shared" si="9"/>
        <v>0</v>
      </c>
    </row>
    <row r="40" spans="1:25">
      <c r="A40" s="41" t="s">
        <v>27</v>
      </c>
      <c r="B40" s="39">
        <v>94</v>
      </c>
      <c r="C40" s="54">
        <v>91</v>
      </c>
      <c r="D40" s="89">
        <v>91</v>
      </c>
      <c r="E40" s="86">
        <v>86</v>
      </c>
      <c r="F40" s="72">
        <v>0.54666119999999996</v>
      </c>
      <c r="G40" s="54">
        <v>1.64</v>
      </c>
      <c r="H40" s="89">
        <v>0</v>
      </c>
      <c r="I40" s="86">
        <v>0</v>
      </c>
      <c r="J40" s="72">
        <v>1.1233221000000002</v>
      </c>
      <c r="K40" s="54">
        <v>0</v>
      </c>
      <c r="L40" s="89">
        <v>1.54</v>
      </c>
      <c r="M40" s="86">
        <v>1.83</v>
      </c>
      <c r="N40" s="72">
        <v>78.505881599999995</v>
      </c>
      <c r="O40" s="54">
        <v>84.24</v>
      </c>
      <c r="P40" s="89">
        <v>70.03</v>
      </c>
      <c r="Q40" s="86">
        <v>81.25</v>
      </c>
      <c r="R40" s="72">
        <v>0.9866568</v>
      </c>
      <c r="S40" s="22">
        <v>0</v>
      </c>
      <c r="T40" s="82">
        <v>2.96</v>
      </c>
      <c r="U40" s="78">
        <v>0</v>
      </c>
      <c r="V40" s="39">
        <v>81.162521699999999</v>
      </c>
      <c r="W40" s="22">
        <f t="shared" si="9"/>
        <v>85.88</v>
      </c>
      <c r="X40" s="82">
        <f t="shared" si="9"/>
        <v>74.53</v>
      </c>
      <c r="Y40" s="78">
        <f t="shared" si="9"/>
        <v>83.08</v>
      </c>
    </row>
    <row r="41" spans="1:25">
      <c r="A41" s="42" t="s">
        <v>25</v>
      </c>
      <c r="B41" s="64">
        <v>8</v>
      </c>
      <c r="C41" s="59">
        <v>8</v>
      </c>
      <c r="D41" s="91">
        <v>8</v>
      </c>
      <c r="E41" s="88">
        <v>10</v>
      </c>
      <c r="F41" s="73">
        <v>4.3332900000000001E-2</v>
      </c>
      <c r="G41" s="59">
        <v>0.13</v>
      </c>
      <c r="H41" s="91">
        <v>0</v>
      </c>
      <c r="I41" s="88">
        <v>0</v>
      </c>
      <c r="J41" s="73">
        <v>0.11666550000000001</v>
      </c>
      <c r="K41" s="59">
        <v>0</v>
      </c>
      <c r="L41" s="91">
        <v>0.13</v>
      </c>
      <c r="M41" s="88">
        <v>0.22</v>
      </c>
      <c r="N41" s="73">
        <v>7.4599254000000004</v>
      </c>
      <c r="O41" s="59">
        <v>6.83</v>
      </c>
      <c r="P41" s="91">
        <v>5.8</v>
      </c>
      <c r="Q41" s="88">
        <v>9.75</v>
      </c>
      <c r="R41" s="73">
        <v>8.3332500000000004E-2</v>
      </c>
      <c r="S41" s="35">
        <v>0</v>
      </c>
      <c r="T41" s="85">
        <v>0.25</v>
      </c>
      <c r="U41" s="81">
        <v>0</v>
      </c>
      <c r="V41" s="64">
        <v>7.7032563000000014</v>
      </c>
      <c r="W41" s="35">
        <f t="shared" si="9"/>
        <v>6.96</v>
      </c>
      <c r="X41" s="85">
        <f t="shared" si="9"/>
        <v>6.18</v>
      </c>
      <c r="Y41" s="81">
        <f t="shared" si="9"/>
        <v>9.9700000000000006</v>
      </c>
    </row>
    <row r="42" spans="1:25">
      <c r="A42" s="23" t="s">
        <v>566</v>
      </c>
      <c r="B42" s="27">
        <f t="shared" ref="B42:Y42" si="10">SUM(B36:B41)</f>
        <v>102</v>
      </c>
      <c r="C42" s="56">
        <f t="shared" si="10"/>
        <v>99</v>
      </c>
      <c r="D42" s="56">
        <f t="shared" si="10"/>
        <v>99</v>
      </c>
      <c r="E42" s="56">
        <f t="shared" si="10"/>
        <v>96</v>
      </c>
      <c r="F42" s="66">
        <f t="shared" si="10"/>
        <v>0.58999409999999997</v>
      </c>
      <c r="G42" s="56">
        <f t="shared" si="10"/>
        <v>1.77</v>
      </c>
      <c r="H42" s="56">
        <f t="shared" si="10"/>
        <v>0</v>
      </c>
      <c r="I42" s="56">
        <f t="shared" si="10"/>
        <v>0</v>
      </c>
      <c r="J42" s="66">
        <f t="shared" si="10"/>
        <v>1.2399876000000003</v>
      </c>
      <c r="K42" s="56">
        <f t="shared" si="10"/>
        <v>0</v>
      </c>
      <c r="L42" s="56">
        <f t="shared" si="10"/>
        <v>1.67</v>
      </c>
      <c r="M42" s="56">
        <f t="shared" si="10"/>
        <v>2.0500000000000003</v>
      </c>
      <c r="N42" s="66">
        <f t="shared" si="10"/>
        <v>85.965806999999998</v>
      </c>
      <c r="O42" s="56">
        <f t="shared" si="10"/>
        <v>91.07</v>
      </c>
      <c r="P42" s="56">
        <f t="shared" si="10"/>
        <v>75.83</v>
      </c>
      <c r="Q42" s="56">
        <f t="shared" si="10"/>
        <v>91</v>
      </c>
      <c r="R42" s="66">
        <f t="shared" si="10"/>
        <v>1.0699893</v>
      </c>
      <c r="S42" s="37">
        <f t="shared" si="10"/>
        <v>0</v>
      </c>
      <c r="T42" s="37">
        <f t="shared" si="10"/>
        <v>3.21</v>
      </c>
      <c r="U42" s="37">
        <f t="shared" si="10"/>
        <v>0</v>
      </c>
      <c r="V42" s="27">
        <f t="shared" si="10"/>
        <v>88.865778000000006</v>
      </c>
      <c r="W42" s="37">
        <f t="shared" si="10"/>
        <v>92.839999999999989</v>
      </c>
      <c r="X42" s="37">
        <f t="shared" si="10"/>
        <v>80.710000000000008</v>
      </c>
      <c r="Y42" s="37">
        <f t="shared" si="10"/>
        <v>93.05</v>
      </c>
    </row>
    <row r="43" spans="1:25" ht="16.2" thickBot="1">
      <c r="A43" s="43" t="s">
        <v>567</v>
      </c>
      <c r="B43" s="34">
        <f>SUM(B21,B30,B34,B42)</f>
        <v>1602</v>
      </c>
      <c r="C43" s="52">
        <f t="shared" ref="C43:U43" si="11">SUM(C21,C30,C34,C42)</f>
        <v>1599</v>
      </c>
      <c r="D43" s="52">
        <f t="shared" si="11"/>
        <v>1599</v>
      </c>
      <c r="E43" s="52">
        <f t="shared" si="11"/>
        <v>1596</v>
      </c>
      <c r="F43" s="34">
        <f t="shared" si="11"/>
        <v>9.2565740999999999</v>
      </c>
      <c r="G43" s="52">
        <f t="shared" si="11"/>
        <v>27.77</v>
      </c>
      <c r="H43" s="52">
        <f t="shared" si="11"/>
        <v>0</v>
      </c>
      <c r="I43" s="52">
        <f t="shared" si="11"/>
        <v>0</v>
      </c>
      <c r="J43" s="34">
        <f t="shared" si="11"/>
        <v>20.373129599999999</v>
      </c>
      <c r="K43" s="52">
        <f t="shared" si="11"/>
        <v>0</v>
      </c>
      <c r="L43" s="52">
        <f t="shared" si="11"/>
        <v>27.17</v>
      </c>
      <c r="M43" s="52">
        <f t="shared" si="11"/>
        <v>33.949999999999996</v>
      </c>
      <c r="N43" s="34">
        <f t="shared" si="11"/>
        <v>1389.8061018000003</v>
      </c>
      <c r="O43" s="52">
        <f t="shared" si="11"/>
        <v>1430.25</v>
      </c>
      <c r="P43" s="52">
        <f t="shared" si="11"/>
        <v>1235.21</v>
      </c>
      <c r="Q43" s="52">
        <f t="shared" si="11"/>
        <v>1504</v>
      </c>
      <c r="R43" s="34">
        <f t="shared" si="11"/>
        <v>17.403159299999999</v>
      </c>
      <c r="S43" s="34">
        <f t="shared" si="11"/>
        <v>0</v>
      </c>
      <c r="T43" s="34">
        <f t="shared" si="11"/>
        <v>52.21</v>
      </c>
      <c r="U43" s="34">
        <f t="shared" si="11"/>
        <v>0</v>
      </c>
      <c r="V43" s="34">
        <f>SUM(V21,V30,V34,V42)</f>
        <v>1436.8389648000004</v>
      </c>
      <c r="W43" s="34">
        <f t="shared" ref="W43:Y43" si="12">SUM(W21,W30,W34,W42)</f>
        <v>1458.02</v>
      </c>
      <c r="X43" s="34">
        <f t="shared" si="12"/>
        <v>1314.5900000000001</v>
      </c>
      <c r="Y43" s="34">
        <f t="shared" si="12"/>
        <v>1537.95</v>
      </c>
    </row>
    <row r="44" spans="1:25" ht="15" thickTop="1">
      <c r="A44" s="44" t="s">
        <v>568</v>
      </c>
      <c r="B44" s="28"/>
      <c r="C44" s="20"/>
      <c r="D44" s="20"/>
      <c r="E44" s="20"/>
      <c r="F44" s="28"/>
      <c r="G44" s="20"/>
      <c r="H44" s="20"/>
      <c r="I44" s="20"/>
      <c r="J44" s="28"/>
      <c r="K44" s="20"/>
      <c r="L44" s="20"/>
      <c r="M44" s="20"/>
      <c r="N44" s="28"/>
      <c r="O44" s="20"/>
      <c r="P44" s="20"/>
      <c r="Q44" s="20"/>
      <c r="R44" s="28"/>
      <c r="S44" s="20"/>
      <c r="T44" s="20"/>
      <c r="U44" s="20"/>
      <c r="V44" s="28"/>
      <c r="W44" s="20"/>
      <c r="X44" s="20"/>
      <c r="Y44" s="20"/>
    </row>
    <row r="45" spans="1:25">
      <c r="A45" s="40" t="s">
        <v>23</v>
      </c>
      <c r="B45" s="65">
        <v>0</v>
      </c>
      <c r="C45" s="54">
        <v>0</v>
      </c>
      <c r="D45" s="89">
        <v>0</v>
      </c>
      <c r="E45" s="86">
        <v>0</v>
      </c>
      <c r="F45" s="72">
        <v>0</v>
      </c>
      <c r="G45" s="54">
        <v>0</v>
      </c>
      <c r="H45" s="89">
        <v>0</v>
      </c>
      <c r="I45" s="86">
        <v>0</v>
      </c>
      <c r="J45" s="72">
        <v>0</v>
      </c>
      <c r="K45" s="54">
        <v>0</v>
      </c>
      <c r="L45" s="89">
        <v>0</v>
      </c>
      <c r="M45" s="86">
        <v>0</v>
      </c>
      <c r="N45" s="72">
        <v>0</v>
      </c>
      <c r="O45" s="54">
        <v>0</v>
      </c>
      <c r="P45" s="89">
        <v>0</v>
      </c>
      <c r="Q45" s="86">
        <v>0</v>
      </c>
      <c r="R45" s="72">
        <v>141.7952487</v>
      </c>
      <c r="S45" s="32">
        <v>140.97999999999999</v>
      </c>
      <c r="T45" s="84">
        <v>284.41000000000003</v>
      </c>
      <c r="U45" s="80">
        <v>0</v>
      </c>
      <c r="V45" s="65">
        <v>141.7952487</v>
      </c>
      <c r="W45" s="32">
        <f t="shared" ref="W45:Y46" si="13">SUM(G45,K45,O45,S45)</f>
        <v>140.97999999999999</v>
      </c>
      <c r="X45" s="84">
        <f t="shared" si="13"/>
        <v>284.41000000000003</v>
      </c>
      <c r="Y45" s="80">
        <f t="shared" si="13"/>
        <v>0</v>
      </c>
    </row>
    <row r="46" spans="1:25">
      <c r="A46" s="42" t="s">
        <v>7</v>
      </c>
      <c r="B46" s="64">
        <v>0</v>
      </c>
      <c r="C46" s="59">
        <v>0</v>
      </c>
      <c r="D46" s="91">
        <v>0</v>
      </c>
      <c r="E46" s="88">
        <v>0</v>
      </c>
      <c r="F46" s="73">
        <v>0</v>
      </c>
      <c r="G46" s="59">
        <v>0</v>
      </c>
      <c r="H46" s="91">
        <v>0</v>
      </c>
      <c r="I46" s="88">
        <v>0</v>
      </c>
      <c r="J46" s="73">
        <v>0</v>
      </c>
      <c r="K46" s="59">
        <v>0</v>
      </c>
      <c r="L46" s="91">
        <v>0</v>
      </c>
      <c r="M46" s="88">
        <v>0</v>
      </c>
      <c r="N46" s="73">
        <v>0</v>
      </c>
      <c r="O46" s="59">
        <v>0</v>
      </c>
      <c r="P46" s="91">
        <v>0</v>
      </c>
      <c r="Q46" s="88">
        <v>0</v>
      </c>
      <c r="R46" s="73">
        <v>0</v>
      </c>
      <c r="S46" s="35">
        <v>0</v>
      </c>
      <c r="T46" s="85">
        <v>0</v>
      </c>
      <c r="U46" s="81">
        <v>0</v>
      </c>
      <c r="V46" s="64">
        <v>0</v>
      </c>
      <c r="W46" s="35">
        <f t="shared" si="13"/>
        <v>0</v>
      </c>
      <c r="X46" s="85">
        <f t="shared" si="13"/>
        <v>0</v>
      </c>
      <c r="Y46" s="81">
        <f t="shared" si="13"/>
        <v>0</v>
      </c>
    </row>
    <row r="47" spans="1:25">
      <c r="A47" s="45" t="s">
        <v>569</v>
      </c>
      <c r="B47" s="49">
        <f t="shared" ref="B47:Y47" si="14">SUM(B45:B46)</f>
        <v>0</v>
      </c>
      <c r="C47" s="60">
        <f t="shared" si="14"/>
        <v>0</v>
      </c>
      <c r="D47" s="60">
        <f t="shared" si="14"/>
        <v>0</v>
      </c>
      <c r="E47" s="60">
        <f t="shared" si="14"/>
        <v>0</v>
      </c>
      <c r="F47" s="27">
        <f t="shared" si="14"/>
        <v>0</v>
      </c>
      <c r="G47" s="60">
        <f t="shared" si="14"/>
        <v>0</v>
      </c>
      <c r="H47" s="60">
        <f t="shared" si="14"/>
        <v>0</v>
      </c>
      <c r="I47" s="60">
        <f t="shared" si="14"/>
        <v>0</v>
      </c>
      <c r="J47" s="27">
        <f t="shared" si="14"/>
        <v>0</v>
      </c>
      <c r="K47" s="60">
        <f t="shared" si="14"/>
        <v>0</v>
      </c>
      <c r="L47" s="60">
        <f t="shared" si="14"/>
        <v>0</v>
      </c>
      <c r="M47" s="60">
        <f t="shared" si="14"/>
        <v>0</v>
      </c>
      <c r="N47" s="27">
        <f t="shared" si="14"/>
        <v>0</v>
      </c>
      <c r="O47" s="60">
        <f t="shared" si="14"/>
        <v>0</v>
      </c>
      <c r="P47" s="60">
        <f t="shared" si="14"/>
        <v>0</v>
      </c>
      <c r="Q47" s="60">
        <f t="shared" si="14"/>
        <v>0</v>
      </c>
      <c r="R47" s="27">
        <f t="shared" si="14"/>
        <v>141.7952487</v>
      </c>
      <c r="S47" s="36">
        <f t="shared" si="14"/>
        <v>140.97999999999999</v>
      </c>
      <c r="T47" s="36">
        <f t="shared" si="14"/>
        <v>284.41000000000003</v>
      </c>
      <c r="U47" s="36">
        <f t="shared" si="14"/>
        <v>0</v>
      </c>
      <c r="V47" s="49">
        <f t="shared" si="14"/>
        <v>141.7952487</v>
      </c>
      <c r="W47" s="36">
        <f t="shared" si="14"/>
        <v>140.97999999999999</v>
      </c>
      <c r="X47" s="36">
        <f t="shared" si="14"/>
        <v>284.41000000000003</v>
      </c>
      <c r="Y47" s="36">
        <f t="shared" si="14"/>
        <v>0</v>
      </c>
    </row>
    <row r="48" spans="1:25" ht="16.2" thickBot="1">
      <c r="A48" s="43" t="s">
        <v>570</v>
      </c>
      <c r="B48" s="34">
        <f>SUM(B12,B43,B47)</f>
        <v>0</v>
      </c>
      <c r="C48" s="52">
        <f t="shared" ref="C48:U48" si="15">SUM(C12,C43,C47)</f>
        <v>0</v>
      </c>
      <c r="D48" s="52">
        <f t="shared" si="15"/>
        <v>0</v>
      </c>
      <c r="E48" s="52">
        <f t="shared" si="15"/>
        <v>0</v>
      </c>
      <c r="F48" s="34">
        <f t="shared" si="15"/>
        <v>-789.73543590000008</v>
      </c>
      <c r="G48" s="52">
        <f t="shared" si="15"/>
        <v>-771.23</v>
      </c>
      <c r="H48" s="52">
        <f t="shared" si="15"/>
        <v>-800</v>
      </c>
      <c r="I48" s="52">
        <f t="shared" si="15"/>
        <v>-798</v>
      </c>
      <c r="J48" s="34">
        <f t="shared" si="15"/>
        <v>20.373129599999999</v>
      </c>
      <c r="K48" s="52">
        <f t="shared" si="15"/>
        <v>0</v>
      </c>
      <c r="L48" s="52">
        <f t="shared" si="15"/>
        <v>27.17</v>
      </c>
      <c r="M48" s="52">
        <f t="shared" si="15"/>
        <v>33.949999999999996</v>
      </c>
      <c r="N48" s="34">
        <f t="shared" si="15"/>
        <v>590.81409180000026</v>
      </c>
      <c r="O48" s="52">
        <f t="shared" si="15"/>
        <v>630.25</v>
      </c>
      <c r="P48" s="52">
        <f t="shared" si="15"/>
        <v>436.21000000000004</v>
      </c>
      <c r="Q48" s="52">
        <f t="shared" si="15"/>
        <v>706</v>
      </c>
      <c r="R48" s="34">
        <f t="shared" si="15"/>
        <v>142.41524250000001</v>
      </c>
      <c r="S48" s="34">
        <f t="shared" si="15"/>
        <v>140.97999999999999</v>
      </c>
      <c r="T48" s="34">
        <f t="shared" si="15"/>
        <v>336.62</v>
      </c>
      <c r="U48" s="34">
        <f t="shared" si="15"/>
        <v>-50.35</v>
      </c>
      <c r="V48" s="34">
        <f>SUM(V12,V43,V47)</f>
        <v>-36.132971999999654</v>
      </c>
      <c r="W48" s="34">
        <f t="shared" ref="W48:Y48" si="16">SUM(W12,W43,W47)</f>
        <v>0</v>
      </c>
      <c r="X48" s="34">
        <f t="shared" si="16"/>
        <v>0</v>
      </c>
      <c r="Y48" s="34">
        <f t="shared" si="16"/>
        <v>-108.39999999999986</v>
      </c>
    </row>
    <row r="49" spans="1:25" ht="15" thickTop="1">
      <c r="A49" s="29"/>
      <c r="B49" s="19"/>
      <c r="C49" s="48"/>
      <c r="D49" s="48"/>
      <c r="E49" s="48"/>
      <c r="F49" s="19"/>
      <c r="G49" s="48"/>
      <c r="H49" s="48"/>
      <c r="I49" s="48"/>
      <c r="J49" s="19"/>
      <c r="K49" s="48"/>
      <c r="L49" s="48"/>
      <c r="M49" s="48"/>
      <c r="N49" s="19"/>
      <c r="O49" s="48"/>
      <c r="P49" s="48"/>
      <c r="Q49" s="48"/>
      <c r="R49" s="19"/>
      <c r="S49" s="48"/>
      <c r="T49" s="48"/>
      <c r="U49" s="48"/>
      <c r="V49" s="19"/>
      <c r="W49" s="48"/>
      <c r="X49" s="48"/>
      <c r="Y49" s="48"/>
    </row>
  </sheetData>
  <conditionalFormatting sqref="B15:C21 B23:C30 B32:C34 B36:C43 V36:W43 V32:W34 V23:W30 V15:W21 R36:S43 R32:S34 R23:S30 R15:S21 N36:O43 N32:O34 N23:O30 N15:O21 J36:K43 J32:K34 J23:K30 J15:K21 F36:G43 F32:G34 F23:G30 F15:G21">
    <cfRule type="cellIs" dxfId="181" priority="13" operator="lessThan">
      <formula>-0.01</formula>
    </cfRule>
  </conditionalFormatting>
  <conditionalFormatting sqref="Y15:Y21 Y23:Y30 Y32:Y34 Y36:Y43">
    <cfRule type="cellIs" dxfId="180" priority="12" operator="lessThan">
      <formula>-0.01</formula>
    </cfRule>
  </conditionalFormatting>
  <conditionalFormatting sqref="X15:X21 X23:X30 X32:X34 X36:X43">
    <cfRule type="cellIs" dxfId="179" priority="11" operator="lessThan">
      <formula>-0.01</formula>
    </cfRule>
  </conditionalFormatting>
  <conditionalFormatting sqref="U15:U21 U23:U30 U32:U34 U36:U43">
    <cfRule type="cellIs" dxfId="178" priority="10" operator="lessThan">
      <formula>-0.01</formula>
    </cfRule>
  </conditionalFormatting>
  <conditionalFormatting sqref="T15:T21 T23:T30 T32:T34 T36:T43">
    <cfRule type="cellIs" dxfId="177" priority="9" operator="lessThan">
      <formula>-0.01</formula>
    </cfRule>
  </conditionalFormatting>
  <conditionalFormatting sqref="Q15:Q21 Q23:Q30 Q32:Q34 Q36:Q43">
    <cfRule type="cellIs" dxfId="176" priority="8" operator="lessThan">
      <formula>-0.01</formula>
    </cfRule>
  </conditionalFormatting>
  <conditionalFormatting sqref="P15:P21 P23:P30 P32:P34 P36:P43">
    <cfRule type="cellIs" dxfId="175" priority="7" operator="lessThan">
      <formula>-0.01</formula>
    </cfRule>
  </conditionalFormatting>
  <conditionalFormatting sqref="M15:M21 M23:M30 M32:M34 M36:M43">
    <cfRule type="cellIs" dxfId="174" priority="6" operator="lessThan">
      <formula>-0.01</formula>
    </cfRule>
  </conditionalFormatting>
  <conditionalFormatting sqref="L15:L21 L23:L30 L32:L34 L36:L43">
    <cfRule type="cellIs" dxfId="173" priority="5" operator="lessThan">
      <formula>-0.01</formula>
    </cfRule>
  </conditionalFormatting>
  <conditionalFormatting sqref="I15:I21 I23:I30 I32:I34 I36:I43">
    <cfRule type="cellIs" dxfId="172" priority="4" operator="lessThan">
      <formula>-0.01</formula>
    </cfRule>
  </conditionalFormatting>
  <conditionalFormatting sqref="H15:H21 H23:H30 H32:H34 H36:H43">
    <cfRule type="cellIs" dxfId="171" priority="3" operator="lessThan">
      <formula>-0.01</formula>
    </cfRule>
  </conditionalFormatting>
  <conditionalFormatting sqref="E15:E21 E23:E30 E32:E34 E36:E43">
    <cfRule type="cellIs" dxfId="170" priority="2" operator="lessThan">
      <formula>-0.01</formula>
    </cfRule>
  </conditionalFormatting>
  <conditionalFormatting sqref="D15:D21 D23:D30 D32:D34 D36:D43">
    <cfRule type="cellIs" dxfId="169" priority="1" operator="lessThan">
      <formula>-0.01</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51DA48-99BD-4752-88F6-240AFEAEA13D}">
  <sheetPr codeName="Sheet8"/>
  <dimension ref="A1:AZ49"/>
  <sheetViews>
    <sheetView showGridLines="0" workbookViewId="0">
      <pane xSplit="1" ySplit="6" topLeftCell="B7" activePane="bottomRight" state="frozen"/>
      <selection pane="topRight" activeCell="B1" sqref="B1"/>
      <selection pane="bottomLeft" activeCell="A7" sqref="A7"/>
      <selection pane="bottomRight"/>
    </sheetView>
  </sheetViews>
  <sheetFormatPr defaultRowHeight="14.4" outlineLevelCol="1"/>
  <cols>
    <col min="1" max="1" width="32.44140625" bestFit="1" customWidth="1"/>
    <col min="2" max="2" width="16.77734375" customWidth="1"/>
    <col min="3" max="5" width="13.44140625" style="57" hidden="1" customWidth="1" outlineLevel="1"/>
    <col min="6" max="6" width="16.77734375" customWidth="1" collapsed="1"/>
    <col min="7" max="9" width="13.44140625" style="57" hidden="1" customWidth="1" outlineLevel="1"/>
    <col min="10" max="10" width="16.77734375" customWidth="1" collapsed="1"/>
    <col min="11" max="13" width="13.44140625" style="57" hidden="1" customWidth="1" outlineLevel="1"/>
    <col min="14" max="14" width="16.77734375" customWidth="1" collapsed="1"/>
    <col min="15" max="17" width="13.44140625" style="57" hidden="1" customWidth="1" outlineLevel="1"/>
    <col min="18" max="18" width="16.77734375" customWidth="1" collapsed="1"/>
    <col min="19" max="21" width="13.44140625" style="57" hidden="1" customWidth="1" outlineLevel="1"/>
    <col min="22" max="22" width="16.77734375" customWidth="1" collapsed="1"/>
    <col min="23" max="25" width="13.44140625" style="57" hidden="1" customWidth="1" outlineLevel="1"/>
    <col min="26" max="26" width="8.88671875" collapsed="1"/>
  </cols>
  <sheetData>
    <row r="1" spans="1:52" ht="15.6">
      <c r="A1" s="68" t="s">
        <v>790</v>
      </c>
      <c r="B1" s="46"/>
      <c r="C1" s="46"/>
      <c r="D1" s="46"/>
      <c r="E1" s="46"/>
      <c r="F1" s="46"/>
      <c r="G1" s="46"/>
      <c r="H1" s="46"/>
      <c r="I1" s="46"/>
      <c r="J1" s="46"/>
      <c r="K1" s="46"/>
      <c r="L1" s="46"/>
      <c r="M1" s="46"/>
      <c r="N1" s="46"/>
      <c r="O1" s="46"/>
      <c r="P1" s="46"/>
      <c r="Q1" s="46"/>
      <c r="R1" s="46"/>
      <c r="V1" s="46"/>
      <c r="W1" s="46"/>
      <c r="X1" s="46"/>
      <c r="Y1" s="46"/>
    </row>
    <row r="2" spans="1:52" ht="15.6">
      <c r="A2" s="69" t="s">
        <v>401</v>
      </c>
      <c r="B2" s="47"/>
      <c r="C2" s="47"/>
      <c r="D2" s="47"/>
      <c r="E2" s="47"/>
      <c r="F2" s="47"/>
      <c r="G2" s="47"/>
      <c r="H2" s="47"/>
      <c r="I2" s="47"/>
      <c r="J2" s="47"/>
      <c r="K2" s="47"/>
      <c r="L2" s="47"/>
      <c r="M2" s="47"/>
      <c r="N2" s="47"/>
      <c r="O2" s="47"/>
      <c r="P2" s="47"/>
      <c r="Q2" s="47"/>
      <c r="R2" s="47"/>
      <c r="V2" s="47"/>
      <c r="W2" s="47"/>
      <c r="X2" s="47"/>
      <c r="Y2" s="47"/>
    </row>
    <row r="3" spans="1:52">
      <c r="A3" s="136"/>
      <c r="B3" s="61" t="s">
        <v>589</v>
      </c>
      <c r="C3" s="50" t="s">
        <v>572</v>
      </c>
      <c r="D3" s="50" t="s">
        <v>572</v>
      </c>
      <c r="E3" s="50" t="s">
        <v>572</v>
      </c>
      <c r="F3" s="61" t="s">
        <v>573</v>
      </c>
      <c r="G3" s="50" t="s">
        <v>573</v>
      </c>
      <c r="H3" s="50" t="s">
        <v>573</v>
      </c>
      <c r="I3" s="50" t="s">
        <v>573</v>
      </c>
      <c r="J3" s="61" t="s">
        <v>575</v>
      </c>
      <c r="K3" s="50" t="s">
        <v>575</v>
      </c>
      <c r="L3" s="50" t="s">
        <v>575</v>
      </c>
      <c r="M3" s="50" t="s">
        <v>575</v>
      </c>
      <c r="N3" s="61" t="s">
        <v>576</v>
      </c>
      <c r="O3" s="50" t="s">
        <v>576</v>
      </c>
      <c r="P3" s="50" t="s">
        <v>576</v>
      </c>
      <c r="Q3" s="50" t="s">
        <v>576</v>
      </c>
      <c r="R3" s="61" t="s">
        <v>577</v>
      </c>
      <c r="S3" s="38" t="s">
        <v>577</v>
      </c>
      <c r="T3" s="38" t="s">
        <v>577</v>
      </c>
      <c r="U3" s="38" t="s">
        <v>577</v>
      </c>
      <c r="V3" s="61" t="s">
        <v>585</v>
      </c>
      <c r="W3" s="38" t="s">
        <v>585</v>
      </c>
      <c r="X3" s="38" t="s">
        <v>585</v>
      </c>
      <c r="Y3" s="38" t="s">
        <v>585</v>
      </c>
      <c r="Z3" s="136"/>
      <c r="AA3" s="136"/>
      <c r="AB3" s="136"/>
      <c r="AC3" s="136"/>
      <c r="AD3" s="136"/>
      <c r="AE3" s="136"/>
      <c r="AF3" s="136"/>
      <c r="AG3" s="136"/>
      <c r="AH3" s="136"/>
      <c r="AI3" s="136"/>
      <c r="AJ3" s="136"/>
      <c r="AK3" s="136"/>
      <c r="AL3" s="136"/>
      <c r="AM3" s="136"/>
      <c r="AN3" s="136"/>
      <c r="AO3" s="136"/>
      <c r="AP3" s="136"/>
      <c r="AQ3" s="136"/>
      <c r="AR3" s="136"/>
      <c r="AS3" s="136"/>
      <c r="AT3" s="136"/>
      <c r="AU3" s="136"/>
      <c r="AV3" s="136"/>
      <c r="AW3" s="136"/>
      <c r="AX3" s="136"/>
      <c r="AY3" s="136"/>
      <c r="AZ3" s="136"/>
    </row>
    <row r="4" spans="1:52">
      <c r="A4" s="16"/>
      <c r="B4" s="31" t="str">
        <f>_xlfn.CONCAT("FY ",rngFY+rngYRS)</f>
        <v>FY 19</v>
      </c>
      <c r="C4" s="51" t="s">
        <v>555</v>
      </c>
      <c r="D4" s="51" t="s">
        <v>555</v>
      </c>
      <c r="E4" s="51" t="s">
        <v>555</v>
      </c>
      <c r="F4" s="31" t="s">
        <v>788</v>
      </c>
      <c r="G4" s="31" t="s">
        <v>789</v>
      </c>
      <c r="H4" s="31" t="s">
        <v>789</v>
      </c>
      <c r="I4" s="31" t="s">
        <v>789</v>
      </c>
      <c r="J4" s="31" t="s">
        <v>788</v>
      </c>
      <c r="K4" s="31" t="s">
        <v>789</v>
      </c>
      <c r="L4" s="31" t="s">
        <v>789</v>
      </c>
      <c r="M4" s="31" t="s">
        <v>789</v>
      </c>
      <c r="N4" s="31" t="s">
        <v>788</v>
      </c>
      <c r="O4" s="31" t="s">
        <v>789</v>
      </c>
      <c r="P4" s="31" t="s">
        <v>789</v>
      </c>
      <c r="Q4" s="31" t="s">
        <v>789</v>
      </c>
      <c r="R4" s="31" t="s">
        <v>788</v>
      </c>
      <c r="S4" s="31" t="s">
        <v>789</v>
      </c>
      <c r="T4" s="31" t="s">
        <v>789</v>
      </c>
      <c r="U4" s="31" t="s">
        <v>789</v>
      </c>
      <c r="V4" s="31" t="s">
        <v>574</v>
      </c>
      <c r="W4" s="31" t="s">
        <v>584</v>
      </c>
      <c r="X4" s="31" t="s">
        <v>584</v>
      </c>
      <c r="Y4" s="31" t="s">
        <v>584</v>
      </c>
    </row>
    <row r="5" spans="1:52">
      <c r="A5" s="17"/>
      <c r="B5" s="31"/>
      <c r="C5" s="51" t="s">
        <v>587</v>
      </c>
      <c r="D5" s="51" t="s">
        <v>586</v>
      </c>
      <c r="E5" s="51" t="s">
        <v>590</v>
      </c>
      <c r="F5" s="31"/>
      <c r="G5" s="51" t="s">
        <v>587</v>
      </c>
      <c r="H5" s="51" t="s">
        <v>586</v>
      </c>
      <c r="I5" s="51" t="s">
        <v>590</v>
      </c>
      <c r="J5" s="31"/>
      <c r="K5" s="51" t="s">
        <v>587</v>
      </c>
      <c r="L5" s="51" t="s">
        <v>586</v>
      </c>
      <c r="M5" s="51" t="s">
        <v>590</v>
      </c>
      <c r="N5" s="31"/>
      <c r="O5" s="51" t="s">
        <v>587</v>
      </c>
      <c r="P5" s="51" t="s">
        <v>586</v>
      </c>
      <c r="Q5" s="51" t="s">
        <v>590</v>
      </c>
      <c r="R5" s="31"/>
      <c r="S5" s="31" t="s">
        <v>587</v>
      </c>
      <c r="T5" s="31" t="s">
        <v>586</v>
      </c>
      <c r="U5" s="31" t="s">
        <v>590</v>
      </c>
      <c r="V5" s="31"/>
      <c r="W5" s="31" t="s">
        <v>587</v>
      </c>
      <c r="X5" s="31" t="s">
        <v>586</v>
      </c>
      <c r="Y5" s="31" t="s">
        <v>590</v>
      </c>
    </row>
    <row r="6" spans="1:52">
      <c r="A6" s="70"/>
      <c r="B6" s="62"/>
      <c r="C6" s="53"/>
      <c r="D6" s="53"/>
      <c r="E6" s="53"/>
      <c r="F6" s="62"/>
      <c r="G6" s="53"/>
      <c r="H6" s="53"/>
      <c r="I6" s="53"/>
      <c r="J6" s="62"/>
      <c r="K6" s="53"/>
      <c r="L6" s="53"/>
      <c r="M6" s="53"/>
      <c r="N6" s="62"/>
      <c r="O6" s="53"/>
      <c r="P6" s="53"/>
      <c r="Q6" s="53"/>
      <c r="R6" s="62"/>
      <c r="S6" s="62"/>
      <c r="T6" s="62"/>
      <c r="U6" s="62"/>
      <c r="V6" s="62"/>
      <c r="W6" s="62"/>
      <c r="X6" s="62"/>
      <c r="Y6" s="62"/>
    </row>
    <row r="7" spans="1:52">
      <c r="A7" s="18" t="s">
        <v>556</v>
      </c>
      <c r="B7" s="63"/>
      <c r="C7" s="58"/>
      <c r="D7" s="58"/>
      <c r="E7" s="58"/>
      <c r="F7" s="63"/>
      <c r="G7" s="58"/>
      <c r="H7" s="58"/>
      <c r="I7" s="58"/>
      <c r="J7" s="63"/>
      <c r="K7" s="58"/>
      <c r="L7" s="58"/>
      <c r="M7" s="58"/>
      <c r="N7" s="63"/>
      <c r="O7" s="58"/>
      <c r="P7" s="58"/>
      <c r="Q7" s="58"/>
      <c r="R7" s="63"/>
      <c r="S7" s="63"/>
      <c r="T7" s="63"/>
      <c r="U7" s="63"/>
      <c r="V7" s="63"/>
      <c r="W7" s="63"/>
      <c r="X7" s="63"/>
      <c r="Y7" s="63"/>
    </row>
    <row r="8" spans="1:52">
      <c r="A8" s="40" t="s">
        <v>557</v>
      </c>
      <c r="B8" s="39">
        <v>-1060</v>
      </c>
      <c r="C8" s="54">
        <v>-1057</v>
      </c>
      <c r="D8" s="89">
        <v>-1057</v>
      </c>
      <c r="E8" s="86">
        <v>-1056</v>
      </c>
      <c r="F8" s="72">
        <v>-528.32805000000008</v>
      </c>
      <c r="G8" s="54">
        <v>-528</v>
      </c>
      <c r="H8" s="89">
        <v>-529</v>
      </c>
      <c r="I8" s="86">
        <v>-528</v>
      </c>
      <c r="J8" s="72">
        <v>0</v>
      </c>
      <c r="K8" s="54">
        <v>0</v>
      </c>
      <c r="L8" s="89">
        <v>0</v>
      </c>
      <c r="M8" s="86">
        <v>0</v>
      </c>
      <c r="N8" s="72">
        <v>-528.32805000000008</v>
      </c>
      <c r="O8" s="54">
        <v>-529</v>
      </c>
      <c r="P8" s="89">
        <v>-528</v>
      </c>
      <c r="Q8" s="86">
        <v>-528</v>
      </c>
      <c r="R8" s="72">
        <v>0</v>
      </c>
      <c r="S8" s="22">
        <v>0</v>
      </c>
      <c r="T8" s="82">
        <v>0</v>
      </c>
      <c r="U8" s="78">
        <v>0</v>
      </c>
      <c r="V8" s="39">
        <v>-1056.6561000000002</v>
      </c>
      <c r="W8" s="22">
        <f t="shared" ref="W8:Y11" si="0">SUM(G8,K8,O8,S8)</f>
        <v>-1057</v>
      </c>
      <c r="X8" s="82">
        <f t="shared" si="0"/>
        <v>-1057</v>
      </c>
      <c r="Y8" s="78">
        <f t="shared" si="0"/>
        <v>-1056</v>
      </c>
    </row>
    <row r="9" spans="1:52">
      <c r="A9" s="41" t="s">
        <v>558</v>
      </c>
      <c r="B9" s="39">
        <v>0</v>
      </c>
      <c r="C9" s="55">
        <v>0</v>
      </c>
      <c r="D9" s="90">
        <v>0</v>
      </c>
      <c r="E9" s="87">
        <v>0</v>
      </c>
      <c r="F9" s="72">
        <v>0</v>
      </c>
      <c r="G9" s="55">
        <v>0</v>
      </c>
      <c r="H9" s="90">
        <v>0</v>
      </c>
      <c r="I9" s="87">
        <v>0</v>
      </c>
      <c r="J9" s="72">
        <v>0</v>
      </c>
      <c r="K9" s="55">
        <v>0</v>
      </c>
      <c r="L9" s="90">
        <v>0</v>
      </c>
      <c r="M9" s="87">
        <v>0</v>
      </c>
      <c r="N9" s="72">
        <v>0</v>
      </c>
      <c r="O9" s="55">
        <v>0</v>
      </c>
      <c r="P9" s="90">
        <v>0</v>
      </c>
      <c r="Q9" s="87">
        <v>0</v>
      </c>
      <c r="R9" s="72">
        <v>0</v>
      </c>
      <c r="S9" s="33">
        <v>0</v>
      </c>
      <c r="T9" s="83">
        <v>0</v>
      </c>
      <c r="U9" s="79">
        <v>0</v>
      </c>
      <c r="V9" s="39">
        <v>0</v>
      </c>
      <c r="W9" s="33">
        <f t="shared" si="0"/>
        <v>0</v>
      </c>
      <c r="X9" s="83">
        <f t="shared" si="0"/>
        <v>0</v>
      </c>
      <c r="Y9" s="79">
        <f t="shared" si="0"/>
        <v>0</v>
      </c>
    </row>
    <row r="10" spans="1:52">
      <c r="A10" s="41" t="s">
        <v>212</v>
      </c>
      <c r="B10" s="39">
        <v>0</v>
      </c>
      <c r="C10" s="55">
        <v>0</v>
      </c>
      <c r="D10" s="90">
        <v>0</v>
      </c>
      <c r="E10" s="87">
        <v>0</v>
      </c>
      <c r="F10" s="72">
        <v>0</v>
      </c>
      <c r="G10" s="55">
        <v>0</v>
      </c>
      <c r="H10" s="90">
        <v>0</v>
      </c>
      <c r="I10" s="87">
        <v>0</v>
      </c>
      <c r="J10" s="72">
        <v>0</v>
      </c>
      <c r="K10" s="55">
        <v>0</v>
      </c>
      <c r="L10" s="90">
        <v>0</v>
      </c>
      <c r="M10" s="87">
        <v>0</v>
      </c>
      <c r="N10" s="72">
        <v>0</v>
      </c>
      <c r="O10" s="55">
        <v>0</v>
      </c>
      <c r="P10" s="90">
        <v>0</v>
      </c>
      <c r="Q10" s="87">
        <v>0</v>
      </c>
      <c r="R10" s="72">
        <v>0</v>
      </c>
      <c r="S10" s="33">
        <v>0</v>
      </c>
      <c r="T10" s="83">
        <v>0</v>
      </c>
      <c r="U10" s="79">
        <v>0</v>
      </c>
      <c r="V10" s="39">
        <v>0</v>
      </c>
      <c r="W10" s="33">
        <f t="shared" si="0"/>
        <v>0</v>
      </c>
      <c r="X10" s="83">
        <f t="shared" si="0"/>
        <v>0</v>
      </c>
      <c r="Y10" s="79">
        <f t="shared" si="0"/>
        <v>0</v>
      </c>
    </row>
    <row r="11" spans="1:52">
      <c r="A11" s="42" t="s">
        <v>210</v>
      </c>
      <c r="B11" s="64">
        <v>0</v>
      </c>
      <c r="C11" s="55">
        <v>0</v>
      </c>
      <c r="D11" s="90">
        <v>0</v>
      </c>
      <c r="E11" s="87">
        <v>0</v>
      </c>
      <c r="F11" s="73">
        <v>0</v>
      </c>
      <c r="G11" s="55">
        <v>0</v>
      </c>
      <c r="H11" s="90">
        <v>0</v>
      </c>
      <c r="I11" s="87">
        <v>0</v>
      </c>
      <c r="J11" s="73">
        <v>0</v>
      </c>
      <c r="K11" s="55">
        <v>0</v>
      </c>
      <c r="L11" s="90">
        <v>0</v>
      </c>
      <c r="M11" s="87">
        <v>0</v>
      </c>
      <c r="N11" s="73">
        <v>-871.38128610000001</v>
      </c>
      <c r="O11" s="55">
        <v>0</v>
      </c>
      <c r="P11" s="90">
        <v>0</v>
      </c>
      <c r="Q11" s="87">
        <v>-2614.17</v>
      </c>
      <c r="R11" s="73">
        <v>-983.07683580000003</v>
      </c>
      <c r="S11" s="33">
        <v>0</v>
      </c>
      <c r="T11" s="83">
        <v>-2481.81</v>
      </c>
      <c r="U11" s="79">
        <v>-467.45</v>
      </c>
      <c r="V11" s="64">
        <v>-1854.4581219000002</v>
      </c>
      <c r="W11" s="33">
        <f t="shared" si="0"/>
        <v>0</v>
      </c>
      <c r="X11" s="83">
        <f t="shared" si="0"/>
        <v>-2481.81</v>
      </c>
      <c r="Y11" s="79">
        <f t="shared" si="0"/>
        <v>-3081.62</v>
      </c>
    </row>
    <row r="12" spans="1:52" ht="16.2" thickBot="1">
      <c r="A12" s="43" t="s">
        <v>559</v>
      </c>
      <c r="B12" s="34">
        <f>SUM(B8:B11)</f>
        <v>-1060</v>
      </c>
      <c r="C12" s="52">
        <f t="shared" ref="C12:U12" si="1">SUM(C8:C11)</f>
        <v>-1057</v>
      </c>
      <c r="D12" s="52">
        <f t="shared" si="1"/>
        <v>-1057</v>
      </c>
      <c r="E12" s="52">
        <f t="shared" si="1"/>
        <v>-1056</v>
      </c>
      <c r="F12" s="34">
        <f t="shared" si="1"/>
        <v>-528.32805000000008</v>
      </c>
      <c r="G12" s="52">
        <f t="shared" si="1"/>
        <v>-528</v>
      </c>
      <c r="H12" s="52">
        <f t="shared" si="1"/>
        <v>-529</v>
      </c>
      <c r="I12" s="52">
        <f t="shared" si="1"/>
        <v>-528</v>
      </c>
      <c r="J12" s="34">
        <f t="shared" si="1"/>
        <v>0</v>
      </c>
      <c r="K12" s="52">
        <f t="shared" si="1"/>
        <v>0</v>
      </c>
      <c r="L12" s="52">
        <f t="shared" si="1"/>
        <v>0</v>
      </c>
      <c r="M12" s="52">
        <f t="shared" si="1"/>
        <v>0</v>
      </c>
      <c r="N12" s="34">
        <f t="shared" si="1"/>
        <v>-1399.7093361000002</v>
      </c>
      <c r="O12" s="52">
        <f t="shared" si="1"/>
        <v>-529</v>
      </c>
      <c r="P12" s="52">
        <f t="shared" si="1"/>
        <v>-528</v>
      </c>
      <c r="Q12" s="52">
        <f t="shared" si="1"/>
        <v>-3142.17</v>
      </c>
      <c r="R12" s="34">
        <f t="shared" si="1"/>
        <v>-983.07683580000003</v>
      </c>
      <c r="S12" s="34">
        <f t="shared" si="1"/>
        <v>0</v>
      </c>
      <c r="T12" s="34">
        <f t="shared" si="1"/>
        <v>-2481.81</v>
      </c>
      <c r="U12" s="34">
        <f t="shared" si="1"/>
        <v>-467.45</v>
      </c>
      <c r="V12" s="34">
        <f>SUM(V8:V11)</f>
        <v>-2911.1142219000003</v>
      </c>
      <c r="W12" s="34">
        <f t="shared" ref="W12:Y12" si="2">SUM(W8:W11)</f>
        <v>-1057</v>
      </c>
      <c r="X12" s="34">
        <f t="shared" si="2"/>
        <v>-3538.81</v>
      </c>
      <c r="Y12" s="34">
        <f t="shared" si="2"/>
        <v>-4137.62</v>
      </c>
    </row>
    <row r="13" spans="1:52" ht="15" thickTop="1">
      <c r="A13" s="67"/>
      <c r="B13" s="67"/>
      <c r="C13" s="67"/>
      <c r="D13" s="67"/>
      <c r="E13" s="67"/>
      <c r="F13" s="67"/>
      <c r="G13" s="67"/>
      <c r="H13" s="67"/>
      <c r="I13" s="67"/>
      <c r="J13" s="67"/>
      <c r="K13" s="67"/>
      <c r="L13" s="67"/>
      <c r="M13" s="67"/>
      <c r="N13" s="67"/>
      <c r="O13" s="67"/>
      <c r="P13" s="67"/>
      <c r="Q13" s="67"/>
      <c r="R13" s="67"/>
      <c r="S13" s="67"/>
      <c r="T13" s="67"/>
      <c r="U13" s="67"/>
      <c r="V13" s="67"/>
      <c r="W13" s="67"/>
      <c r="X13" s="67"/>
      <c r="Y13" s="67"/>
    </row>
    <row r="14" spans="1:52">
      <c r="A14" s="18" t="s">
        <v>560</v>
      </c>
      <c r="B14" s="20"/>
      <c r="C14" s="20"/>
      <c r="D14" s="20"/>
      <c r="E14" s="20"/>
      <c r="F14" s="20"/>
      <c r="G14" s="20"/>
      <c r="H14" s="20"/>
      <c r="I14" s="20"/>
      <c r="J14" s="20"/>
      <c r="K14" s="20"/>
      <c r="L14" s="20"/>
      <c r="M14" s="20"/>
      <c r="N14" s="20"/>
      <c r="O14" s="20"/>
      <c r="P14" s="20"/>
      <c r="Q14" s="20"/>
      <c r="R14" s="20"/>
      <c r="S14" s="20"/>
      <c r="T14" s="20"/>
      <c r="U14" s="20"/>
      <c r="V14" s="20"/>
      <c r="W14" s="20"/>
      <c r="X14" s="20"/>
      <c r="Y14" s="20"/>
    </row>
    <row r="15" spans="1:52">
      <c r="A15" s="40" t="s">
        <v>188</v>
      </c>
      <c r="B15" s="65">
        <v>0</v>
      </c>
      <c r="C15" s="54">
        <v>0</v>
      </c>
      <c r="D15" s="89">
        <v>0</v>
      </c>
      <c r="E15" s="86">
        <v>0</v>
      </c>
      <c r="F15" s="72">
        <v>0</v>
      </c>
      <c r="G15" s="54">
        <v>0</v>
      </c>
      <c r="H15" s="89">
        <v>0</v>
      </c>
      <c r="I15" s="86">
        <v>0</v>
      </c>
      <c r="J15" s="72">
        <v>0</v>
      </c>
      <c r="K15" s="54">
        <v>0</v>
      </c>
      <c r="L15" s="89">
        <v>0</v>
      </c>
      <c r="M15" s="86">
        <v>0</v>
      </c>
      <c r="N15" s="72">
        <v>0</v>
      </c>
      <c r="O15" s="54">
        <v>0</v>
      </c>
      <c r="P15" s="89">
        <v>0</v>
      </c>
      <c r="Q15" s="86">
        <v>0</v>
      </c>
      <c r="R15" s="72">
        <v>0</v>
      </c>
      <c r="S15" s="32">
        <v>0</v>
      </c>
      <c r="T15" s="84">
        <v>0</v>
      </c>
      <c r="U15" s="80">
        <v>0</v>
      </c>
      <c r="V15" s="65">
        <v>0</v>
      </c>
      <c r="W15" s="32">
        <f t="shared" ref="W15:Y20" si="3">SUM(G15,K15,O15,S15)</f>
        <v>0</v>
      </c>
      <c r="X15" s="84">
        <f t="shared" si="3"/>
        <v>0</v>
      </c>
      <c r="Y15" s="80">
        <f t="shared" si="3"/>
        <v>0</v>
      </c>
    </row>
    <row r="16" spans="1:52">
      <c r="A16" s="41" t="s">
        <v>181</v>
      </c>
      <c r="B16" s="39">
        <v>0</v>
      </c>
      <c r="C16" s="54">
        <v>0</v>
      </c>
      <c r="D16" s="89">
        <v>0</v>
      </c>
      <c r="E16" s="86">
        <v>0</v>
      </c>
      <c r="F16" s="72">
        <v>0</v>
      </c>
      <c r="G16" s="54">
        <v>0</v>
      </c>
      <c r="H16" s="89">
        <v>0</v>
      </c>
      <c r="I16" s="86">
        <v>0</v>
      </c>
      <c r="J16" s="72">
        <v>0</v>
      </c>
      <c r="K16" s="54">
        <v>0</v>
      </c>
      <c r="L16" s="89">
        <v>0</v>
      </c>
      <c r="M16" s="86">
        <v>0</v>
      </c>
      <c r="N16" s="72">
        <v>0</v>
      </c>
      <c r="O16" s="54">
        <v>0</v>
      </c>
      <c r="P16" s="89">
        <v>0</v>
      </c>
      <c r="Q16" s="86">
        <v>0</v>
      </c>
      <c r="R16" s="72">
        <v>0</v>
      </c>
      <c r="S16" s="22">
        <v>0</v>
      </c>
      <c r="T16" s="82">
        <v>0</v>
      </c>
      <c r="U16" s="78">
        <v>0</v>
      </c>
      <c r="V16" s="39">
        <v>0</v>
      </c>
      <c r="W16" s="22">
        <f t="shared" si="3"/>
        <v>0</v>
      </c>
      <c r="X16" s="82">
        <f t="shared" si="3"/>
        <v>0</v>
      </c>
      <c r="Y16" s="78">
        <f t="shared" si="3"/>
        <v>0</v>
      </c>
    </row>
    <row r="17" spans="1:25">
      <c r="A17" s="92" t="s">
        <v>174</v>
      </c>
      <c r="B17" s="93">
        <v>0</v>
      </c>
      <c r="C17" s="94">
        <v>0</v>
      </c>
      <c r="D17" s="100">
        <v>0</v>
      </c>
      <c r="E17" s="99">
        <v>0</v>
      </c>
      <c r="F17" s="95">
        <v>0</v>
      </c>
      <c r="G17" s="94">
        <v>0</v>
      </c>
      <c r="H17" s="100">
        <v>0</v>
      </c>
      <c r="I17" s="99">
        <v>0</v>
      </c>
      <c r="J17" s="95">
        <v>0</v>
      </c>
      <c r="K17" s="94">
        <v>0</v>
      </c>
      <c r="L17" s="100">
        <v>0</v>
      </c>
      <c r="M17" s="99">
        <v>0</v>
      </c>
      <c r="N17" s="95">
        <v>0</v>
      </c>
      <c r="O17" s="94">
        <v>0</v>
      </c>
      <c r="P17" s="100">
        <v>0</v>
      </c>
      <c r="Q17" s="99">
        <v>0</v>
      </c>
      <c r="R17" s="95">
        <v>0</v>
      </c>
      <c r="S17" s="96">
        <v>0</v>
      </c>
      <c r="T17" s="98">
        <v>0</v>
      </c>
      <c r="U17" s="97">
        <v>0</v>
      </c>
      <c r="V17" s="93">
        <v>0</v>
      </c>
      <c r="W17" s="96">
        <f t="shared" si="3"/>
        <v>0</v>
      </c>
      <c r="X17" s="98">
        <f t="shared" si="3"/>
        <v>0</v>
      </c>
      <c r="Y17" s="97">
        <f t="shared" si="3"/>
        <v>0</v>
      </c>
    </row>
    <row r="18" spans="1:25">
      <c r="A18" s="41" t="s">
        <v>146</v>
      </c>
      <c r="B18" s="39">
        <v>0</v>
      </c>
      <c r="C18" s="54">
        <v>0</v>
      </c>
      <c r="D18" s="89">
        <v>0</v>
      </c>
      <c r="E18" s="86">
        <v>0</v>
      </c>
      <c r="F18" s="72">
        <v>0</v>
      </c>
      <c r="G18" s="54">
        <v>0</v>
      </c>
      <c r="H18" s="89">
        <v>0</v>
      </c>
      <c r="I18" s="86">
        <v>0</v>
      </c>
      <c r="J18" s="72">
        <v>0</v>
      </c>
      <c r="K18" s="54">
        <v>0</v>
      </c>
      <c r="L18" s="89">
        <v>0</v>
      </c>
      <c r="M18" s="86">
        <v>0</v>
      </c>
      <c r="N18" s="72">
        <v>0</v>
      </c>
      <c r="O18" s="54">
        <v>0</v>
      </c>
      <c r="P18" s="89">
        <v>0</v>
      </c>
      <c r="Q18" s="86">
        <v>0</v>
      </c>
      <c r="R18" s="72">
        <v>0</v>
      </c>
      <c r="S18" s="22">
        <v>0</v>
      </c>
      <c r="T18" s="82">
        <v>0</v>
      </c>
      <c r="U18" s="78">
        <v>0</v>
      </c>
      <c r="V18" s="39">
        <v>0</v>
      </c>
      <c r="W18" s="22">
        <f t="shared" si="3"/>
        <v>0</v>
      </c>
      <c r="X18" s="82">
        <f t="shared" si="3"/>
        <v>0</v>
      </c>
      <c r="Y18" s="78">
        <f t="shared" si="3"/>
        <v>0</v>
      </c>
    </row>
    <row r="19" spans="1:25">
      <c r="A19" s="41" t="s">
        <v>139</v>
      </c>
      <c r="B19" s="39">
        <v>0</v>
      </c>
      <c r="C19" s="54">
        <v>0</v>
      </c>
      <c r="D19" s="89">
        <v>0</v>
      </c>
      <c r="E19" s="86">
        <v>0</v>
      </c>
      <c r="F19" s="72">
        <v>0</v>
      </c>
      <c r="G19" s="54">
        <v>0</v>
      </c>
      <c r="H19" s="89">
        <v>0</v>
      </c>
      <c r="I19" s="86">
        <v>0</v>
      </c>
      <c r="J19" s="72">
        <v>0</v>
      </c>
      <c r="K19" s="54">
        <v>0</v>
      </c>
      <c r="L19" s="89">
        <v>0</v>
      </c>
      <c r="M19" s="86">
        <v>0</v>
      </c>
      <c r="N19" s="72">
        <v>0</v>
      </c>
      <c r="O19" s="54">
        <v>0</v>
      </c>
      <c r="P19" s="89">
        <v>0</v>
      </c>
      <c r="Q19" s="86">
        <v>0</v>
      </c>
      <c r="R19" s="72">
        <v>0</v>
      </c>
      <c r="S19" s="22">
        <v>0</v>
      </c>
      <c r="T19" s="82">
        <v>0</v>
      </c>
      <c r="U19" s="78">
        <v>0</v>
      </c>
      <c r="V19" s="39">
        <v>0</v>
      </c>
      <c r="W19" s="22">
        <f t="shared" si="3"/>
        <v>0</v>
      </c>
      <c r="X19" s="82">
        <f t="shared" si="3"/>
        <v>0</v>
      </c>
      <c r="Y19" s="78">
        <f t="shared" si="3"/>
        <v>0</v>
      </c>
    </row>
    <row r="20" spans="1:25">
      <c r="A20" s="42" t="s">
        <v>129</v>
      </c>
      <c r="B20" s="64">
        <v>0</v>
      </c>
      <c r="C20" s="59">
        <v>0</v>
      </c>
      <c r="D20" s="91">
        <v>0</v>
      </c>
      <c r="E20" s="88">
        <v>0</v>
      </c>
      <c r="F20" s="73">
        <v>0</v>
      </c>
      <c r="G20" s="59">
        <v>0</v>
      </c>
      <c r="H20" s="91">
        <v>0</v>
      </c>
      <c r="I20" s="88">
        <v>0</v>
      </c>
      <c r="J20" s="73">
        <v>0</v>
      </c>
      <c r="K20" s="59">
        <v>0</v>
      </c>
      <c r="L20" s="91">
        <v>0</v>
      </c>
      <c r="M20" s="88">
        <v>0</v>
      </c>
      <c r="N20" s="73">
        <v>0</v>
      </c>
      <c r="O20" s="59">
        <v>0</v>
      </c>
      <c r="P20" s="91">
        <v>0</v>
      </c>
      <c r="Q20" s="88">
        <v>0</v>
      </c>
      <c r="R20" s="73">
        <v>0</v>
      </c>
      <c r="S20" s="35">
        <v>0</v>
      </c>
      <c r="T20" s="85">
        <v>0</v>
      </c>
      <c r="U20" s="81">
        <v>0</v>
      </c>
      <c r="V20" s="64">
        <v>0</v>
      </c>
      <c r="W20" s="35">
        <f t="shared" si="3"/>
        <v>0</v>
      </c>
      <c r="X20" s="85">
        <f t="shared" si="3"/>
        <v>0</v>
      </c>
      <c r="Y20" s="81">
        <f t="shared" si="3"/>
        <v>0</v>
      </c>
    </row>
    <row r="21" spans="1:25">
      <c r="A21" s="23" t="s">
        <v>561</v>
      </c>
      <c r="B21" s="27">
        <f t="shared" ref="B21:Y21" si="4">SUM(B15:B20)</f>
        <v>0</v>
      </c>
      <c r="C21" s="60">
        <f t="shared" si="4"/>
        <v>0</v>
      </c>
      <c r="D21" s="60">
        <f t="shared" si="4"/>
        <v>0</v>
      </c>
      <c r="E21" s="60">
        <f t="shared" si="4"/>
        <v>0</v>
      </c>
      <c r="F21" s="27">
        <f t="shared" si="4"/>
        <v>0</v>
      </c>
      <c r="G21" s="56">
        <f t="shared" si="4"/>
        <v>0</v>
      </c>
      <c r="H21" s="56">
        <f t="shared" si="4"/>
        <v>0</v>
      </c>
      <c r="I21" s="56">
        <f t="shared" si="4"/>
        <v>0</v>
      </c>
      <c r="J21" s="27">
        <f t="shared" si="4"/>
        <v>0</v>
      </c>
      <c r="K21" s="60">
        <f t="shared" si="4"/>
        <v>0</v>
      </c>
      <c r="L21" s="60">
        <f t="shared" si="4"/>
        <v>0</v>
      </c>
      <c r="M21" s="60">
        <f t="shared" si="4"/>
        <v>0</v>
      </c>
      <c r="N21" s="27">
        <f t="shared" si="4"/>
        <v>0</v>
      </c>
      <c r="O21" s="60">
        <f t="shared" si="4"/>
        <v>0</v>
      </c>
      <c r="P21" s="60">
        <f t="shared" si="4"/>
        <v>0</v>
      </c>
      <c r="Q21" s="60">
        <f t="shared" si="4"/>
        <v>0</v>
      </c>
      <c r="R21" s="27">
        <f t="shared" si="4"/>
        <v>0</v>
      </c>
      <c r="S21" s="36">
        <f t="shared" si="4"/>
        <v>0</v>
      </c>
      <c r="T21" s="36">
        <f t="shared" si="4"/>
        <v>0</v>
      </c>
      <c r="U21" s="36">
        <f t="shared" si="4"/>
        <v>0</v>
      </c>
      <c r="V21" s="27">
        <f t="shared" si="4"/>
        <v>0</v>
      </c>
      <c r="W21" s="36">
        <f t="shared" si="4"/>
        <v>0</v>
      </c>
      <c r="X21" s="36">
        <f t="shared" si="4"/>
        <v>0</v>
      </c>
      <c r="Y21" s="36">
        <f t="shared" si="4"/>
        <v>0</v>
      </c>
    </row>
    <row r="22" spans="1:25">
      <c r="A22" s="24" t="s">
        <v>562</v>
      </c>
      <c r="B22" s="25"/>
      <c r="C22" s="25"/>
      <c r="D22" s="25"/>
      <c r="E22" s="25"/>
      <c r="F22" s="25"/>
      <c r="G22" s="25"/>
      <c r="H22" s="25"/>
      <c r="I22" s="25"/>
      <c r="J22" s="25"/>
      <c r="K22" s="25"/>
      <c r="L22" s="25"/>
      <c r="M22" s="25"/>
      <c r="N22" s="25"/>
      <c r="O22" s="25"/>
      <c r="P22" s="25"/>
      <c r="Q22" s="25"/>
      <c r="R22" s="25"/>
      <c r="S22" s="25"/>
      <c r="T22" s="25"/>
      <c r="U22" s="25"/>
      <c r="V22" s="25"/>
      <c r="W22" s="25"/>
      <c r="X22" s="25"/>
      <c r="Y22" s="25"/>
    </row>
    <row r="23" spans="1:25">
      <c r="A23" s="40" t="s">
        <v>127</v>
      </c>
      <c r="B23" s="65">
        <v>992</v>
      </c>
      <c r="C23" s="54">
        <v>992</v>
      </c>
      <c r="D23" s="89">
        <v>992</v>
      </c>
      <c r="E23" s="86">
        <v>992</v>
      </c>
      <c r="F23" s="72">
        <v>0</v>
      </c>
      <c r="G23" s="54">
        <v>0</v>
      </c>
      <c r="H23" s="89">
        <v>0</v>
      </c>
      <c r="I23" s="86">
        <v>0</v>
      </c>
      <c r="J23" s="72">
        <v>0</v>
      </c>
      <c r="K23" s="54">
        <v>0</v>
      </c>
      <c r="L23" s="89">
        <v>0</v>
      </c>
      <c r="M23" s="86">
        <v>0</v>
      </c>
      <c r="N23" s="72">
        <v>0</v>
      </c>
      <c r="O23" s="54">
        <v>0</v>
      </c>
      <c r="P23" s="89">
        <v>0</v>
      </c>
      <c r="Q23" s="86">
        <v>0</v>
      </c>
      <c r="R23" s="72">
        <v>0</v>
      </c>
      <c r="S23" s="32">
        <v>0</v>
      </c>
      <c r="T23" s="84">
        <v>0</v>
      </c>
      <c r="U23" s="80">
        <v>0</v>
      </c>
      <c r="V23" s="65">
        <v>0</v>
      </c>
      <c r="W23" s="32">
        <f t="shared" ref="W23:Y29" si="5">SUM(G23,K23,O23,S23)</f>
        <v>0</v>
      </c>
      <c r="X23" s="84">
        <f t="shared" si="5"/>
        <v>0</v>
      </c>
      <c r="Y23" s="80">
        <f t="shared" si="5"/>
        <v>0</v>
      </c>
    </row>
    <row r="24" spans="1:25">
      <c r="A24" s="41" t="s">
        <v>120</v>
      </c>
      <c r="B24" s="39">
        <v>0</v>
      </c>
      <c r="C24" s="54">
        <v>0</v>
      </c>
      <c r="D24" s="89">
        <v>0</v>
      </c>
      <c r="E24" s="86">
        <v>0</v>
      </c>
      <c r="F24" s="72">
        <v>0</v>
      </c>
      <c r="G24" s="54">
        <v>0</v>
      </c>
      <c r="H24" s="89">
        <v>0</v>
      </c>
      <c r="I24" s="86">
        <v>0</v>
      </c>
      <c r="J24" s="72">
        <v>0</v>
      </c>
      <c r="K24" s="54">
        <v>0</v>
      </c>
      <c r="L24" s="89">
        <v>0</v>
      </c>
      <c r="M24" s="86">
        <v>0</v>
      </c>
      <c r="N24" s="72">
        <v>0</v>
      </c>
      <c r="O24" s="54">
        <v>0</v>
      </c>
      <c r="P24" s="89">
        <v>0</v>
      </c>
      <c r="Q24" s="86">
        <v>0</v>
      </c>
      <c r="R24" s="72">
        <v>0</v>
      </c>
      <c r="S24" s="22">
        <v>0</v>
      </c>
      <c r="T24" s="82">
        <v>0</v>
      </c>
      <c r="U24" s="78">
        <v>0</v>
      </c>
      <c r="V24" s="39">
        <v>0</v>
      </c>
      <c r="W24" s="22">
        <f t="shared" si="5"/>
        <v>0</v>
      </c>
      <c r="X24" s="82">
        <f t="shared" si="5"/>
        <v>0</v>
      </c>
      <c r="Y24" s="78">
        <f t="shared" si="5"/>
        <v>0</v>
      </c>
    </row>
    <row r="25" spans="1:25">
      <c r="A25" s="41" t="s">
        <v>107</v>
      </c>
      <c r="B25" s="39">
        <v>0</v>
      </c>
      <c r="C25" s="54">
        <v>0</v>
      </c>
      <c r="D25" s="89">
        <v>0</v>
      </c>
      <c r="E25" s="86">
        <v>0</v>
      </c>
      <c r="F25" s="72">
        <v>674.49658829999998</v>
      </c>
      <c r="G25" s="54">
        <v>0</v>
      </c>
      <c r="H25" s="89">
        <v>2023.51</v>
      </c>
      <c r="I25" s="86">
        <v>0</v>
      </c>
      <c r="J25" s="72">
        <v>0</v>
      </c>
      <c r="K25" s="54">
        <v>0</v>
      </c>
      <c r="L25" s="89">
        <v>0</v>
      </c>
      <c r="M25" s="86">
        <v>0</v>
      </c>
      <c r="N25" s="72">
        <v>0</v>
      </c>
      <c r="O25" s="54">
        <v>0</v>
      </c>
      <c r="P25" s="89">
        <v>0</v>
      </c>
      <c r="Q25" s="86">
        <v>0</v>
      </c>
      <c r="R25" s="72">
        <v>14.99985</v>
      </c>
      <c r="S25" s="22">
        <v>45</v>
      </c>
      <c r="T25" s="82">
        <v>0</v>
      </c>
      <c r="U25" s="78">
        <v>0</v>
      </c>
      <c r="V25" s="39">
        <v>689.49643830000002</v>
      </c>
      <c r="W25" s="22">
        <f t="shared" si="5"/>
        <v>45</v>
      </c>
      <c r="X25" s="82">
        <f t="shared" si="5"/>
        <v>2023.51</v>
      </c>
      <c r="Y25" s="78">
        <f t="shared" si="5"/>
        <v>0</v>
      </c>
    </row>
    <row r="26" spans="1:25">
      <c r="A26" s="41" t="s">
        <v>104</v>
      </c>
      <c r="B26" s="39">
        <v>0</v>
      </c>
      <c r="C26" s="54">
        <v>0</v>
      </c>
      <c r="D26" s="89">
        <v>0</v>
      </c>
      <c r="E26" s="86">
        <v>0</v>
      </c>
      <c r="F26" s="72">
        <v>0</v>
      </c>
      <c r="G26" s="54">
        <v>0</v>
      </c>
      <c r="H26" s="89">
        <v>0</v>
      </c>
      <c r="I26" s="86">
        <v>0</v>
      </c>
      <c r="J26" s="72">
        <v>59.999400000000001</v>
      </c>
      <c r="K26" s="54">
        <v>0</v>
      </c>
      <c r="L26" s="89">
        <v>0</v>
      </c>
      <c r="M26" s="86">
        <v>180</v>
      </c>
      <c r="N26" s="72">
        <v>699.99300000000005</v>
      </c>
      <c r="O26" s="54">
        <v>0</v>
      </c>
      <c r="P26" s="89">
        <v>0</v>
      </c>
      <c r="Q26" s="86">
        <v>2100</v>
      </c>
      <c r="R26" s="72">
        <v>716.87949780000008</v>
      </c>
      <c r="S26" s="22">
        <v>0</v>
      </c>
      <c r="T26" s="82">
        <v>1066.45</v>
      </c>
      <c r="U26" s="78">
        <v>1084.21</v>
      </c>
      <c r="V26" s="39">
        <v>1476.8718978000002</v>
      </c>
      <c r="W26" s="22">
        <f t="shared" si="5"/>
        <v>0</v>
      </c>
      <c r="X26" s="82">
        <f t="shared" si="5"/>
        <v>1066.45</v>
      </c>
      <c r="Y26" s="78">
        <f t="shared" si="5"/>
        <v>3364.21</v>
      </c>
    </row>
    <row r="27" spans="1:25">
      <c r="A27" s="41" t="s">
        <v>102</v>
      </c>
      <c r="B27" s="39">
        <v>0</v>
      </c>
      <c r="C27" s="54">
        <v>0</v>
      </c>
      <c r="D27" s="89">
        <v>0</v>
      </c>
      <c r="E27" s="86">
        <v>0</v>
      </c>
      <c r="F27" s="72">
        <v>0</v>
      </c>
      <c r="G27" s="54">
        <v>0</v>
      </c>
      <c r="H27" s="89">
        <v>0</v>
      </c>
      <c r="I27" s="86">
        <v>0</v>
      </c>
      <c r="J27" s="72">
        <v>0</v>
      </c>
      <c r="K27" s="54">
        <v>0</v>
      </c>
      <c r="L27" s="89">
        <v>0</v>
      </c>
      <c r="M27" s="86">
        <v>0</v>
      </c>
      <c r="N27" s="72">
        <v>0</v>
      </c>
      <c r="O27" s="54">
        <v>0</v>
      </c>
      <c r="P27" s="89">
        <v>0</v>
      </c>
      <c r="Q27" s="86">
        <v>0</v>
      </c>
      <c r="R27" s="72">
        <v>49.592837400000001</v>
      </c>
      <c r="S27" s="22">
        <v>0</v>
      </c>
      <c r="T27" s="82">
        <v>58.78</v>
      </c>
      <c r="U27" s="78">
        <v>90</v>
      </c>
      <c r="V27" s="39">
        <v>49.592837400000001</v>
      </c>
      <c r="W27" s="22">
        <f t="shared" si="5"/>
        <v>0</v>
      </c>
      <c r="X27" s="82">
        <f t="shared" si="5"/>
        <v>58.78</v>
      </c>
      <c r="Y27" s="78">
        <f t="shared" si="5"/>
        <v>90</v>
      </c>
    </row>
    <row r="28" spans="1:25">
      <c r="A28" s="41" t="s">
        <v>98</v>
      </c>
      <c r="B28" s="39">
        <v>0</v>
      </c>
      <c r="C28" s="54">
        <v>0</v>
      </c>
      <c r="D28" s="89">
        <v>0</v>
      </c>
      <c r="E28" s="86">
        <v>0</v>
      </c>
      <c r="F28" s="72">
        <v>0</v>
      </c>
      <c r="G28" s="54">
        <v>0</v>
      </c>
      <c r="H28" s="89">
        <v>0</v>
      </c>
      <c r="I28" s="86">
        <v>0</v>
      </c>
      <c r="J28" s="72">
        <v>18.0098199</v>
      </c>
      <c r="K28" s="54">
        <v>54.03</v>
      </c>
      <c r="L28" s="89">
        <v>0</v>
      </c>
      <c r="M28" s="86">
        <v>0</v>
      </c>
      <c r="N28" s="72">
        <v>46.779532200000006</v>
      </c>
      <c r="O28" s="54">
        <v>140.34</v>
      </c>
      <c r="P28" s="89">
        <v>0</v>
      </c>
      <c r="Q28" s="86">
        <v>0</v>
      </c>
      <c r="R28" s="72">
        <v>154.43512229999999</v>
      </c>
      <c r="S28" s="22">
        <v>329.21</v>
      </c>
      <c r="T28" s="82">
        <v>53.83</v>
      </c>
      <c r="U28" s="78">
        <v>80.27</v>
      </c>
      <c r="V28" s="39">
        <v>219.22447439999999</v>
      </c>
      <c r="W28" s="22">
        <f t="shared" si="5"/>
        <v>523.57999999999993</v>
      </c>
      <c r="X28" s="82">
        <f t="shared" si="5"/>
        <v>53.83</v>
      </c>
      <c r="Y28" s="78">
        <f t="shared" si="5"/>
        <v>80.27</v>
      </c>
    </row>
    <row r="29" spans="1:25">
      <c r="A29" s="42" t="s">
        <v>84</v>
      </c>
      <c r="B29" s="64">
        <v>0</v>
      </c>
      <c r="C29" s="59">
        <v>0</v>
      </c>
      <c r="D29" s="91">
        <v>0</v>
      </c>
      <c r="E29" s="88">
        <v>0</v>
      </c>
      <c r="F29" s="73">
        <v>-49.999500000000005</v>
      </c>
      <c r="G29" s="59">
        <v>0</v>
      </c>
      <c r="H29" s="91">
        <v>-150</v>
      </c>
      <c r="I29" s="88">
        <v>0</v>
      </c>
      <c r="J29" s="73">
        <v>49.999500000000005</v>
      </c>
      <c r="K29" s="59">
        <v>0</v>
      </c>
      <c r="L29" s="91">
        <v>150</v>
      </c>
      <c r="M29" s="88">
        <v>0</v>
      </c>
      <c r="N29" s="73">
        <v>0</v>
      </c>
      <c r="O29" s="59">
        <v>0</v>
      </c>
      <c r="P29" s="91">
        <v>0</v>
      </c>
      <c r="Q29" s="88">
        <v>0</v>
      </c>
      <c r="R29" s="73">
        <v>219.98113350000003</v>
      </c>
      <c r="S29" s="35">
        <v>0</v>
      </c>
      <c r="T29" s="85">
        <v>119</v>
      </c>
      <c r="U29" s="81">
        <v>540.95000000000005</v>
      </c>
      <c r="V29" s="64">
        <v>219.98113350000003</v>
      </c>
      <c r="W29" s="35">
        <f t="shared" si="5"/>
        <v>0</v>
      </c>
      <c r="X29" s="85">
        <f t="shared" si="5"/>
        <v>119</v>
      </c>
      <c r="Y29" s="81">
        <f t="shared" si="5"/>
        <v>540.95000000000005</v>
      </c>
    </row>
    <row r="30" spans="1:25">
      <c r="A30" s="23" t="s">
        <v>563</v>
      </c>
      <c r="B30" s="27">
        <f t="shared" ref="B30:Y30" si="6">SUM(B23:B29)</f>
        <v>992</v>
      </c>
      <c r="C30" s="60">
        <f t="shared" si="6"/>
        <v>992</v>
      </c>
      <c r="D30" s="60">
        <f t="shared" si="6"/>
        <v>992</v>
      </c>
      <c r="E30" s="60">
        <f t="shared" si="6"/>
        <v>992</v>
      </c>
      <c r="F30" s="27">
        <f t="shared" si="6"/>
        <v>624.49708829999997</v>
      </c>
      <c r="G30" s="60">
        <f t="shared" si="6"/>
        <v>0</v>
      </c>
      <c r="H30" s="60">
        <f t="shared" si="6"/>
        <v>1873.51</v>
      </c>
      <c r="I30" s="60">
        <f t="shared" si="6"/>
        <v>0</v>
      </c>
      <c r="J30" s="27">
        <f t="shared" si="6"/>
        <v>128.00871990000002</v>
      </c>
      <c r="K30" s="60">
        <f t="shared" si="6"/>
        <v>54.03</v>
      </c>
      <c r="L30" s="60">
        <f t="shared" si="6"/>
        <v>150</v>
      </c>
      <c r="M30" s="60">
        <f t="shared" si="6"/>
        <v>180</v>
      </c>
      <c r="N30" s="27">
        <f t="shared" si="6"/>
        <v>746.77253220000011</v>
      </c>
      <c r="O30" s="60">
        <f t="shared" si="6"/>
        <v>140.34</v>
      </c>
      <c r="P30" s="60">
        <f t="shared" si="6"/>
        <v>0</v>
      </c>
      <c r="Q30" s="60">
        <f t="shared" si="6"/>
        <v>2100</v>
      </c>
      <c r="R30" s="27">
        <f t="shared" si="6"/>
        <v>1155.8884410000001</v>
      </c>
      <c r="S30" s="36">
        <f t="shared" si="6"/>
        <v>374.21</v>
      </c>
      <c r="T30" s="36">
        <f t="shared" si="6"/>
        <v>1298.06</v>
      </c>
      <c r="U30" s="36">
        <f t="shared" si="6"/>
        <v>1795.43</v>
      </c>
      <c r="V30" s="27">
        <f t="shared" si="6"/>
        <v>2655.1667814000002</v>
      </c>
      <c r="W30" s="36">
        <f t="shared" si="6"/>
        <v>568.57999999999993</v>
      </c>
      <c r="X30" s="36">
        <f t="shared" si="6"/>
        <v>3321.57</v>
      </c>
      <c r="Y30" s="36">
        <f t="shared" si="6"/>
        <v>4075.4300000000003</v>
      </c>
    </row>
    <row r="31" spans="1:25">
      <c r="A31" s="24" t="s">
        <v>429</v>
      </c>
      <c r="B31" s="21"/>
      <c r="C31" s="26"/>
      <c r="D31" s="26"/>
      <c r="E31" s="26"/>
      <c r="F31" s="26"/>
      <c r="G31" s="26"/>
      <c r="H31" s="26"/>
      <c r="I31" s="26"/>
      <c r="J31" s="26"/>
      <c r="K31" s="26"/>
      <c r="L31" s="26"/>
      <c r="M31" s="26"/>
      <c r="N31" s="26"/>
      <c r="O31" s="26"/>
      <c r="P31" s="26"/>
      <c r="Q31" s="26"/>
      <c r="R31" s="26"/>
      <c r="S31" s="26"/>
      <c r="T31" s="26"/>
      <c r="U31" s="26"/>
      <c r="V31" s="21"/>
      <c r="W31" s="26"/>
      <c r="X31" s="26"/>
      <c r="Y31" s="26"/>
    </row>
    <row r="32" spans="1:25">
      <c r="A32" s="40" t="s">
        <v>81</v>
      </c>
      <c r="B32" s="65">
        <v>0</v>
      </c>
      <c r="C32" s="54">
        <v>0</v>
      </c>
      <c r="D32" s="89">
        <v>0</v>
      </c>
      <c r="E32" s="86">
        <v>0</v>
      </c>
      <c r="F32" s="72">
        <v>0</v>
      </c>
      <c r="G32" s="54">
        <v>0</v>
      </c>
      <c r="H32" s="89">
        <v>0</v>
      </c>
      <c r="I32" s="86">
        <v>0</v>
      </c>
      <c r="J32" s="72">
        <v>0</v>
      </c>
      <c r="K32" s="54">
        <v>0</v>
      </c>
      <c r="L32" s="89">
        <v>0</v>
      </c>
      <c r="M32" s="86">
        <v>0</v>
      </c>
      <c r="N32" s="72">
        <v>0</v>
      </c>
      <c r="O32" s="54">
        <v>0</v>
      </c>
      <c r="P32" s="89">
        <v>0</v>
      </c>
      <c r="Q32" s="86">
        <v>0</v>
      </c>
      <c r="R32" s="72">
        <v>0</v>
      </c>
      <c r="S32" s="32">
        <v>0</v>
      </c>
      <c r="T32" s="84">
        <v>0</v>
      </c>
      <c r="U32" s="80">
        <v>0</v>
      </c>
      <c r="V32" s="65">
        <v>0</v>
      </c>
      <c r="W32" s="32">
        <f t="shared" ref="W32:Y33" si="7">SUM(G32,K32,O32,S32)</f>
        <v>0</v>
      </c>
      <c r="X32" s="84">
        <f t="shared" si="7"/>
        <v>0</v>
      </c>
      <c r="Y32" s="80">
        <f t="shared" si="7"/>
        <v>0</v>
      </c>
    </row>
    <row r="33" spans="1:25">
      <c r="A33" s="42" t="s">
        <v>79</v>
      </c>
      <c r="B33" s="64">
        <v>0</v>
      </c>
      <c r="C33" s="59">
        <v>0</v>
      </c>
      <c r="D33" s="91">
        <v>0</v>
      </c>
      <c r="E33" s="88">
        <v>0</v>
      </c>
      <c r="F33" s="73">
        <v>0</v>
      </c>
      <c r="G33" s="59">
        <v>0</v>
      </c>
      <c r="H33" s="91">
        <v>0</v>
      </c>
      <c r="I33" s="88">
        <v>0</v>
      </c>
      <c r="J33" s="73">
        <v>0</v>
      </c>
      <c r="K33" s="59">
        <v>0</v>
      </c>
      <c r="L33" s="91">
        <v>0</v>
      </c>
      <c r="M33" s="88">
        <v>0</v>
      </c>
      <c r="N33" s="73">
        <v>0</v>
      </c>
      <c r="O33" s="59">
        <v>0</v>
      </c>
      <c r="P33" s="91">
        <v>0</v>
      </c>
      <c r="Q33" s="88">
        <v>0</v>
      </c>
      <c r="R33" s="73">
        <v>0</v>
      </c>
      <c r="S33" s="35">
        <v>0</v>
      </c>
      <c r="T33" s="85">
        <v>0</v>
      </c>
      <c r="U33" s="81">
        <v>0</v>
      </c>
      <c r="V33" s="64">
        <v>0</v>
      </c>
      <c r="W33" s="35">
        <f t="shared" si="7"/>
        <v>0</v>
      </c>
      <c r="X33" s="85">
        <f t="shared" si="7"/>
        <v>0</v>
      </c>
      <c r="Y33" s="81">
        <f t="shared" si="7"/>
        <v>0</v>
      </c>
    </row>
    <row r="34" spans="1:25">
      <c r="A34" s="23" t="s">
        <v>564</v>
      </c>
      <c r="B34" s="27">
        <f t="shared" ref="B34:Y34" si="8">SUM(B32:B33)</f>
        <v>0</v>
      </c>
      <c r="C34" s="60">
        <f t="shared" si="8"/>
        <v>0</v>
      </c>
      <c r="D34" s="60">
        <f t="shared" si="8"/>
        <v>0</v>
      </c>
      <c r="E34" s="60">
        <f t="shared" si="8"/>
        <v>0</v>
      </c>
      <c r="F34" s="27">
        <f t="shared" si="8"/>
        <v>0</v>
      </c>
      <c r="G34" s="60">
        <f t="shared" si="8"/>
        <v>0</v>
      </c>
      <c r="H34" s="60">
        <f t="shared" si="8"/>
        <v>0</v>
      </c>
      <c r="I34" s="60">
        <f t="shared" si="8"/>
        <v>0</v>
      </c>
      <c r="J34" s="27">
        <f t="shared" si="8"/>
        <v>0</v>
      </c>
      <c r="K34" s="60">
        <f t="shared" si="8"/>
        <v>0</v>
      </c>
      <c r="L34" s="60">
        <f t="shared" si="8"/>
        <v>0</v>
      </c>
      <c r="M34" s="60">
        <f t="shared" si="8"/>
        <v>0</v>
      </c>
      <c r="N34" s="27">
        <f t="shared" si="8"/>
        <v>0</v>
      </c>
      <c r="O34" s="60">
        <f t="shared" si="8"/>
        <v>0</v>
      </c>
      <c r="P34" s="60">
        <f t="shared" si="8"/>
        <v>0</v>
      </c>
      <c r="Q34" s="60">
        <f t="shared" si="8"/>
        <v>0</v>
      </c>
      <c r="R34" s="27">
        <f t="shared" si="8"/>
        <v>0</v>
      </c>
      <c r="S34" s="36">
        <f t="shared" si="8"/>
        <v>0</v>
      </c>
      <c r="T34" s="36">
        <f t="shared" si="8"/>
        <v>0</v>
      </c>
      <c r="U34" s="36">
        <f t="shared" si="8"/>
        <v>0</v>
      </c>
      <c r="V34" s="27">
        <f t="shared" si="8"/>
        <v>0</v>
      </c>
      <c r="W34" s="36">
        <f t="shared" si="8"/>
        <v>0</v>
      </c>
      <c r="X34" s="36">
        <f t="shared" si="8"/>
        <v>0</v>
      </c>
      <c r="Y34" s="36">
        <f t="shared" si="8"/>
        <v>0</v>
      </c>
    </row>
    <row r="35" spans="1:25">
      <c r="A35" s="24" t="s">
        <v>565</v>
      </c>
      <c r="B35" s="26"/>
      <c r="C35" s="26"/>
      <c r="D35" s="26"/>
      <c r="E35" s="26"/>
      <c r="F35" s="26"/>
      <c r="G35" s="26"/>
      <c r="H35" s="26"/>
      <c r="I35" s="26"/>
      <c r="J35" s="26"/>
      <c r="K35" s="26"/>
      <c r="L35" s="26"/>
      <c r="M35" s="26"/>
      <c r="N35" s="26"/>
      <c r="O35" s="26"/>
      <c r="P35" s="26"/>
      <c r="Q35" s="26"/>
      <c r="R35" s="26"/>
      <c r="S35" s="26"/>
      <c r="T35" s="26"/>
      <c r="U35" s="26"/>
      <c r="V35" s="26"/>
      <c r="W35" s="26"/>
      <c r="X35" s="26"/>
      <c r="Y35" s="26"/>
    </row>
    <row r="36" spans="1:25">
      <c r="A36" s="40" t="s">
        <v>77</v>
      </c>
      <c r="B36" s="65">
        <v>0</v>
      </c>
      <c r="C36" s="54">
        <v>0</v>
      </c>
      <c r="D36" s="89">
        <v>0</v>
      </c>
      <c r="E36" s="86">
        <v>0</v>
      </c>
      <c r="F36" s="72">
        <v>0</v>
      </c>
      <c r="G36" s="54">
        <v>0</v>
      </c>
      <c r="H36" s="89">
        <v>0</v>
      </c>
      <c r="I36" s="86">
        <v>0</v>
      </c>
      <c r="J36" s="72">
        <v>0</v>
      </c>
      <c r="K36" s="54">
        <v>0</v>
      </c>
      <c r="L36" s="89">
        <v>0</v>
      </c>
      <c r="M36" s="86">
        <v>0</v>
      </c>
      <c r="N36" s="72">
        <v>0</v>
      </c>
      <c r="O36" s="54">
        <v>0</v>
      </c>
      <c r="P36" s="89">
        <v>0</v>
      </c>
      <c r="Q36" s="86">
        <v>0</v>
      </c>
      <c r="R36" s="72">
        <v>0</v>
      </c>
      <c r="S36" s="32">
        <v>0</v>
      </c>
      <c r="T36" s="84">
        <v>0</v>
      </c>
      <c r="U36" s="80">
        <v>0</v>
      </c>
      <c r="V36" s="65">
        <v>0</v>
      </c>
      <c r="W36" s="32">
        <f t="shared" ref="W36:Y41" si="9">SUM(G36,K36,O36,S36)</f>
        <v>0</v>
      </c>
      <c r="X36" s="84">
        <f t="shared" si="9"/>
        <v>0</v>
      </c>
      <c r="Y36" s="80">
        <f t="shared" si="9"/>
        <v>0</v>
      </c>
    </row>
    <row r="37" spans="1:25">
      <c r="A37" s="41" t="s">
        <v>59</v>
      </c>
      <c r="B37" s="39">
        <v>0</v>
      </c>
      <c r="C37" s="54">
        <v>0</v>
      </c>
      <c r="D37" s="89">
        <v>0</v>
      </c>
      <c r="E37" s="86">
        <v>0</v>
      </c>
      <c r="F37" s="72">
        <v>0</v>
      </c>
      <c r="G37" s="54">
        <v>0</v>
      </c>
      <c r="H37" s="89">
        <v>0</v>
      </c>
      <c r="I37" s="86">
        <v>0</v>
      </c>
      <c r="J37" s="72">
        <v>0</v>
      </c>
      <c r="K37" s="54">
        <v>0</v>
      </c>
      <c r="L37" s="89">
        <v>0</v>
      </c>
      <c r="M37" s="86">
        <v>0</v>
      </c>
      <c r="N37" s="72">
        <v>0</v>
      </c>
      <c r="O37" s="54">
        <v>0</v>
      </c>
      <c r="P37" s="89">
        <v>0</v>
      </c>
      <c r="Q37" s="86">
        <v>0</v>
      </c>
      <c r="R37" s="72">
        <v>0</v>
      </c>
      <c r="S37" s="22">
        <v>0</v>
      </c>
      <c r="T37" s="82">
        <v>0</v>
      </c>
      <c r="U37" s="78">
        <v>0</v>
      </c>
      <c r="V37" s="39">
        <v>0</v>
      </c>
      <c r="W37" s="22">
        <f t="shared" si="9"/>
        <v>0</v>
      </c>
      <c r="X37" s="82">
        <f t="shared" si="9"/>
        <v>0</v>
      </c>
      <c r="Y37" s="78">
        <f t="shared" si="9"/>
        <v>0</v>
      </c>
    </row>
    <row r="38" spans="1:25">
      <c r="A38" s="41" t="s">
        <v>39</v>
      </c>
      <c r="B38" s="39">
        <v>0</v>
      </c>
      <c r="C38" s="54">
        <v>0</v>
      </c>
      <c r="D38" s="89">
        <v>0</v>
      </c>
      <c r="E38" s="86">
        <v>0</v>
      </c>
      <c r="F38" s="72">
        <v>0</v>
      </c>
      <c r="G38" s="54">
        <v>0</v>
      </c>
      <c r="H38" s="89">
        <v>0</v>
      </c>
      <c r="I38" s="86">
        <v>0</v>
      </c>
      <c r="J38" s="72">
        <v>0</v>
      </c>
      <c r="K38" s="54">
        <v>0</v>
      </c>
      <c r="L38" s="89">
        <v>0</v>
      </c>
      <c r="M38" s="86">
        <v>0</v>
      </c>
      <c r="N38" s="72">
        <v>0</v>
      </c>
      <c r="O38" s="54">
        <v>0</v>
      </c>
      <c r="P38" s="89">
        <v>0</v>
      </c>
      <c r="Q38" s="86">
        <v>0</v>
      </c>
      <c r="R38" s="72">
        <v>0</v>
      </c>
      <c r="S38" s="22">
        <v>0</v>
      </c>
      <c r="T38" s="82">
        <v>0</v>
      </c>
      <c r="U38" s="78">
        <v>0</v>
      </c>
      <c r="V38" s="39">
        <v>0</v>
      </c>
      <c r="W38" s="22">
        <f t="shared" si="9"/>
        <v>0</v>
      </c>
      <c r="X38" s="82">
        <f t="shared" si="9"/>
        <v>0</v>
      </c>
      <c r="Y38" s="78">
        <f t="shared" si="9"/>
        <v>0</v>
      </c>
    </row>
    <row r="39" spans="1:25">
      <c r="A39" s="92" t="s">
        <v>31</v>
      </c>
      <c r="B39" s="93">
        <v>0</v>
      </c>
      <c r="C39" s="94">
        <v>0</v>
      </c>
      <c r="D39" s="100">
        <v>0</v>
      </c>
      <c r="E39" s="99">
        <v>0</v>
      </c>
      <c r="F39" s="95">
        <v>0</v>
      </c>
      <c r="G39" s="94">
        <v>0</v>
      </c>
      <c r="H39" s="100">
        <v>0</v>
      </c>
      <c r="I39" s="99">
        <v>0</v>
      </c>
      <c r="J39" s="95">
        <v>0</v>
      </c>
      <c r="K39" s="94">
        <v>0</v>
      </c>
      <c r="L39" s="100">
        <v>0</v>
      </c>
      <c r="M39" s="99">
        <v>0</v>
      </c>
      <c r="N39" s="95">
        <v>0</v>
      </c>
      <c r="O39" s="94">
        <v>0</v>
      </c>
      <c r="P39" s="100">
        <v>0</v>
      </c>
      <c r="Q39" s="99">
        <v>0</v>
      </c>
      <c r="R39" s="95">
        <v>0</v>
      </c>
      <c r="S39" s="96">
        <v>0</v>
      </c>
      <c r="T39" s="98">
        <v>0</v>
      </c>
      <c r="U39" s="97">
        <v>0</v>
      </c>
      <c r="V39" s="93">
        <v>0</v>
      </c>
      <c r="W39" s="96">
        <f t="shared" si="9"/>
        <v>0</v>
      </c>
      <c r="X39" s="98">
        <f t="shared" si="9"/>
        <v>0</v>
      </c>
      <c r="Y39" s="97">
        <f t="shared" si="9"/>
        <v>0</v>
      </c>
    </row>
    <row r="40" spans="1:25">
      <c r="A40" s="41" t="s">
        <v>27</v>
      </c>
      <c r="B40" s="39">
        <v>62</v>
      </c>
      <c r="C40" s="54">
        <v>60</v>
      </c>
      <c r="D40" s="89">
        <v>60</v>
      </c>
      <c r="E40" s="86">
        <v>57</v>
      </c>
      <c r="F40" s="72">
        <v>37.719622800000003</v>
      </c>
      <c r="G40" s="54">
        <v>0</v>
      </c>
      <c r="H40" s="89">
        <v>113.16</v>
      </c>
      <c r="I40" s="86">
        <v>0</v>
      </c>
      <c r="J40" s="72">
        <v>7.6032573000000001</v>
      </c>
      <c r="K40" s="54">
        <v>3.4</v>
      </c>
      <c r="L40" s="89">
        <v>9.06</v>
      </c>
      <c r="M40" s="86">
        <v>10.35</v>
      </c>
      <c r="N40" s="72">
        <v>43.192901399999997</v>
      </c>
      <c r="O40" s="54">
        <v>8.83</v>
      </c>
      <c r="P40" s="89">
        <v>0</v>
      </c>
      <c r="Q40" s="86">
        <v>120.75</v>
      </c>
      <c r="R40" s="72">
        <v>67.435992300000009</v>
      </c>
      <c r="S40" s="22">
        <v>23.54</v>
      </c>
      <c r="T40" s="82">
        <v>78.400000000000006</v>
      </c>
      <c r="U40" s="78">
        <v>100.37</v>
      </c>
      <c r="V40" s="39">
        <v>155.95177380000001</v>
      </c>
      <c r="W40" s="22">
        <f t="shared" si="9"/>
        <v>35.769999999999996</v>
      </c>
      <c r="X40" s="82">
        <f t="shared" si="9"/>
        <v>200.62</v>
      </c>
      <c r="Y40" s="78">
        <f t="shared" si="9"/>
        <v>231.47</v>
      </c>
    </row>
    <row r="41" spans="1:25">
      <c r="A41" s="42" t="s">
        <v>25</v>
      </c>
      <c r="B41" s="64">
        <v>5</v>
      </c>
      <c r="C41" s="59">
        <v>5</v>
      </c>
      <c r="D41" s="91">
        <v>5</v>
      </c>
      <c r="E41" s="88">
        <v>7</v>
      </c>
      <c r="F41" s="73">
        <v>3.1233021000000001</v>
      </c>
      <c r="G41" s="59">
        <v>0</v>
      </c>
      <c r="H41" s="91">
        <v>9.3699999999999992</v>
      </c>
      <c r="I41" s="88">
        <v>0</v>
      </c>
      <c r="J41" s="73">
        <v>0.75665910000000003</v>
      </c>
      <c r="K41" s="59">
        <v>0.28000000000000003</v>
      </c>
      <c r="L41" s="91">
        <v>0.75</v>
      </c>
      <c r="M41" s="88">
        <v>1.24</v>
      </c>
      <c r="N41" s="73">
        <v>5.0699493000000002</v>
      </c>
      <c r="O41" s="59">
        <v>0.72</v>
      </c>
      <c r="P41" s="91">
        <v>0</v>
      </c>
      <c r="Q41" s="88">
        <v>14.49</v>
      </c>
      <c r="R41" s="73">
        <v>6.8199318000000009</v>
      </c>
      <c r="S41" s="35">
        <v>1.91</v>
      </c>
      <c r="T41" s="85">
        <v>6.49</v>
      </c>
      <c r="U41" s="81">
        <v>12.06</v>
      </c>
      <c r="V41" s="64">
        <v>15.769842300000001</v>
      </c>
      <c r="W41" s="35">
        <f t="shared" si="9"/>
        <v>2.91</v>
      </c>
      <c r="X41" s="85">
        <f t="shared" si="9"/>
        <v>16.61</v>
      </c>
      <c r="Y41" s="81">
        <f t="shared" si="9"/>
        <v>27.79</v>
      </c>
    </row>
    <row r="42" spans="1:25">
      <c r="A42" s="23" t="s">
        <v>566</v>
      </c>
      <c r="B42" s="27">
        <f t="shared" ref="B42:Y42" si="10">SUM(B36:B41)</f>
        <v>67</v>
      </c>
      <c r="C42" s="56">
        <f t="shared" si="10"/>
        <v>65</v>
      </c>
      <c r="D42" s="56">
        <f t="shared" si="10"/>
        <v>65</v>
      </c>
      <c r="E42" s="56">
        <f t="shared" si="10"/>
        <v>64</v>
      </c>
      <c r="F42" s="66">
        <f t="shared" si="10"/>
        <v>40.8429249</v>
      </c>
      <c r="G42" s="56">
        <f t="shared" si="10"/>
        <v>0</v>
      </c>
      <c r="H42" s="56">
        <f t="shared" si="10"/>
        <v>122.53</v>
      </c>
      <c r="I42" s="56">
        <f t="shared" si="10"/>
        <v>0</v>
      </c>
      <c r="J42" s="66">
        <f t="shared" si="10"/>
        <v>8.3599163999999995</v>
      </c>
      <c r="K42" s="56">
        <f t="shared" si="10"/>
        <v>3.6799999999999997</v>
      </c>
      <c r="L42" s="56">
        <f t="shared" si="10"/>
        <v>9.81</v>
      </c>
      <c r="M42" s="56">
        <f t="shared" si="10"/>
        <v>11.59</v>
      </c>
      <c r="N42" s="66">
        <f t="shared" si="10"/>
        <v>48.262850699999994</v>
      </c>
      <c r="O42" s="56">
        <f t="shared" si="10"/>
        <v>9.5500000000000007</v>
      </c>
      <c r="P42" s="56">
        <f t="shared" si="10"/>
        <v>0</v>
      </c>
      <c r="Q42" s="56">
        <f t="shared" si="10"/>
        <v>135.24</v>
      </c>
      <c r="R42" s="66">
        <f t="shared" si="10"/>
        <v>74.255924100000016</v>
      </c>
      <c r="S42" s="37">
        <f t="shared" si="10"/>
        <v>25.45</v>
      </c>
      <c r="T42" s="37">
        <f t="shared" si="10"/>
        <v>84.89</v>
      </c>
      <c r="U42" s="37">
        <f t="shared" si="10"/>
        <v>112.43</v>
      </c>
      <c r="V42" s="27">
        <f t="shared" si="10"/>
        <v>171.72161610000001</v>
      </c>
      <c r="W42" s="37">
        <f t="shared" si="10"/>
        <v>38.679999999999993</v>
      </c>
      <c r="X42" s="37">
        <f t="shared" si="10"/>
        <v>217.23000000000002</v>
      </c>
      <c r="Y42" s="37">
        <f t="shared" si="10"/>
        <v>259.26</v>
      </c>
    </row>
    <row r="43" spans="1:25" ht="16.2" thickBot="1">
      <c r="A43" s="43" t="s">
        <v>567</v>
      </c>
      <c r="B43" s="34">
        <f>SUM(B21,B30,B34,B42)</f>
        <v>1059</v>
      </c>
      <c r="C43" s="52">
        <f t="shared" ref="C43:U43" si="11">SUM(C21,C30,C34,C42)</f>
        <v>1057</v>
      </c>
      <c r="D43" s="52">
        <f t="shared" si="11"/>
        <v>1057</v>
      </c>
      <c r="E43" s="52">
        <f t="shared" si="11"/>
        <v>1056</v>
      </c>
      <c r="F43" s="34">
        <f t="shared" si="11"/>
        <v>665.34001319999993</v>
      </c>
      <c r="G43" s="52">
        <f t="shared" si="11"/>
        <v>0</v>
      </c>
      <c r="H43" s="52">
        <f t="shared" si="11"/>
        <v>1996.04</v>
      </c>
      <c r="I43" s="52">
        <f t="shared" si="11"/>
        <v>0</v>
      </c>
      <c r="J43" s="34">
        <f t="shared" si="11"/>
        <v>136.36863630000002</v>
      </c>
      <c r="K43" s="52">
        <f t="shared" si="11"/>
        <v>57.71</v>
      </c>
      <c r="L43" s="52">
        <f t="shared" si="11"/>
        <v>159.81</v>
      </c>
      <c r="M43" s="52">
        <f t="shared" si="11"/>
        <v>191.59</v>
      </c>
      <c r="N43" s="34">
        <f t="shared" si="11"/>
        <v>795.03538290000006</v>
      </c>
      <c r="O43" s="52">
        <f t="shared" si="11"/>
        <v>149.89000000000001</v>
      </c>
      <c r="P43" s="52">
        <f t="shared" si="11"/>
        <v>0</v>
      </c>
      <c r="Q43" s="52">
        <f t="shared" si="11"/>
        <v>2235.2399999999998</v>
      </c>
      <c r="R43" s="34">
        <f t="shared" si="11"/>
        <v>1230.1443651</v>
      </c>
      <c r="S43" s="34">
        <f t="shared" si="11"/>
        <v>399.65999999999997</v>
      </c>
      <c r="T43" s="34">
        <f t="shared" si="11"/>
        <v>1382.95</v>
      </c>
      <c r="U43" s="34">
        <f t="shared" si="11"/>
        <v>1907.8600000000001</v>
      </c>
      <c r="V43" s="34">
        <f>SUM(V21,V30,V34,V42)</f>
        <v>2826.8883975000003</v>
      </c>
      <c r="W43" s="34">
        <f t="shared" ref="W43:Y43" si="12">SUM(W21,W30,W34,W42)</f>
        <v>607.25999999999988</v>
      </c>
      <c r="X43" s="34">
        <f t="shared" si="12"/>
        <v>3538.8</v>
      </c>
      <c r="Y43" s="34">
        <f t="shared" si="12"/>
        <v>4334.6900000000005</v>
      </c>
    </row>
    <row r="44" spans="1:25" ht="15" thickTop="1">
      <c r="A44" s="44" t="s">
        <v>568</v>
      </c>
      <c r="B44" s="28"/>
      <c r="C44" s="20"/>
      <c r="D44" s="20"/>
      <c r="E44" s="20"/>
      <c r="F44" s="28"/>
      <c r="G44" s="20"/>
      <c r="H44" s="20"/>
      <c r="I44" s="20"/>
      <c r="J44" s="28"/>
      <c r="K44" s="20"/>
      <c r="L44" s="20"/>
      <c r="M44" s="20"/>
      <c r="N44" s="28"/>
      <c r="O44" s="20"/>
      <c r="P44" s="20"/>
      <c r="Q44" s="20"/>
      <c r="R44" s="28"/>
      <c r="S44" s="20"/>
      <c r="T44" s="20"/>
      <c r="U44" s="20"/>
      <c r="V44" s="28"/>
      <c r="W44" s="20"/>
      <c r="X44" s="20"/>
      <c r="Y44" s="20"/>
    </row>
    <row r="45" spans="1:25">
      <c r="A45" s="40" t="s">
        <v>23</v>
      </c>
      <c r="B45" s="65">
        <v>0</v>
      </c>
      <c r="C45" s="54">
        <v>0</v>
      </c>
      <c r="D45" s="89">
        <v>0</v>
      </c>
      <c r="E45" s="86">
        <v>0</v>
      </c>
      <c r="F45" s="72">
        <v>0</v>
      </c>
      <c r="G45" s="54">
        <v>0</v>
      </c>
      <c r="H45" s="89">
        <v>0</v>
      </c>
      <c r="I45" s="86">
        <v>0</v>
      </c>
      <c r="J45" s="72">
        <v>0</v>
      </c>
      <c r="K45" s="54">
        <v>0</v>
      </c>
      <c r="L45" s="89">
        <v>0</v>
      </c>
      <c r="M45" s="86">
        <v>0</v>
      </c>
      <c r="N45" s="72">
        <v>0</v>
      </c>
      <c r="O45" s="54">
        <v>0</v>
      </c>
      <c r="P45" s="89">
        <v>0</v>
      </c>
      <c r="Q45" s="86">
        <v>0</v>
      </c>
      <c r="R45" s="72">
        <v>149.91183420000002</v>
      </c>
      <c r="S45" s="32">
        <v>449.74</v>
      </c>
      <c r="T45" s="84">
        <v>0</v>
      </c>
      <c r="U45" s="80">
        <v>0</v>
      </c>
      <c r="V45" s="65">
        <v>149.91183420000002</v>
      </c>
      <c r="W45" s="32">
        <f t="shared" ref="W45:Y46" si="13">SUM(G45,K45,O45,S45)</f>
        <v>449.74</v>
      </c>
      <c r="X45" s="84">
        <f t="shared" si="13"/>
        <v>0</v>
      </c>
      <c r="Y45" s="80">
        <f t="shared" si="13"/>
        <v>0</v>
      </c>
    </row>
    <row r="46" spans="1:25">
      <c r="A46" s="42" t="s">
        <v>7</v>
      </c>
      <c r="B46" s="64">
        <v>0</v>
      </c>
      <c r="C46" s="59">
        <v>0</v>
      </c>
      <c r="D46" s="91">
        <v>0</v>
      </c>
      <c r="E46" s="88">
        <v>0</v>
      </c>
      <c r="F46" s="73">
        <v>0</v>
      </c>
      <c r="G46" s="59">
        <v>0</v>
      </c>
      <c r="H46" s="91">
        <v>0</v>
      </c>
      <c r="I46" s="88">
        <v>0</v>
      </c>
      <c r="J46" s="73">
        <v>0</v>
      </c>
      <c r="K46" s="59">
        <v>0</v>
      </c>
      <c r="L46" s="91">
        <v>0</v>
      </c>
      <c r="M46" s="88">
        <v>0</v>
      </c>
      <c r="N46" s="73">
        <v>0</v>
      </c>
      <c r="O46" s="59">
        <v>0</v>
      </c>
      <c r="P46" s="91">
        <v>0</v>
      </c>
      <c r="Q46" s="88">
        <v>0</v>
      </c>
      <c r="R46" s="73">
        <v>0</v>
      </c>
      <c r="S46" s="35">
        <v>0</v>
      </c>
      <c r="T46" s="85">
        <v>0</v>
      </c>
      <c r="U46" s="81">
        <v>0</v>
      </c>
      <c r="V46" s="64">
        <v>0</v>
      </c>
      <c r="W46" s="35">
        <f t="shared" si="13"/>
        <v>0</v>
      </c>
      <c r="X46" s="85">
        <f t="shared" si="13"/>
        <v>0</v>
      </c>
      <c r="Y46" s="81">
        <f t="shared" si="13"/>
        <v>0</v>
      </c>
    </row>
    <row r="47" spans="1:25">
      <c r="A47" s="45" t="s">
        <v>569</v>
      </c>
      <c r="B47" s="49">
        <f t="shared" ref="B47:Y47" si="14">SUM(B45:B46)</f>
        <v>0</v>
      </c>
      <c r="C47" s="60">
        <f t="shared" si="14"/>
        <v>0</v>
      </c>
      <c r="D47" s="60">
        <f t="shared" si="14"/>
        <v>0</v>
      </c>
      <c r="E47" s="60">
        <f t="shared" si="14"/>
        <v>0</v>
      </c>
      <c r="F47" s="27">
        <f t="shared" si="14"/>
        <v>0</v>
      </c>
      <c r="G47" s="60">
        <f t="shared" si="14"/>
        <v>0</v>
      </c>
      <c r="H47" s="60">
        <f t="shared" si="14"/>
        <v>0</v>
      </c>
      <c r="I47" s="60">
        <f t="shared" si="14"/>
        <v>0</v>
      </c>
      <c r="J47" s="27">
        <f t="shared" si="14"/>
        <v>0</v>
      </c>
      <c r="K47" s="60">
        <f t="shared" si="14"/>
        <v>0</v>
      </c>
      <c r="L47" s="60">
        <f t="shared" si="14"/>
        <v>0</v>
      </c>
      <c r="M47" s="60">
        <f t="shared" si="14"/>
        <v>0</v>
      </c>
      <c r="N47" s="27">
        <f t="shared" si="14"/>
        <v>0</v>
      </c>
      <c r="O47" s="60">
        <f t="shared" si="14"/>
        <v>0</v>
      </c>
      <c r="P47" s="60">
        <f t="shared" si="14"/>
        <v>0</v>
      </c>
      <c r="Q47" s="60">
        <f t="shared" si="14"/>
        <v>0</v>
      </c>
      <c r="R47" s="27">
        <f t="shared" si="14"/>
        <v>149.91183420000002</v>
      </c>
      <c r="S47" s="36">
        <f t="shared" si="14"/>
        <v>449.74</v>
      </c>
      <c r="T47" s="36">
        <f t="shared" si="14"/>
        <v>0</v>
      </c>
      <c r="U47" s="36">
        <f t="shared" si="14"/>
        <v>0</v>
      </c>
      <c r="V47" s="49">
        <f t="shared" si="14"/>
        <v>149.91183420000002</v>
      </c>
      <c r="W47" s="36">
        <f t="shared" si="14"/>
        <v>449.74</v>
      </c>
      <c r="X47" s="36">
        <f t="shared" si="14"/>
        <v>0</v>
      </c>
      <c r="Y47" s="36">
        <f t="shared" si="14"/>
        <v>0</v>
      </c>
    </row>
    <row r="48" spans="1:25" ht="16.2" thickBot="1">
      <c r="A48" s="43" t="s">
        <v>570</v>
      </c>
      <c r="B48" s="34">
        <f>SUM(B12,B43,B47)</f>
        <v>-1</v>
      </c>
      <c r="C48" s="52">
        <f t="shared" ref="C48:U48" si="15">SUM(C12,C43,C47)</f>
        <v>0</v>
      </c>
      <c r="D48" s="52">
        <f t="shared" si="15"/>
        <v>0</v>
      </c>
      <c r="E48" s="52">
        <f t="shared" si="15"/>
        <v>0</v>
      </c>
      <c r="F48" s="34">
        <f t="shared" si="15"/>
        <v>137.01196319999985</v>
      </c>
      <c r="G48" s="52">
        <f t="shared" si="15"/>
        <v>-528</v>
      </c>
      <c r="H48" s="52">
        <f t="shared" si="15"/>
        <v>1467.04</v>
      </c>
      <c r="I48" s="52">
        <f t="shared" si="15"/>
        <v>-528</v>
      </c>
      <c r="J48" s="34">
        <f t="shared" si="15"/>
        <v>136.36863630000002</v>
      </c>
      <c r="K48" s="52">
        <f t="shared" si="15"/>
        <v>57.71</v>
      </c>
      <c r="L48" s="52">
        <f t="shared" si="15"/>
        <v>159.81</v>
      </c>
      <c r="M48" s="52">
        <f t="shared" si="15"/>
        <v>191.59</v>
      </c>
      <c r="N48" s="34">
        <f t="shared" si="15"/>
        <v>-604.67395320000014</v>
      </c>
      <c r="O48" s="52">
        <f t="shared" si="15"/>
        <v>-379.11</v>
      </c>
      <c r="P48" s="52">
        <f t="shared" si="15"/>
        <v>-528</v>
      </c>
      <c r="Q48" s="52">
        <f t="shared" si="15"/>
        <v>-906.93000000000029</v>
      </c>
      <c r="R48" s="34">
        <f t="shared" si="15"/>
        <v>396.97936349999998</v>
      </c>
      <c r="S48" s="34">
        <f t="shared" si="15"/>
        <v>849.4</v>
      </c>
      <c r="T48" s="34">
        <f t="shared" si="15"/>
        <v>-1098.8599999999999</v>
      </c>
      <c r="U48" s="34">
        <f t="shared" si="15"/>
        <v>1440.41</v>
      </c>
      <c r="V48" s="34">
        <f>SUM(V12,V43,V47)</f>
        <v>65.686009800000051</v>
      </c>
      <c r="W48" s="34">
        <f t="shared" ref="W48:Y48" si="16">SUM(W12,W43,W47)</f>
        <v>0</v>
      </c>
      <c r="X48" s="34">
        <f t="shared" si="16"/>
        <v>-9.9999999997635314E-3</v>
      </c>
      <c r="Y48" s="34">
        <f t="shared" si="16"/>
        <v>197.07000000000062</v>
      </c>
    </row>
    <row r="49" spans="1:25" ht="15" thickTop="1">
      <c r="A49" s="29"/>
      <c r="B49" s="19"/>
      <c r="C49" s="48"/>
      <c r="D49" s="48"/>
      <c r="E49" s="48"/>
      <c r="F49" s="19"/>
      <c r="G49" s="48"/>
      <c r="H49" s="48"/>
      <c r="I49" s="48"/>
      <c r="J49" s="19"/>
      <c r="K49" s="48"/>
      <c r="L49" s="48"/>
      <c r="M49" s="48"/>
      <c r="N49" s="19"/>
      <c r="O49" s="48"/>
      <c r="P49" s="48"/>
      <c r="Q49" s="48"/>
      <c r="R49" s="19"/>
      <c r="S49" s="48"/>
      <c r="T49" s="48"/>
      <c r="U49" s="48"/>
      <c r="V49" s="19"/>
      <c r="W49" s="48"/>
      <c r="X49" s="48"/>
      <c r="Y49" s="48"/>
    </row>
  </sheetData>
  <conditionalFormatting sqref="B15:C21 B23:C30 B32:C34 B36:C43 V36:W43 V32:W34 V23:W30 V15:W21 R36:S43 R32:S34 R23:S30 R15:S21 N36:O43 N32:O34 N23:O30 N15:O21 J36:K43 J32:K34 J23:K30 J15:K21 F36:G43 F32:G34 F23:G30 F15:G21">
    <cfRule type="cellIs" dxfId="168" priority="13" operator="lessThan">
      <formula>-0.01</formula>
    </cfRule>
  </conditionalFormatting>
  <conditionalFormatting sqref="Y15:Y21 Y23:Y30 Y32:Y34 Y36:Y43">
    <cfRule type="cellIs" dxfId="167" priority="12" operator="lessThan">
      <formula>-0.01</formula>
    </cfRule>
  </conditionalFormatting>
  <conditionalFormatting sqref="X15:X21 X23:X30 X32:X34 X36:X43">
    <cfRule type="cellIs" dxfId="166" priority="11" operator="lessThan">
      <formula>-0.01</formula>
    </cfRule>
  </conditionalFormatting>
  <conditionalFormatting sqref="U15:U21 U23:U30 U32:U34 U36:U43">
    <cfRule type="cellIs" dxfId="165" priority="10" operator="lessThan">
      <formula>-0.01</formula>
    </cfRule>
  </conditionalFormatting>
  <conditionalFormatting sqref="T15:T21 T23:T30 T32:T34 T36:T43">
    <cfRule type="cellIs" dxfId="164" priority="9" operator="lessThan">
      <formula>-0.01</formula>
    </cfRule>
  </conditionalFormatting>
  <conditionalFormatting sqref="Q15:Q21 Q23:Q30 Q32:Q34 Q36:Q43">
    <cfRule type="cellIs" dxfId="163" priority="8" operator="lessThan">
      <formula>-0.01</formula>
    </cfRule>
  </conditionalFormatting>
  <conditionalFormatting sqref="P15:P21 P23:P30 P32:P34 P36:P43">
    <cfRule type="cellIs" dxfId="162" priority="7" operator="lessThan">
      <formula>-0.01</formula>
    </cfRule>
  </conditionalFormatting>
  <conditionalFormatting sqref="M15:M21 M23:M30 M32:M34 M36:M43">
    <cfRule type="cellIs" dxfId="161" priority="6" operator="lessThan">
      <formula>-0.01</formula>
    </cfRule>
  </conditionalFormatting>
  <conditionalFormatting sqref="L15:L21 L23:L30 L32:L34 L36:L43">
    <cfRule type="cellIs" dxfId="160" priority="5" operator="lessThan">
      <formula>-0.01</formula>
    </cfRule>
  </conditionalFormatting>
  <conditionalFormatting sqref="I15:I21 I23:I30 I32:I34 I36:I43">
    <cfRule type="cellIs" dxfId="159" priority="4" operator="lessThan">
      <formula>-0.01</formula>
    </cfRule>
  </conditionalFormatting>
  <conditionalFormatting sqref="H15:H21 H23:H30 H32:H34 H36:H43">
    <cfRule type="cellIs" dxfId="158" priority="3" operator="lessThan">
      <formula>-0.01</formula>
    </cfRule>
  </conditionalFormatting>
  <conditionalFormatting sqref="E15:E21 E23:E30 E32:E34 E36:E43">
    <cfRule type="cellIs" dxfId="157" priority="2" operator="lessThan">
      <formula>-0.01</formula>
    </cfRule>
  </conditionalFormatting>
  <conditionalFormatting sqref="D15:D21 D23:D30 D32:D34 D36:D43">
    <cfRule type="cellIs" dxfId="156" priority="1" operator="lessThan">
      <formula>-0.01</formula>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453EF5-46C9-400E-948C-7E7FB4C1E214}">
  <sheetPr codeName="Sheet12"/>
  <dimension ref="A1:AZ49"/>
  <sheetViews>
    <sheetView showGridLines="0" workbookViewId="0">
      <pane xSplit="1" ySplit="6" topLeftCell="B7" activePane="bottomRight" state="frozen"/>
      <selection pane="topRight" activeCell="B1" sqref="B1"/>
      <selection pane="bottomLeft" activeCell="A7" sqref="A7"/>
      <selection pane="bottomRight"/>
    </sheetView>
  </sheetViews>
  <sheetFormatPr defaultRowHeight="14.4" outlineLevelCol="1"/>
  <cols>
    <col min="1" max="1" width="32.44140625" bestFit="1" customWidth="1"/>
    <col min="2" max="2" width="16.77734375" customWidth="1"/>
    <col min="3" max="5" width="13.44140625" style="57" hidden="1" customWidth="1" outlineLevel="1"/>
    <col min="6" max="6" width="16.77734375" customWidth="1" collapsed="1"/>
    <col min="7" max="9" width="13.44140625" style="57" hidden="1" customWidth="1" outlineLevel="1"/>
    <col min="10" max="10" width="16.77734375" customWidth="1" collapsed="1"/>
    <col min="11" max="13" width="13.44140625" style="57" hidden="1" customWidth="1" outlineLevel="1"/>
    <col min="14" max="14" width="16.77734375" customWidth="1" collapsed="1"/>
    <col min="15" max="17" width="13.44140625" style="57" hidden="1" customWidth="1" outlineLevel="1"/>
    <col min="18" max="18" width="16.77734375" customWidth="1" collapsed="1"/>
    <col min="19" max="21" width="13.44140625" style="57" hidden="1" customWidth="1" outlineLevel="1"/>
    <col min="22" max="22" width="16.77734375" customWidth="1" collapsed="1"/>
    <col min="23" max="25" width="13.44140625" style="57" hidden="1" customWidth="1" outlineLevel="1"/>
    <col min="26" max="26" width="8.88671875" collapsed="1"/>
  </cols>
  <sheetData>
    <row r="1" spans="1:52" ht="15.6">
      <c r="A1" s="68" t="s">
        <v>790</v>
      </c>
      <c r="B1" s="46"/>
      <c r="C1" s="46"/>
      <c r="D1" s="46"/>
      <c r="E1" s="46"/>
      <c r="F1" s="46"/>
      <c r="G1" s="46"/>
      <c r="H1" s="46"/>
      <c r="I1" s="46"/>
      <c r="J1" s="46"/>
      <c r="K1" s="46"/>
      <c r="L1" s="46"/>
      <c r="M1" s="46"/>
      <c r="N1" s="46"/>
      <c r="O1" s="46"/>
      <c r="P1" s="46"/>
      <c r="Q1" s="46"/>
      <c r="R1" s="46"/>
      <c r="V1" s="46"/>
      <c r="W1" s="46"/>
      <c r="X1" s="46"/>
      <c r="Y1" s="46"/>
    </row>
    <row r="2" spans="1:52" ht="15.6">
      <c r="A2" s="69" t="s">
        <v>403</v>
      </c>
      <c r="B2" s="47"/>
      <c r="C2" s="47"/>
      <c r="D2" s="47"/>
      <c r="E2" s="47"/>
      <c r="F2" s="47"/>
      <c r="G2" s="47"/>
      <c r="H2" s="47"/>
      <c r="I2" s="47"/>
      <c r="J2" s="47"/>
      <c r="K2" s="47"/>
      <c r="L2" s="47"/>
      <c r="M2" s="47"/>
      <c r="N2" s="47"/>
      <c r="O2" s="47"/>
      <c r="P2" s="47"/>
      <c r="Q2" s="47"/>
      <c r="R2" s="47"/>
      <c r="V2" s="47"/>
      <c r="W2" s="47"/>
      <c r="X2" s="47"/>
      <c r="Y2" s="47"/>
    </row>
    <row r="3" spans="1:52">
      <c r="A3" s="136"/>
      <c r="B3" s="61" t="s">
        <v>589</v>
      </c>
      <c r="C3" s="50" t="s">
        <v>572</v>
      </c>
      <c r="D3" s="50" t="s">
        <v>572</v>
      </c>
      <c r="E3" s="50" t="s">
        <v>572</v>
      </c>
      <c r="F3" s="61" t="s">
        <v>573</v>
      </c>
      <c r="G3" s="50" t="s">
        <v>573</v>
      </c>
      <c r="H3" s="50" t="s">
        <v>573</v>
      </c>
      <c r="I3" s="50" t="s">
        <v>573</v>
      </c>
      <c r="J3" s="61" t="s">
        <v>575</v>
      </c>
      <c r="K3" s="50" t="s">
        <v>575</v>
      </c>
      <c r="L3" s="50" t="s">
        <v>575</v>
      </c>
      <c r="M3" s="50" t="s">
        <v>575</v>
      </c>
      <c r="N3" s="61" t="s">
        <v>576</v>
      </c>
      <c r="O3" s="50" t="s">
        <v>576</v>
      </c>
      <c r="P3" s="50" t="s">
        <v>576</v>
      </c>
      <c r="Q3" s="50" t="s">
        <v>576</v>
      </c>
      <c r="R3" s="61" t="s">
        <v>577</v>
      </c>
      <c r="S3" s="38" t="s">
        <v>577</v>
      </c>
      <c r="T3" s="38" t="s">
        <v>577</v>
      </c>
      <c r="U3" s="38" t="s">
        <v>577</v>
      </c>
      <c r="V3" s="61" t="s">
        <v>585</v>
      </c>
      <c r="W3" s="38" t="s">
        <v>585</v>
      </c>
      <c r="X3" s="38" t="s">
        <v>585</v>
      </c>
      <c r="Y3" s="38" t="s">
        <v>585</v>
      </c>
      <c r="Z3" s="136"/>
      <c r="AA3" s="136"/>
      <c r="AB3" s="136"/>
      <c r="AC3" s="136"/>
      <c r="AD3" s="136"/>
      <c r="AE3" s="136"/>
      <c r="AF3" s="136"/>
      <c r="AG3" s="136"/>
      <c r="AH3" s="136"/>
      <c r="AI3" s="136"/>
      <c r="AJ3" s="136"/>
      <c r="AK3" s="136"/>
      <c r="AL3" s="136"/>
      <c r="AM3" s="136"/>
      <c r="AN3" s="136"/>
      <c r="AO3" s="136"/>
      <c r="AP3" s="136"/>
      <c r="AQ3" s="136"/>
      <c r="AR3" s="136"/>
      <c r="AS3" s="136"/>
      <c r="AT3" s="136"/>
      <c r="AU3" s="136"/>
      <c r="AV3" s="136"/>
      <c r="AW3" s="136"/>
      <c r="AX3" s="136"/>
      <c r="AY3" s="136"/>
      <c r="AZ3" s="136"/>
    </row>
    <row r="4" spans="1:52">
      <c r="A4" s="16"/>
      <c r="B4" s="31" t="str">
        <f>_xlfn.CONCAT("FY ",rngFY+rngYRS)</f>
        <v>FY 19</v>
      </c>
      <c r="C4" s="51" t="s">
        <v>555</v>
      </c>
      <c r="D4" s="51" t="s">
        <v>555</v>
      </c>
      <c r="E4" s="51" t="s">
        <v>555</v>
      </c>
      <c r="F4" s="31" t="s">
        <v>788</v>
      </c>
      <c r="G4" s="31" t="s">
        <v>789</v>
      </c>
      <c r="H4" s="31" t="s">
        <v>789</v>
      </c>
      <c r="I4" s="31" t="s">
        <v>789</v>
      </c>
      <c r="J4" s="31" t="s">
        <v>788</v>
      </c>
      <c r="K4" s="31" t="s">
        <v>789</v>
      </c>
      <c r="L4" s="31" t="s">
        <v>789</v>
      </c>
      <c r="M4" s="31" t="s">
        <v>789</v>
      </c>
      <c r="N4" s="31" t="s">
        <v>788</v>
      </c>
      <c r="O4" s="31" t="s">
        <v>789</v>
      </c>
      <c r="P4" s="31" t="s">
        <v>789</v>
      </c>
      <c r="Q4" s="31" t="s">
        <v>789</v>
      </c>
      <c r="R4" s="31" t="s">
        <v>788</v>
      </c>
      <c r="S4" s="31" t="s">
        <v>789</v>
      </c>
      <c r="T4" s="31" t="s">
        <v>789</v>
      </c>
      <c r="U4" s="31" t="s">
        <v>789</v>
      </c>
      <c r="V4" s="31" t="s">
        <v>574</v>
      </c>
      <c r="W4" s="31" t="s">
        <v>584</v>
      </c>
      <c r="X4" s="31" t="s">
        <v>584</v>
      </c>
      <c r="Y4" s="31" t="s">
        <v>584</v>
      </c>
    </row>
    <row r="5" spans="1:52">
      <c r="A5" s="17"/>
      <c r="B5" s="31"/>
      <c r="C5" s="51" t="s">
        <v>587</v>
      </c>
      <c r="D5" s="51" t="s">
        <v>586</v>
      </c>
      <c r="E5" s="51" t="s">
        <v>590</v>
      </c>
      <c r="F5" s="31"/>
      <c r="G5" s="51" t="s">
        <v>587</v>
      </c>
      <c r="H5" s="51" t="s">
        <v>586</v>
      </c>
      <c r="I5" s="51" t="s">
        <v>590</v>
      </c>
      <c r="J5" s="31"/>
      <c r="K5" s="51" t="s">
        <v>587</v>
      </c>
      <c r="L5" s="51" t="s">
        <v>586</v>
      </c>
      <c r="M5" s="51" t="s">
        <v>590</v>
      </c>
      <c r="N5" s="31"/>
      <c r="O5" s="51" t="s">
        <v>587</v>
      </c>
      <c r="P5" s="51" t="s">
        <v>586</v>
      </c>
      <c r="Q5" s="51" t="s">
        <v>590</v>
      </c>
      <c r="R5" s="31"/>
      <c r="S5" s="31" t="s">
        <v>587</v>
      </c>
      <c r="T5" s="31" t="s">
        <v>586</v>
      </c>
      <c r="U5" s="31" t="s">
        <v>590</v>
      </c>
      <c r="V5" s="31"/>
      <c r="W5" s="31" t="s">
        <v>587</v>
      </c>
      <c r="X5" s="31" t="s">
        <v>586</v>
      </c>
      <c r="Y5" s="31" t="s">
        <v>590</v>
      </c>
    </row>
    <row r="6" spans="1:52">
      <c r="A6" s="70"/>
      <c r="B6" s="62"/>
      <c r="C6" s="53"/>
      <c r="D6" s="53"/>
      <c r="E6" s="53"/>
      <c r="F6" s="62"/>
      <c r="G6" s="53"/>
      <c r="H6" s="53"/>
      <c r="I6" s="53"/>
      <c r="J6" s="62"/>
      <c r="K6" s="53"/>
      <c r="L6" s="53"/>
      <c r="M6" s="53"/>
      <c r="N6" s="62"/>
      <c r="O6" s="53"/>
      <c r="P6" s="53"/>
      <c r="Q6" s="53"/>
      <c r="R6" s="62"/>
      <c r="S6" s="62"/>
      <c r="T6" s="62"/>
      <c r="U6" s="62"/>
      <c r="V6" s="62"/>
      <c r="W6" s="62"/>
      <c r="X6" s="62"/>
      <c r="Y6" s="62"/>
    </row>
    <row r="7" spans="1:52">
      <c r="A7" s="18" t="s">
        <v>556</v>
      </c>
      <c r="B7" s="63"/>
      <c r="C7" s="58"/>
      <c r="D7" s="58"/>
      <c r="E7" s="58"/>
      <c r="F7" s="63"/>
      <c r="G7" s="58"/>
      <c r="H7" s="58"/>
      <c r="I7" s="58"/>
      <c r="J7" s="63"/>
      <c r="K7" s="58"/>
      <c r="L7" s="58"/>
      <c r="M7" s="58"/>
      <c r="N7" s="63"/>
      <c r="O7" s="58"/>
      <c r="P7" s="58"/>
      <c r="Q7" s="58"/>
      <c r="R7" s="63"/>
      <c r="S7" s="63"/>
      <c r="T7" s="63"/>
      <c r="U7" s="63"/>
      <c r="V7" s="63"/>
      <c r="W7" s="63"/>
      <c r="X7" s="63"/>
      <c r="Y7" s="63"/>
    </row>
    <row r="8" spans="1:52">
      <c r="A8" s="40" t="s">
        <v>557</v>
      </c>
      <c r="B8" s="39">
        <v>-42185</v>
      </c>
      <c r="C8" s="54">
        <v>-42082</v>
      </c>
      <c r="D8" s="89">
        <v>-42082</v>
      </c>
      <c r="E8" s="86">
        <v>-10111</v>
      </c>
      <c r="F8" s="72">
        <v>-15712.509540000001</v>
      </c>
      <c r="G8" s="54">
        <v>-21041</v>
      </c>
      <c r="H8" s="89">
        <v>-21041</v>
      </c>
      <c r="I8" s="86">
        <v>-5056</v>
      </c>
      <c r="J8" s="72">
        <v>0</v>
      </c>
      <c r="K8" s="54">
        <v>0</v>
      </c>
      <c r="L8" s="89">
        <v>0</v>
      </c>
      <c r="M8" s="86">
        <v>0</v>
      </c>
      <c r="N8" s="72">
        <v>-15712.176210000001</v>
      </c>
      <c r="O8" s="54">
        <v>-21041</v>
      </c>
      <c r="P8" s="89">
        <v>-21041</v>
      </c>
      <c r="Q8" s="86">
        <v>-5055</v>
      </c>
      <c r="R8" s="72">
        <v>0</v>
      </c>
      <c r="S8" s="22">
        <v>0</v>
      </c>
      <c r="T8" s="82">
        <v>0</v>
      </c>
      <c r="U8" s="78">
        <v>0</v>
      </c>
      <c r="V8" s="39">
        <v>-31424.685750000004</v>
      </c>
      <c r="W8" s="22">
        <f t="shared" ref="W8:Y11" si="0">SUM(G8,K8,O8,S8)</f>
        <v>-42082</v>
      </c>
      <c r="X8" s="82">
        <f t="shared" si="0"/>
        <v>-42082</v>
      </c>
      <c r="Y8" s="78">
        <f t="shared" si="0"/>
        <v>-10111</v>
      </c>
    </row>
    <row r="9" spans="1:52">
      <c r="A9" s="41" t="s">
        <v>558</v>
      </c>
      <c r="B9" s="39">
        <v>0</v>
      </c>
      <c r="C9" s="55">
        <v>0</v>
      </c>
      <c r="D9" s="90">
        <v>0</v>
      </c>
      <c r="E9" s="87">
        <v>0</v>
      </c>
      <c r="F9" s="72">
        <v>0</v>
      </c>
      <c r="G9" s="55">
        <v>0</v>
      </c>
      <c r="H9" s="90">
        <v>0</v>
      </c>
      <c r="I9" s="87">
        <v>0</v>
      </c>
      <c r="J9" s="72">
        <v>0</v>
      </c>
      <c r="K9" s="55">
        <v>0</v>
      </c>
      <c r="L9" s="90">
        <v>0</v>
      </c>
      <c r="M9" s="87">
        <v>0</v>
      </c>
      <c r="N9" s="72">
        <v>0</v>
      </c>
      <c r="O9" s="55">
        <v>0</v>
      </c>
      <c r="P9" s="90">
        <v>0</v>
      </c>
      <c r="Q9" s="87">
        <v>0</v>
      </c>
      <c r="R9" s="72">
        <v>0</v>
      </c>
      <c r="S9" s="33">
        <v>0</v>
      </c>
      <c r="T9" s="83">
        <v>0</v>
      </c>
      <c r="U9" s="79">
        <v>0</v>
      </c>
      <c r="V9" s="39">
        <v>0</v>
      </c>
      <c r="W9" s="33">
        <f t="shared" si="0"/>
        <v>0</v>
      </c>
      <c r="X9" s="83">
        <f t="shared" si="0"/>
        <v>0</v>
      </c>
      <c r="Y9" s="79">
        <f t="shared" si="0"/>
        <v>0</v>
      </c>
    </row>
    <row r="10" spans="1:52">
      <c r="A10" s="41" t="s">
        <v>212</v>
      </c>
      <c r="B10" s="39">
        <v>0</v>
      </c>
      <c r="C10" s="55">
        <v>0</v>
      </c>
      <c r="D10" s="90">
        <v>0</v>
      </c>
      <c r="E10" s="87">
        <v>0</v>
      </c>
      <c r="F10" s="72">
        <v>0</v>
      </c>
      <c r="G10" s="55">
        <v>0</v>
      </c>
      <c r="H10" s="90">
        <v>0</v>
      </c>
      <c r="I10" s="87">
        <v>0</v>
      </c>
      <c r="J10" s="72">
        <v>0</v>
      </c>
      <c r="K10" s="55">
        <v>0</v>
      </c>
      <c r="L10" s="90">
        <v>0</v>
      </c>
      <c r="M10" s="87">
        <v>0</v>
      </c>
      <c r="N10" s="72">
        <v>0</v>
      </c>
      <c r="O10" s="55">
        <v>0</v>
      </c>
      <c r="P10" s="90">
        <v>0</v>
      </c>
      <c r="Q10" s="87">
        <v>0</v>
      </c>
      <c r="R10" s="72">
        <v>0</v>
      </c>
      <c r="S10" s="33">
        <v>0</v>
      </c>
      <c r="T10" s="83">
        <v>0</v>
      </c>
      <c r="U10" s="79">
        <v>0</v>
      </c>
      <c r="V10" s="39">
        <v>0</v>
      </c>
      <c r="W10" s="33">
        <f t="shared" si="0"/>
        <v>0</v>
      </c>
      <c r="X10" s="83">
        <f t="shared" si="0"/>
        <v>0</v>
      </c>
      <c r="Y10" s="79">
        <f t="shared" si="0"/>
        <v>0</v>
      </c>
    </row>
    <row r="11" spans="1:52">
      <c r="A11" s="42" t="s">
        <v>210</v>
      </c>
      <c r="B11" s="64">
        <v>0</v>
      </c>
      <c r="C11" s="55">
        <v>0</v>
      </c>
      <c r="D11" s="90">
        <v>0</v>
      </c>
      <c r="E11" s="87">
        <v>0</v>
      </c>
      <c r="F11" s="73">
        <v>0</v>
      </c>
      <c r="G11" s="55">
        <v>0</v>
      </c>
      <c r="H11" s="90">
        <v>0</v>
      </c>
      <c r="I11" s="87">
        <v>0</v>
      </c>
      <c r="J11" s="73">
        <v>0</v>
      </c>
      <c r="K11" s="55">
        <v>0</v>
      </c>
      <c r="L11" s="90">
        <v>0</v>
      </c>
      <c r="M11" s="87">
        <v>0</v>
      </c>
      <c r="N11" s="73">
        <v>0</v>
      </c>
      <c r="O11" s="55">
        <v>0</v>
      </c>
      <c r="P11" s="90">
        <v>0</v>
      </c>
      <c r="Q11" s="87">
        <v>0</v>
      </c>
      <c r="R11" s="73">
        <v>-3820.3384628999997</v>
      </c>
      <c r="S11" s="33">
        <v>-1827.05</v>
      </c>
      <c r="T11" s="83">
        <v>0</v>
      </c>
      <c r="U11" s="79">
        <v>-9634.08</v>
      </c>
      <c r="V11" s="64">
        <v>-3820.3384628999997</v>
      </c>
      <c r="W11" s="33">
        <f t="shared" si="0"/>
        <v>-1827.05</v>
      </c>
      <c r="X11" s="83">
        <f t="shared" si="0"/>
        <v>0</v>
      </c>
      <c r="Y11" s="79">
        <f t="shared" si="0"/>
        <v>-9634.08</v>
      </c>
    </row>
    <row r="12" spans="1:52" ht="16.2" thickBot="1">
      <c r="A12" s="43" t="s">
        <v>559</v>
      </c>
      <c r="B12" s="34">
        <f>SUM(B8:B11)</f>
        <v>-42185</v>
      </c>
      <c r="C12" s="52">
        <f t="shared" ref="C12:U12" si="1">SUM(C8:C11)</f>
        <v>-42082</v>
      </c>
      <c r="D12" s="52">
        <f t="shared" si="1"/>
        <v>-42082</v>
      </c>
      <c r="E12" s="52">
        <f t="shared" si="1"/>
        <v>-10111</v>
      </c>
      <c r="F12" s="34">
        <f t="shared" si="1"/>
        <v>-15712.509540000001</v>
      </c>
      <c r="G12" s="52">
        <f t="shared" si="1"/>
        <v>-21041</v>
      </c>
      <c r="H12" s="52">
        <f t="shared" si="1"/>
        <v>-21041</v>
      </c>
      <c r="I12" s="52">
        <f t="shared" si="1"/>
        <v>-5056</v>
      </c>
      <c r="J12" s="34">
        <f t="shared" si="1"/>
        <v>0</v>
      </c>
      <c r="K12" s="52">
        <f t="shared" si="1"/>
        <v>0</v>
      </c>
      <c r="L12" s="52">
        <f t="shared" si="1"/>
        <v>0</v>
      </c>
      <c r="M12" s="52">
        <f t="shared" si="1"/>
        <v>0</v>
      </c>
      <c r="N12" s="34">
        <f t="shared" si="1"/>
        <v>-15712.176210000001</v>
      </c>
      <c r="O12" s="52">
        <f t="shared" si="1"/>
        <v>-21041</v>
      </c>
      <c r="P12" s="52">
        <f t="shared" si="1"/>
        <v>-21041</v>
      </c>
      <c r="Q12" s="52">
        <f t="shared" si="1"/>
        <v>-5055</v>
      </c>
      <c r="R12" s="34">
        <f t="shared" si="1"/>
        <v>-3820.3384628999997</v>
      </c>
      <c r="S12" s="34">
        <f t="shared" si="1"/>
        <v>-1827.05</v>
      </c>
      <c r="T12" s="34">
        <f t="shared" si="1"/>
        <v>0</v>
      </c>
      <c r="U12" s="34">
        <f t="shared" si="1"/>
        <v>-9634.08</v>
      </c>
      <c r="V12" s="34">
        <f>SUM(V8:V11)</f>
        <v>-35245.024212900003</v>
      </c>
      <c r="W12" s="34">
        <f t="shared" ref="W12:Y12" si="2">SUM(W8:W11)</f>
        <v>-43909.05</v>
      </c>
      <c r="X12" s="34">
        <f t="shared" si="2"/>
        <v>-42082</v>
      </c>
      <c r="Y12" s="34">
        <f t="shared" si="2"/>
        <v>-19745.080000000002</v>
      </c>
    </row>
    <row r="13" spans="1:52" ht="15" thickTop="1">
      <c r="A13" s="67"/>
      <c r="B13" s="67"/>
      <c r="C13" s="67"/>
      <c r="D13" s="67"/>
      <c r="E13" s="67"/>
      <c r="F13" s="67"/>
      <c r="G13" s="67"/>
      <c r="H13" s="67"/>
      <c r="I13" s="67"/>
      <c r="J13" s="67"/>
      <c r="K13" s="67"/>
      <c r="L13" s="67"/>
      <c r="M13" s="67"/>
      <c r="N13" s="67"/>
      <c r="O13" s="67"/>
      <c r="P13" s="67"/>
      <c r="Q13" s="67"/>
      <c r="R13" s="67"/>
      <c r="S13" s="67"/>
      <c r="T13" s="67"/>
      <c r="U13" s="67"/>
      <c r="V13" s="67"/>
      <c r="W13" s="67"/>
      <c r="X13" s="67"/>
      <c r="Y13" s="67"/>
    </row>
    <row r="14" spans="1:52">
      <c r="A14" s="18" t="s">
        <v>560</v>
      </c>
      <c r="B14" s="20"/>
      <c r="C14" s="20"/>
      <c r="D14" s="20"/>
      <c r="E14" s="20"/>
      <c r="F14" s="20"/>
      <c r="G14" s="20"/>
      <c r="H14" s="20"/>
      <c r="I14" s="20"/>
      <c r="J14" s="20"/>
      <c r="K14" s="20"/>
      <c r="L14" s="20"/>
      <c r="M14" s="20"/>
      <c r="N14" s="20"/>
      <c r="O14" s="20"/>
      <c r="P14" s="20"/>
      <c r="Q14" s="20"/>
      <c r="R14" s="20"/>
      <c r="S14" s="20"/>
      <c r="T14" s="20"/>
      <c r="U14" s="20"/>
      <c r="V14" s="20"/>
      <c r="W14" s="20"/>
      <c r="X14" s="20"/>
      <c r="Y14" s="20"/>
    </row>
    <row r="15" spans="1:52">
      <c r="A15" s="40" t="s">
        <v>188</v>
      </c>
      <c r="B15" s="65">
        <v>0</v>
      </c>
      <c r="C15" s="54">
        <v>0</v>
      </c>
      <c r="D15" s="89">
        <v>0</v>
      </c>
      <c r="E15" s="86">
        <v>0</v>
      </c>
      <c r="F15" s="72">
        <v>0</v>
      </c>
      <c r="G15" s="54">
        <v>0</v>
      </c>
      <c r="H15" s="89">
        <v>0</v>
      </c>
      <c r="I15" s="86">
        <v>0</v>
      </c>
      <c r="J15" s="72">
        <v>0</v>
      </c>
      <c r="K15" s="54">
        <v>0</v>
      </c>
      <c r="L15" s="89">
        <v>0</v>
      </c>
      <c r="M15" s="86">
        <v>0</v>
      </c>
      <c r="N15" s="72">
        <v>0</v>
      </c>
      <c r="O15" s="54">
        <v>0</v>
      </c>
      <c r="P15" s="89">
        <v>0</v>
      </c>
      <c r="Q15" s="86">
        <v>0</v>
      </c>
      <c r="R15" s="72">
        <v>0</v>
      </c>
      <c r="S15" s="32">
        <v>0</v>
      </c>
      <c r="T15" s="84">
        <v>0</v>
      </c>
      <c r="U15" s="80">
        <v>0</v>
      </c>
      <c r="V15" s="65">
        <v>0</v>
      </c>
      <c r="W15" s="32">
        <f t="shared" ref="W15:Y20" si="3">SUM(G15,K15,O15,S15)</f>
        <v>0</v>
      </c>
      <c r="X15" s="84">
        <f t="shared" si="3"/>
        <v>0</v>
      </c>
      <c r="Y15" s="80">
        <f t="shared" si="3"/>
        <v>0</v>
      </c>
    </row>
    <row r="16" spans="1:52">
      <c r="A16" s="41" t="s">
        <v>181</v>
      </c>
      <c r="B16" s="39">
        <v>0</v>
      </c>
      <c r="C16" s="54">
        <v>0</v>
      </c>
      <c r="D16" s="89">
        <v>0</v>
      </c>
      <c r="E16" s="86">
        <v>0</v>
      </c>
      <c r="F16" s="72">
        <v>0</v>
      </c>
      <c r="G16" s="54">
        <v>0</v>
      </c>
      <c r="H16" s="89">
        <v>0</v>
      </c>
      <c r="I16" s="86">
        <v>0</v>
      </c>
      <c r="J16" s="72">
        <v>333.33000000000004</v>
      </c>
      <c r="K16" s="54">
        <v>1000</v>
      </c>
      <c r="L16" s="89">
        <v>0</v>
      </c>
      <c r="M16" s="86">
        <v>0</v>
      </c>
      <c r="N16" s="72">
        <v>0</v>
      </c>
      <c r="O16" s="54">
        <v>0</v>
      </c>
      <c r="P16" s="89">
        <v>0</v>
      </c>
      <c r="Q16" s="86">
        <v>0</v>
      </c>
      <c r="R16" s="72">
        <v>0</v>
      </c>
      <c r="S16" s="22">
        <v>0</v>
      </c>
      <c r="T16" s="82">
        <v>0</v>
      </c>
      <c r="U16" s="78">
        <v>0</v>
      </c>
      <c r="V16" s="39">
        <v>333.33000000000004</v>
      </c>
      <c r="W16" s="22">
        <f t="shared" si="3"/>
        <v>1000</v>
      </c>
      <c r="X16" s="82">
        <f t="shared" si="3"/>
        <v>0</v>
      </c>
      <c r="Y16" s="78">
        <f t="shared" si="3"/>
        <v>0</v>
      </c>
    </row>
    <row r="17" spans="1:25">
      <c r="A17" s="92" t="s">
        <v>174</v>
      </c>
      <c r="B17" s="93">
        <v>0</v>
      </c>
      <c r="C17" s="94">
        <v>0</v>
      </c>
      <c r="D17" s="100">
        <v>0</v>
      </c>
      <c r="E17" s="99">
        <v>0</v>
      </c>
      <c r="F17" s="95">
        <v>83.33250000000001</v>
      </c>
      <c r="G17" s="94">
        <v>250</v>
      </c>
      <c r="H17" s="100">
        <v>0</v>
      </c>
      <c r="I17" s="99">
        <v>0</v>
      </c>
      <c r="J17" s="95">
        <v>831.65835000000004</v>
      </c>
      <c r="K17" s="94">
        <v>2495</v>
      </c>
      <c r="L17" s="100">
        <v>0</v>
      </c>
      <c r="M17" s="99">
        <v>0</v>
      </c>
      <c r="N17" s="95">
        <v>83.33250000000001</v>
      </c>
      <c r="O17" s="94">
        <v>250</v>
      </c>
      <c r="P17" s="100">
        <v>0</v>
      </c>
      <c r="Q17" s="99">
        <v>0</v>
      </c>
      <c r="R17" s="95">
        <v>-299.99700000000001</v>
      </c>
      <c r="S17" s="96">
        <v>-900</v>
      </c>
      <c r="T17" s="98">
        <v>0</v>
      </c>
      <c r="U17" s="97">
        <v>0</v>
      </c>
      <c r="V17" s="93">
        <v>698.32635000000005</v>
      </c>
      <c r="W17" s="96">
        <f t="shared" si="3"/>
        <v>2095</v>
      </c>
      <c r="X17" s="98">
        <f t="shared" si="3"/>
        <v>0</v>
      </c>
      <c r="Y17" s="97">
        <f t="shared" si="3"/>
        <v>0</v>
      </c>
    </row>
    <row r="18" spans="1:25">
      <c r="A18" s="41" t="s">
        <v>146</v>
      </c>
      <c r="B18" s="39">
        <v>0</v>
      </c>
      <c r="C18" s="54">
        <v>0</v>
      </c>
      <c r="D18" s="89">
        <v>0</v>
      </c>
      <c r="E18" s="86">
        <v>0</v>
      </c>
      <c r="F18" s="72">
        <v>0</v>
      </c>
      <c r="G18" s="54">
        <v>0</v>
      </c>
      <c r="H18" s="89">
        <v>0</v>
      </c>
      <c r="I18" s="86">
        <v>0</v>
      </c>
      <c r="J18" s="72">
        <v>0</v>
      </c>
      <c r="K18" s="54">
        <v>0</v>
      </c>
      <c r="L18" s="89">
        <v>0</v>
      </c>
      <c r="M18" s="86">
        <v>0</v>
      </c>
      <c r="N18" s="72">
        <v>0</v>
      </c>
      <c r="O18" s="54">
        <v>0</v>
      </c>
      <c r="P18" s="89">
        <v>0</v>
      </c>
      <c r="Q18" s="86">
        <v>0</v>
      </c>
      <c r="R18" s="72">
        <v>0</v>
      </c>
      <c r="S18" s="22">
        <v>0</v>
      </c>
      <c r="T18" s="82">
        <v>0</v>
      </c>
      <c r="U18" s="78">
        <v>0</v>
      </c>
      <c r="V18" s="39">
        <v>0</v>
      </c>
      <c r="W18" s="22">
        <f t="shared" si="3"/>
        <v>0</v>
      </c>
      <c r="X18" s="82">
        <f t="shared" si="3"/>
        <v>0</v>
      </c>
      <c r="Y18" s="78">
        <f t="shared" si="3"/>
        <v>0</v>
      </c>
    </row>
    <row r="19" spans="1:25">
      <c r="A19" s="41" t="s">
        <v>139</v>
      </c>
      <c r="B19" s="39">
        <v>0</v>
      </c>
      <c r="C19" s="54">
        <v>0</v>
      </c>
      <c r="D19" s="89">
        <v>0</v>
      </c>
      <c r="E19" s="86">
        <v>0</v>
      </c>
      <c r="F19" s="72">
        <v>0</v>
      </c>
      <c r="G19" s="54">
        <v>0</v>
      </c>
      <c r="H19" s="89">
        <v>0</v>
      </c>
      <c r="I19" s="86">
        <v>0</v>
      </c>
      <c r="J19" s="72">
        <v>49.332840000000004</v>
      </c>
      <c r="K19" s="54">
        <v>148</v>
      </c>
      <c r="L19" s="89">
        <v>0</v>
      </c>
      <c r="M19" s="86">
        <v>0</v>
      </c>
      <c r="N19" s="72">
        <v>0</v>
      </c>
      <c r="O19" s="54">
        <v>0</v>
      </c>
      <c r="P19" s="89">
        <v>0</v>
      </c>
      <c r="Q19" s="86">
        <v>0</v>
      </c>
      <c r="R19" s="72">
        <v>0</v>
      </c>
      <c r="S19" s="22">
        <v>0</v>
      </c>
      <c r="T19" s="82">
        <v>0</v>
      </c>
      <c r="U19" s="78">
        <v>0</v>
      </c>
      <c r="V19" s="39">
        <v>49.332840000000004</v>
      </c>
      <c r="W19" s="22">
        <f t="shared" si="3"/>
        <v>148</v>
      </c>
      <c r="X19" s="82">
        <f t="shared" si="3"/>
        <v>0</v>
      </c>
      <c r="Y19" s="78">
        <f t="shared" si="3"/>
        <v>0</v>
      </c>
    </row>
    <row r="20" spans="1:25">
      <c r="A20" s="42" t="s">
        <v>129</v>
      </c>
      <c r="B20" s="64">
        <v>0</v>
      </c>
      <c r="C20" s="59">
        <v>0</v>
      </c>
      <c r="D20" s="91">
        <v>0</v>
      </c>
      <c r="E20" s="88">
        <v>0</v>
      </c>
      <c r="F20" s="73">
        <v>0.83332500000000009</v>
      </c>
      <c r="G20" s="59">
        <v>2.5</v>
      </c>
      <c r="H20" s="91">
        <v>0</v>
      </c>
      <c r="I20" s="88">
        <v>0</v>
      </c>
      <c r="J20" s="73">
        <v>8.3165835000000001</v>
      </c>
      <c r="K20" s="59">
        <v>24.95</v>
      </c>
      <c r="L20" s="91">
        <v>0</v>
      </c>
      <c r="M20" s="88">
        <v>0</v>
      </c>
      <c r="N20" s="73">
        <v>0.83332500000000009</v>
      </c>
      <c r="O20" s="59">
        <v>2.5</v>
      </c>
      <c r="P20" s="91">
        <v>0</v>
      </c>
      <c r="Q20" s="88">
        <v>0</v>
      </c>
      <c r="R20" s="73">
        <v>-2.9999700000000002</v>
      </c>
      <c r="S20" s="35">
        <v>-9</v>
      </c>
      <c r="T20" s="85">
        <v>0</v>
      </c>
      <c r="U20" s="81">
        <v>0</v>
      </c>
      <c r="V20" s="64">
        <v>6.9832635000000005</v>
      </c>
      <c r="W20" s="35">
        <f t="shared" si="3"/>
        <v>20.95</v>
      </c>
      <c r="X20" s="85">
        <f t="shared" si="3"/>
        <v>0</v>
      </c>
      <c r="Y20" s="81">
        <f t="shared" si="3"/>
        <v>0</v>
      </c>
    </row>
    <row r="21" spans="1:25">
      <c r="A21" s="23" t="s">
        <v>561</v>
      </c>
      <c r="B21" s="27">
        <f t="shared" ref="B21:Y21" si="4">SUM(B15:B20)</f>
        <v>0</v>
      </c>
      <c r="C21" s="60">
        <f t="shared" si="4"/>
        <v>0</v>
      </c>
      <c r="D21" s="60">
        <f t="shared" si="4"/>
        <v>0</v>
      </c>
      <c r="E21" s="60">
        <f t="shared" si="4"/>
        <v>0</v>
      </c>
      <c r="F21" s="27">
        <f t="shared" si="4"/>
        <v>84.165825000000012</v>
      </c>
      <c r="G21" s="56">
        <f t="shared" si="4"/>
        <v>252.5</v>
      </c>
      <c r="H21" s="56">
        <f t="shared" si="4"/>
        <v>0</v>
      </c>
      <c r="I21" s="56">
        <f t="shared" si="4"/>
        <v>0</v>
      </c>
      <c r="J21" s="27">
        <f t="shared" si="4"/>
        <v>1222.6377735000001</v>
      </c>
      <c r="K21" s="60">
        <f t="shared" si="4"/>
        <v>3667.95</v>
      </c>
      <c r="L21" s="60">
        <f t="shared" si="4"/>
        <v>0</v>
      </c>
      <c r="M21" s="60">
        <f t="shared" si="4"/>
        <v>0</v>
      </c>
      <c r="N21" s="27">
        <f t="shared" si="4"/>
        <v>84.165825000000012</v>
      </c>
      <c r="O21" s="60">
        <f t="shared" si="4"/>
        <v>252.5</v>
      </c>
      <c r="P21" s="60">
        <f t="shared" si="4"/>
        <v>0</v>
      </c>
      <c r="Q21" s="60">
        <f t="shared" si="4"/>
        <v>0</v>
      </c>
      <c r="R21" s="27">
        <f t="shared" si="4"/>
        <v>-302.99697000000003</v>
      </c>
      <c r="S21" s="36">
        <f t="shared" si="4"/>
        <v>-909</v>
      </c>
      <c r="T21" s="36">
        <f t="shared" si="4"/>
        <v>0</v>
      </c>
      <c r="U21" s="36">
        <f t="shared" si="4"/>
        <v>0</v>
      </c>
      <c r="V21" s="27">
        <f t="shared" si="4"/>
        <v>1087.9724535000003</v>
      </c>
      <c r="W21" s="36">
        <f t="shared" si="4"/>
        <v>3263.95</v>
      </c>
      <c r="X21" s="36">
        <f t="shared" si="4"/>
        <v>0</v>
      </c>
      <c r="Y21" s="36">
        <f t="shared" si="4"/>
        <v>0</v>
      </c>
    </row>
    <row r="22" spans="1:25">
      <c r="A22" s="24" t="s">
        <v>562</v>
      </c>
      <c r="B22" s="25"/>
      <c r="C22" s="25"/>
      <c r="D22" s="25"/>
      <c r="E22" s="25"/>
      <c r="F22" s="25"/>
      <c r="G22" s="25"/>
      <c r="H22" s="25"/>
      <c r="I22" s="25"/>
      <c r="J22" s="25"/>
      <c r="K22" s="25"/>
      <c r="L22" s="25"/>
      <c r="M22" s="25"/>
      <c r="N22" s="25"/>
      <c r="O22" s="25"/>
      <c r="P22" s="25"/>
      <c r="Q22" s="25"/>
      <c r="R22" s="25"/>
      <c r="S22" s="25"/>
      <c r="T22" s="25"/>
      <c r="U22" s="25"/>
      <c r="V22" s="25"/>
      <c r="W22" s="25"/>
      <c r="X22" s="25"/>
      <c r="Y22" s="25"/>
    </row>
    <row r="23" spans="1:25">
      <c r="A23" s="40" t="s">
        <v>127</v>
      </c>
      <c r="B23" s="65">
        <v>39499</v>
      </c>
      <c r="C23" s="54">
        <v>39499</v>
      </c>
      <c r="D23" s="89">
        <v>39499</v>
      </c>
      <c r="E23" s="86">
        <v>9499</v>
      </c>
      <c r="F23" s="72">
        <v>0</v>
      </c>
      <c r="G23" s="54">
        <v>0</v>
      </c>
      <c r="H23" s="89">
        <v>0</v>
      </c>
      <c r="I23" s="86">
        <v>0</v>
      </c>
      <c r="J23" s="72">
        <v>0</v>
      </c>
      <c r="K23" s="54">
        <v>0</v>
      </c>
      <c r="L23" s="89">
        <v>0</v>
      </c>
      <c r="M23" s="86">
        <v>0</v>
      </c>
      <c r="N23" s="72">
        <v>0</v>
      </c>
      <c r="O23" s="54">
        <v>0</v>
      </c>
      <c r="P23" s="89">
        <v>0</v>
      </c>
      <c r="Q23" s="86">
        <v>0</v>
      </c>
      <c r="R23" s="72">
        <v>0</v>
      </c>
      <c r="S23" s="32">
        <v>0</v>
      </c>
      <c r="T23" s="84">
        <v>0</v>
      </c>
      <c r="U23" s="80">
        <v>0</v>
      </c>
      <c r="V23" s="65">
        <v>0</v>
      </c>
      <c r="W23" s="32">
        <f t="shared" ref="W23:Y29" si="5">SUM(G23,K23,O23,S23)</f>
        <v>0</v>
      </c>
      <c r="X23" s="84">
        <f t="shared" si="5"/>
        <v>0</v>
      </c>
      <c r="Y23" s="80">
        <f t="shared" si="5"/>
        <v>0</v>
      </c>
    </row>
    <row r="24" spans="1:25">
      <c r="A24" s="41" t="s">
        <v>120</v>
      </c>
      <c r="B24" s="39">
        <v>0</v>
      </c>
      <c r="C24" s="54">
        <v>0</v>
      </c>
      <c r="D24" s="89">
        <v>0</v>
      </c>
      <c r="E24" s="86">
        <v>0</v>
      </c>
      <c r="F24" s="72">
        <v>0</v>
      </c>
      <c r="G24" s="54">
        <v>0</v>
      </c>
      <c r="H24" s="89">
        <v>0</v>
      </c>
      <c r="I24" s="86">
        <v>0</v>
      </c>
      <c r="J24" s="72">
        <v>0</v>
      </c>
      <c r="K24" s="54">
        <v>0</v>
      </c>
      <c r="L24" s="89">
        <v>0</v>
      </c>
      <c r="M24" s="86">
        <v>0</v>
      </c>
      <c r="N24" s="72">
        <v>0</v>
      </c>
      <c r="O24" s="54">
        <v>0</v>
      </c>
      <c r="P24" s="89">
        <v>0</v>
      </c>
      <c r="Q24" s="86">
        <v>0</v>
      </c>
      <c r="R24" s="72">
        <v>0</v>
      </c>
      <c r="S24" s="22">
        <v>0</v>
      </c>
      <c r="T24" s="82">
        <v>0</v>
      </c>
      <c r="U24" s="78">
        <v>0</v>
      </c>
      <c r="V24" s="39">
        <v>0</v>
      </c>
      <c r="W24" s="22">
        <f t="shared" si="5"/>
        <v>0</v>
      </c>
      <c r="X24" s="82">
        <f t="shared" si="5"/>
        <v>0</v>
      </c>
      <c r="Y24" s="78">
        <f t="shared" si="5"/>
        <v>0</v>
      </c>
    </row>
    <row r="25" spans="1:25">
      <c r="A25" s="41" t="s">
        <v>107</v>
      </c>
      <c r="B25" s="39">
        <v>0</v>
      </c>
      <c r="C25" s="54">
        <v>0</v>
      </c>
      <c r="D25" s="89">
        <v>0</v>
      </c>
      <c r="E25" s="86">
        <v>0</v>
      </c>
      <c r="F25" s="72">
        <v>0</v>
      </c>
      <c r="G25" s="54">
        <v>0</v>
      </c>
      <c r="H25" s="89">
        <v>0</v>
      </c>
      <c r="I25" s="86">
        <v>0</v>
      </c>
      <c r="J25" s="72">
        <v>6.7632656999999998</v>
      </c>
      <c r="K25" s="54">
        <v>13</v>
      </c>
      <c r="L25" s="89">
        <v>7.29</v>
      </c>
      <c r="M25" s="86">
        <v>0</v>
      </c>
      <c r="N25" s="72">
        <v>0</v>
      </c>
      <c r="O25" s="54">
        <v>0</v>
      </c>
      <c r="P25" s="89">
        <v>0</v>
      </c>
      <c r="Q25" s="86">
        <v>0</v>
      </c>
      <c r="R25" s="72">
        <v>13.7431959</v>
      </c>
      <c r="S25" s="22">
        <v>21.25</v>
      </c>
      <c r="T25" s="82">
        <v>0</v>
      </c>
      <c r="U25" s="78">
        <v>19.98</v>
      </c>
      <c r="V25" s="39">
        <v>20.506461600000002</v>
      </c>
      <c r="W25" s="22">
        <f t="shared" si="5"/>
        <v>34.25</v>
      </c>
      <c r="X25" s="82">
        <f t="shared" si="5"/>
        <v>7.29</v>
      </c>
      <c r="Y25" s="78">
        <f t="shared" si="5"/>
        <v>19.98</v>
      </c>
    </row>
    <row r="26" spans="1:25">
      <c r="A26" s="41" t="s">
        <v>104</v>
      </c>
      <c r="B26" s="39">
        <v>0</v>
      </c>
      <c r="C26" s="54">
        <v>0</v>
      </c>
      <c r="D26" s="89">
        <v>0</v>
      </c>
      <c r="E26" s="86">
        <v>0</v>
      </c>
      <c r="F26" s="72">
        <v>0</v>
      </c>
      <c r="G26" s="54">
        <v>0</v>
      </c>
      <c r="H26" s="89">
        <v>0</v>
      </c>
      <c r="I26" s="86">
        <v>0</v>
      </c>
      <c r="J26" s="72">
        <v>1289.3904392999998</v>
      </c>
      <c r="K26" s="54">
        <v>2957.41</v>
      </c>
      <c r="L26" s="89">
        <v>758.6</v>
      </c>
      <c r="M26" s="86">
        <v>152.19999999999999</v>
      </c>
      <c r="N26" s="72">
        <v>12.5832075</v>
      </c>
      <c r="O26" s="54">
        <v>37.75</v>
      </c>
      <c r="P26" s="89">
        <v>0</v>
      </c>
      <c r="Q26" s="86">
        <v>0</v>
      </c>
      <c r="R26" s="72">
        <v>610.74389250000013</v>
      </c>
      <c r="S26" s="22">
        <v>262.25</v>
      </c>
      <c r="T26" s="82">
        <v>570</v>
      </c>
      <c r="U26" s="78">
        <v>1000</v>
      </c>
      <c r="V26" s="39">
        <v>1912.7175393</v>
      </c>
      <c r="W26" s="22">
        <f t="shared" si="5"/>
        <v>3257.41</v>
      </c>
      <c r="X26" s="82">
        <f t="shared" si="5"/>
        <v>1328.6</v>
      </c>
      <c r="Y26" s="78">
        <f t="shared" si="5"/>
        <v>1152.2</v>
      </c>
    </row>
    <row r="27" spans="1:25">
      <c r="A27" s="41" t="s">
        <v>102</v>
      </c>
      <c r="B27" s="39">
        <v>0</v>
      </c>
      <c r="C27" s="54">
        <v>0</v>
      </c>
      <c r="D27" s="89">
        <v>0</v>
      </c>
      <c r="E27" s="86">
        <v>0</v>
      </c>
      <c r="F27" s="72">
        <v>0</v>
      </c>
      <c r="G27" s="54">
        <v>0</v>
      </c>
      <c r="H27" s="89">
        <v>0</v>
      </c>
      <c r="I27" s="86">
        <v>0</v>
      </c>
      <c r="J27" s="72">
        <v>300.0803325</v>
      </c>
      <c r="K27" s="54">
        <v>0</v>
      </c>
      <c r="L27" s="89">
        <v>630.25</v>
      </c>
      <c r="M27" s="86">
        <v>270</v>
      </c>
      <c r="N27" s="72">
        <v>0</v>
      </c>
      <c r="O27" s="54">
        <v>0</v>
      </c>
      <c r="P27" s="89">
        <v>0</v>
      </c>
      <c r="Q27" s="86">
        <v>0</v>
      </c>
      <c r="R27" s="72">
        <v>0</v>
      </c>
      <c r="S27" s="22">
        <v>0</v>
      </c>
      <c r="T27" s="82">
        <v>0</v>
      </c>
      <c r="U27" s="78">
        <v>0</v>
      </c>
      <c r="V27" s="39">
        <v>300.0803325</v>
      </c>
      <c r="W27" s="22">
        <f t="shared" si="5"/>
        <v>0</v>
      </c>
      <c r="X27" s="82">
        <f t="shared" si="5"/>
        <v>630.25</v>
      </c>
      <c r="Y27" s="78">
        <f t="shared" si="5"/>
        <v>270</v>
      </c>
    </row>
    <row r="28" spans="1:25">
      <c r="A28" s="41" t="s">
        <v>98</v>
      </c>
      <c r="B28" s="39">
        <v>0</v>
      </c>
      <c r="C28" s="54">
        <v>0</v>
      </c>
      <c r="D28" s="89">
        <v>0</v>
      </c>
      <c r="E28" s="86">
        <v>0</v>
      </c>
      <c r="F28" s="72">
        <v>16.966497</v>
      </c>
      <c r="G28" s="54">
        <v>0</v>
      </c>
      <c r="H28" s="89">
        <v>50.9</v>
      </c>
      <c r="I28" s="86">
        <v>0</v>
      </c>
      <c r="J28" s="72">
        <v>874.81125180000004</v>
      </c>
      <c r="K28" s="54">
        <v>1420.62</v>
      </c>
      <c r="L28" s="89">
        <v>1203.8399999999999</v>
      </c>
      <c r="M28" s="86">
        <v>0</v>
      </c>
      <c r="N28" s="72">
        <v>508.93491060000002</v>
      </c>
      <c r="O28" s="54">
        <v>1526.82</v>
      </c>
      <c r="P28" s="89">
        <v>0</v>
      </c>
      <c r="Q28" s="86">
        <v>0</v>
      </c>
      <c r="R28" s="72">
        <v>3.9999600000000003E-2</v>
      </c>
      <c r="S28" s="22">
        <v>0</v>
      </c>
      <c r="T28" s="82">
        <v>0</v>
      </c>
      <c r="U28" s="78">
        <v>0.12</v>
      </c>
      <c r="V28" s="39">
        <v>1400.752659</v>
      </c>
      <c r="W28" s="22">
        <f t="shared" si="5"/>
        <v>2947.4399999999996</v>
      </c>
      <c r="X28" s="82">
        <f t="shared" si="5"/>
        <v>1254.74</v>
      </c>
      <c r="Y28" s="78">
        <f t="shared" si="5"/>
        <v>0.12</v>
      </c>
    </row>
    <row r="29" spans="1:25">
      <c r="A29" s="42" t="s">
        <v>84</v>
      </c>
      <c r="B29" s="64">
        <v>0</v>
      </c>
      <c r="C29" s="59">
        <v>0</v>
      </c>
      <c r="D29" s="91">
        <v>0</v>
      </c>
      <c r="E29" s="88">
        <v>0</v>
      </c>
      <c r="F29" s="73">
        <v>0</v>
      </c>
      <c r="G29" s="59">
        <v>0</v>
      </c>
      <c r="H29" s="91">
        <v>0</v>
      </c>
      <c r="I29" s="88">
        <v>0</v>
      </c>
      <c r="J29" s="73">
        <v>8397.2893595999994</v>
      </c>
      <c r="K29" s="59">
        <v>8492.2800000000007</v>
      </c>
      <c r="L29" s="91">
        <v>13473.83</v>
      </c>
      <c r="M29" s="88">
        <v>3226.01</v>
      </c>
      <c r="N29" s="73">
        <v>12131.952012599999</v>
      </c>
      <c r="O29" s="59">
        <v>21868</v>
      </c>
      <c r="P29" s="91">
        <v>0</v>
      </c>
      <c r="Q29" s="88">
        <v>14528.22</v>
      </c>
      <c r="R29" s="73">
        <v>6158.9384100000007</v>
      </c>
      <c r="S29" s="35">
        <v>1250</v>
      </c>
      <c r="T29" s="85">
        <v>17227</v>
      </c>
      <c r="U29" s="81">
        <v>0</v>
      </c>
      <c r="V29" s="64">
        <v>26688.179782200004</v>
      </c>
      <c r="W29" s="35">
        <f t="shared" si="5"/>
        <v>31610.28</v>
      </c>
      <c r="X29" s="85">
        <f t="shared" si="5"/>
        <v>30700.83</v>
      </c>
      <c r="Y29" s="81">
        <f t="shared" si="5"/>
        <v>17754.23</v>
      </c>
    </row>
    <row r="30" spans="1:25">
      <c r="A30" s="23" t="s">
        <v>563</v>
      </c>
      <c r="B30" s="27">
        <f t="shared" ref="B30:Y30" si="6">SUM(B23:B29)</f>
        <v>39499</v>
      </c>
      <c r="C30" s="60">
        <f t="shared" si="6"/>
        <v>39499</v>
      </c>
      <c r="D30" s="60">
        <f t="shared" si="6"/>
        <v>39499</v>
      </c>
      <c r="E30" s="60">
        <f t="shared" si="6"/>
        <v>9499</v>
      </c>
      <c r="F30" s="27">
        <f t="shared" si="6"/>
        <v>16.966497</v>
      </c>
      <c r="G30" s="60">
        <f t="shared" si="6"/>
        <v>0</v>
      </c>
      <c r="H30" s="60">
        <f t="shared" si="6"/>
        <v>50.9</v>
      </c>
      <c r="I30" s="60">
        <f t="shared" si="6"/>
        <v>0</v>
      </c>
      <c r="J30" s="27">
        <f t="shared" si="6"/>
        <v>10868.3346489</v>
      </c>
      <c r="K30" s="60">
        <f t="shared" si="6"/>
        <v>12883.310000000001</v>
      </c>
      <c r="L30" s="60">
        <f t="shared" si="6"/>
        <v>16073.81</v>
      </c>
      <c r="M30" s="60">
        <f t="shared" si="6"/>
        <v>3648.21</v>
      </c>
      <c r="N30" s="27">
        <f t="shared" si="6"/>
        <v>12653.4701307</v>
      </c>
      <c r="O30" s="60">
        <f t="shared" si="6"/>
        <v>23432.57</v>
      </c>
      <c r="P30" s="60">
        <f t="shared" si="6"/>
        <v>0</v>
      </c>
      <c r="Q30" s="60">
        <f t="shared" si="6"/>
        <v>14528.22</v>
      </c>
      <c r="R30" s="27">
        <f t="shared" si="6"/>
        <v>6783.4654980000005</v>
      </c>
      <c r="S30" s="36">
        <f t="shared" si="6"/>
        <v>1533.5</v>
      </c>
      <c r="T30" s="36">
        <f t="shared" si="6"/>
        <v>17797</v>
      </c>
      <c r="U30" s="36">
        <f t="shared" si="6"/>
        <v>1020.1</v>
      </c>
      <c r="V30" s="27">
        <f t="shared" si="6"/>
        <v>30322.236774600005</v>
      </c>
      <c r="W30" s="36">
        <f t="shared" si="6"/>
        <v>37849.379999999997</v>
      </c>
      <c r="X30" s="36">
        <f t="shared" si="6"/>
        <v>33921.71</v>
      </c>
      <c r="Y30" s="36">
        <f t="shared" si="6"/>
        <v>19196.53</v>
      </c>
    </row>
    <row r="31" spans="1:25">
      <c r="A31" s="24" t="s">
        <v>429</v>
      </c>
      <c r="B31" s="21"/>
      <c r="C31" s="26"/>
      <c r="D31" s="26"/>
      <c r="E31" s="26"/>
      <c r="F31" s="26"/>
      <c r="G31" s="26"/>
      <c r="H31" s="26"/>
      <c r="I31" s="26"/>
      <c r="J31" s="26"/>
      <c r="K31" s="26"/>
      <c r="L31" s="26"/>
      <c r="M31" s="26"/>
      <c r="N31" s="26"/>
      <c r="O31" s="26"/>
      <c r="P31" s="26"/>
      <c r="Q31" s="26"/>
      <c r="R31" s="26"/>
      <c r="S31" s="26"/>
      <c r="T31" s="26"/>
      <c r="U31" s="26"/>
      <c r="V31" s="21"/>
      <c r="W31" s="26"/>
      <c r="X31" s="26"/>
      <c r="Y31" s="26"/>
    </row>
    <row r="32" spans="1:25">
      <c r="A32" s="40" t="s">
        <v>81</v>
      </c>
      <c r="B32" s="65">
        <v>0</v>
      </c>
      <c r="C32" s="54">
        <v>0</v>
      </c>
      <c r="D32" s="89">
        <v>0</v>
      </c>
      <c r="E32" s="86">
        <v>0</v>
      </c>
      <c r="F32" s="72">
        <v>0</v>
      </c>
      <c r="G32" s="54">
        <v>0</v>
      </c>
      <c r="H32" s="89">
        <v>0</v>
      </c>
      <c r="I32" s="86">
        <v>0</v>
      </c>
      <c r="J32" s="72">
        <v>0</v>
      </c>
      <c r="K32" s="54">
        <v>0</v>
      </c>
      <c r="L32" s="89">
        <v>0</v>
      </c>
      <c r="M32" s="86">
        <v>0</v>
      </c>
      <c r="N32" s="72">
        <v>0</v>
      </c>
      <c r="O32" s="54">
        <v>0</v>
      </c>
      <c r="P32" s="89">
        <v>0</v>
      </c>
      <c r="Q32" s="86">
        <v>0</v>
      </c>
      <c r="R32" s="72">
        <v>0</v>
      </c>
      <c r="S32" s="32">
        <v>0</v>
      </c>
      <c r="T32" s="84">
        <v>0</v>
      </c>
      <c r="U32" s="80">
        <v>0</v>
      </c>
      <c r="V32" s="65">
        <v>0</v>
      </c>
      <c r="W32" s="32">
        <f t="shared" ref="W32:Y33" si="7">SUM(G32,K32,O32,S32)</f>
        <v>0</v>
      </c>
      <c r="X32" s="84">
        <f t="shared" si="7"/>
        <v>0</v>
      </c>
      <c r="Y32" s="80">
        <f t="shared" si="7"/>
        <v>0</v>
      </c>
    </row>
    <row r="33" spans="1:25">
      <c r="A33" s="42" t="s">
        <v>79</v>
      </c>
      <c r="B33" s="64">
        <v>0</v>
      </c>
      <c r="C33" s="59">
        <v>0</v>
      </c>
      <c r="D33" s="91">
        <v>0</v>
      </c>
      <c r="E33" s="88">
        <v>0</v>
      </c>
      <c r="F33" s="73">
        <v>0</v>
      </c>
      <c r="G33" s="59">
        <v>0</v>
      </c>
      <c r="H33" s="91">
        <v>0</v>
      </c>
      <c r="I33" s="88">
        <v>0</v>
      </c>
      <c r="J33" s="73">
        <v>0</v>
      </c>
      <c r="K33" s="59">
        <v>0</v>
      </c>
      <c r="L33" s="91">
        <v>0</v>
      </c>
      <c r="M33" s="88">
        <v>0</v>
      </c>
      <c r="N33" s="73">
        <v>0</v>
      </c>
      <c r="O33" s="59">
        <v>0</v>
      </c>
      <c r="P33" s="91">
        <v>0</v>
      </c>
      <c r="Q33" s="88">
        <v>0</v>
      </c>
      <c r="R33" s="73">
        <v>0</v>
      </c>
      <c r="S33" s="35">
        <v>0</v>
      </c>
      <c r="T33" s="85">
        <v>0</v>
      </c>
      <c r="U33" s="81">
        <v>0</v>
      </c>
      <c r="V33" s="64">
        <v>0</v>
      </c>
      <c r="W33" s="35">
        <f t="shared" si="7"/>
        <v>0</v>
      </c>
      <c r="X33" s="85">
        <f t="shared" si="7"/>
        <v>0</v>
      </c>
      <c r="Y33" s="81">
        <f t="shared" si="7"/>
        <v>0</v>
      </c>
    </row>
    <row r="34" spans="1:25">
      <c r="A34" s="23" t="s">
        <v>564</v>
      </c>
      <c r="B34" s="27">
        <f t="shared" ref="B34:Y34" si="8">SUM(B32:B33)</f>
        <v>0</v>
      </c>
      <c r="C34" s="60">
        <f t="shared" si="8"/>
        <v>0</v>
      </c>
      <c r="D34" s="60">
        <f t="shared" si="8"/>
        <v>0</v>
      </c>
      <c r="E34" s="60">
        <f t="shared" si="8"/>
        <v>0</v>
      </c>
      <c r="F34" s="27">
        <f t="shared" si="8"/>
        <v>0</v>
      </c>
      <c r="G34" s="60">
        <f t="shared" si="8"/>
        <v>0</v>
      </c>
      <c r="H34" s="60">
        <f t="shared" si="8"/>
        <v>0</v>
      </c>
      <c r="I34" s="60">
        <f t="shared" si="8"/>
        <v>0</v>
      </c>
      <c r="J34" s="27">
        <f t="shared" si="8"/>
        <v>0</v>
      </c>
      <c r="K34" s="60">
        <f t="shared" si="8"/>
        <v>0</v>
      </c>
      <c r="L34" s="60">
        <f t="shared" si="8"/>
        <v>0</v>
      </c>
      <c r="M34" s="60">
        <f t="shared" si="8"/>
        <v>0</v>
      </c>
      <c r="N34" s="27">
        <f t="shared" si="8"/>
        <v>0</v>
      </c>
      <c r="O34" s="60">
        <f t="shared" si="8"/>
        <v>0</v>
      </c>
      <c r="P34" s="60">
        <f t="shared" si="8"/>
        <v>0</v>
      </c>
      <c r="Q34" s="60">
        <f t="shared" si="8"/>
        <v>0</v>
      </c>
      <c r="R34" s="27">
        <f t="shared" si="8"/>
        <v>0</v>
      </c>
      <c r="S34" s="36">
        <f t="shared" si="8"/>
        <v>0</v>
      </c>
      <c r="T34" s="36">
        <f t="shared" si="8"/>
        <v>0</v>
      </c>
      <c r="U34" s="36">
        <f t="shared" si="8"/>
        <v>0</v>
      </c>
      <c r="V34" s="27">
        <f t="shared" si="8"/>
        <v>0</v>
      </c>
      <c r="W34" s="36">
        <f t="shared" si="8"/>
        <v>0</v>
      </c>
      <c r="X34" s="36">
        <f t="shared" si="8"/>
        <v>0</v>
      </c>
      <c r="Y34" s="36">
        <f t="shared" si="8"/>
        <v>0</v>
      </c>
    </row>
    <row r="35" spans="1:25">
      <c r="A35" s="24" t="s">
        <v>565</v>
      </c>
      <c r="B35" s="26"/>
      <c r="C35" s="26"/>
      <c r="D35" s="26"/>
      <c r="E35" s="26"/>
      <c r="F35" s="26"/>
      <c r="G35" s="26"/>
      <c r="H35" s="26"/>
      <c r="I35" s="26"/>
      <c r="J35" s="26"/>
      <c r="K35" s="26"/>
      <c r="L35" s="26"/>
      <c r="M35" s="26"/>
      <c r="N35" s="26"/>
      <c r="O35" s="26"/>
      <c r="P35" s="26"/>
      <c r="Q35" s="26"/>
      <c r="R35" s="26"/>
      <c r="S35" s="26"/>
      <c r="T35" s="26"/>
      <c r="U35" s="26"/>
      <c r="V35" s="26"/>
      <c r="W35" s="26"/>
      <c r="X35" s="26"/>
      <c r="Y35" s="26"/>
    </row>
    <row r="36" spans="1:25">
      <c r="A36" s="40" t="s">
        <v>77</v>
      </c>
      <c r="B36" s="65">
        <v>0</v>
      </c>
      <c r="C36" s="54">
        <v>0</v>
      </c>
      <c r="D36" s="89">
        <v>0</v>
      </c>
      <c r="E36" s="86">
        <v>0</v>
      </c>
      <c r="F36" s="72">
        <v>0</v>
      </c>
      <c r="G36" s="54">
        <v>0</v>
      </c>
      <c r="H36" s="89">
        <v>0</v>
      </c>
      <c r="I36" s="86">
        <v>0</v>
      </c>
      <c r="J36" s="72">
        <v>0</v>
      </c>
      <c r="K36" s="54">
        <v>0</v>
      </c>
      <c r="L36" s="89">
        <v>0</v>
      </c>
      <c r="M36" s="86">
        <v>0</v>
      </c>
      <c r="N36" s="72">
        <v>0</v>
      </c>
      <c r="O36" s="54">
        <v>0</v>
      </c>
      <c r="P36" s="89">
        <v>0</v>
      </c>
      <c r="Q36" s="86">
        <v>0</v>
      </c>
      <c r="R36" s="72">
        <v>0</v>
      </c>
      <c r="S36" s="32">
        <v>0</v>
      </c>
      <c r="T36" s="84">
        <v>0</v>
      </c>
      <c r="U36" s="80">
        <v>0</v>
      </c>
      <c r="V36" s="65">
        <v>0</v>
      </c>
      <c r="W36" s="32">
        <f t="shared" ref="W36:Y41" si="9">SUM(G36,K36,O36,S36)</f>
        <v>0</v>
      </c>
      <c r="X36" s="84">
        <f t="shared" si="9"/>
        <v>0</v>
      </c>
      <c r="Y36" s="80">
        <f t="shared" si="9"/>
        <v>0</v>
      </c>
    </row>
    <row r="37" spans="1:25">
      <c r="A37" s="41" t="s">
        <v>59</v>
      </c>
      <c r="B37" s="39">
        <v>0</v>
      </c>
      <c r="C37" s="54">
        <v>0</v>
      </c>
      <c r="D37" s="89">
        <v>0</v>
      </c>
      <c r="E37" s="86">
        <v>0</v>
      </c>
      <c r="F37" s="72">
        <v>0</v>
      </c>
      <c r="G37" s="54">
        <v>0</v>
      </c>
      <c r="H37" s="89">
        <v>0</v>
      </c>
      <c r="I37" s="86">
        <v>0</v>
      </c>
      <c r="J37" s="72">
        <v>0</v>
      </c>
      <c r="K37" s="54">
        <v>0</v>
      </c>
      <c r="L37" s="89">
        <v>0</v>
      </c>
      <c r="M37" s="86">
        <v>0</v>
      </c>
      <c r="N37" s="72">
        <v>0</v>
      </c>
      <c r="O37" s="54">
        <v>0</v>
      </c>
      <c r="P37" s="89">
        <v>0</v>
      </c>
      <c r="Q37" s="86">
        <v>0</v>
      </c>
      <c r="R37" s="72">
        <v>0</v>
      </c>
      <c r="S37" s="22">
        <v>0</v>
      </c>
      <c r="T37" s="82">
        <v>0</v>
      </c>
      <c r="U37" s="78">
        <v>0</v>
      </c>
      <c r="V37" s="39">
        <v>0</v>
      </c>
      <c r="W37" s="22">
        <f t="shared" si="9"/>
        <v>0</v>
      </c>
      <c r="X37" s="82">
        <f t="shared" si="9"/>
        <v>0</v>
      </c>
      <c r="Y37" s="78">
        <f t="shared" si="9"/>
        <v>0</v>
      </c>
    </row>
    <row r="38" spans="1:25">
      <c r="A38" s="41" t="s">
        <v>39</v>
      </c>
      <c r="B38" s="39">
        <v>0</v>
      </c>
      <c r="C38" s="54">
        <v>0</v>
      </c>
      <c r="D38" s="89">
        <v>0</v>
      </c>
      <c r="E38" s="86">
        <v>0</v>
      </c>
      <c r="F38" s="72">
        <v>0</v>
      </c>
      <c r="G38" s="54">
        <v>0</v>
      </c>
      <c r="H38" s="89">
        <v>0</v>
      </c>
      <c r="I38" s="86">
        <v>0</v>
      </c>
      <c r="J38" s="72">
        <v>0</v>
      </c>
      <c r="K38" s="54">
        <v>0</v>
      </c>
      <c r="L38" s="89">
        <v>0</v>
      </c>
      <c r="M38" s="86">
        <v>0</v>
      </c>
      <c r="N38" s="72">
        <v>0</v>
      </c>
      <c r="O38" s="54">
        <v>0</v>
      </c>
      <c r="P38" s="89">
        <v>0</v>
      </c>
      <c r="Q38" s="86">
        <v>0</v>
      </c>
      <c r="R38" s="72">
        <v>0</v>
      </c>
      <c r="S38" s="22">
        <v>0</v>
      </c>
      <c r="T38" s="82">
        <v>0</v>
      </c>
      <c r="U38" s="78">
        <v>0</v>
      </c>
      <c r="V38" s="39">
        <v>0</v>
      </c>
      <c r="W38" s="22">
        <f t="shared" si="9"/>
        <v>0</v>
      </c>
      <c r="X38" s="82">
        <f t="shared" si="9"/>
        <v>0</v>
      </c>
      <c r="Y38" s="78">
        <f t="shared" si="9"/>
        <v>0</v>
      </c>
    </row>
    <row r="39" spans="1:25">
      <c r="A39" s="92" t="s">
        <v>31</v>
      </c>
      <c r="B39" s="93">
        <v>0</v>
      </c>
      <c r="C39" s="94">
        <v>0</v>
      </c>
      <c r="D39" s="100">
        <v>0</v>
      </c>
      <c r="E39" s="99">
        <v>0</v>
      </c>
      <c r="F39" s="95">
        <v>0</v>
      </c>
      <c r="G39" s="94">
        <v>0</v>
      </c>
      <c r="H39" s="100">
        <v>0</v>
      </c>
      <c r="I39" s="99">
        <v>0</v>
      </c>
      <c r="J39" s="95">
        <v>0</v>
      </c>
      <c r="K39" s="94">
        <v>0</v>
      </c>
      <c r="L39" s="100">
        <v>0</v>
      </c>
      <c r="M39" s="99">
        <v>0</v>
      </c>
      <c r="N39" s="95">
        <v>0</v>
      </c>
      <c r="O39" s="94">
        <v>0</v>
      </c>
      <c r="P39" s="100">
        <v>0</v>
      </c>
      <c r="Q39" s="99">
        <v>0</v>
      </c>
      <c r="R39" s="95">
        <v>0</v>
      </c>
      <c r="S39" s="96">
        <v>0</v>
      </c>
      <c r="T39" s="98">
        <v>0</v>
      </c>
      <c r="U39" s="97">
        <v>0</v>
      </c>
      <c r="V39" s="93">
        <v>0</v>
      </c>
      <c r="W39" s="96">
        <f t="shared" si="9"/>
        <v>0</v>
      </c>
      <c r="X39" s="98">
        <f t="shared" si="9"/>
        <v>0</v>
      </c>
      <c r="Y39" s="97">
        <f t="shared" si="9"/>
        <v>0</v>
      </c>
    </row>
    <row r="40" spans="1:25">
      <c r="A40" s="41" t="s">
        <v>27</v>
      </c>
      <c r="B40" s="39">
        <v>2485</v>
      </c>
      <c r="C40" s="54">
        <v>2386</v>
      </c>
      <c r="D40" s="89">
        <v>2386</v>
      </c>
      <c r="E40" s="86">
        <v>546</v>
      </c>
      <c r="F40" s="72">
        <v>6.3166035000000003</v>
      </c>
      <c r="G40" s="54">
        <v>15.88</v>
      </c>
      <c r="H40" s="89">
        <v>3.07</v>
      </c>
      <c r="I40" s="86">
        <v>0</v>
      </c>
      <c r="J40" s="72">
        <v>740.5625943</v>
      </c>
      <c r="K40" s="54">
        <v>1041.07</v>
      </c>
      <c r="L40" s="89">
        <v>970.86</v>
      </c>
      <c r="M40" s="86">
        <v>209.78</v>
      </c>
      <c r="N40" s="72">
        <v>775.04558279999992</v>
      </c>
      <c r="O40" s="54">
        <v>1489.79</v>
      </c>
      <c r="P40" s="89">
        <v>0</v>
      </c>
      <c r="Q40" s="86">
        <v>835.37</v>
      </c>
      <c r="R40" s="72">
        <v>390.95609040000005</v>
      </c>
      <c r="S40" s="22">
        <v>39.28</v>
      </c>
      <c r="T40" s="82">
        <v>1074.94</v>
      </c>
      <c r="U40" s="78">
        <v>58.66</v>
      </c>
      <c r="V40" s="39">
        <v>1912.8808710000003</v>
      </c>
      <c r="W40" s="22">
        <f t="shared" si="9"/>
        <v>2586.02</v>
      </c>
      <c r="X40" s="82">
        <f t="shared" si="9"/>
        <v>2048.87</v>
      </c>
      <c r="Y40" s="78">
        <f t="shared" si="9"/>
        <v>1103.8100000000002</v>
      </c>
    </row>
    <row r="41" spans="1:25">
      <c r="A41" s="42" t="s">
        <v>25</v>
      </c>
      <c r="B41" s="64">
        <v>201</v>
      </c>
      <c r="C41" s="59">
        <v>197</v>
      </c>
      <c r="D41" s="91">
        <v>197</v>
      </c>
      <c r="E41" s="88">
        <v>66</v>
      </c>
      <c r="F41" s="73">
        <v>0.51332820000000001</v>
      </c>
      <c r="G41" s="59">
        <v>1.29</v>
      </c>
      <c r="H41" s="91">
        <v>0.25</v>
      </c>
      <c r="I41" s="88">
        <v>0</v>
      </c>
      <c r="J41" s="73">
        <v>63.316033500000003</v>
      </c>
      <c r="K41" s="59">
        <v>84.42</v>
      </c>
      <c r="L41" s="91">
        <v>80.36</v>
      </c>
      <c r="M41" s="88">
        <v>25.17</v>
      </c>
      <c r="N41" s="73">
        <v>73.682596500000002</v>
      </c>
      <c r="O41" s="59">
        <v>120.8</v>
      </c>
      <c r="P41" s="91">
        <v>0</v>
      </c>
      <c r="Q41" s="88">
        <v>100.25</v>
      </c>
      <c r="R41" s="73">
        <v>33.073002600000002</v>
      </c>
      <c r="S41" s="35">
        <v>3.19</v>
      </c>
      <c r="T41" s="85">
        <v>88.99</v>
      </c>
      <c r="U41" s="81">
        <v>7.04</v>
      </c>
      <c r="V41" s="64">
        <v>170.58496079999998</v>
      </c>
      <c r="W41" s="35">
        <f t="shared" si="9"/>
        <v>209.7</v>
      </c>
      <c r="X41" s="85">
        <f t="shared" si="9"/>
        <v>169.6</v>
      </c>
      <c r="Y41" s="81">
        <f t="shared" si="9"/>
        <v>132.46</v>
      </c>
    </row>
    <row r="42" spans="1:25">
      <c r="A42" s="23" t="s">
        <v>566</v>
      </c>
      <c r="B42" s="27">
        <f t="shared" ref="B42:Y42" si="10">SUM(B36:B41)</f>
        <v>2686</v>
      </c>
      <c r="C42" s="56">
        <f t="shared" si="10"/>
        <v>2583</v>
      </c>
      <c r="D42" s="56">
        <f t="shared" si="10"/>
        <v>2583</v>
      </c>
      <c r="E42" s="56">
        <f t="shared" si="10"/>
        <v>612</v>
      </c>
      <c r="F42" s="66">
        <f t="shared" si="10"/>
        <v>6.8299317000000004</v>
      </c>
      <c r="G42" s="56">
        <f t="shared" si="10"/>
        <v>17.170000000000002</v>
      </c>
      <c r="H42" s="56">
        <f t="shared" si="10"/>
        <v>3.32</v>
      </c>
      <c r="I42" s="56">
        <f t="shared" si="10"/>
        <v>0</v>
      </c>
      <c r="J42" s="66">
        <f t="shared" si="10"/>
        <v>803.8786278</v>
      </c>
      <c r="K42" s="56">
        <f t="shared" si="10"/>
        <v>1125.49</v>
      </c>
      <c r="L42" s="56">
        <f t="shared" si="10"/>
        <v>1051.22</v>
      </c>
      <c r="M42" s="56">
        <f t="shared" si="10"/>
        <v>234.95</v>
      </c>
      <c r="N42" s="66">
        <f t="shared" si="10"/>
        <v>848.72817929999997</v>
      </c>
      <c r="O42" s="56">
        <f t="shared" si="10"/>
        <v>1610.59</v>
      </c>
      <c r="P42" s="56">
        <f t="shared" si="10"/>
        <v>0</v>
      </c>
      <c r="Q42" s="56">
        <f t="shared" si="10"/>
        <v>935.62</v>
      </c>
      <c r="R42" s="66">
        <f t="shared" si="10"/>
        <v>424.02909300000005</v>
      </c>
      <c r="S42" s="37">
        <f t="shared" si="10"/>
        <v>42.47</v>
      </c>
      <c r="T42" s="37">
        <f t="shared" si="10"/>
        <v>1163.93</v>
      </c>
      <c r="U42" s="37">
        <f t="shared" si="10"/>
        <v>65.7</v>
      </c>
      <c r="V42" s="27">
        <f t="shared" si="10"/>
        <v>2083.4658318000002</v>
      </c>
      <c r="W42" s="37">
        <f t="shared" si="10"/>
        <v>2795.72</v>
      </c>
      <c r="X42" s="37">
        <f t="shared" si="10"/>
        <v>2218.4699999999998</v>
      </c>
      <c r="Y42" s="37">
        <f t="shared" si="10"/>
        <v>1236.2700000000002</v>
      </c>
    </row>
    <row r="43" spans="1:25" ht="16.2" thickBot="1">
      <c r="A43" s="43" t="s">
        <v>567</v>
      </c>
      <c r="B43" s="34">
        <f>SUM(B21,B30,B34,B42)</f>
        <v>42185</v>
      </c>
      <c r="C43" s="52">
        <f t="shared" ref="C43:U43" si="11">SUM(C21,C30,C34,C42)</f>
        <v>42082</v>
      </c>
      <c r="D43" s="52">
        <f t="shared" si="11"/>
        <v>42082</v>
      </c>
      <c r="E43" s="52">
        <f t="shared" si="11"/>
        <v>10111</v>
      </c>
      <c r="F43" s="34">
        <f t="shared" si="11"/>
        <v>107.96225370000002</v>
      </c>
      <c r="G43" s="52">
        <f t="shared" si="11"/>
        <v>269.67</v>
      </c>
      <c r="H43" s="52">
        <f t="shared" si="11"/>
        <v>54.22</v>
      </c>
      <c r="I43" s="52">
        <f t="shared" si="11"/>
        <v>0</v>
      </c>
      <c r="J43" s="34">
        <f t="shared" si="11"/>
        <v>12894.851050200001</v>
      </c>
      <c r="K43" s="52">
        <f t="shared" si="11"/>
        <v>17676.750000000004</v>
      </c>
      <c r="L43" s="52">
        <f t="shared" si="11"/>
        <v>17125.03</v>
      </c>
      <c r="M43" s="52">
        <f t="shared" si="11"/>
        <v>3883.16</v>
      </c>
      <c r="N43" s="34">
        <f t="shared" si="11"/>
        <v>13586.364135</v>
      </c>
      <c r="O43" s="52">
        <f t="shared" si="11"/>
        <v>25295.66</v>
      </c>
      <c r="P43" s="52">
        <f t="shared" si="11"/>
        <v>0</v>
      </c>
      <c r="Q43" s="52">
        <f t="shared" si="11"/>
        <v>15463.84</v>
      </c>
      <c r="R43" s="34">
        <f t="shared" si="11"/>
        <v>6904.4976210000004</v>
      </c>
      <c r="S43" s="34">
        <f t="shared" si="11"/>
        <v>666.97</v>
      </c>
      <c r="T43" s="34">
        <f t="shared" si="11"/>
        <v>18960.93</v>
      </c>
      <c r="U43" s="34">
        <f t="shared" si="11"/>
        <v>1085.8</v>
      </c>
      <c r="V43" s="34">
        <f>SUM(V21,V30,V34,V42)</f>
        <v>33493.675059900008</v>
      </c>
      <c r="W43" s="34">
        <f t="shared" ref="W43:Y43" si="12">SUM(W21,W30,W34,W42)</f>
        <v>43909.049999999996</v>
      </c>
      <c r="X43" s="34">
        <f t="shared" si="12"/>
        <v>36140.18</v>
      </c>
      <c r="Y43" s="34">
        <f t="shared" si="12"/>
        <v>20432.8</v>
      </c>
    </row>
    <row r="44" spans="1:25" ht="15" thickTop="1">
      <c r="A44" s="44" t="s">
        <v>568</v>
      </c>
      <c r="B44" s="28"/>
      <c r="C44" s="20"/>
      <c r="D44" s="20"/>
      <c r="E44" s="20"/>
      <c r="F44" s="28"/>
      <c r="G44" s="20"/>
      <c r="H44" s="20"/>
      <c r="I44" s="20"/>
      <c r="J44" s="28"/>
      <c r="K44" s="20"/>
      <c r="L44" s="20"/>
      <c r="M44" s="20"/>
      <c r="N44" s="28"/>
      <c r="O44" s="20"/>
      <c r="P44" s="20"/>
      <c r="Q44" s="20"/>
      <c r="R44" s="28"/>
      <c r="S44" s="20"/>
      <c r="T44" s="20"/>
      <c r="U44" s="20"/>
      <c r="V44" s="28"/>
      <c r="W44" s="20"/>
      <c r="X44" s="20"/>
      <c r="Y44" s="20"/>
    </row>
    <row r="45" spans="1:25">
      <c r="A45" s="40" t="s">
        <v>23</v>
      </c>
      <c r="B45" s="65">
        <v>0</v>
      </c>
      <c r="C45" s="54">
        <v>0</v>
      </c>
      <c r="D45" s="89">
        <v>0</v>
      </c>
      <c r="E45" s="86">
        <v>0</v>
      </c>
      <c r="F45" s="72">
        <v>0</v>
      </c>
      <c r="G45" s="54">
        <v>0</v>
      </c>
      <c r="H45" s="89">
        <v>0</v>
      </c>
      <c r="I45" s="86">
        <v>0</v>
      </c>
      <c r="J45" s="72">
        <v>0</v>
      </c>
      <c r="K45" s="54">
        <v>0</v>
      </c>
      <c r="L45" s="89">
        <v>0</v>
      </c>
      <c r="M45" s="86">
        <v>0</v>
      </c>
      <c r="N45" s="72">
        <v>99.999000000000009</v>
      </c>
      <c r="O45" s="54">
        <v>0</v>
      </c>
      <c r="P45" s="89">
        <v>0</v>
      </c>
      <c r="Q45" s="86">
        <v>300</v>
      </c>
      <c r="R45" s="72">
        <v>1980.5868605999999</v>
      </c>
      <c r="S45" s="32">
        <v>0</v>
      </c>
      <c r="T45" s="84">
        <v>5941.82</v>
      </c>
      <c r="U45" s="80">
        <v>0</v>
      </c>
      <c r="V45" s="65">
        <v>2080.5858605999997</v>
      </c>
      <c r="W45" s="32">
        <f t="shared" ref="W45:Y46" si="13">SUM(G45,K45,O45,S45)</f>
        <v>0</v>
      </c>
      <c r="X45" s="84">
        <f t="shared" si="13"/>
        <v>5941.82</v>
      </c>
      <c r="Y45" s="80">
        <f t="shared" si="13"/>
        <v>300</v>
      </c>
    </row>
    <row r="46" spans="1:25">
      <c r="A46" s="42" t="s">
        <v>7</v>
      </c>
      <c r="B46" s="64">
        <v>0</v>
      </c>
      <c r="C46" s="59">
        <v>0</v>
      </c>
      <c r="D46" s="91">
        <v>0</v>
      </c>
      <c r="E46" s="88">
        <v>0</v>
      </c>
      <c r="F46" s="73">
        <v>0</v>
      </c>
      <c r="G46" s="59">
        <v>0</v>
      </c>
      <c r="H46" s="91">
        <v>0</v>
      </c>
      <c r="I46" s="88">
        <v>0</v>
      </c>
      <c r="J46" s="73">
        <v>0</v>
      </c>
      <c r="K46" s="59">
        <v>0</v>
      </c>
      <c r="L46" s="91">
        <v>0</v>
      </c>
      <c r="M46" s="88">
        <v>0</v>
      </c>
      <c r="N46" s="73">
        <v>0</v>
      </c>
      <c r="O46" s="59">
        <v>0</v>
      </c>
      <c r="P46" s="91">
        <v>0</v>
      </c>
      <c r="Q46" s="88">
        <v>0</v>
      </c>
      <c r="R46" s="73">
        <v>0</v>
      </c>
      <c r="S46" s="35">
        <v>0</v>
      </c>
      <c r="T46" s="85">
        <v>0</v>
      </c>
      <c r="U46" s="81">
        <v>0</v>
      </c>
      <c r="V46" s="64">
        <v>0</v>
      </c>
      <c r="W46" s="35">
        <f t="shared" si="13"/>
        <v>0</v>
      </c>
      <c r="X46" s="85">
        <f t="shared" si="13"/>
        <v>0</v>
      </c>
      <c r="Y46" s="81">
        <f t="shared" si="13"/>
        <v>0</v>
      </c>
    </row>
    <row r="47" spans="1:25">
      <c r="A47" s="45" t="s">
        <v>569</v>
      </c>
      <c r="B47" s="49">
        <f t="shared" ref="B47:Y47" si="14">SUM(B45:B46)</f>
        <v>0</v>
      </c>
      <c r="C47" s="60">
        <f t="shared" si="14"/>
        <v>0</v>
      </c>
      <c r="D47" s="60">
        <f t="shared" si="14"/>
        <v>0</v>
      </c>
      <c r="E47" s="60">
        <f t="shared" si="14"/>
        <v>0</v>
      </c>
      <c r="F47" s="27">
        <f t="shared" si="14"/>
        <v>0</v>
      </c>
      <c r="G47" s="60">
        <f t="shared" si="14"/>
        <v>0</v>
      </c>
      <c r="H47" s="60">
        <f t="shared" si="14"/>
        <v>0</v>
      </c>
      <c r="I47" s="60">
        <f t="shared" si="14"/>
        <v>0</v>
      </c>
      <c r="J47" s="27">
        <f t="shared" si="14"/>
        <v>0</v>
      </c>
      <c r="K47" s="60">
        <f t="shared" si="14"/>
        <v>0</v>
      </c>
      <c r="L47" s="60">
        <f t="shared" si="14"/>
        <v>0</v>
      </c>
      <c r="M47" s="60">
        <f t="shared" si="14"/>
        <v>0</v>
      </c>
      <c r="N47" s="27">
        <f t="shared" si="14"/>
        <v>99.999000000000009</v>
      </c>
      <c r="O47" s="60">
        <f t="shared" si="14"/>
        <v>0</v>
      </c>
      <c r="P47" s="60">
        <f t="shared" si="14"/>
        <v>0</v>
      </c>
      <c r="Q47" s="60">
        <f t="shared" si="14"/>
        <v>300</v>
      </c>
      <c r="R47" s="27">
        <f t="shared" si="14"/>
        <v>1980.5868605999999</v>
      </c>
      <c r="S47" s="36">
        <f t="shared" si="14"/>
        <v>0</v>
      </c>
      <c r="T47" s="36">
        <f t="shared" si="14"/>
        <v>5941.82</v>
      </c>
      <c r="U47" s="36">
        <f t="shared" si="14"/>
        <v>0</v>
      </c>
      <c r="V47" s="49">
        <f t="shared" si="14"/>
        <v>2080.5858605999997</v>
      </c>
      <c r="W47" s="36">
        <f t="shared" si="14"/>
        <v>0</v>
      </c>
      <c r="X47" s="36">
        <f t="shared" si="14"/>
        <v>5941.82</v>
      </c>
      <c r="Y47" s="36">
        <f t="shared" si="14"/>
        <v>300</v>
      </c>
    </row>
    <row r="48" spans="1:25" ht="16.2" thickBot="1">
      <c r="A48" s="43" t="s">
        <v>570</v>
      </c>
      <c r="B48" s="34">
        <f>SUM(B12,B43,B47)</f>
        <v>0</v>
      </c>
      <c r="C48" s="52">
        <f t="shared" ref="C48:U48" si="15">SUM(C12,C43,C47)</f>
        <v>0</v>
      </c>
      <c r="D48" s="52">
        <f t="shared" si="15"/>
        <v>0</v>
      </c>
      <c r="E48" s="52">
        <f t="shared" si="15"/>
        <v>0</v>
      </c>
      <c r="F48" s="34">
        <f t="shared" si="15"/>
        <v>-15604.547286300001</v>
      </c>
      <c r="G48" s="52">
        <f t="shared" si="15"/>
        <v>-20771.330000000002</v>
      </c>
      <c r="H48" s="52">
        <f t="shared" si="15"/>
        <v>-20986.78</v>
      </c>
      <c r="I48" s="52">
        <f t="shared" si="15"/>
        <v>-5056</v>
      </c>
      <c r="J48" s="34">
        <f t="shared" si="15"/>
        <v>12894.851050200001</v>
      </c>
      <c r="K48" s="52">
        <f t="shared" si="15"/>
        <v>17676.750000000004</v>
      </c>
      <c r="L48" s="52">
        <f t="shared" si="15"/>
        <v>17125.03</v>
      </c>
      <c r="M48" s="52">
        <f t="shared" si="15"/>
        <v>3883.16</v>
      </c>
      <c r="N48" s="34">
        <f t="shared" si="15"/>
        <v>-2025.8130750000016</v>
      </c>
      <c r="O48" s="52">
        <f t="shared" si="15"/>
        <v>4254.66</v>
      </c>
      <c r="P48" s="52">
        <f t="shared" si="15"/>
        <v>-21041</v>
      </c>
      <c r="Q48" s="52">
        <f t="shared" si="15"/>
        <v>10708.84</v>
      </c>
      <c r="R48" s="34">
        <f t="shared" si="15"/>
        <v>5064.7460187000006</v>
      </c>
      <c r="S48" s="34">
        <f t="shared" si="15"/>
        <v>-1160.08</v>
      </c>
      <c r="T48" s="34">
        <f t="shared" si="15"/>
        <v>24902.75</v>
      </c>
      <c r="U48" s="34">
        <f t="shared" si="15"/>
        <v>-8548.2800000000007</v>
      </c>
      <c r="V48" s="34">
        <f>SUM(V12,V43,V47)</f>
        <v>329.23670760000414</v>
      </c>
      <c r="W48" s="34">
        <f t="shared" ref="W48:Y48" si="16">SUM(W12,W43,W47)</f>
        <v>-7.2759576141834259E-12</v>
      </c>
      <c r="X48" s="34">
        <f t="shared" si="16"/>
        <v>0</v>
      </c>
      <c r="Y48" s="34">
        <f t="shared" si="16"/>
        <v>987.71999999999753</v>
      </c>
    </row>
    <row r="49" spans="1:25" ht="15" thickTop="1">
      <c r="A49" s="29"/>
      <c r="B49" s="19"/>
      <c r="C49" s="48"/>
      <c r="D49" s="48"/>
      <c r="E49" s="48"/>
      <c r="F49" s="19"/>
      <c r="G49" s="48"/>
      <c r="H49" s="48"/>
      <c r="I49" s="48"/>
      <c r="J49" s="19"/>
      <c r="K49" s="48"/>
      <c r="L49" s="48"/>
      <c r="M49" s="48"/>
      <c r="N49" s="19"/>
      <c r="O49" s="48"/>
      <c r="P49" s="48"/>
      <c r="Q49" s="48"/>
      <c r="R49" s="19"/>
      <c r="S49" s="48"/>
      <c r="T49" s="48"/>
      <c r="U49" s="48"/>
      <c r="V49" s="19"/>
      <c r="W49" s="48"/>
      <c r="X49" s="48"/>
      <c r="Y49" s="48"/>
    </row>
  </sheetData>
  <conditionalFormatting sqref="B15:C21 B23:C30 B32:C34 B36:C43 V36:W43 V32:W34 V23:W30 V15:W21 R36:S43 R32:S34 R23:S30 R15:S21 N36:O43 N32:O34 N23:O30 N15:O21 J36:K43 J32:K34 J23:K30 J15:K21 F36:G43 F32:G34 F23:G30 F15:G21">
    <cfRule type="cellIs" dxfId="155" priority="13" operator="lessThan">
      <formula>-0.01</formula>
    </cfRule>
  </conditionalFormatting>
  <conditionalFormatting sqref="Y15:Y21 Y23:Y30 Y32:Y34 Y36:Y43">
    <cfRule type="cellIs" dxfId="154" priority="12" operator="lessThan">
      <formula>-0.01</formula>
    </cfRule>
  </conditionalFormatting>
  <conditionalFormatting sqref="X15:X21 X23:X30 X32:X34 X36:X43">
    <cfRule type="cellIs" dxfId="153" priority="11" operator="lessThan">
      <formula>-0.01</formula>
    </cfRule>
  </conditionalFormatting>
  <conditionalFormatting sqref="U15:U21 U23:U30 U32:U34 U36:U43">
    <cfRule type="cellIs" dxfId="152" priority="10" operator="lessThan">
      <formula>-0.01</formula>
    </cfRule>
  </conditionalFormatting>
  <conditionalFormatting sqref="T15:T21 T23:T30 T32:T34 T36:T43">
    <cfRule type="cellIs" dxfId="151" priority="9" operator="lessThan">
      <formula>-0.01</formula>
    </cfRule>
  </conditionalFormatting>
  <conditionalFormatting sqref="Q15:Q21 Q23:Q30 Q32:Q34 Q36:Q43">
    <cfRule type="cellIs" dxfId="150" priority="8" operator="lessThan">
      <formula>-0.01</formula>
    </cfRule>
  </conditionalFormatting>
  <conditionalFormatting sqref="P15:P21 P23:P30 P32:P34 P36:P43">
    <cfRule type="cellIs" dxfId="149" priority="7" operator="lessThan">
      <formula>-0.01</formula>
    </cfRule>
  </conditionalFormatting>
  <conditionalFormatting sqref="M15:M21 M23:M30 M32:M34 M36:M43">
    <cfRule type="cellIs" dxfId="148" priority="6" operator="lessThan">
      <formula>-0.01</formula>
    </cfRule>
  </conditionalFormatting>
  <conditionalFormatting sqref="L15:L21 L23:L30 L32:L34 L36:L43">
    <cfRule type="cellIs" dxfId="147" priority="5" operator="lessThan">
      <formula>-0.01</formula>
    </cfRule>
  </conditionalFormatting>
  <conditionalFormatting sqref="I15:I21 I23:I30 I32:I34 I36:I43">
    <cfRule type="cellIs" dxfId="146" priority="4" operator="lessThan">
      <formula>-0.01</formula>
    </cfRule>
  </conditionalFormatting>
  <conditionalFormatting sqref="H15:H21 H23:H30 H32:H34 H36:H43">
    <cfRule type="cellIs" dxfId="145" priority="3" operator="lessThan">
      <formula>-0.01</formula>
    </cfRule>
  </conditionalFormatting>
  <conditionalFormatting sqref="E15:E21 E23:E30 E32:E34 E36:E43">
    <cfRule type="cellIs" dxfId="144" priority="2" operator="lessThan">
      <formula>-0.01</formula>
    </cfRule>
  </conditionalFormatting>
  <conditionalFormatting sqref="D15:D21 D23:D30 D32:D34 D36:D43">
    <cfRule type="cellIs" dxfId="143" priority="1" operator="lessThan">
      <formula>-0.01</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A2C2B2-41E0-46DE-B9B3-809CEA9CE4FC}">
  <sheetPr codeName="Sheet13"/>
  <dimension ref="A1:AZ49"/>
  <sheetViews>
    <sheetView showGridLines="0" workbookViewId="0">
      <pane xSplit="1" ySplit="6" topLeftCell="B7" activePane="bottomRight" state="frozen"/>
      <selection pane="topRight" activeCell="B1" sqref="B1"/>
      <selection pane="bottomLeft" activeCell="A7" sqref="A7"/>
      <selection pane="bottomRight"/>
    </sheetView>
  </sheetViews>
  <sheetFormatPr defaultRowHeight="14.4" outlineLevelCol="1"/>
  <cols>
    <col min="1" max="1" width="32.44140625" bestFit="1" customWidth="1"/>
    <col min="2" max="2" width="16.77734375" customWidth="1"/>
    <col min="3" max="5" width="13.44140625" style="57" hidden="1" customWidth="1" outlineLevel="1"/>
    <col min="6" max="6" width="16.77734375" customWidth="1" collapsed="1"/>
    <col min="7" max="9" width="13.44140625" style="57" hidden="1" customWidth="1" outlineLevel="1"/>
    <col min="10" max="10" width="16.77734375" customWidth="1" collapsed="1"/>
    <col min="11" max="13" width="13.44140625" style="57" hidden="1" customWidth="1" outlineLevel="1"/>
    <col min="14" max="14" width="16.77734375" customWidth="1" collapsed="1"/>
    <col min="15" max="17" width="13.44140625" style="57" hidden="1" customWidth="1" outlineLevel="1"/>
    <col min="18" max="18" width="16.77734375" customWidth="1" collapsed="1"/>
    <col min="19" max="21" width="13.44140625" style="57" hidden="1" customWidth="1" outlineLevel="1"/>
    <col min="22" max="22" width="16.77734375" customWidth="1" collapsed="1"/>
    <col min="23" max="25" width="13.44140625" style="57" hidden="1" customWidth="1" outlineLevel="1"/>
    <col min="26" max="26" width="8.88671875" collapsed="1"/>
  </cols>
  <sheetData>
    <row r="1" spans="1:52" ht="15.6">
      <c r="A1" s="68" t="s">
        <v>790</v>
      </c>
      <c r="B1" s="46"/>
      <c r="C1" s="46"/>
      <c r="D1" s="46"/>
      <c r="E1" s="46"/>
      <c r="F1" s="46"/>
      <c r="G1" s="46"/>
      <c r="H1" s="46"/>
      <c r="I1" s="46"/>
      <c r="J1" s="46"/>
      <c r="K1" s="46"/>
      <c r="L1" s="46"/>
      <c r="M1" s="46"/>
      <c r="N1" s="46"/>
      <c r="O1" s="46"/>
      <c r="P1" s="46"/>
      <c r="Q1" s="46"/>
      <c r="R1" s="46"/>
      <c r="V1" s="46"/>
      <c r="W1" s="46"/>
      <c r="X1" s="46"/>
      <c r="Y1" s="46"/>
    </row>
    <row r="2" spans="1:52" ht="15.6">
      <c r="A2" s="69" t="s">
        <v>405</v>
      </c>
      <c r="B2" s="47"/>
      <c r="C2" s="47"/>
      <c r="D2" s="47"/>
      <c r="E2" s="47"/>
      <c r="F2" s="47"/>
      <c r="G2" s="47"/>
      <c r="H2" s="47"/>
      <c r="I2" s="47"/>
      <c r="J2" s="47"/>
      <c r="K2" s="47"/>
      <c r="L2" s="47"/>
      <c r="M2" s="47"/>
      <c r="N2" s="47"/>
      <c r="O2" s="47"/>
      <c r="P2" s="47"/>
      <c r="Q2" s="47"/>
      <c r="R2" s="47"/>
      <c r="V2" s="47"/>
      <c r="W2" s="47"/>
      <c r="X2" s="47"/>
      <c r="Y2" s="47"/>
    </row>
    <row r="3" spans="1:52">
      <c r="A3" s="136"/>
      <c r="B3" s="61" t="s">
        <v>589</v>
      </c>
      <c r="C3" s="50" t="s">
        <v>572</v>
      </c>
      <c r="D3" s="50" t="s">
        <v>572</v>
      </c>
      <c r="E3" s="50" t="s">
        <v>572</v>
      </c>
      <c r="F3" s="61" t="s">
        <v>573</v>
      </c>
      <c r="G3" s="50" t="s">
        <v>573</v>
      </c>
      <c r="H3" s="50" t="s">
        <v>573</v>
      </c>
      <c r="I3" s="50" t="s">
        <v>573</v>
      </c>
      <c r="J3" s="61" t="s">
        <v>575</v>
      </c>
      <c r="K3" s="50" t="s">
        <v>575</v>
      </c>
      <c r="L3" s="50" t="s">
        <v>575</v>
      </c>
      <c r="M3" s="50" t="s">
        <v>575</v>
      </c>
      <c r="N3" s="61" t="s">
        <v>576</v>
      </c>
      <c r="O3" s="50" t="s">
        <v>576</v>
      </c>
      <c r="P3" s="50" t="s">
        <v>576</v>
      </c>
      <c r="Q3" s="50" t="s">
        <v>576</v>
      </c>
      <c r="R3" s="61" t="s">
        <v>577</v>
      </c>
      <c r="S3" s="38" t="s">
        <v>577</v>
      </c>
      <c r="T3" s="38" t="s">
        <v>577</v>
      </c>
      <c r="U3" s="38" t="s">
        <v>577</v>
      </c>
      <c r="V3" s="61" t="s">
        <v>585</v>
      </c>
      <c r="W3" s="38" t="s">
        <v>585</v>
      </c>
      <c r="X3" s="38" t="s">
        <v>585</v>
      </c>
      <c r="Y3" s="38" t="s">
        <v>585</v>
      </c>
      <c r="Z3" s="136"/>
      <c r="AA3" s="136"/>
      <c r="AB3" s="136"/>
      <c r="AC3" s="136"/>
      <c r="AD3" s="136"/>
      <c r="AE3" s="136"/>
      <c r="AF3" s="136"/>
      <c r="AG3" s="136"/>
      <c r="AH3" s="136"/>
      <c r="AI3" s="136"/>
      <c r="AJ3" s="136"/>
      <c r="AK3" s="136"/>
      <c r="AL3" s="136"/>
      <c r="AM3" s="136"/>
      <c r="AN3" s="136"/>
      <c r="AO3" s="136"/>
      <c r="AP3" s="136"/>
      <c r="AQ3" s="136"/>
      <c r="AR3" s="136"/>
      <c r="AS3" s="136"/>
      <c r="AT3" s="136"/>
      <c r="AU3" s="136"/>
      <c r="AV3" s="136"/>
      <c r="AW3" s="136"/>
      <c r="AX3" s="136"/>
      <c r="AY3" s="136"/>
      <c r="AZ3" s="136"/>
    </row>
    <row r="4" spans="1:52">
      <c r="A4" s="16"/>
      <c r="B4" s="31" t="str">
        <f>_xlfn.CONCAT("FY ",rngFY+rngYRS)</f>
        <v>FY 19</v>
      </c>
      <c r="C4" s="51" t="s">
        <v>555</v>
      </c>
      <c r="D4" s="51" t="s">
        <v>555</v>
      </c>
      <c r="E4" s="51" t="s">
        <v>555</v>
      </c>
      <c r="F4" s="31" t="s">
        <v>788</v>
      </c>
      <c r="G4" s="31" t="s">
        <v>789</v>
      </c>
      <c r="H4" s="31" t="s">
        <v>789</v>
      </c>
      <c r="I4" s="31" t="s">
        <v>789</v>
      </c>
      <c r="J4" s="31" t="s">
        <v>788</v>
      </c>
      <c r="K4" s="31" t="s">
        <v>789</v>
      </c>
      <c r="L4" s="31" t="s">
        <v>789</v>
      </c>
      <c r="M4" s="31" t="s">
        <v>789</v>
      </c>
      <c r="N4" s="31" t="s">
        <v>788</v>
      </c>
      <c r="O4" s="31" t="s">
        <v>789</v>
      </c>
      <c r="P4" s="31" t="s">
        <v>789</v>
      </c>
      <c r="Q4" s="31" t="s">
        <v>789</v>
      </c>
      <c r="R4" s="31" t="s">
        <v>788</v>
      </c>
      <c r="S4" s="31" t="s">
        <v>789</v>
      </c>
      <c r="T4" s="31" t="s">
        <v>789</v>
      </c>
      <c r="U4" s="31" t="s">
        <v>789</v>
      </c>
      <c r="V4" s="31" t="s">
        <v>574</v>
      </c>
      <c r="W4" s="31" t="s">
        <v>584</v>
      </c>
      <c r="X4" s="31" t="s">
        <v>584</v>
      </c>
      <c r="Y4" s="31" t="s">
        <v>584</v>
      </c>
    </row>
    <row r="5" spans="1:52">
      <c r="A5" s="17"/>
      <c r="B5" s="31"/>
      <c r="C5" s="51" t="s">
        <v>587</v>
      </c>
      <c r="D5" s="51" t="s">
        <v>586</v>
      </c>
      <c r="E5" s="51" t="s">
        <v>590</v>
      </c>
      <c r="F5" s="31"/>
      <c r="G5" s="51" t="s">
        <v>587</v>
      </c>
      <c r="H5" s="51" t="s">
        <v>586</v>
      </c>
      <c r="I5" s="51" t="s">
        <v>590</v>
      </c>
      <c r="J5" s="31"/>
      <c r="K5" s="51" t="s">
        <v>587</v>
      </c>
      <c r="L5" s="51" t="s">
        <v>586</v>
      </c>
      <c r="M5" s="51" t="s">
        <v>590</v>
      </c>
      <c r="N5" s="31"/>
      <c r="O5" s="51" t="s">
        <v>587</v>
      </c>
      <c r="P5" s="51" t="s">
        <v>586</v>
      </c>
      <c r="Q5" s="51" t="s">
        <v>590</v>
      </c>
      <c r="R5" s="31"/>
      <c r="S5" s="31" t="s">
        <v>587</v>
      </c>
      <c r="T5" s="31" t="s">
        <v>586</v>
      </c>
      <c r="U5" s="31" t="s">
        <v>590</v>
      </c>
      <c r="V5" s="31"/>
      <c r="W5" s="31" t="s">
        <v>587</v>
      </c>
      <c r="X5" s="31" t="s">
        <v>586</v>
      </c>
      <c r="Y5" s="31" t="s">
        <v>590</v>
      </c>
    </row>
    <row r="6" spans="1:52">
      <c r="A6" s="70"/>
      <c r="B6" s="62"/>
      <c r="C6" s="53"/>
      <c r="D6" s="53"/>
      <c r="E6" s="53"/>
      <c r="F6" s="62"/>
      <c r="G6" s="53"/>
      <c r="H6" s="53"/>
      <c r="I6" s="53"/>
      <c r="J6" s="62"/>
      <c r="K6" s="53"/>
      <c r="L6" s="53"/>
      <c r="M6" s="53"/>
      <c r="N6" s="62"/>
      <c r="O6" s="53"/>
      <c r="P6" s="53"/>
      <c r="Q6" s="53"/>
      <c r="R6" s="62"/>
      <c r="S6" s="62"/>
      <c r="T6" s="62"/>
      <c r="U6" s="62"/>
      <c r="V6" s="62"/>
      <c r="W6" s="62"/>
      <c r="X6" s="62"/>
      <c r="Y6" s="62"/>
    </row>
    <row r="7" spans="1:52">
      <c r="A7" s="18" t="s">
        <v>556</v>
      </c>
      <c r="B7" s="63"/>
      <c r="C7" s="58"/>
      <c r="D7" s="58"/>
      <c r="E7" s="58"/>
      <c r="F7" s="63"/>
      <c r="G7" s="58"/>
      <c r="H7" s="58"/>
      <c r="I7" s="58"/>
      <c r="J7" s="63"/>
      <c r="K7" s="58"/>
      <c r="L7" s="58"/>
      <c r="M7" s="58"/>
      <c r="N7" s="63"/>
      <c r="O7" s="58"/>
      <c r="P7" s="58"/>
      <c r="Q7" s="58"/>
      <c r="R7" s="63"/>
      <c r="S7" s="63"/>
      <c r="T7" s="63"/>
      <c r="U7" s="63"/>
      <c r="V7" s="63"/>
      <c r="W7" s="63"/>
      <c r="X7" s="63"/>
      <c r="Y7" s="63"/>
    </row>
    <row r="8" spans="1:52">
      <c r="A8" s="40" t="s">
        <v>557</v>
      </c>
      <c r="B8" s="39">
        <v>0</v>
      </c>
      <c r="C8" s="54">
        <v>0</v>
      </c>
      <c r="D8" s="89">
        <v>0</v>
      </c>
      <c r="E8" s="86">
        <v>0</v>
      </c>
      <c r="F8" s="72">
        <v>0</v>
      </c>
      <c r="G8" s="54">
        <v>0</v>
      </c>
      <c r="H8" s="89">
        <v>0</v>
      </c>
      <c r="I8" s="86">
        <v>0</v>
      </c>
      <c r="J8" s="72">
        <v>0</v>
      </c>
      <c r="K8" s="54">
        <v>0</v>
      </c>
      <c r="L8" s="89">
        <v>0</v>
      </c>
      <c r="M8" s="86">
        <v>0</v>
      </c>
      <c r="N8" s="72">
        <v>0</v>
      </c>
      <c r="O8" s="54">
        <v>0</v>
      </c>
      <c r="P8" s="89">
        <v>0</v>
      </c>
      <c r="Q8" s="86">
        <v>0</v>
      </c>
      <c r="R8" s="72">
        <v>0</v>
      </c>
      <c r="S8" s="22">
        <v>0</v>
      </c>
      <c r="T8" s="82">
        <v>0</v>
      </c>
      <c r="U8" s="78">
        <v>0</v>
      </c>
      <c r="V8" s="39">
        <v>0</v>
      </c>
      <c r="W8" s="22">
        <f t="shared" ref="W8:Y11" si="0">SUM(G8,K8,O8,S8)</f>
        <v>0</v>
      </c>
      <c r="X8" s="82">
        <f t="shared" si="0"/>
        <v>0</v>
      </c>
      <c r="Y8" s="78">
        <f t="shared" si="0"/>
        <v>0</v>
      </c>
    </row>
    <row r="9" spans="1:52">
      <c r="A9" s="41" t="s">
        <v>558</v>
      </c>
      <c r="B9" s="39">
        <v>0</v>
      </c>
      <c r="C9" s="55">
        <v>0</v>
      </c>
      <c r="D9" s="90">
        <v>0</v>
      </c>
      <c r="E9" s="87">
        <v>0</v>
      </c>
      <c r="F9" s="72">
        <v>0</v>
      </c>
      <c r="G9" s="55">
        <v>0</v>
      </c>
      <c r="H9" s="90">
        <v>0</v>
      </c>
      <c r="I9" s="87">
        <v>0</v>
      </c>
      <c r="J9" s="72">
        <v>0</v>
      </c>
      <c r="K9" s="55">
        <v>0</v>
      </c>
      <c r="L9" s="90">
        <v>0</v>
      </c>
      <c r="M9" s="87">
        <v>0</v>
      </c>
      <c r="N9" s="72">
        <v>0</v>
      </c>
      <c r="O9" s="55">
        <v>0</v>
      </c>
      <c r="P9" s="90">
        <v>0</v>
      </c>
      <c r="Q9" s="87">
        <v>0</v>
      </c>
      <c r="R9" s="72">
        <v>0</v>
      </c>
      <c r="S9" s="33">
        <v>0</v>
      </c>
      <c r="T9" s="83">
        <v>0</v>
      </c>
      <c r="U9" s="79">
        <v>0</v>
      </c>
      <c r="V9" s="39">
        <v>0</v>
      </c>
      <c r="W9" s="33">
        <f t="shared" si="0"/>
        <v>0</v>
      </c>
      <c r="X9" s="83">
        <f t="shared" si="0"/>
        <v>0</v>
      </c>
      <c r="Y9" s="79">
        <f t="shared" si="0"/>
        <v>0</v>
      </c>
    </row>
    <row r="10" spans="1:52">
      <c r="A10" s="41" t="s">
        <v>212</v>
      </c>
      <c r="B10" s="39">
        <v>0</v>
      </c>
      <c r="C10" s="55">
        <v>0</v>
      </c>
      <c r="D10" s="90">
        <v>0</v>
      </c>
      <c r="E10" s="87">
        <v>0</v>
      </c>
      <c r="F10" s="72">
        <v>0</v>
      </c>
      <c r="G10" s="55">
        <v>0</v>
      </c>
      <c r="H10" s="90">
        <v>0</v>
      </c>
      <c r="I10" s="87">
        <v>0</v>
      </c>
      <c r="J10" s="72">
        <v>0</v>
      </c>
      <c r="K10" s="55">
        <v>0</v>
      </c>
      <c r="L10" s="90">
        <v>0</v>
      </c>
      <c r="M10" s="87">
        <v>0</v>
      </c>
      <c r="N10" s="72">
        <v>0</v>
      </c>
      <c r="O10" s="55">
        <v>0</v>
      </c>
      <c r="P10" s="90">
        <v>0</v>
      </c>
      <c r="Q10" s="87">
        <v>0</v>
      </c>
      <c r="R10" s="72">
        <v>0</v>
      </c>
      <c r="S10" s="33">
        <v>0</v>
      </c>
      <c r="T10" s="83">
        <v>0</v>
      </c>
      <c r="U10" s="79">
        <v>0</v>
      </c>
      <c r="V10" s="39">
        <v>0</v>
      </c>
      <c r="W10" s="33">
        <f t="shared" si="0"/>
        <v>0</v>
      </c>
      <c r="X10" s="83">
        <f t="shared" si="0"/>
        <v>0</v>
      </c>
      <c r="Y10" s="79">
        <f t="shared" si="0"/>
        <v>0</v>
      </c>
    </row>
    <row r="11" spans="1:52">
      <c r="A11" s="42" t="s">
        <v>210</v>
      </c>
      <c r="B11" s="64">
        <v>0</v>
      </c>
      <c r="C11" s="55">
        <v>0</v>
      </c>
      <c r="D11" s="90">
        <v>0</v>
      </c>
      <c r="E11" s="87">
        <v>0</v>
      </c>
      <c r="F11" s="73">
        <v>0</v>
      </c>
      <c r="G11" s="55">
        <v>0</v>
      </c>
      <c r="H11" s="90">
        <v>0</v>
      </c>
      <c r="I11" s="87">
        <v>0</v>
      </c>
      <c r="J11" s="73">
        <v>0</v>
      </c>
      <c r="K11" s="55">
        <v>0</v>
      </c>
      <c r="L11" s="90">
        <v>0</v>
      </c>
      <c r="M11" s="87">
        <v>0</v>
      </c>
      <c r="N11" s="73">
        <v>0</v>
      </c>
      <c r="O11" s="55">
        <v>0</v>
      </c>
      <c r="P11" s="90">
        <v>0</v>
      </c>
      <c r="Q11" s="87">
        <v>0</v>
      </c>
      <c r="R11" s="73">
        <v>0</v>
      </c>
      <c r="S11" s="33">
        <v>0</v>
      </c>
      <c r="T11" s="83">
        <v>0</v>
      </c>
      <c r="U11" s="79">
        <v>0</v>
      </c>
      <c r="V11" s="64">
        <v>0</v>
      </c>
      <c r="W11" s="33">
        <f t="shared" si="0"/>
        <v>0</v>
      </c>
      <c r="X11" s="83">
        <f t="shared" si="0"/>
        <v>0</v>
      </c>
      <c r="Y11" s="79">
        <f t="shared" si="0"/>
        <v>0</v>
      </c>
    </row>
    <row r="12" spans="1:52" ht="16.2" thickBot="1">
      <c r="A12" s="43" t="s">
        <v>559</v>
      </c>
      <c r="B12" s="34">
        <f>SUM(B8:B11)</f>
        <v>0</v>
      </c>
      <c r="C12" s="52">
        <f t="shared" ref="C12:U12" si="1">SUM(C8:C11)</f>
        <v>0</v>
      </c>
      <c r="D12" s="52">
        <f t="shared" si="1"/>
        <v>0</v>
      </c>
      <c r="E12" s="52">
        <f t="shared" si="1"/>
        <v>0</v>
      </c>
      <c r="F12" s="34">
        <f t="shared" si="1"/>
        <v>0</v>
      </c>
      <c r="G12" s="52">
        <f t="shared" si="1"/>
        <v>0</v>
      </c>
      <c r="H12" s="52">
        <f t="shared" si="1"/>
        <v>0</v>
      </c>
      <c r="I12" s="52">
        <f t="shared" si="1"/>
        <v>0</v>
      </c>
      <c r="J12" s="34">
        <f t="shared" si="1"/>
        <v>0</v>
      </c>
      <c r="K12" s="52">
        <f t="shared" si="1"/>
        <v>0</v>
      </c>
      <c r="L12" s="52">
        <f t="shared" si="1"/>
        <v>0</v>
      </c>
      <c r="M12" s="52">
        <f t="shared" si="1"/>
        <v>0</v>
      </c>
      <c r="N12" s="34">
        <f t="shared" si="1"/>
        <v>0</v>
      </c>
      <c r="O12" s="52">
        <f t="shared" si="1"/>
        <v>0</v>
      </c>
      <c r="P12" s="52">
        <f t="shared" si="1"/>
        <v>0</v>
      </c>
      <c r="Q12" s="52">
        <f t="shared" si="1"/>
        <v>0</v>
      </c>
      <c r="R12" s="34">
        <f t="shared" si="1"/>
        <v>0</v>
      </c>
      <c r="S12" s="34">
        <f t="shared" si="1"/>
        <v>0</v>
      </c>
      <c r="T12" s="34">
        <f t="shared" si="1"/>
        <v>0</v>
      </c>
      <c r="U12" s="34">
        <f t="shared" si="1"/>
        <v>0</v>
      </c>
      <c r="V12" s="34">
        <f>SUM(V8:V11)</f>
        <v>0</v>
      </c>
      <c r="W12" s="34">
        <f t="shared" ref="W12:Y12" si="2">SUM(W8:W11)</f>
        <v>0</v>
      </c>
      <c r="X12" s="34">
        <f t="shared" si="2"/>
        <v>0</v>
      </c>
      <c r="Y12" s="34">
        <f t="shared" si="2"/>
        <v>0</v>
      </c>
    </row>
    <row r="13" spans="1:52" ht="15" thickTop="1">
      <c r="A13" s="67"/>
      <c r="B13" s="67"/>
      <c r="C13" s="67"/>
      <c r="D13" s="67"/>
      <c r="E13" s="67"/>
      <c r="F13" s="67"/>
      <c r="G13" s="67"/>
      <c r="H13" s="67"/>
      <c r="I13" s="67"/>
      <c r="J13" s="67"/>
      <c r="K13" s="67"/>
      <c r="L13" s="67"/>
      <c r="M13" s="67"/>
      <c r="N13" s="67"/>
      <c r="O13" s="67"/>
      <c r="P13" s="67"/>
      <c r="Q13" s="67"/>
      <c r="R13" s="67"/>
      <c r="S13" s="67"/>
      <c r="T13" s="67"/>
      <c r="U13" s="67"/>
      <c r="V13" s="67"/>
      <c r="W13" s="67"/>
      <c r="X13" s="67"/>
      <c r="Y13" s="67"/>
    </row>
    <row r="14" spans="1:52">
      <c r="A14" s="18" t="s">
        <v>560</v>
      </c>
      <c r="B14" s="20"/>
      <c r="C14" s="20"/>
      <c r="D14" s="20"/>
      <c r="E14" s="20"/>
      <c r="F14" s="20"/>
      <c r="G14" s="20"/>
      <c r="H14" s="20"/>
      <c r="I14" s="20"/>
      <c r="J14" s="20"/>
      <c r="K14" s="20"/>
      <c r="L14" s="20"/>
      <c r="M14" s="20"/>
      <c r="N14" s="20"/>
      <c r="O14" s="20"/>
      <c r="P14" s="20"/>
      <c r="Q14" s="20"/>
      <c r="R14" s="20"/>
      <c r="S14" s="20"/>
      <c r="T14" s="20"/>
      <c r="U14" s="20"/>
      <c r="V14" s="20"/>
      <c r="W14" s="20"/>
      <c r="X14" s="20"/>
      <c r="Y14" s="20"/>
    </row>
    <row r="15" spans="1:52">
      <c r="A15" s="40" t="s">
        <v>188</v>
      </c>
      <c r="B15" s="65">
        <v>0</v>
      </c>
      <c r="C15" s="54">
        <v>0</v>
      </c>
      <c r="D15" s="89">
        <v>0</v>
      </c>
      <c r="E15" s="86">
        <v>0</v>
      </c>
      <c r="F15" s="72">
        <v>0</v>
      </c>
      <c r="G15" s="54">
        <v>0</v>
      </c>
      <c r="H15" s="89">
        <v>0</v>
      </c>
      <c r="I15" s="86">
        <v>0</v>
      </c>
      <c r="J15" s="72">
        <v>0</v>
      </c>
      <c r="K15" s="54">
        <v>0</v>
      </c>
      <c r="L15" s="89">
        <v>0</v>
      </c>
      <c r="M15" s="86">
        <v>0</v>
      </c>
      <c r="N15" s="72">
        <v>0</v>
      </c>
      <c r="O15" s="54">
        <v>0</v>
      </c>
      <c r="P15" s="89">
        <v>0</v>
      </c>
      <c r="Q15" s="86">
        <v>0</v>
      </c>
      <c r="R15" s="72">
        <v>0</v>
      </c>
      <c r="S15" s="32">
        <v>0</v>
      </c>
      <c r="T15" s="84">
        <v>0</v>
      </c>
      <c r="U15" s="80">
        <v>0</v>
      </c>
      <c r="V15" s="65">
        <v>0</v>
      </c>
      <c r="W15" s="32">
        <f t="shared" ref="W15:Y20" si="3">SUM(G15,K15,O15,S15)</f>
        <v>0</v>
      </c>
      <c r="X15" s="84">
        <f t="shared" si="3"/>
        <v>0</v>
      </c>
      <c r="Y15" s="80">
        <f t="shared" si="3"/>
        <v>0</v>
      </c>
    </row>
    <row r="16" spans="1:52">
      <c r="A16" s="41" t="s">
        <v>181</v>
      </c>
      <c r="B16" s="39">
        <v>0</v>
      </c>
      <c r="C16" s="54">
        <v>0</v>
      </c>
      <c r="D16" s="89">
        <v>0</v>
      </c>
      <c r="E16" s="86">
        <v>0</v>
      </c>
      <c r="F16" s="72">
        <v>0</v>
      </c>
      <c r="G16" s="54">
        <v>0</v>
      </c>
      <c r="H16" s="89">
        <v>0</v>
      </c>
      <c r="I16" s="86">
        <v>0</v>
      </c>
      <c r="J16" s="72">
        <v>0</v>
      </c>
      <c r="K16" s="54">
        <v>0</v>
      </c>
      <c r="L16" s="89">
        <v>0</v>
      </c>
      <c r="M16" s="86">
        <v>0</v>
      </c>
      <c r="N16" s="72">
        <v>0</v>
      </c>
      <c r="O16" s="54">
        <v>0</v>
      </c>
      <c r="P16" s="89">
        <v>0</v>
      </c>
      <c r="Q16" s="86">
        <v>0</v>
      </c>
      <c r="R16" s="72">
        <v>0</v>
      </c>
      <c r="S16" s="22">
        <v>0</v>
      </c>
      <c r="T16" s="82">
        <v>0</v>
      </c>
      <c r="U16" s="78">
        <v>0</v>
      </c>
      <c r="V16" s="39">
        <v>0</v>
      </c>
      <c r="W16" s="22">
        <f t="shared" si="3"/>
        <v>0</v>
      </c>
      <c r="X16" s="82">
        <f t="shared" si="3"/>
        <v>0</v>
      </c>
      <c r="Y16" s="78">
        <f t="shared" si="3"/>
        <v>0</v>
      </c>
    </row>
    <row r="17" spans="1:25">
      <c r="A17" s="92" t="s">
        <v>174</v>
      </c>
      <c r="B17" s="93">
        <v>0</v>
      </c>
      <c r="C17" s="94">
        <v>0</v>
      </c>
      <c r="D17" s="100">
        <v>0</v>
      </c>
      <c r="E17" s="99">
        <v>0</v>
      </c>
      <c r="F17" s="95">
        <v>0</v>
      </c>
      <c r="G17" s="94">
        <v>0</v>
      </c>
      <c r="H17" s="100">
        <v>0</v>
      </c>
      <c r="I17" s="99">
        <v>0</v>
      </c>
      <c r="J17" s="95">
        <v>0</v>
      </c>
      <c r="K17" s="94">
        <v>0</v>
      </c>
      <c r="L17" s="100">
        <v>0</v>
      </c>
      <c r="M17" s="99">
        <v>0</v>
      </c>
      <c r="N17" s="95">
        <v>0</v>
      </c>
      <c r="O17" s="94">
        <v>0</v>
      </c>
      <c r="P17" s="100">
        <v>0</v>
      </c>
      <c r="Q17" s="99">
        <v>0</v>
      </c>
      <c r="R17" s="95">
        <v>0</v>
      </c>
      <c r="S17" s="96">
        <v>0</v>
      </c>
      <c r="T17" s="98">
        <v>0</v>
      </c>
      <c r="U17" s="97">
        <v>0</v>
      </c>
      <c r="V17" s="93">
        <v>0</v>
      </c>
      <c r="W17" s="96">
        <f t="shared" si="3"/>
        <v>0</v>
      </c>
      <c r="X17" s="98">
        <f t="shared" si="3"/>
        <v>0</v>
      </c>
      <c r="Y17" s="97">
        <f t="shared" si="3"/>
        <v>0</v>
      </c>
    </row>
    <row r="18" spans="1:25">
      <c r="A18" s="41" t="s">
        <v>146</v>
      </c>
      <c r="B18" s="39">
        <v>0</v>
      </c>
      <c r="C18" s="54">
        <v>0</v>
      </c>
      <c r="D18" s="89">
        <v>0</v>
      </c>
      <c r="E18" s="86">
        <v>0</v>
      </c>
      <c r="F18" s="72">
        <v>0</v>
      </c>
      <c r="G18" s="54">
        <v>0</v>
      </c>
      <c r="H18" s="89">
        <v>0</v>
      </c>
      <c r="I18" s="86">
        <v>0</v>
      </c>
      <c r="J18" s="72">
        <v>0</v>
      </c>
      <c r="K18" s="54">
        <v>0</v>
      </c>
      <c r="L18" s="89">
        <v>0</v>
      </c>
      <c r="M18" s="86">
        <v>0</v>
      </c>
      <c r="N18" s="72">
        <v>0</v>
      </c>
      <c r="O18" s="54">
        <v>0</v>
      </c>
      <c r="P18" s="89">
        <v>0</v>
      </c>
      <c r="Q18" s="86">
        <v>0</v>
      </c>
      <c r="R18" s="72">
        <v>0</v>
      </c>
      <c r="S18" s="22">
        <v>0</v>
      </c>
      <c r="T18" s="82">
        <v>0</v>
      </c>
      <c r="U18" s="78">
        <v>0</v>
      </c>
      <c r="V18" s="39">
        <v>0</v>
      </c>
      <c r="W18" s="22">
        <f t="shared" si="3"/>
        <v>0</v>
      </c>
      <c r="X18" s="82">
        <f t="shared" si="3"/>
        <v>0</v>
      </c>
      <c r="Y18" s="78">
        <f t="shared" si="3"/>
        <v>0</v>
      </c>
    </row>
    <row r="19" spans="1:25">
      <c r="A19" s="41" t="s">
        <v>139</v>
      </c>
      <c r="B19" s="39">
        <v>0</v>
      </c>
      <c r="C19" s="54">
        <v>0</v>
      </c>
      <c r="D19" s="89">
        <v>0</v>
      </c>
      <c r="E19" s="86">
        <v>0</v>
      </c>
      <c r="F19" s="72">
        <v>0</v>
      </c>
      <c r="G19" s="54">
        <v>0</v>
      </c>
      <c r="H19" s="89">
        <v>0</v>
      </c>
      <c r="I19" s="86">
        <v>0</v>
      </c>
      <c r="J19" s="72">
        <v>0</v>
      </c>
      <c r="K19" s="54">
        <v>0</v>
      </c>
      <c r="L19" s="89">
        <v>0</v>
      </c>
      <c r="M19" s="86">
        <v>0</v>
      </c>
      <c r="N19" s="72">
        <v>0</v>
      </c>
      <c r="O19" s="54">
        <v>0</v>
      </c>
      <c r="P19" s="89">
        <v>0</v>
      </c>
      <c r="Q19" s="86">
        <v>0</v>
      </c>
      <c r="R19" s="72">
        <v>0</v>
      </c>
      <c r="S19" s="22">
        <v>0</v>
      </c>
      <c r="T19" s="82">
        <v>0</v>
      </c>
      <c r="U19" s="78">
        <v>0</v>
      </c>
      <c r="V19" s="39">
        <v>0</v>
      </c>
      <c r="W19" s="22">
        <f t="shared" si="3"/>
        <v>0</v>
      </c>
      <c r="X19" s="82">
        <f t="shared" si="3"/>
        <v>0</v>
      </c>
      <c r="Y19" s="78">
        <f t="shared" si="3"/>
        <v>0</v>
      </c>
    </row>
    <row r="20" spans="1:25">
      <c r="A20" s="42" t="s">
        <v>129</v>
      </c>
      <c r="B20" s="64">
        <v>0</v>
      </c>
      <c r="C20" s="59">
        <v>0</v>
      </c>
      <c r="D20" s="91">
        <v>0</v>
      </c>
      <c r="E20" s="88">
        <v>0</v>
      </c>
      <c r="F20" s="73">
        <v>0</v>
      </c>
      <c r="G20" s="59">
        <v>0</v>
      </c>
      <c r="H20" s="91">
        <v>0</v>
      </c>
      <c r="I20" s="88">
        <v>0</v>
      </c>
      <c r="J20" s="73">
        <v>0</v>
      </c>
      <c r="K20" s="59">
        <v>0</v>
      </c>
      <c r="L20" s="91">
        <v>0</v>
      </c>
      <c r="M20" s="88">
        <v>0</v>
      </c>
      <c r="N20" s="73">
        <v>0</v>
      </c>
      <c r="O20" s="59">
        <v>0</v>
      </c>
      <c r="P20" s="91">
        <v>0</v>
      </c>
      <c r="Q20" s="88">
        <v>0</v>
      </c>
      <c r="R20" s="73">
        <v>0</v>
      </c>
      <c r="S20" s="35">
        <v>0</v>
      </c>
      <c r="T20" s="85">
        <v>0</v>
      </c>
      <c r="U20" s="81">
        <v>0</v>
      </c>
      <c r="V20" s="64">
        <v>0</v>
      </c>
      <c r="W20" s="35">
        <f t="shared" si="3"/>
        <v>0</v>
      </c>
      <c r="X20" s="85">
        <f t="shared" si="3"/>
        <v>0</v>
      </c>
      <c r="Y20" s="81">
        <f t="shared" si="3"/>
        <v>0</v>
      </c>
    </row>
    <row r="21" spans="1:25">
      <c r="A21" s="23" t="s">
        <v>561</v>
      </c>
      <c r="B21" s="27">
        <f t="shared" ref="B21:Y21" si="4">SUM(B15:B20)</f>
        <v>0</v>
      </c>
      <c r="C21" s="60">
        <f t="shared" si="4"/>
        <v>0</v>
      </c>
      <c r="D21" s="60">
        <f t="shared" si="4"/>
        <v>0</v>
      </c>
      <c r="E21" s="60">
        <f t="shared" si="4"/>
        <v>0</v>
      </c>
      <c r="F21" s="27">
        <f t="shared" si="4"/>
        <v>0</v>
      </c>
      <c r="G21" s="56">
        <f t="shared" si="4"/>
        <v>0</v>
      </c>
      <c r="H21" s="56">
        <f t="shared" si="4"/>
        <v>0</v>
      </c>
      <c r="I21" s="56">
        <f t="shared" si="4"/>
        <v>0</v>
      </c>
      <c r="J21" s="27">
        <f t="shared" si="4"/>
        <v>0</v>
      </c>
      <c r="K21" s="60">
        <f t="shared" si="4"/>
        <v>0</v>
      </c>
      <c r="L21" s="60">
        <f t="shared" si="4"/>
        <v>0</v>
      </c>
      <c r="M21" s="60">
        <f t="shared" si="4"/>
        <v>0</v>
      </c>
      <c r="N21" s="27">
        <f t="shared" si="4"/>
        <v>0</v>
      </c>
      <c r="O21" s="60">
        <f t="shared" si="4"/>
        <v>0</v>
      </c>
      <c r="P21" s="60">
        <f t="shared" si="4"/>
        <v>0</v>
      </c>
      <c r="Q21" s="60">
        <f t="shared" si="4"/>
        <v>0</v>
      </c>
      <c r="R21" s="27">
        <f t="shared" si="4"/>
        <v>0</v>
      </c>
      <c r="S21" s="36">
        <f t="shared" si="4"/>
        <v>0</v>
      </c>
      <c r="T21" s="36">
        <f t="shared" si="4"/>
        <v>0</v>
      </c>
      <c r="U21" s="36">
        <f t="shared" si="4"/>
        <v>0</v>
      </c>
      <c r="V21" s="27">
        <f t="shared" si="4"/>
        <v>0</v>
      </c>
      <c r="W21" s="36">
        <f t="shared" si="4"/>
        <v>0</v>
      </c>
      <c r="X21" s="36">
        <f t="shared" si="4"/>
        <v>0</v>
      </c>
      <c r="Y21" s="36">
        <f t="shared" si="4"/>
        <v>0</v>
      </c>
    </row>
    <row r="22" spans="1:25">
      <c r="A22" s="24" t="s">
        <v>562</v>
      </c>
      <c r="B22" s="25"/>
      <c r="C22" s="25"/>
      <c r="D22" s="25"/>
      <c r="E22" s="25"/>
      <c r="F22" s="25"/>
      <c r="G22" s="25"/>
      <c r="H22" s="25"/>
      <c r="I22" s="25"/>
      <c r="J22" s="25"/>
      <c r="K22" s="25"/>
      <c r="L22" s="25"/>
      <c r="M22" s="25"/>
      <c r="N22" s="25"/>
      <c r="O22" s="25"/>
      <c r="P22" s="25"/>
      <c r="Q22" s="25"/>
      <c r="R22" s="25"/>
      <c r="S22" s="25"/>
      <c r="T22" s="25"/>
      <c r="U22" s="25"/>
      <c r="V22" s="25"/>
      <c r="W22" s="25"/>
      <c r="X22" s="25"/>
      <c r="Y22" s="25"/>
    </row>
    <row r="23" spans="1:25">
      <c r="A23" s="40" t="s">
        <v>127</v>
      </c>
      <c r="B23" s="65">
        <v>0</v>
      </c>
      <c r="C23" s="54">
        <v>0</v>
      </c>
      <c r="D23" s="89">
        <v>0</v>
      </c>
      <c r="E23" s="86">
        <v>0</v>
      </c>
      <c r="F23" s="72">
        <v>0</v>
      </c>
      <c r="G23" s="54">
        <v>0</v>
      </c>
      <c r="H23" s="89">
        <v>0</v>
      </c>
      <c r="I23" s="86">
        <v>0</v>
      </c>
      <c r="J23" s="72">
        <v>0</v>
      </c>
      <c r="K23" s="54">
        <v>0</v>
      </c>
      <c r="L23" s="89">
        <v>0</v>
      </c>
      <c r="M23" s="86">
        <v>0</v>
      </c>
      <c r="N23" s="72">
        <v>0</v>
      </c>
      <c r="O23" s="54">
        <v>0</v>
      </c>
      <c r="P23" s="89">
        <v>0</v>
      </c>
      <c r="Q23" s="86">
        <v>0</v>
      </c>
      <c r="R23" s="72">
        <v>0</v>
      </c>
      <c r="S23" s="32">
        <v>0</v>
      </c>
      <c r="T23" s="84">
        <v>0</v>
      </c>
      <c r="U23" s="80">
        <v>0</v>
      </c>
      <c r="V23" s="65">
        <v>0</v>
      </c>
      <c r="W23" s="32">
        <f t="shared" ref="W23:Y29" si="5">SUM(G23,K23,O23,S23)</f>
        <v>0</v>
      </c>
      <c r="X23" s="84">
        <f t="shared" si="5"/>
        <v>0</v>
      </c>
      <c r="Y23" s="80">
        <f t="shared" si="5"/>
        <v>0</v>
      </c>
    </row>
    <row r="24" spans="1:25">
      <c r="A24" s="41" t="s">
        <v>120</v>
      </c>
      <c r="B24" s="39">
        <v>0</v>
      </c>
      <c r="C24" s="54">
        <v>0</v>
      </c>
      <c r="D24" s="89">
        <v>0</v>
      </c>
      <c r="E24" s="86">
        <v>0</v>
      </c>
      <c r="F24" s="72">
        <v>0</v>
      </c>
      <c r="G24" s="54">
        <v>0</v>
      </c>
      <c r="H24" s="89">
        <v>0</v>
      </c>
      <c r="I24" s="86">
        <v>0</v>
      </c>
      <c r="J24" s="72">
        <v>0</v>
      </c>
      <c r="K24" s="54">
        <v>0</v>
      </c>
      <c r="L24" s="89">
        <v>0</v>
      </c>
      <c r="M24" s="86">
        <v>0</v>
      </c>
      <c r="N24" s="72">
        <v>0</v>
      </c>
      <c r="O24" s="54">
        <v>0</v>
      </c>
      <c r="P24" s="89">
        <v>0</v>
      </c>
      <c r="Q24" s="86">
        <v>0</v>
      </c>
      <c r="R24" s="72">
        <v>0</v>
      </c>
      <c r="S24" s="22">
        <v>0</v>
      </c>
      <c r="T24" s="82">
        <v>0</v>
      </c>
      <c r="U24" s="78">
        <v>0</v>
      </c>
      <c r="V24" s="39">
        <v>0</v>
      </c>
      <c r="W24" s="22">
        <f t="shared" si="5"/>
        <v>0</v>
      </c>
      <c r="X24" s="82">
        <f t="shared" si="5"/>
        <v>0</v>
      </c>
      <c r="Y24" s="78">
        <f t="shared" si="5"/>
        <v>0</v>
      </c>
    </row>
    <row r="25" spans="1:25">
      <c r="A25" s="41" t="s">
        <v>107</v>
      </c>
      <c r="B25" s="39">
        <v>0</v>
      </c>
      <c r="C25" s="54">
        <v>0</v>
      </c>
      <c r="D25" s="89">
        <v>0</v>
      </c>
      <c r="E25" s="86">
        <v>0</v>
      </c>
      <c r="F25" s="72">
        <v>0</v>
      </c>
      <c r="G25" s="54">
        <v>0</v>
      </c>
      <c r="H25" s="89">
        <v>0</v>
      </c>
      <c r="I25" s="86">
        <v>0</v>
      </c>
      <c r="J25" s="72">
        <v>0</v>
      </c>
      <c r="K25" s="54">
        <v>0</v>
      </c>
      <c r="L25" s="89">
        <v>0</v>
      </c>
      <c r="M25" s="86">
        <v>0</v>
      </c>
      <c r="N25" s="72">
        <v>0</v>
      </c>
      <c r="O25" s="54">
        <v>0</v>
      </c>
      <c r="P25" s="89">
        <v>0</v>
      </c>
      <c r="Q25" s="86">
        <v>0</v>
      </c>
      <c r="R25" s="72">
        <v>0</v>
      </c>
      <c r="S25" s="22">
        <v>0</v>
      </c>
      <c r="T25" s="82">
        <v>0</v>
      </c>
      <c r="U25" s="78">
        <v>0</v>
      </c>
      <c r="V25" s="39">
        <v>0</v>
      </c>
      <c r="W25" s="22">
        <f t="shared" si="5"/>
        <v>0</v>
      </c>
      <c r="X25" s="82">
        <f t="shared" si="5"/>
        <v>0</v>
      </c>
      <c r="Y25" s="78">
        <f t="shared" si="5"/>
        <v>0</v>
      </c>
    </row>
    <row r="26" spans="1:25">
      <c r="A26" s="41" t="s">
        <v>104</v>
      </c>
      <c r="B26" s="39">
        <v>0</v>
      </c>
      <c r="C26" s="54">
        <v>0</v>
      </c>
      <c r="D26" s="89">
        <v>0</v>
      </c>
      <c r="E26" s="86">
        <v>0</v>
      </c>
      <c r="F26" s="72">
        <v>0</v>
      </c>
      <c r="G26" s="54">
        <v>0</v>
      </c>
      <c r="H26" s="89">
        <v>0</v>
      </c>
      <c r="I26" s="86">
        <v>0</v>
      </c>
      <c r="J26" s="72">
        <v>0</v>
      </c>
      <c r="K26" s="54">
        <v>0</v>
      </c>
      <c r="L26" s="89">
        <v>0</v>
      </c>
      <c r="M26" s="86">
        <v>0</v>
      </c>
      <c r="N26" s="72">
        <v>0</v>
      </c>
      <c r="O26" s="54">
        <v>0</v>
      </c>
      <c r="P26" s="89">
        <v>0</v>
      </c>
      <c r="Q26" s="86">
        <v>0</v>
      </c>
      <c r="R26" s="72">
        <v>0</v>
      </c>
      <c r="S26" s="22">
        <v>0</v>
      </c>
      <c r="T26" s="82">
        <v>0</v>
      </c>
      <c r="U26" s="78">
        <v>0</v>
      </c>
      <c r="V26" s="39">
        <v>0</v>
      </c>
      <c r="W26" s="22">
        <f t="shared" si="5"/>
        <v>0</v>
      </c>
      <c r="X26" s="82">
        <f t="shared" si="5"/>
        <v>0</v>
      </c>
      <c r="Y26" s="78">
        <f t="shared" si="5"/>
        <v>0</v>
      </c>
    </row>
    <row r="27" spans="1:25">
      <c r="A27" s="41" t="s">
        <v>102</v>
      </c>
      <c r="B27" s="39">
        <v>0</v>
      </c>
      <c r="C27" s="54">
        <v>0</v>
      </c>
      <c r="D27" s="89">
        <v>0</v>
      </c>
      <c r="E27" s="86">
        <v>0</v>
      </c>
      <c r="F27" s="72">
        <v>0</v>
      </c>
      <c r="G27" s="54">
        <v>0</v>
      </c>
      <c r="H27" s="89">
        <v>0</v>
      </c>
      <c r="I27" s="86">
        <v>0</v>
      </c>
      <c r="J27" s="72">
        <v>0</v>
      </c>
      <c r="K27" s="54">
        <v>0</v>
      </c>
      <c r="L27" s="89">
        <v>0</v>
      </c>
      <c r="M27" s="86">
        <v>0</v>
      </c>
      <c r="N27" s="72">
        <v>0</v>
      </c>
      <c r="O27" s="54">
        <v>0</v>
      </c>
      <c r="P27" s="89">
        <v>0</v>
      </c>
      <c r="Q27" s="86">
        <v>0</v>
      </c>
      <c r="R27" s="72">
        <v>0</v>
      </c>
      <c r="S27" s="22">
        <v>0</v>
      </c>
      <c r="T27" s="82">
        <v>0</v>
      </c>
      <c r="U27" s="78">
        <v>0</v>
      </c>
      <c r="V27" s="39">
        <v>0</v>
      </c>
      <c r="W27" s="22">
        <f t="shared" si="5"/>
        <v>0</v>
      </c>
      <c r="X27" s="82">
        <f t="shared" si="5"/>
        <v>0</v>
      </c>
      <c r="Y27" s="78">
        <f t="shared" si="5"/>
        <v>0</v>
      </c>
    </row>
    <row r="28" spans="1:25">
      <c r="A28" s="41" t="s">
        <v>98</v>
      </c>
      <c r="B28" s="39">
        <v>0</v>
      </c>
      <c r="C28" s="54">
        <v>0</v>
      </c>
      <c r="D28" s="89">
        <v>0</v>
      </c>
      <c r="E28" s="86">
        <v>0</v>
      </c>
      <c r="F28" s="72">
        <v>0</v>
      </c>
      <c r="G28" s="54">
        <v>0</v>
      </c>
      <c r="H28" s="89">
        <v>0</v>
      </c>
      <c r="I28" s="86">
        <v>0</v>
      </c>
      <c r="J28" s="72">
        <v>0</v>
      </c>
      <c r="K28" s="54">
        <v>0</v>
      </c>
      <c r="L28" s="89">
        <v>0</v>
      </c>
      <c r="M28" s="86">
        <v>0</v>
      </c>
      <c r="N28" s="72">
        <v>0</v>
      </c>
      <c r="O28" s="54">
        <v>0</v>
      </c>
      <c r="P28" s="89">
        <v>0</v>
      </c>
      <c r="Q28" s="86">
        <v>0</v>
      </c>
      <c r="R28" s="72">
        <v>0</v>
      </c>
      <c r="S28" s="22">
        <v>0</v>
      </c>
      <c r="T28" s="82">
        <v>0</v>
      </c>
      <c r="U28" s="78">
        <v>0</v>
      </c>
      <c r="V28" s="39">
        <v>0</v>
      </c>
      <c r="W28" s="22">
        <f t="shared" si="5"/>
        <v>0</v>
      </c>
      <c r="X28" s="82">
        <f t="shared" si="5"/>
        <v>0</v>
      </c>
      <c r="Y28" s="78">
        <f t="shared" si="5"/>
        <v>0</v>
      </c>
    </row>
    <row r="29" spans="1:25">
      <c r="A29" s="42" t="s">
        <v>84</v>
      </c>
      <c r="B29" s="64">
        <v>0</v>
      </c>
      <c r="C29" s="59">
        <v>0</v>
      </c>
      <c r="D29" s="91">
        <v>0</v>
      </c>
      <c r="E29" s="88">
        <v>0</v>
      </c>
      <c r="F29" s="73">
        <v>0</v>
      </c>
      <c r="G29" s="59">
        <v>0</v>
      </c>
      <c r="H29" s="91">
        <v>0</v>
      </c>
      <c r="I29" s="88">
        <v>0</v>
      </c>
      <c r="J29" s="73">
        <v>0</v>
      </c>
      <c r="K29" s="59">
        <v>0</v>
      </c>
      <c r="L29" s="91">
        <v>0</v>
      </c>
      <c r="M29" s="88">
        <v>0</v>
      </c>
      <c r="N29" s="73">
        <v>0</v>
      </c>
      <c r="O29" s="59">
        <v>0</v>
      </c>
      <c r="P29" s="91">
        <v>0</v>
      </c>
      <c r="Q29" s="88">
        <v>0</v>
      </c>
      <c r="R29" s="73">
        <v>0</v>
      </c>
      <c r="S29" s="35">
        <v>0</v>
      </c>
      <c r="T29" s="85">
        <v>0</v>
      </c>
      <c r="U29" s="81">
        <v>0</v>
      </c>
      <c r="V29" s="64">
        <v>0</v>
      </c>
      <c r="W29" s="35">
        <f t="shared" si="5"/>
        <v>0</v>
      </c>
      <c r="X29" s="85">
        <f t="shared" si="5"/>
        <v>0</v>
      </c>
      <c r="Y29" s="81">
        <f t="shared" si="5"/>
        <v>0</v>
      </c>
    </row>
    <row r="30" spans="1:25">
      <c r="A30" s="23" t="s">
        <v>563</v>
      </c>
      <c r="B30" s="27">
        <f t="shared" ref="B30:Y30" si="6">SUM(B23:B29)</f>
        <v>0</v>
      </c>
      <c r="C30" s="60">
        <f t="shared" si="6"/>
        <v>0</v>
      </c>
      <c r="D30" s="60">
        <f t="shared" si="6"/>
        <v>0</v>
      </c>
      <c r="E30" s="60">
        <f t="shared" si="6"/>
        <v>0</v>
      </c>
      <c r="F30" s="27">
        <f t="shared" si="6"/>
        <v>0</v>
      </c>
      <c r="G30" s="60">
        <f t="shared" si="6"/>
        <v>0</v>
      </c>
      <c r="H30" s="60">
        <f t="shared" si="6"/>
        <v>0</v>
      </c>
      <c r="I30" s="60">
        <f t="shared" si="6"/>
        <v>0</v>
      </c>
      <c r="J30" s="27">
        <f t="shared" si="6"/>
        <v>0</v>
      </c>
      <c r="K30" s="60">
        <f t="shared" si="6"/>
        <v>0</v>
      </c>
      <c r="L30" s="60">
        <f t="shared" si="6"/>
        <v>0</v>
      </c>
      <c r="M30" s="60">
        <f t="shared" si="6"/>
        <v>0</v>
      </c>
      <c r="N30" s="27">
        <f t="shared" si="6"/>
        <v>0</v>
      </c>
      <c r="O30" s="60">
        <f t="shared" si="6"/>
        <v>0</v>
      </c>
      <c r="P30" s="60">
        <f t="shared" si="6"/>
        <v>0</v>
      </c>
      <c r="Q30" s="60">
        <f t="shared" si="6"/>
        <v>0</v>
      </c>
      <c r="R30" s="27">
        <f t="shared" si="6"/>
        <v>0</v>
      </c>
      <c r="S30" s="36">
        <f t="shared" si="6"/>
        <v>0</v>
      </c>
      <c r="T30" s="36">
        <f t="shared" si="6"/>
        <v>0</v>
      </c>
      <c r="U30" s="36">
        <f t="shared" si="6"/>
        <v>0</v>
      </c>
      <c r="V30" s="27">
        <f t="shared" si="6"/>
        <v>0</v>
      </c>
      <c r="W30" s="36">
        <f t="shared" si="6"/>
        <v>0</v>
      </c>
      <c r="X30" s="36">
        <f t="shared" si="6"/>
        <v>0</v>
      </c>
      <c r="Y30" s="36">
        <f t="shared" si="6"/>
        <v>0</v>
      </c>
    </row>
    <row r="31" spans="1:25">
      <c r="A31" s="24" t="s">
        <v>429</v>
      </c>
      <c r="B31" s="21"/>
      <c r="C31" s="26"/>
      <c r="D31" s="26"/>
      <c r="E31" s="26"/>
      <c r="F31" s="26"/>
      <c r="G31" s="26"/>
      <c r="H31" s="26"/>
      <c r="I31" s="26"/>
      <c r="J31" s="26"/>
      <c r="K31" s="26"/>
      <c r="L31" s="26"/>
      <c r="M31" s="26"/>
      <c r="N31" s="26"/>
      <c r="O31" s="26"/>
      <c r="P31" s="26"/>
      <c r="Q31" s="26"/>
      <c r="R31" s="26"/>
      <c r="S31" s="26"/>
      <c r="T31" s="26"/>
      <c r="U31" s="26"/>
      <c r="V31" s="21"/>
      <c r="W31" s="26"/>
      <c r="X31" s="26"/>
      <c r="Y31" s="26"/>
    </row>
    <row r="32" spans="1:25">
      <c r="A32" s="40" t="s">
        <v>81</v>
      </c>
      <c r="B32" s="65">
        <v>0</v>
      </c>
      <c r="C32" s="54">
        <v>0</v>
      </c>
      <c r="D32" s="89">
        <v>0</v>
      </c>
      <c r="E32" s="86">
        <v>0</v>
      </c>
      <c r="F32" s="72">
        <v>0</v>
      </c>
      <c r="G32" s="54">
        <v>0</v>
      </c>
      <c r="H32" s="89">
        <v>0</v>
      </c>
      <c r="I32" s="86">
        <v>0</v>
      </c>
      <c r="J32" s="72">
        <v>0</v>
      </c>
      <c r="K32" s="54">
        <v>0</v>
      </c>
      <c r="L32" s="89">
        <v>0</v>
      </c>
      <c r="M32" s="86">
        <v>0</v>
      </c>
      <c r="N32" s="72">
        <v>0</v>
      </c>
      <c r="O32" s="54">
        <v>0</v>
      </c>
      <c r="P32" s="89">
        <v>0</v>
      </c>
      <c r="Q32" s="86">
        <v>0</v>
      </c>
      <c r="R32" s="72">
        <v>0</v>
      </c>
      <c r="S32" s="32">
        <v>0</v>
      </c>
      <c r="T32" s="84">
        <v>0</v>
      </c>
      <c r="U32" s="80">
        <v>0</v>
      </c>
      <c r="V32" s="65">
        <v>0</v>
      </c>
      <c r="W32" s="32">
        <f t="shared" ref="W32:Y33" si="7">SUM(G32,K32,O32,S32)</f>
        <v>0</v>
      </c>
      <c r="X32" s="84">
        <f t="shared" si="7"/>
        <v>0</v>
      </c>
      <c r="Y32" s="80">
        <f t="shared" si="7"/>
        <v>0</v>
      </c>
    </row>
    <row r="33" spans="1:25">
      <c r="A33" s="42" t="s">
        <v>79</v>
      </c>
      <c r="B33" s="64">
        <v>0</v>
      </c>
      <c r="C33" s="59">
        <v>0</v>
      </c>
      <c r="D33" s="91">
        <v>0</v>
      </c>
      <c r="E33" s="88">
        <v>0</v>
      </c>
      <c r="F33" s="73">
        <v>0</v>
      </c>
      <c r="G33" s="59">
        <v>0</v>
      </c>
      <c r="H33" s="91">
        <v>0</v>
      </c>
      <c r="I33" s="88">
        <v>0</v>
      </c>
      <c r="J33" s="73">
        <v>0</v>
      </c>
      <c r="K33" s="59">
        <v>0</v>
      </c>
      <c r="L33" s="91">
        <v>0</v>
      </c>
      <c r="M33" s="88">
        <v>0</v>
      </c>
      <c r="N33" s="73">
        <v>0</v>
      </c>
      <c r="O33" s="59">
        <v>0</v>
      </c>
      <c r="P33" s="91">
        <v>0</v>
      </c>
      <c r="Q33" s="88">
        <v>0</v>
      </c>
      <c r="R33" s="73">
        <v>0</v>
      </c>
      <c r="S33" s="35">
        <v>0</v>
      </c>
      <c r="T33" s="85">
        <v>0</v>
      </c>
      <c r="U33" s="81">
        <v>0</v>
      </c>
      <c r="V33" s="64">
        <v>0</v>
      </c>
      <c r="W33" s="35">
        <f t="shared" si="7"/>
        <v>0</v>
      </c>
      <c r="X33" s="85">
        <f t="shared" si="7"/>
        <v>0</v>
      </c>
      <c r="Y33" s="81">
        <f t="shared" si="7"/>
        <v>0</v>
      </c>
    </row>
    <row r="34" spans="1:25">
      <c r="A34" s="23" t="s">
        <v>564</v>
      </c>
      <c r="B34" s="27">
        <f t="shared" ref="B34:Y34" si="8">SUM(B32:B33)</f>
        <v>0</v>
      </c>
      <c r="C34" s="60">
        <f t="shared" si="8"/>
        <v>0</v>
      </c>
      <c r="D34" s="60">
        <f t="shared" si="8"/>
        <v>0</v>
      </c>
      <c r="E34" s="60">
        <f t="shared" si="8"/>
        <v>0</v>
      </c>
      <c r="F34" s="27">
        <f t="shared" si="8"/>
        <v>0</v>
      </c>
      <c r="G34" s="60">
        <f t="shared" si="8"/>
        <v>0</v>
      </c>
      <c r="H34" s="60">
        <f t="shared" si="8"/>
        <v>0</v>
      </c>
      <c r="I34" s="60">
        <f t="shared" si="8"/>
        <v>0</v>
      </c>
      <c r="J34" s="27">
        <f t="shared" si="8"/>
        <v>0</v>
      </c>
      <c r="K34" s="60">
        <f t="shared" si="8"/>
        <v>0</v>
      </c>
      <c r="L34" s="60">
        <f t="shared" si="8"/>
        <v>0</v>
      </c>
      <c r="M34" s="60">
        <f t="shared" si="8"/>
        <v>0</v>
      </c>
      <c r="N34" s="27">
        <f t="shared" si="8"/>
        <v>0</v>
      </c>
      <c r="O34" s="60">
        <f t="shared" si="8"/>
        <v>0</v>
      </c>
      <c r="P34" s="60">
        <f t="shared" si="8"/>
        <v>0</v>
      </c>
      <c r="Q34" s="60">
        <f t="shared" si="8"/>
        <v>0</v>
      </c>
      <c r="R34" s="27">
        <f t="shared" si="8"/>
        <v>0</v>
      </c>
      <c r="S34" s="36">
        <f t="shared" si="8"/>
        <v>0</v>
      </c>
      <c r="T34" s="36">
        <f t="shared" si="8"/>
        <v>0</v>
      </c>
      <c r="U34" s="36">
        <f t="shared" si="8"/>
        <v>0</v>
      </c>
      <c r="V34" s="27">
        <f t="shared" si="8"/>
        <v>0</v>
      </c>
      <c r="W34" s="36">
        <f t="shared" si="8"/>
        <v>0</v>
      </c>
      <c r="X34" s="36">
        <f t="shared" si="8"/>
        <v>0</v>
      </c>
      <c r="Y34" s="36">
        <f t="shared" si="8"/>
        <v>0</v>
      </c>
    </row>
    <row r="35" spans="1:25">
      <c r="A35" s="24" t="s">
        <v>565</v>
      </c>
      <c r="B35" s="26"/>
      <c r="C35" s="26"/>
      <c r="D35" s="26"/>
      <c r="E35" s="26"/>
      <c r="F35" s="26"/>
      <c r="G35" s="26"/>
      <c r="H35" s="26"/>
      <c r="I35" s="26"/>
      <c r="J35" s="26"/>
      <c r="K35" s="26"/>
      <c r="L35" s="26"/>
      <c r="M35" s="26"/>
      <c r="N35" s="26"/>
      <c r="O35" s="26"/>
      <c r="P35" s="26"/>
      <c r="Q35" s="26"/>
      <c r="R35" s="26"/>
      <c r="S35" s="26"/>
      <c r="T35" s="26"/>
      <c r="U35" s="26"/>
      <c r="V35" s="26"/>
      <c r="W35" s="26"/>
      <c r="X35" s="26"/>
      <c r="Y35" s="26"/>
    </row>
    <row r="36" spans="1:25">
      <c r="A36" s="40" t="s">
        <v>77</v>
      </c>
      <c r="B36" s="65">
        <v>0</v>
      </c>
      <c r="C36" s="54">
        <v>0</v>
      </c>
      <c r="D36" s="89">
        <v>0</v>
      </c>
      <c r="E36" s="86">
        <v>0</v>
      </c>
      <c r="F36" s="72">
        <v>0</v>
      </c>
      <c r="G36" s="54">
        <v>0</v>
      </c>
      <c r="H36" s="89">
        <v>0</v>
      </c>
      <c r="I36" s="86">
        <v>0</v>
      </c>
      <c r="J36" s="72">
        <v>0</v>
      </c>
      <c r="K36" s="54">
        <v>0</v>
      </c>
      <c r="L36" s="89">
        <v>0</v>
      </c>
      <c r="M36" s="86">
        <v>0</v>
      </c>
      <c r="N36" s="72">
        <v>0</v>
      </c>
      <c r="O36" s="54">
        <v>0</v>
      </c>
      <c r="P36" s="89">
        <v>0</v>
      </c>
      <c r="Q36" s="86">
        <v>0</v>
      </c>
      <c r="R36" s="72">
        <v>0</v>
      </c>
      <c r="S36" s="32">
        <v>0</v>
      </c>
      <c r="T36" s="84">
        <v>0</v>
      </c>
      <c r="U36" s="80">
        <v>0</v>
      </c>
      <c r="V36" s="65">
        <v>0</v>
      </c>
      <c r="W36" s="32">
        <f t="shared" ref="W36:Y41" si="9">SUM(G36,K36,O36,S36)</f>
        <v>0</v>
      </c>
      <c r="X36" s="84">
        <f t="shared" si="9"/>
        <v>0</v>
      </c>
      <c r="Y36" s="80">
        <f t="shared" si="9"/>
        <v>0</v>
      </c>
    </row>
    <row r="37" spans="1:25">
      <c r="A37" s="41" t="s">
        <v>59</v>
      </c>
      <c r="B37" s="39">
        <v>0</v>
      </c>
      <c r="C37" s="54">
        <v>0</v>
      </c>
      <c r="D37" s="89">
        <v>0</v>
      </c>
      <c r="E37" s="86">
        <v>0</v>
      </c>
      <c r="F37" s="72">
        <v>0</v>
      </c>
      <c r="G37" s="54">
        <v>0</v>
      </c>
      <c r="H37" s="89">
        <v>0</v>
      </c>
      <c r="I37" s="86">
        <v>0</v>
      </c>
      <c r="J37" s="72">
        <v>0</v>
      </c>
      <c r="K37" s="54">
        <v>0</v>
      </c>
      <c r="L37" s="89">
        <v>0</v>
      </c>
      <c r="M37" s="86">
        <v>0</v>
      </c>
      <c r="N37" s="72">
        <v>0</v>
      </c>
      <c r="O37" s="54">
        <v>0</v>
      </c>
      <c r="P37" s="89">
        <v>0</v>
      </c>
      <c r="Q37" s="86">
        <v>0</v>
      </c>
      <c r="R37" s="72">
        <v>0</v>
      </c>
      <c r="S37" s="22">
        <v>0</v>
      </c>
      <c r="T37" s="82">
        <v>0</v>
      </c>
      <c r="U37" s="78">
        <v>0</v>
      </c>
      <c r="V37" s="39">
        <v>0</v>
      </c>
      <c r="W37" s="22">
        <f t="shared" si="9"/>
        <v>0</v>
      </c>
      <c r="X37" s="82">
        <f t="shared" si="9"/>
        <v>0</v>
      </c>
      <c r="Y37" s="78">
        <f t="shared" si="9"/>
        <v>0</v>
      </c>
    </row>
    <row r="38" spans="1:25">
      <c r="A38" s="41" t="s">
        <v>39</v>
      </c>
      <c r="B38" s="39">
        <v>0</v>
      </c>
      <c r="C38" s="54">
        <v>0</v>
      </c>
      <c r="D38" s="89">
        <v>0</v>
      </c>
      <c r="E38" s="86">
        <v>0</v>
      </c>
      <c r="F38" s="72">
        <v>0</v>
      </c>
      <c r="G38" s="54">
        <v>0</v>
      </c>
      <c r="H38" s="89">
        <v>0</v>
      </c>
      <c r="I38" s="86">
        <v>0</v>
      </c>
      <c r="J38" s="72">
        <v>0</v>
      </c>
      <c r="K38" s="54">
        <v>0</v>
      </c>
      <c r="L38" s="89">
        <v>0</v>
      </c>
      <c r="M38" s="86">
        <v>0</v>
      </c>
      <c r="N38" s="72">
        <v>0</v>
      </c>
      <c r="O38" s="54">
        <v>0</v>
      </c>
      <c r="P38" s="89">
        <v>0</v>
      </c>
      <c r="Q38" s="86">
        <v>0</v>
      </c>
      <c r="R38" s="72">
        <v>0</v>
      </c>
      <c r="S38" s="22">
        <v>0</v>
      </c>
      <c r="T38" s="82">
        <v>0</v>
      </c>
      <c r="U38" s="78">
        <v>0</v>
      </c>
      <c r="V38" s="39">
        <v>0</v>
      </c>
      <c r="W38" s="22">
        <f t="shared" si="9"/>
        <v>0</v>
      </c>
      <c r="X38" s="82">
        <f t="shared" si="9"/>
        <v>0</v>
      </c>
      <c r="Y38" s="78">
        <f t="shared" si="9"/>
        <v>0</v>
      </c>
    </row>
    <row r="39" spans="1:25">
      <c r="A39" s="92" t="s">
        <v>31</v>
      </c>
      <c r="B39" s="93">
        <v>0</v>
      </c>
      <c r="C39" s="94">
        <v>0</v>
      </c>
      <c r="D39" s="100">
        <v>0</v>
      </c>
      <c r="E39" s="99">
        <v>0</v>
      </c>
      <c r="F39" s="95">
        <v>0</v>
      </c>
      <c r="G39" s="94">
        <v>0</v>
      </c>
      <c r="H39" s="100">
        <v>0</v>
      </c>
      <c r="I39" s="99">
        <v>0</v>
      </c>
      <c r="J39" s="95">
        <v>0</v>
      </c>
      <c r="K39" s="94">
        <v>0</v>
      </c>
      <c r="L39" s="100">
        <v>0</v>
      </c>
      <c r="M39" s="99">
        <v>0</v>
      </c>
      <c r="N39" s="95">
        <v>0</v>
      </c>
      <c r="O39" s="94">
        <v>0</v>
      </c>
      <c r="P39" s="100">
        <v>0</v>
      </c>
      <c r="Q39" s="99">
        <v>0</v>
      </c>
      <c r="R39" s="95">
        <v>0</v>
      </c>
      <c r="S39" s="96">
        <v>0</v>
      </c>
      <c r="T39" s="98">
        <v>0</v>
      </c>
      <c r="U39" s="97">
        <v>0</v>
      </c>
      <c r="V39" s="93">
        <v>0</v>
      </c>
      <c r="W39" s="96">
        <f t="shared" si="9"/>
        <v>0</v>
      </c>
      <c r="X39" s="98">
        <f t="shared" si="9"/>
        <v>0</v>
      </c>
      <c r="Y39" s="97">
        <f t="shared" si="9"/>
        <v>0</v>
      </c>
    </row>
    <row r="40" spans="1:25">
      <c r="A40" s="41" t="s">
        <v>27</v>
      </c>
      <c r="B40" s="39">
        <v>0</v>
      </c>
      <c r="C40" s="54">
        <v>0</v>
      </c>
      <c r="D40" s="89">
        <v>0</v>
      </c>
      <c r="E40" s="86">
        <v>0</v>
      </c>
      <c r="F40" s="72">
        <v>0</v>
      </c>
      <c r="G40" s="54">
        <v>0</v>
      </c>
      <c r="H40" s="89">
        <v>0</v>
      </c>
      <c r="I40" s="86">
        <v>0</v>
      </c>
      <c r="J40" s="72">
        <v>0</v>
      </c>
      <c r="K40" s="54">
        <v>0</v>
      </c>
      <c r="L40" s="89">
        <v>0</v>
      </c>
      <c r="M40" s="86">
        <v>0</v>
      </c>
      <c r="N40" s="72">
        <v>0</v>
      </c>
      <c r="O40" s="54">
        <v>0</v>
      </c>
      <c r="P40" s="89">
        <v>0</v>
      </c>
      <c r="Q40" s="86">
        <v>0</v>
      </c>
      <c r="R40" s="72">
        <v>0</v>
      </c>
      <c r="S40" s="22">
        <v>0</v>
      </c>
      <c r="T40" s="82">
        <v>0</v>
      </c>
      <c r="U40" s="78">
        <v>0</v>
      </c>
      <c r="V40" s="39">
        <v>0</v>
      </c>
      <c r="W40" s="22">
        <f t="shared" si="9"/>
        <v>0</v>
      </c>
      <c r="X40" s="82">
        <f t="shared" si="9"/>
        <v>0</v>
      </c>
      <c r="Y40" s="78">
        <f t="shared" si="9"/>
        <v>0</v>
      </c>
    </row>
    <row r="41" spans="1:25">
      <c r="A41" s="42" t="s">
        <v>25</v>
      </c>
      <c r="B41" s="64">
        <v>0</v>
      </c>
      <c r="C41" s="59">
        <v>0</v>
      </c>
      <c r="D41" s="91">
        <v>0</v>
      </c>
      <c r="E41" s="88">
        <v>0</v>
      </c>
      <c r="F41" s="73">
        <v>0</v>
      </c>
      <c r="G41" s="59">
        <v>0</v>
      </c>
      <c r="H41" s="91">
        <v>0</v>
      </c>
      <c r="I41" s="88">
        <v>0</v>
      </c>
      <c r="J41" s="73">
        <v>0</v>
      </c>
      <c r="K41" s="59">
        <v>0</v>
      </c>
      <c r="L41" s="91">
        <v>0</v>
      </c>
      <c r="M41" s="88">
        <v>0</v>
      </c>
      <c r="N41" s="73">
        <v>0</v>
      </c>
      <c r="O41" s="59">
        <v>0</v>
      </c>
      <c r="P41" s="91">
        <v>0</v>
      </c>
      <c r="Q41" s="88">
        <v>0</v>
      </c>
      <c r="R41" s="73">
        <v>0</v>
      </c>
      <c r="S41" s="35">
        <v>0</v>
      </c>
      <c r="T41" s="85">
        <v>0</v>
      </c>
      <c r="U41" s="81">
        <v>0</v>
      </c>
      <c r="V41" s="64">
        <v>0</v>
      </c>
      <c r="W41" s="35">
        <f t="shared" si="9"/>
        <v>0</v>
      </c>
      <c r="X41" s="85">
        <f t="shared" si="9"/>
        <v>0</v>
      </c>
      <c r="Y41" s="81">
        <f t="shared" si="9"/>
        <v>0</v>
      </c>
    </row>
    <row r="42" spans="1:25">
      <c r="A42" s="23" t="s">
        <v>566</v>
      </c>
      <c r="B42" s="27">
        <f t="shared" ref="B42:Y42" si="10">SUM(B36:B41)</f>
        <v>0</v>
      </c>
      <c r="C42" s="56">
        <f t="shared" si="10"/>
        <v>0</v>
      </c>
      <c r="D42" s="56">
        <f t="shared" si="10"/>
        <v>0</v>
      </c>
      <c r="E42" s="56">
        <f t="shared" si="10"/>
        <v>0</v>
      </c>
      <c r="F42" s="66">
        <f t="shared" si="10"/>
        <v>0</v>
      </c>
      <c r="G42" s="56">
        <f t="shared" si="10"/>
        <v>0</v>
      </c>
      <c r="H42" s="56">
        <f t="shared" si="10"/>
        <v>0</v>
      </c>
      <c r="I42" s="56">
        <f t="shared" si="10"/>
        <v>0</v>
      </c>
      <c r="J42" s="66">
        <f t="shared" si="10"/>
        <v>0</v>
      </c>
      <c r="K42" s="56">
        <f t="shared" si="10"/>
        <v>0</v>
      </c>
      <c r="L42" s="56">
        <f t="shared" si="10"/>
        <v>0</v>
      </c>
      <c r="M42" s="56">
        <f t="shared" si="10"/>
        <v>0</v>
      </c>
      <c r="N42" s="66">
        <f t="shared" si="10"/>
        <v>0</v>
      </c>
      <c r="O42" s="56">
        <f t="shared" si="10"/>
        <v>0</v>
      </c>
      <c r="P42" s="56">
        <f t="shared" si="10"/>
        <v>0</v>
      </c>
      <c r="Q42" s="56">
        <f t="shared" si="10"/>
        <v>0</v>
      </c>
      <c r="R42" s="66">
        <f t="shared" si="10"/>
        <v>0</v>
      </c>
      <c r="S42" s="37">
        <f t="shared" si="10"/>
        <v>0</v>
      </c>
      <c r="T42" s="37">
        <f t="shared" si="10"/>
        <v>0</v>
      </c>
      <c r="U42" s="37">
        <f t="shared" si="10"/>
        <v>0</v>
      </c>
      <c r="V42" s="27">
        <f t="shared" si="10"/>
        <v>0</v>
      </c>
      <c r="W42" s="37">
        <f t="shared" si="10"/>
        <v>0</v>
      </c>
      <c r="X42" s="37">
        <f t="shared" si="10"/>
        <v>0</v>
      </c>
      <c r="Y42" s="37">
        <f t="shared" si="10"/>
        <v>0</v>
      </c>
    </row>
    <row r="43" spans="1:25" ht="16.2" thickBot="1">
      <c r="A43" s="43" t="s">
        <v>567</v>
      </c>
      <c r="B43" s="34">
        <f>SUM(B21,B30,B34,B42)</f>
        <v>0</v>
      </c>
      <c r="C43" s="52">
        <f t="shared" ref="C43:U43" si="11">SUM(C21,C30,C34,C42)</f>
        <v>0</v>
      </c>
      <c r="D43" s="52">
        <f t="shared" si="11"/>
        <v>0</v>
      </c>
      <c r="E43" s="52">
        <f t="shared" si="11"/>
        <v>0</v>
      </c>
      <c r="F43" s="34">
        <f t="shared" si="11"/>
        <v>0</v>
      </c>
      <c r="G43" s="52">
        <f t="shared" si="11"/>
        <v>0</v>
      </c>
      <c r="H43" s="52">
        <f t="shared" si="11"/>
        <v>0</v>
      </c>
      <c r="I43" s="52">
        <f t="shared" si="11"/>
        <v>0</v>
      </c>
      <c r="J43" s="34">
        <f t="shared" si="11"/>
        <v>0</v>
      </c>
      <c r="K43" s="52">
        <f t="shared" si="11"/>
        <v>0</v>
      </c>
      <c r="L43" s="52">
        <f t="shared" si="11"/>
        <v>0</v>
      </c>
      <c r="M43" s="52">
        <f t="shared" si="11"/>
        <v>0</v>
      </c>
      <c r="N43" s="34">
        <f t="shared" si="11"/>
        <v>0</v>
      </c>
      <c r="O43" s="52">
        <f t="shared" si="11"/>
        <v>0</v>
      </c>
      <c r="P43" s="52">
        <f t="shared" si="11"/>
        <v>0</v>
      </c>
      <c r="Q43" s="52">
        <f t="shared" si="11"/>
        <v>0</v>
      </c>
      <c r="R43" s="34">
        <f t="shared" si="11"/>
        <v>0</v>
      </c>
      <c r="S43" s="34">
        <f t="shared" si="11"/>
        <v>0</v>
      </c>
      <c r="T43" s="34">
        <f t="shared" si="11"/>
        <v>0</v>
      </c>
      <c r="U43" s="34">
        <f t="shared" si="11"/>
        <v>0</v>
      </c>
      <c r="V43" s="34">
        <f>SUM(V21,V30,V34,V42)</f>
        <v>0</v>
      </c>
      <c r="W43" s="34">
        <f t="shared" ref="W43:Y43" si="12">SUM(W21,W30,W34,W42)</f>
        <v>0</v>
      </c>
      <c r="X43" s="34">
        <f t="shared" si="12"/>
        <v>0</v>
      </c>
      <c r="Y43" s="34">
        <f t="shared" si="12"/>
        <v>0</v>
      </c>
    </row>
    <row r="44" spans="1:25" ht="15" thickTop="1">
      <c r="A44" s="44" t="s">
        <v>568</v>
      </c>
      <c r="B44" s="28"/>
      <c r="C44" s="20"/>
      <c r="D44" s="20"/>
      <c r="E44" s="20"/>
      <c r="F44" s="28"/>
      <c r="G44" s="20"/>
      <c r="H44" s="20"/>
      <c r="I44" s="20"/>
      <c r="J44" s="28"/>
      <c r="K44" s="20"/>
      <c r="L44" s="20"/>
      <c r="M44" s="20"/>
      <c r="N44" s="28"/>
      <c r="O44" s="20"/>
      <c r="P44" s="20"/>
      <c r="Q44" s="20"/>
      <c r="R44" s="28"/>
      <c r="S44" s="20"/>
      <c r="T44" s="20"/>
      <c r="U44" s="20"/>
      <c r="V44" s="28"/>
      <c r="W44" s="20"/>
      <c r="X44" s="20"/>
      <c r="Y44" s="20"/>
    </row>
    <row r="45" spans="1:25">
      <c r="A45" s="40" t="s">
        <v>23</v>
      </c>
      <c r="B45" s="65">
        <v>0</v>
      </c>
      <c r="C45" s="54">
        <v>0</v>
      </c>
      <c r="D45" s="89">
        <v>0</v>
      </c>
      <c r="E45" s="86">
        <v>0</v>
      </c>
      <c r="F45" s="72">
        <v>0</v>
      </c>
      <c r="G45" s="54">
        <v>0</v>
      </c>
      <c r="H45" s="89">
        <v>0</v>
      </c>
      <c r="I45" s="86">
        <v>0</v>
      </c>
      <c r="J45" s="72">
        <v>0</v>
      </c>
      <c r="K45" s="54">
        <v>0</v>
      </c>
      <c r="L45" s="89">
        <v>0</v>
      </c>
      <c r="M45" s="86">
        <v>0</v>
      </c>
      <c r="N45" s="72">
        <v>0</v>
      </c>
      <c r="O45" s="54">
        <v>0</v>
      </c>
      <c r="P45" s="89">
        <v>0</v>
      </c>
      <c r="Q45" s="86">
        <v>0</v>
      </c>
      <c r="R45" s="72">
        <v>0</v>
      </c>
      <c r="S45" s="32">
        <v>0</v>
      </c>
      <c r="T45" s="84">
        <v>0</v>
      </c>
      <c r="U45" s="80">
        <v>0</v>
      </c>
      <c r="V45" s="65">
        <v>0</v>
      </c>
      <c r="W45" s="32">
        <f t="shared" ref="W45:Y46" si="13">SUM(G45,K45,O45,S45)</f>
        <v>0</v>
      </c>
      <c r="X45" s="84">
        <f t="shared" si="13"/>
        <v>0</v>
      </c>
      <c r="Y45" s="80">
        <f t="shared" si="13"/>
        <v>0</v>
      </c>
    </row>
    <row r="46" spans="1:25">
      <c r="A46" s="42" t="s">
        <v>7</v>
      </c>
      <c r="B46" s="64">
        <v>0</v>
      </c>
      <c r="C46" s="59">
        <v>0</v>
      </c>
      <c r="D46" s="91">
        <v>0</v>
      </c>
      <c r="E46" s="88">
        <v>0</v>
      </c>
      <c r="F46" s="73">
        <v>0</v>
      </c>
      <c r="G46" s="59">
        <v>0</v>
      </c>
      <c r="H46" s="91">
        <v>0</v>
      </c>
      <c r="I46" s="88">
        <v>0</v>
      </c>
      <c r="J46" s="73">
        <v>0</v>
      </c>
      <c r="K46" s="59">
        <v>0</v>
      </c>
      <c r="L46" s="91">
        <v>0</v>
      </c>
      <c r="M46" s="88">
        <v>0</v>
      </c>
      <c r="N46" s="73">
        <v>0</v>
      </c>
      <c r="O46" s="59">
        <v>0</v>
      </c>
      <c r="P46" s="91">
        <v>0</v>
      </c>
      <c r="Q46" s="88">
        <v>0</v>
      </c>
      <c r="R46" s="73">
        <v>0</v>
      </c>
      <c r="S46" s="35">
        <v>0</v>
      </c>
      <c r="T46" s="85">
        <v>0</v>
      </c>
      <c r="U46" s="81">
        <v>0</v>
      </c>
      <c r="V46" s="64">
        <v>0</v>
      </c>
      <c r="W46" s="35">
        <f t="shared" si="13"/>
        <v>0</v>
      </c>
      <c r="X46" s="85">
        <f t="shared" si="13"/>
        <v>0</v>
      </c>
      <c r="Y46" s="81">
        <f t="shared" si="13"/>
        <v>0</v>
      </c>
    </row>
    <row r="47" spans="1:25">
      <c r="A47" s="45" t="s">
        <v>569</v>
      </c>
      <c r="B47" s="49">
        <f t="shared" ref="B47:Y47" si="14">SUM(B45:B46)</f>
        <v>0</v>
      </c>
      <c r="C47" s="60">
        <f t="shared" si="14"/>
        <v>0</v>
      </c>
      <c r="D47" s="60">
        <f t="shared" si="14"/>
        <v>0</v>
      </c>
      <c r="E47" s="60">
        <f t="shared" si="14"/>
        <v>0</v>
      </c>
      <c r="F47" s="27">
        <f t="shared" si="14"/>
        <v>0</v>
      </c>
      <c r="G47" s="60">
        <f t="shared" si="14"/>
        <v>0</v>
      </c>
      <c r="H47" s="60">
        <f t="shared" si="14"/>
        <v>0</v>
      </c>
      <c r="I47" s="60">
        <f t="shared" si="14"/>
        <v>0</v>
      </c>
      <c r="J47" s="27">
        <f t="shared" si="14"/>
        <v>0</v>
      </c>
      <c r="K47" s="60">
        <f t="shared" si="14"/>
        <v>0</v>
      </c>
      <c r="L47" s="60">
        <f t="shared" si="14"/>
        <v>0</v>
      </c>
      <c r="M47" s="60">
        <f t="shared" si="14"/>
        <v>0</v>
      </c>
      <c r="N47" s="27">
        <f t="shared" si="14"/>
        <v>0</v>
      </c>
      <c r="O47" s="60">
        <f t="shared" si="14"/>
        <v>0</v>
      </c>
      <c r="P47" s="60">
        <f t="shared" si="14"/>
        <v>0</v>
      </c>
      <c r="Q47" s="60">
        <f t="shared" si="14"/>
        <v>0</v>
      </c>
      <c r="R47" s="27">
        <f t="shared" si="14"/>
        <v>0</v>
      </c>
      <c r="S47" s="36">
        <f t="shared" si="14"/>
        <v>0</v>
      </c>
      <c r="T47" s="36">
        <f t="shared" si="14"/>
        <v>0</v>
      </c>
      <c r="U47" s="36">
        <f t="shared" si="14"/>
        <v>0</v>
      </c>
      <c r="V47" s="49">
        <f t="shared" si="14"/>
        <v>0</v>
      </c>
      <c r="W47" s="36">
        <f t="shared" si="14"/>
        <v>0</v>
      </c>
      <c r="X47" s="36">
        <f t="shared" si="14"/>
        <v>0</v>
      </c>
      <c r="Y47" s="36">
        <f t="shared" si="14"/>
        <v>0</v>
      </c>
    </row>
    <row r="48" spans="1:25" ht="16.2" thickBot="1">
      <c r="A48" s="43" t="s">
        <v>570</v>
      </c>
      <c r="B48" s="34">
        <f>SUM(B12,B43,B47)</f>
        <v>0</v>
      </c>
      <c r="C48" s="52">
        <f t="shared" ref="C48:U48" si="15">SUM(C12,C43,C47)</f>
        <v>0</v>
      </c>
      <c r="D48" s="52">
        <f t="shared" si="15"/>
        <v>0</v>
      </c>
      <c r="E48" s="52">
        <f t="shared" si="15"/>
        <v>0</v>
      </c>
      <c r="F48" s="34">
        <f t="shared" si="15"/>
        <v>0</v>
      </c>
      <c r="G48" s="52">
        <f t="shared" si="15"/>
        <v>0</v>
      </c>
      <c r="H48" s="52">
        <f t="shared" si="15"/>
        <v>0</v>
      </c>
      <c r="I48" s="52">
        <f t="shared" si="15"/>
        <v>0</v>
      </c>
      <c r="J48" s="34">
        <f t="shared" si="15"/>
        <v>0</v>
      </c>
      <c r="K48" s="52">
        <f t="shared" si="15"/>
        <v>0</v>
      </c>
      <c r="L48" s="52">
        <f t="shared" si="15"/>
        <v>0</v>
      </c>
      <c r="M48" s="52">
        <f t="shared" si="15"/>
        <v>0</v>
      </c>
      <c r="N48" s="34">
        <f t="shared" si="15"/>
        <v>0</v>
      </c>
      <c r="O48" s="52">
        <f t="shared" si="15"/>
        <v>0</v>
      </c>
      <c r="P48" s="52">
        <f t="shared" si="15"/>
        <v>0</v>
      </c>
      <c r="Q48" s="52">
        <f t="shared" si="15"/>
        <v>0</v>
      </c>
      <c r="R48" s="34">
        <f t="shared" si="15"/>
        <v>0</v>
      </c>
      <c r="S48" s="34">
        <f t="shared" si="15"/>
        <v>0</v>
      </c>
      <c r="T48" s="34">
        <f t="shared" si="15"/>
        <v>0</v>
      </c>
      <c r="U48" s="34">
        <f t="shared" si="15"/>
        <v>0</v>
      </c>
      <c r="V48" s="34">
        <f>SUM(V12,V43,V47)</f>
        <v>0</v>
      </c>
      <c r="W48" s="34">
        <f t="shared" ref="W48:Y48" si="16">SUM(W12,W43,W47)</f>
        <v>0</v>
      </c>
      <c r="X48" s="34">
        <f t="shared" si="16"/>
        <v>0</v>
      </c>
      <c r="Y48" s="34">
        <f t="shared" si="16"/>
        <v>0</v>
      </c>
    </row>
    <row r="49" spans="1:25" ht="15" thickTop="1">
      <c r="A49" s="29"/>
      <c r="B49" s="19"/>
      <c r="C49" s="48"/>
      <c r="D49" s="48"/>
      <c r="E49" s="48"/>
      <c r="F49" s="19"/>
      <c r="G49" s="48"/>
      <c r="H49" s="48"/>
      <c r="I49" s="48"/>
      <c r="J49" s="19"/>
      <c r="K49" s="48"/>
      <c r="L49" s="48"/>
      <c r="M49" s="48"/>
      <c r="N49" s="19"/>
      <c r="O49" s="48"/>
      <c r="P49" s="48"/>
      <c r="Q49" s="48"/>
      <c r="R49" s="19"/>
      <c r="S49" s="48"/>
      <c r="T49" s="48"/>
      <c r="U49" s="48"/>
      <c r="V49" s="19"/>
      <c r="W49" s="48"/>
      <c r="X49" s="48"/>
      <c r="Y49" s="48"/>
    </row>
  </sheetData>
  <conditionalFormatting sqref="B15:C21 B23:C30 B32:C34 B36:C43 V36:W43 V32:W34 V23:W30 V15:W21 R36:S43 R32:S34 R23:S30 R15:S21 N36:O43 N32:O34 N23:O30 N15:O21 J36:K43 J32:K34 J23:K30 J15:K21 F36:G43 F32:G34 F23:G30 F15:G21">
    <cfRule type="cellIs" dxfId="142" priority="13" operator="lessThan">
      <formula>-0.01</formula>
    </cfRule>
  </conditionalFormatting>
  <conditionalFormatting sqref="Y15:Y21 Y23:Y30 Y32:Y34 Y36:Y43">
    <cfRule type="cellIs" dxfId="141" priority="12" operator="lessThan">
      <formula>-0.01</formula>
    </cfRule>
  </conditionalFormatting>
  <conditionalFormatting sqref="X15:X21 X23:X30 X32:X34 X36:X43">
    <cfRule type="cellIs" dxfId="140" priority="11" operator="lessThan">
      <formula>-0.01</formula>
    </cfRule>
  </conditionalFormatting>
  <conditionalFormatting sqref="U15:U21 U23:U30 U32:U34 U36:U43">
    <cfRule type="cellIs" dxfId="139" priority="10" operator="lessThan">
      <formula>-0.01</formula>
    </cfRule>
  </conditionalFormatting>
  <conditionalFormatting sqref="T15:T21 T23:T30 T32:T34 T36:T43">
    <cfRule type="cellIs" dxfId="138" priority="9" operator="lessThan">
      <formula>-0.01</formula>
    </cfRule>
  </conditionalFormatting>
  <conditionalFormatting sqref="Q15:Q21 Q23:Q30 Q32:Q34 Q36:Q43">
    <cfRule type="cellIs" dxfId="137" priority="8" operator="lessThan">
      <formula>-0.01</formula>
    </cfRule>
  </conditionalFormatting>
  <conditionalFormatting sqref="P15:P21 P23:P30 P32:P34 P36:P43">
    <cfRule type="cellIs" dxfId="136" priority="7" operator="lessThan">
      <formula>-0.01</formula>
    </cfRule>
  </conditionalFormatting>
  <conditionalFormatting sqref="M15:M21 M23:M30 M32:M34 M36:M43">
    <cfRule type="cellIs" dxfId="135" priority="6" operator="lessThan">
      <formula>-0.01</formula>
    </cfRule>
  </conditionalFormatting>
  <conditionalFormatting sqref="L15:L21 L23:L30 L32:L34 L36:L43">
    <cfRule type="cellIs" dxfId="134" priority="5" operator="lessThan">
      <formula>-0.01</formula>
    </cfRule>
  </conditionalFormatting>
  <conditionalFormatting sqref="I15:I21 I23:I30 I32:I34 I36:I43">
    <cfRule type="cellIs" dxfId="133" priority="4" operator="lessThan">
      <formula>-0.01</formula>
    </cfRule>
  </conditionalFormatting>
  <conditionalFormatting sqref="H15:H21 H23:H30 H32:H34 H36:H43">
    <cfRule type="cellIs" dxfId="132" priority="3" operator="lessThan">
      <formula>-0.01</formula>
    </cfRule>
  </conditionalFormatting>
  <conditionalFormatting sqref="E15:E21 E23:E30 E32:E34 E36:E43">
    <cfRule type="cellIs" dxfId="131" priority="2" operator="lessThan">
      <formula>-0.01</formula>
    </cfRule>
  </conditionalFormatting>
  <conditionalFormatting sqref="D15:D21 D23:D30 D32:D34 D36:D43">
    <cfRule type="cellIs" dxfId="130" priority="1" operator="lessThan">
      <formula>-0.01</formula>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8B102C-69C1-426C-B0B1-6B19EB4C9852}">
  <sheetPr codeName="Sheet14"/>
  <dimension ref="A1:AZ49"/>
  <sheetViews>
    <sheetView showGridLines="0" workbookViewId="0">
      <pane xSplit="1" ySplit="6" topLeftCell="B7" activePane="bottomRight" state="frozen"/>
      <selection pane="topRight" activeCell="B1" sqref="B1"/>
      <selection pane="bottomLeft" activeCell="A7" sqref="A7"/>
      <selection pane="bottomRight"/>
    </sheetView>
  </sheetViews>
  <sheetFormatPr defaultRowHeight="14.4" outlineLevelCol="1"/>
  <cols>
    <col min="1" max="1" width="32.44140625" bestFit="1" customWidth="1"/>
    <col min="2" max="2" width="16.77734375" customWidth="1"/>
    <col min="3" max="5" width="13.44140625" style="57" hidden="1" customWidth="1" outlineLevel="1"/>
    <col min="6" max="6" width="16.77734375" customWidth="1" collapsed="1"/>
    <col min="7" max="9" width="13.44140625" style="57" hidden="1" customWidth="1" outlineLevel="1"/>
    <col min="10" max="10" width="16.77734375" customWidth="1" collapsed="1"/>
    <col min="11" max="13" width="13.44140625" style="57" hidden="1" customWidth="1" outlineLevel="1"/>
    <col min="14" max="14" width="16.77734375" customWidth="1" collapsed="1"/>
    <col min="15" max="17" width="13.44140625" style="57" hidden="1" customWidth="1" outlineLevel="1"/>
    <col min="18" max="18" width="16.77734375" customWidth="1" collapsed="1"/>
    <col min="19" max="21" width="13.44140625" style="57" hidden="1" customWidth="1" outlineLevel="1"/>
    <col min="22" max="22" width="16.77734375" customWidth="1" collapsed="1"/>
    <col min="23" max="25" width="13.44140625" style="57" hidden="1" customWidth="1" outlineLevel="1"/>
    <col min="26" max="26" width="8.88671875" collapsed="1"/>
  </cols>
  <sheetData>
    <row r="1" spans="1:52" ht="15.6">
      <c r="A1" s="68" t="s">
        <v>790</v>
      </c>
      <c r="B1" s="46"/>
      <c r="C1" s="46"/>
      <c r="D1" s="46"/>
      <c r="E1" s="46"/>
      <c r="F1" s="46"/>
      <c r="G1" s="46"/>
      <c r="H1" s="46"/>
      <c r="I1" s="46"/>
      <c r="J1" s="46"/>
      <c r="K1" s="46"/>
      <c r="L1" s="46"/>
      <c r="M1" s="46"/>
      <c r="N1" s="46"/>
      <c r="O1" s="46"/>
      <c r="P1" s="46"/>
      <c r="Q1" s="46"/>
      <c r="R1" s="46"/>
      <c r="V1" s="46"/>
      <c r="W1" s="46"/>
      <c r="X1" s="46"/>
      <c r="Y1" s="46"/>
    </row>
    <row r="2" spans="1:52" ht="15.6">
      <c r="A2" s="69" t="s">
        <v>407</v>
      </c>
      <c r="B2" s="47"/>
      <c r="C2" s="47"/>
      <c r="D2" s="47"/>
      <c r="E2" s="47"/>
      <c r="F2" s="47"/>
      <c r="G2" s="47"/>
      <c r="H2" s="47"/>
      <c r="I2" s="47"/>
      <c r="J2" s="47"/>
      <c r="K2" s="47"/>
      <c r="L2" s="47"/>
      <c r="M2" s="47"/>
      <c r="N2" s="47"/>
      <c r="O2" s="47"/>
      <c r="P2" s="47"/>
      <c r="Q2" s="47"/>
      <c r="R2" s="47"/>
      <c r="V2" s="47"/>
      <c r="W2" s="47"/>
      <c r="X2" s="47"/>
      <c r="Y2" s="47"/>
    </row>
    <row r="3" spans="1:52">
      <c r="A3" s="136"/>
      <c r="B3" s="61" t="s">
        <v>589</v>
      </c>
      <c r="C3" s="50" t="s">
        <v>572</v>
      </c>
      <c r="D3" s="50" t="s">
        <v>572</v>
      </c>
      <c r="E3" s="50" t="s">
        <v>572</v>
      </c>
      <c r="F3" s="61" t="s">
        <v>573</v>
      </c>
      <c r="G3" s="50" t="s">
        <v>573</v>
      </c>
      <c r="H3" s="50" t="s">
        <v>573</v>
      </c>
      <c r="I3" s="50" t="s">
        <v>573</v>
      </c>
      <c r="J3" s="61" t="s">
        <v>575</v>
      </c>
      <c r="K3" s="50" t="s">
        <v>575</v>
      </c>
      <c r="L3" s="50" t="s">
        <v>575</v>
      </c>
      <c r="M3" s="50" t="s">
        <v>575</v>
      </c>
      <c r="N3" s="61" t="s">
        <v>576</v>
      </c>
      <c r="O3" s="50" t="s">
        <v>576</v>
      </c>
      <c r="P3" s="50" t="s">
        <v>576</v>
      </c>
      <c r="Q3" s="50" t="s">
        <v>576</v>
      </c>
      <c r="R3" s="61" t="s">
        <v>577</v>
      </c>
      <c r="S3" s="38" t="s">
        <v>577</v>
      </c>
      <c r="T3" s="38" t="s">
        <v>577</v>
      </c>
      <c r="U3" s="38" t="s">
        <v>577</v>
      </c>
      <c r="V3" s="61" t="s">
        <v>585</v>
      </c>
      <c r="W3" s="38" t="s">
        <v>585</v>
      </c>
      <c r="X3" s="38" t="s">
        <v>585</v>
      </c>
      <c r="Y3" s="38" t="s">
        <v>585</v>
      </c>
      <c r="Z3" s="136"/>
      <c r="AA3" s="136"/>
      <c r="AB3" s="136"/>
      <c r="AC3" s="136"/>
      <c r="AD3" s="136"/>
      <c r="AE3" s="136"/>
      <c r="AF3" s="136"/>
      <c r="AG3" s="136"/>
      <c r="AH3" s="136"/>
      <c r="AI3" s="136"/>
      <c r="AJ3" s="136"/>
      <c r="AK3" s="136"/>
      <c r="AL3" s="136"/>
      <c r="AM3" s="136"/>
      <c r="AN3" s="136"/>
      <c r="AO3" s="136"/>
      <c r="AP3" s="136"/>
      <c r="AQ3" s="136"/>
      <c r="AR3" s="136"/>
      <c r="AS3" s="136"/>
      <c r="AT3" s="136"/>
      <c r="AU3" s="136"/>
      <c r="AV3" s="136"/>
      <c r="AW3" s="136"/>
      <c r="AX3" s="136"/>
      <c r="AY3" s="136"/>
      <c r="AZ3" s="136"/>
    </row>
    <row r="4" spans="1:52">
      <c r="A4" s="16"/>
      <c r="B4" s="31" t="str">
        <f>_xlfn.CONCAT("FY ",rngFY+rngYRS)</f>
        <v>FY 19</v>
      </c>
      <c r="C4" s="51" t="s">
        <v>555</v>
      </c>
      <c r="D4" s="51" t="s">
        <v>555</v>
      </c>
      <c r="E4" s="51" t="s">
        <v>555</v>
      </c>
      <c r="F4" s="31" t="s">
        <v>788</v>
      </c>
      <c r="G4" s="31" t="s">
        <v>789</v>
      </c>
      <c r="H4" s="31" t="s">
        <v>789</v>
      </c>
      <c r="I4" s="31" t="s">
        <v>789</v>
      </c>
      <c r="J4" s="31" t="s">
        <v>788</v>
      </c>
      <c r="K4" s="31" t="s">
        <v>789</v>
      </c>
      <c r="L4" s="31" t="s">
        <v>789</v>
      </c>
      <c r="M4" s="31" t="s">
        <v>789</v>
      </c>
      <c r="N4" s="31" t="s">
        <v>788</v>
      </c>
      <c r="O4" s="31" t="s">
        <v>789</v>
      </c>
      <c r="P4" s="31" t="s">
        <v>789</v>
      </c>
      <c r="Q4" s="31" t="s">
        <v>789</v>
      </c>
      <c r="R4" s="31" t="s">
        <v>788</v>
      </c>
      <c r="S4" s="31" t="s">
        <v>789</v>
      </c>
      <c r="T4" s="31" t="s">
        <v>789</v>
      </c>
      <c r="U4" s="31" t="s">
        <v>789</v>
      </c>
      <c r="V4" s="31" t="s">
        <v>574</v>
      </c>
      <c r="W4" s="31" t="s">
        <v>584</v>
      </c>
      <c r="X4" s="31" t="s">
        <v>584</v>
      </c>
      <c r="Y4" s="31" t="s">
        <v>584</v>
      </c>
    </row>
    <row r="5" spans="1:52">
      <c r="A5" s="17"/>
      <c r="B5" s="31"/>
      <c r="C5" s="51" t="s">
        <v>587</v>
      </c>
      <c r="D5" s="51" t="s">
        <v>586</v>
      </c>
      <c r="E5" s="51" t="s">
        <v>590</v>
      </c>
      <c r="F5" s="31"/>
      <c r="G5" s="51" t="s">
        <v>587</v>
      </c>
      <c r="H5" s="51" t="s">
        <v>586</v>
      </c>
      <c r="I5" s="51" t="s">
        <v>590</v>
      </c>
      <c r="J5" s="31"/>
      <c r="K5" s="51" t="s">
        <v>587</v>
      </c>
      <c r="L5" s="51" t="s">
        <v>586</v>
      </c>
      <c r="M5" s="51" t="s">
        <v>590</v>
      </c>
      <c r="N5" s="31"/>
      <c r="O5" s="51" t="s">
        <v>587</v>
      </c>
      <c r="P5" s="51" t="s">
        <v>586</v>
      </c>
      <c r="Q5" s="51" t="s">
        <v>590</v>
      </c>
      <c r="R5" s="31"/>
      <c r="S5" s="31" t="s">
        <v>587</v>
      </c>
      <c r="T5" s="31" t="s">
        <v>586</v>
      </c>
      <c r="U5" s="31" t="s">
        <v>590</v>
      </c>
      <c r="V5" s="31"/>
      <c r="W5" s="31" t="s">
        <v>587</v>
      </c>
      <c r="X5" s="31" t="s">
        <v>586</v>
      </c>
      <c r="Y5" s="31" t="s">
        <v>590</v>
      </c>
    </row>
    <row r="6" spans="1:52">
      <c r="A6" s="70"/>
      <c r="B6" s="62"/>
      <c r="C6" s="53"/>
      <c r="D6" s="53"/>
      <c r="E6" s="53"/>
      <c r="F6" s="62"/>
      <c r="G6" s="53"/>
      <c r="H6" s="53"/>
      <c r="I6" s="53"/>
      <c r="J6" s="62"/>
      <c r="K6" s="53"/>
      <c r="L6" s="53"/>
      <c r="M6" s="53"/>
      <c r="N6" s="62"/>
      <c r="O6" s="53"/>
      <c r="P6" s="53"/>
      <c r="Q6" s="53"/>
      <c r="R6" s="62"/>
      <c r="S6" s="62"/>
      <c r="T6" s="62"/>
      <c r="U6" s="62"/>
      <c r="V6" s="62"/>
      <c r="W6" s="62"/>
      <c r="X6" s="62"/>
      <c r="Y6" s="62"/>
    </row>
    <row r="7" spans="1:52">
      <c r="A7" s="18" t="s">
        <v>556</v>
      </c>
      <c r="B7" s="63"/>
      <c r="C7" s="58"/>
      <c r="D7" s="58"/>
      <c r="E7" s="58"/>
      <c r="F7" s="63"/>
      <c r="G7" s="58"/>
      <c r="H7" s="58"/>
      <c r="I7" s="58"/>
      <c r="J7" s="63"/>
      <c r="K7" s="58"/>
      <c r="L7" s="58"/>
      <c r="M7" s="58"/>
      <c r="N7" s="63"/>
      <c r="O7" s="58"/>
      <c r="P7" s="58"/>
      <c r="Q7" s="58"/>
      <c r="R7" s="63"/>
      <c r="S7" s="63"/>
      <c r="T7" s="63"/>
      <c r="U7" s="63"/>
      <c r="V7" s="63"/>
      <c r="W7" s="63"/>
      <c r="X7" s="63"/>
      <c r="Y7" s="63"/>
    </row>
    <row r="8" spans="1:52">
      <c r="A8" s="40" t="s">
        <v>557</v>
      </c>
      <c r="B8" s="39">
        <v>-2777</v>
      </c>
      <c r="C8" s="54">
        <v>-2770</v>
      </c>
      <c r="D8" s="89">
        <v>-2770</v>
      </c>
      <c r="E8" s="86">
        <v>-2768</v>
      </c>
      <c r="F8" s="72">
        <v>-1384.65282</v>
      </c>
      <c r="G8" s="54">
        <v>-1385</v>
      </c>
      <c r="H8" s="89">
        <v>-1385</v>
      </c>
      <c r="I8" s="86">
        <v>-1384</v>
      </c>
      <c r="J8" s="72">
        <v>0</v>
      </c>
      <c r="K8" s="54">
        <v>0</v>
      </c>
      <c r="L8" s="89">
        <v>0</v>
      </c>
      <c r="M8" s="86">
        <v>0</v>
      </c>
      <c r="N8" s="72">
        <v>-1384.65282</v>
      </c>
      <c r="O8" s="54">
        <v>-1385</v>
      </c>
      <c r="P8" s="89">
        <v>-1385</v>
      </c>
      <c r="Q8" s="86">
        <v>-1384</v>
      </c>
      <c r="R8" s="72">
        <v>0</v>
      </c>
      <c r="S8" s="22">
        <v>0</v>
      </c>
      <c r="T8" s="82">
        <v>0</v>
      </c>
      <c r="U8" s="78">
        <v>0</v>
      </c>
      <c r="V8" s="39">
        <v>-2769.30564</v>
      </c>
      <c r="W8" s="22">
        <f t="shared" ref="W8:Y11" si="0">SUM(G8,K8,O8,S8)</f>
        <v>-2770</v>
      </c>
      <c r="X8" s="82">
        <f t="shared" si="0"/>
        <v>-2770</v>
      </c>
      <c r="Y8" s="78">
        <f t="shared" si="0"/>
        <v>-2768</v>
      </c>
    </row>
    <row r="9" spans="1:52">
      <c r="A9" s="41" t="s">
        <v>558</v>
      </c>
      <c r="B9" s="39">
        <v>0</v>
      </c>
      <c r="C9" s="55">
        <v>0</v>
      </c>
      <c r="D9" s="90">
        <v>0</v>
      </c>
      <c r="E9" s="87">
        <v>0</v>
      </c>
      <c r="F9" s="72">
        <v>0</v>
      </c>
      <c r="G9" s="55">
        <v>0</v>
      </c>
      <c r="H9" s="90">
        <v>0</v>
      </c>
      <c r="I9" s="87">
        <v>0</v>
      </c>
      <c r="J9" s="72">
        <v>0</v>
      </c>
      <c r="K9" s="55">
        <v>0</v>
      </c>
      <c r="L9" s="90">
        <v>0</v>
      </c>
      <c r="M9" s="87">
        <v>0</v>
      </c>
      <c r="N9" s="72">
        <v>0</v>
      </c>
      <c r="O9" s="55">
        <v>0</v>
      </c>
      <c r="P9" s="90">
        <v>0</v>
      </c>
      <c r="Q9" s="87">
        <v>0</v>
      </c>
      <c r="R9" s="72">
        <v>0</v>
      </c>
      <c r="S9" s="33">
        <v>0</v>
      </c>
      <c r="T9" s="83">
        <v>0</v>
      </c>
      <c r="U9" s="79">
        <v>0</v>
      </c>
      <c r="V9" s="39">
        <v>0</v>
      </c>
      <c r="W9" s="33">
        <f t="shared" si="0"/>
        <v>0</v>
      </c>
      <c r="X9" s="83">
        <f t="shared" si="0"/>
        <v>0</v>
      </c>
      <c r="Y9" s="79">
        <f t="shared" si="0"/>
        <v>0</v>
      </c>
    </row>
    <row r="10" spans="1:52">
      <c r="A10" s="41" t="s">
        <v>212</v>
      </c>
      <c r="B10" s="39">
        <v>0</v>
      </c>
      <c r="C10" s="55">
        <v>0</v>
      </c>
      <c r="D10" s="90">
        <v>0</v>
      </c>
      <c r="E10" s="87">
        <v>0</v>
      </c>
      <c r="F10" s="72">
        <v>0</v>
      </c>
      <c r="G10" s="55">
        <v>0</v>
      </c>
      <c r="H10" s="90">
        <v>0</v>
      </c>
      <c r="I10" s="87">
        <v>0</v>
      </c>
      <c r="J10" s="72">
        <v>0</v>
      </c>
      <c r="K10" s="55">
        <v>0</v>
      </c>
      <c r="L10" s="90">
        <v>0</v>
      </c>
      <c r="M10" s="87">
        <v>0</v>
      </c>
      <c r="N10" s="72">
        <v>0</v>
      </c>
      <c r="O10" s="55">
        <v>0</v>
      </c>
      <c r="P10" s="90">
        <v>0</v>
      </c>
      <c r="Q10" s="87">
        <v>0</v>
      </c>
      <c r="R10" s="72">
        <v>0</v>
      </c>
      <c r="S10" s="33">
        <v>0</v>
      </c>
      <c r="T10" s="83">
        <v>0</v>
      </c>
      <c r="U10" s="79">
        <v>0</v>
      </c>
      <c r="V10" s="39">
        <v>0</v>
      </c>
      <c r="W10" s="33">
        <f t="shared" si="0"/>
        <v>0</v>
      </c>
      <c r="X10" s="83">
        <f t="shared" si="0"/>
        <v>0</v>
      </c>
      <c r="Y10" s="79">
        <f t="shared" si="0"/>
        <v>0</v>
      </c>
    </row>
    <row r="11" spans="1:52">
      <c r="A11" s="42" t="s">
        <v>210</v>
      </c>
      <c r="B11" s="64">
        <v>0</v>
      </c>
      <c r="C11" s="55">
        <v>0</v>
      </c>
      <c r="D11" s="90">
        <v>0</v>
      </c>
      <c r="E11" s="87">
        <v>0</v>
      </c>
      <c r="F11" s="73">
        <v>0</v>
      </c>
      <c r="G11" s="55">
        <v>0</v>
      </c>
      <c r="H11" s="90">
        <v>0</v>
      </c>
      <c r="I11" s="87">
        <v>0</v>
      </c>
      <c r="J11" s="73">
        <v>0</v>
      </c>
      <c r="K11" s="55">
        <v>0</v>
      </c>
      <c r="L11" s="90">
        <v>0</v>
      </c>
      <c r="M11" s="87">
        <v>0</v>
      </c>
      <c r="N11" s="73">
        <v>0</v>
      </c>
      <c r="O11" s="55">
        <v>0</v>
      </c>
      <c r="P11" s="90">
        <v>0</v>
      </c>
      <c r="Q11" s="87">
        <v>0</v>
      </c>
      <c r="R11" s="73">
        <v>-822.71177279999995</v>
      </c>
      <c r="S11" s="33">
        <v>-2468.16</v>
      </c>
      <c r="T11" s="83">
        <v>0</v>
      </c>
      <c r="U11" s="79">
        <v>0</v>
      </c>
      <c r="V11" s="64">
        <v>-822.71177279999995</v>
      </c>
      <c r="W11" s="33">
        <f t="shared" si="0"/>
        <v>-2468.16</v>
      </c>
      <c r="X11" s="83">
        <f t="shared" si="0"/>
        <v>0</v>
      </c>
      <c r="Y11" s="79">
        <f t="shared" si="0"/>
        <v>0</v>
      </c>
    </row>
    <row r="12" spans="1:52" ht="16.2" thickBot="1">
      <c r="A12" s="43" t="s">
        <v>559</v>
      </c>
      <c r="B12" s="34">
        <f>SUM(B8:B11)</f>
        <v>-2777</v>
      </c>
      <c r="C12" s="52">
        <f t="shared" ref="C12:U12" si="1">SUM(C8:C11)</f>
        <v>-2770</v>
      </c>
      <c r="D12" s="52">
        <f t="shared" si="1"/>
        <v>-2770</v>
      </c>
      <c r="E12" s="52">
        <f t="shared" si="1"/>
        <v>-2768</v>
      </c>
      <c r="F12" s="34">
        <f t="shared" si="1"/>
        <v>-1384.65282</v>
      </c>
      <c r="G12" s="52">
        <f t="shared" si="1"/>
        <v>-1385</v>
      </c>
      <c r="H12" s="52">
        <f t="shared" si="1"/>
        <v>-1385</v>
      </c>
      <c r="I12" s="52">
        <f t="shared" si="1"/>
        <v>-1384</v>
      </c>
      <c r="J12" s="34">
        <f t="shared" si="1"/>
        <v>0</v>
      </c>
      <c r="K12" s="52">
        <f t="shared" si="1"/>
        <v>0</v>
      </c>
      <c r="L12" s="52">
        <f t="shared" si="1"/>
        <v>0</v>
      </c>
      <c r="M12" s="52">
        <f t="shared" si="1"/>
        <v>0</v>
      </c>
      <c r="N12" s="34">
        <f t="shared" si="1"/>
        <v>-1384.65282</v>
      </c>
      <c r="O12" s="52">
        <f t="shared" si="1"/>
        <v>-1385</v>
      </c>
      <c r="P12" s="52">
        <f t="shared" si="1"/>
        <v>-1385</v>
      </c>
      <c r="Q12" s="52">
        <f t="shared" si="1"/>
        <v>-1384</v>
      </c>
      <c r="R12" s="34">
        <f t="shared" si="1"/>
        <v>-822.71177279999995</v>
      </c>
      <c r="S12" s="34">
        <f t="shared" si="1"/>
        <v>-2468.16</v>
      </c>
      <c r="T12" s="34">
        <f t="shared" si="1"/>
        <v>0</v>
      </c>
      <c r="U12" s="34">
        <f t="shared" si="1"/>
        <v>0</v>
      </c>
      <c r="V12" s="34">
        <f>SUM(V8:V11)</f>
        <v>-3592.0174127999999</v>
      </c>
      <c r="W12" s="34">
        <f t="shared" ref="W12:Y12" si="2">SUM(W8:W11)</f>
        <v>-5238.16</v>
      </c>
      <c r="X12" s="34">
        <f t="shared" si="2"/>
        <v>-2770</v>
      </c>
      <c r="Y12" s="34">
        <f t="shared" si="2"/>
        <v>-2768</v>
      </c>
    </row>
    <row r="13" spans="1:52" ht="15" thickTop="1">
      <c r="A13" s="67"/>
      <c r="B13" s="67"/>
      <c r="C13" s="67"/>
      <c r="D13" s="67"/>
      <c r="E13" s="67"/>
      <c r="F13" s="67"/>
      <c r="G13" s="67"/>
      <c r="H13" s="67"/>
      <c r="I13" s="67"/>
      <c r="J13" s="67"/>
      <c r="K13" s="67"/>
      <c r="L13" s="67"/>
      <c r="M13" s="67"/>
      <c r="N13" s="67"/>
      <c r="O13" s="67"/>
      <c r="P13" s="67"/>
      <c r="Q13" s="67"/>
      <c r="R13" s="67"/>
      <c r="S13" s="67"/>
      <c r="T13" s="67"/>
      <c r="U13" s="67"/>
      <c r="V13" s="67"/>
      <c r="W13" s="67"/>
      <c r="X13" s="67"/>
      <c r="Y13" s="67"/>
    </row>
    <row r="14" spans="1:52">
      <c r="A14" s="18" t="s">
        <v>560</v>
      </c>
      <c r="B14" s="20"/>
      <c r="C14" s="20"/>
      <c r="D14" s="20"/>
      <c r="E14" s="20"/>
      <c r="F14" s="20"/>
      <c r="G14" s="20"/>
      <c r="H14" s="20"/>
      <c r="I14" s="20"/>
      <c r="J14" s="20"/>
      <c r="K14" s="20"/>
      <c r="L14" s="20"/>
      <c r="M14" s="20"/>
      <c r="N14" s="20"/>
      <c r="O14" s="20"/>
      <c r="P14" s="20"/>
      <c r="Q14" s="20"/>
      <c r="R14" s="20"/>
      <c r="S14" s="20"/>
      <c r="T14" s="20"/>
      <c r="U14" s="20"/>
      <c r="V14" s="20"/>
      <c r="W14" s="20"/>
      <c r="X14" s="20"/>
      <c r="Y14" s="20"/>
    </row>
    <row r="15" spans="1:52">
      <c r="A15" s="40" t="s">
        <v>188</v>
      </c>
      <c r="B15" s="65">
        <v>0</v>
      </c>
      <c r="C15" s="54">
        <v>0</v>
      </c>
      <c r="D15" s="89">
        <v>0</v>
      </c>
      <c r="E15" s="86">
        <v>0</v>
      </c>
      <c r="F15" s="72">
        <v>0</v>
      </c>
      <c r="G15" s="54">
        <v>0</v>
      </c>
      <c r="H15" s="89">
        <v>0</v>
      </c>
      <c r="I15" s="86">
        <v>0</v>
      </c>
      <c r="J15" s="72">
        <v>0</v>
      </c>
      <c r="K15" s="54">
        <v>0</v>
      </c>
      <c r="L15" s="89">
        <v>0</v>
      </c>
      <c r="M15" s="86">
        <v>0</v>
      </c>
      <c r="N15" s="72">
        <v>0</v>
      </c>
      <c r="O15" s="54">
        <v>0</v>
      </c>
      <c r="P15" s="89">
        <v>0</v>
      </c>
      <c r="Q15" s="86">
        <v>0</v>
      </c>
      <c r="R15" s="72">
        <v>0</v>
      </c>
      <c r="S15" s="32">
        <v>0</v>
      </c>
      <c r="T15" s="84">
        <v>0</v>
      </c>
      <c r="U15" s="80">
        <v>0</v>
      </c>
      <c r="V15" s="65">
        <v>0</v>
      </c>
      <c r="W15" s="32">
        <f t="shared" ref="W15:Y20" si="3">SUM(G15,K15,O15,S15)</f>
        <v>0</v>
      </c>
      <c r="X15" s="84">
        <f t="shared" si="3"/>
        <v>0</v>
      </c>
      <c r="Y15" s="80">
        <f t="shared" si="3"/>
        <v>0</v>
      </c>
    </row>
    <row r="16" spans="1:52">
      <c r="A16" s="41" t="s">
        <v>181</v>
      </c>
      <c r="B16" s="39">
        <v>0</v>
      </c>
      <c r="C16" s="54">
        <v>0</v>
      </c>
      <c r="D16" s="89">
        <v>0</v>
      </c>
      <c r="E16" s="86">
        <v>0</v>
      </c>
      <c r="F16" s="72">
        <v>0</v>
      </c>
      <c r="G16" s="54">
        <v>0</v>
      </c>
      <c r="H16" s="89">
        <v>0</v>
      </c>
      <c r="I16" s="86">
        <v>0</v>
      </c>
      <c r="J16" s="72">
        <v>0</v>
      </c>
      <c r="K16" s="54">
        <v>0</v>
      </c>
      <c r="L16" s="89">
        <v>0</v>
      </c>
      <c r="M16" s="86">
        <v>0</v>
      </c>
      <c r="N16" s="72">
        <v>0</v>
      </c>
      <c r="O16" s="54">
        <v>0</v>
      </c>
      <c r="P16" s="89">
        <v>0</v>
      </c>
      <c r="Q16" s="86">
        <v>0</v>
      </c>
      <c r="R16" s="72">
        <v>0</v>
      </c>
      <c r="S16" s="22">
        <v>0</v>
      </c>
      <c r="T16" s="82">
        <v>0</v>
      </c>
      <c r="U16" s="78">
        <v>0</v>
      </c>
      <c r="V16" s="39">
        <v>0</v>
      </c>
      <c r="W16" s="22">
        <f t="shared" si="3"/>
        <v>0</v>
      </c>
      <c r="X16" s="82">
        <f t="shared" si="3"/>
        <v>0</v>
      </c>
      <c r="Y16" s="78">
        <f t="shared" si="3"/>
        <v>0</v>
      </c>
    </row>
    <row r="17" spans="1:25">
      <c r="A17" s="92" t="s">
        <v>174</v>
      </c>
      <c r="B17" s="93">
        <v>0</v>
      </c>
      <c r="C17" s="94">
        <v>0</v>
      </c>
      <c r="D17" s="100">
        <v>0</v>
      </c>
      <c r="E17" s="99">
        <v>0</v>
      </c>
      <c r="F17" s="95">
        <v>0</v>
      </c>
      <c r="G17" s="94">
        <v>0</v>
      </c>
      <c r="H17" s="100">
        <v>0</v>
      </c>
      <c r="I17" s="99">
        <v>0</v>
      </c>
      <c r="J17" s="95">
        <v>0</v>
      </c>
      <c r="K17" s="94">
        <v>0</v>
      </c>
      <c r="L17" s="100">
        <v>0</v>
      </c>
      <c r="M17" s="99">
        <v>0</v>
      </c>
      <c r="N17" s="95">
        <v>0</v>
      </c>
      <c r="O17" s="94">
        <v>0</v>
      </c>
      <c r="P17" s="100">
        <v>0</v>
      </c>
      <c r="Q17" s="99">
        <v>0</v>
      </c>
      <c r="R17" s="95">
        <v>0</v>
      </c>
      <c r="S17" s="96">
        <v>0</v>
      </c>
      <c r="T17" s="98">
        <v>0</v>
      </c>
      <c r="U17" s="97">
        <v>0</v>
      </c>
      <c r="V17" s="93">
        <v>0</v>
      </c>
      <c r="W17" s="96">
        <f t="shared" si="3"/>
        <v>0</v>
      </c>
      <c r="X17" s="98">
        <f t="shared" si="3"/>
        <v>0</v>
      </c>
      <c r="Y17" s="97">
        <f t="shared" si="3"/>
        <v>0</v>
      </c>
    </row>
    <row r="18" spans="1:25">
      <c r="A18" s="41" t="s">
        <v>146</v>
      </c>
      <c r="B18" s="39">
        <v>0</v>
      </c>
      <c r="C18" s="54">
        <v>0</v>
      </c>
      <c r="D18" s="89">
        <v>0</v>
      </c>
      <c r="E18" s="86">
        <v>0</v>
      </c>
      <c r="F18" s="72">
        <v>0</v>
      </c>
      <c r="G18" s="54">
        <v>0</v>
      </c>
      <c r="H18" s="89">
        <v>0</v>
      </c>
      <c r="I18" s="86">
        <v>0</v>
      </c>
      <c r="J18" s="72">
        <v>0</v>
      </c>
      <c r="K18" s="54">
        <v>0</v>
      </c>
      <c r="L18" s="89">
        <v>0</v>
      </c>
      <c r="M18" s="86">
        <v>0</v>
      </c>
      <c r="N18" s="72">
        <v>0</v>
      </c>
      <c r="O18" s="54">
        <v>0</v>
      </c>
      <c r="P18" s="89">
        <v>0</v>
      </c>
      <c r="Q18" s="86">
        <v>0</v>
      </c>
      <c r="R18" s="72">
        <v>0</v>
      </c>
      <c r="S18" s="22">
        <v>0</v>
      </c>
      <c r="T18" s="82">
        <v>0</v>
      </c>
      <c r="U18" s="78">
        <v>0</v>
      </c>
      <c r="V18" s="39">
        <v>0</v>
      </c>
      <c r="W18" s="22">
        <f t="shared" si="3"/>
        <v>0</v>
      </c>
      <c r="X18" s="82">
        <f t="shared" si="3"/>
        <v>0</v>
      </c>
      <c r="Y18" s="78">
        <f t="shared" si="3"/>
        <v>0</v>
      </c>
    </row>
    <row r="19" spans="1:25">
      <c r="A19" s="41" t="s">
        <v>139</v>
      </c>
      <c r="B19" s="39">
        <v>0</v>
      </c>
      <c r="C19" s="54">
        <v>0</v>
      </c>
      <c r="D19" s="89">
        <v>0</v>
      </c>
      <c r="E19" s="86">
        <v>0</v>
      </c>
      <c r="F19" s="72">
        <v>0</v>
      </c>
      <c r="G19" s="54">
        <v>0</v>
      </c>
      <c r="H19" s="89">
        <v>0</v>
      </c>
      <c r="I19" s="86">
        <v>0</v>
      </c>
      <c r="J19" s="72">
        <v>0</v>
      </c>
      <c r="K19" s="54">
        <v>0</v>
      </c>
      <c r="L19" s="89">
        <v>0</v>
      </c>
      <c r="M19" s="86">
        <v>0</v>
      </c>
      <c r="N19" s="72">
        <v>0</v>
      </c>
      <c r="O19" s="54">
        <v>0</v>
      </c>
      <c r="P19" s="89">
        <v>0</v>
      </c>
      <c r="Q19" s="86">
        <v>0</v>
      </c>
      <c r="R19" s="72">
        <v>0</v>
      </c>
      <c r="S19" s="22">
        <v>0</v>
      </c>
      <c r="T19" s="82">
        <v>0</v>
      </c>
      <c r="U19" s="78">
        <v>0</v>
      </c>
      <c r="V19" s="39">
        <v>0</v>
      </c>
      <c r="W19" s="22">
        <f t="shared" si="3"/>
        <v>0</v>
      </c>
      <c r="X19" s="82">
        <f t="shared" si="3"/>
        <v>0</v>
      </c>
      <c r="Y19" s="78">
        <f t="shared" si="3"/>
        <v>0</v>
      </c>
    </row>
    <row r="20" spans="1:25">
      <c r="A20" s="42" t="s">
        <v>129</v>
      </c>
      <c r="B20" s="64">
        <v>0</v>
      </c>
      <c r="C20" s="59">
        <v>0</v>
      </c>
      <c r="D20" s="91">
        <v>0</v>
      </c>
      <c r="E20" s="88">
        <v>0</v>
      </c>
      <c r="F20" s="73">
        <v>0</v>
      </c>
      <c r="G20" s="59">
        <v>0</v>
      </c>
      <c r="H20" s="91">
        <v>0</v>
      </c>
      <c r="I20" s="88">
        <v>0</v>
      </c>
      <c r="J20" s="73">
        <v>0</v>
      </c>
      <c r="K20" s="59">
        <v>0</v>
      </c>
      <c r="L20" s="91">
        <v>0</v>
      </c>
      <c r="M20" s="88">
        <v>0</v>
      </c>
      <c r="N20" s="73">
        <v>0</v>
      </c>
      <c r="O20" s="59">
        <v>0</v>
      </c>
      <c r="P20" s="91">
        <v>0</v>
      </c>
      <c r="Q20" s="88">
        <v>0</v>
      </c>
      <c r="R20" s="73">
        <v>0</v>
      </c>
      <c r="S20" s="35">
        <v>0</v>
      </c>
      <c r="T20" s="85">
        <v>0</v>
      </c>
      <c r="U20" s="81">
        <v>0</v>
      </c>
      <c r="V20" s="64">
        <v>0</v>
      </c>
      <c r="W20" s="35">
        <f t="shared" si="3"/>
        <v>0</v>
      </c>
      <c r="X20" s="85">
        <f t="shared" si="3"/>
        <v>0</v>
      </c>
      <c r="Y20" s="81">
        <f t="shared" si="3"/>
        <v>0</v>
      </c>
    </row>
    <row r="21" spans="1:25">
      <c r="A21" s="23" t="s">
        <v>561</v>
      </c>
      <c r="B21" s="27">
        <f t="shared" ref="B21:Y21" si="4">SUM(B15:B20)</f>
        <v>0</v>
      </c>
      <c r="C21" s="60">
        <f t="shared" si="4"/>
        <v>0</v>
      </c>
      <c r="D21" s="60">
        <f t="shared" si="4"/>
        <v>0</v>
      </c>
      <c r="E21" s="60">
        <f t="shared" si="4"/>
        <v>0</v>
      </c>
      <c r="F21" s="27">
        <f t="shared" si="4"/>
        <v>0</v>
      </c>
      <c r="G21" s="56">
        <f t="shared" si="4"/>
        <v>0</v>
      </c>
      <c r="H21" s="56">
        <f t="shared" si="4"/>
        <v>0</v>
      </c>
      <c r="I21" s="56">
        <f t="shared" si="4"/>
        <v>0</v>
      </c>
      <c r="J21" s="27">
        <f t="shared" si="4"/>
        <v>0</v>
      </c>
      <c r="K21" s="60">
        <f t="shared" si="4"/>
        <v>0</v>
      </c>
      <c r="L21" s="60">
        <f t="shared" si="4"/>
        <v>0</v>
      </c>
      <c r="M21" s="60">
        <f t="shared" si="4"/>
        <v>0</v>
      </c>
      <c r="N21" s="27">
        <f t="shared" si="4"/>
        <v>0</v>
      </c>
      <c r="O21" s="60">
        <f t="shared" si="4"/>
        <v>0</v>
      </c>
      <c r="P21" s="60">
        <f t="shared" si="4"/>
        <v>0</v>
      </c>
      <c r="Q21" s="60">
        <f t="shared" si="4"/>
        <v>0</v>
      </c>
      <c r="R21" s="27">
        <f t="shared" si="4"/>
        <v>0</v>
      </c>
      <c r="S21" s="36">
        <f t="shared" si="4"/>
        <v>0</v>
      </c>
      <c r="T21" s="36">
        <f t="shared" si="4"/>
        <v>0</v>
      </c>
      <c r="U21" s="36">
        <f t="shared" si="4"/>
        <v>0</v>
      </c>
      <c r="V21" s="27">
        <f t="shared" si="4"/>
        <v>0</v>
      </c>
      <c r="W21" s="36">
        <f t="shared" si="4"/>
        <v>0</v>
      </c>
      <c r="X21" s="36">
        <f t="shared" si="4"/>
        <v>0</v>
      </c>
      <c r="Y21" s="36">
        <f t="shared" si="4"/>
        <v>0</v>
      </c>
    </row>
    <row r="22" spans="1:25">
      <c r="A22" s="24" t="s">
        <v>562</v>
      </c>
      <c r="B22" s="25"/>
      <c r="C22" s="25"/>
      <c r="D22" s="25"/>
      <c r="E22" s="25"/>
      <c r="F22" s="25"/>
      <c r="G22" s="25"/>
      <c r="H22" s="25"/>
      <c r="I22" s="25"/>
      <c r="J22" s="25"/>
      <c r="K22" s="25"/>
      <c r="L22" s="25"/>
      <c r="M22" s="25"/>
      <c r="N22" s="25"/>
      <c r="O22" s="25"/>
      <c r="P22" s="25"/>
      <c r="Q22" s="25"/>
      <c r="R22" s="25"/>
      <c r="S22" s="25"/>
      <c r="T22" s="25"/>
      <c r="U22" s="25"/>
      <c r="V22" s="25"/>
      <c r="W22" s="25"/>
      <c r="X22" s="25"/>
      <c r="Y22" s="25"/>
    </row>
    <row r="23" spans="1:25">
      <c r="A23" s="40" t="s">
        <v>127</v>
      </c>
      <c r="B23" s="65">
        <v>2600</v>
      </c>
      <c r="C23" s="54">
        <v>2600</v>
      </c>
      <c r="D23" s="89">
        <v>2600</v>
      </c>
      <c r="E23" s="86">
        <v>2600</v>
      </c>
      <c r="F23" s="72">
        <v>0</v>
      </c>
      <c r="G23" s="54">
        <v>0</v>
      </c>
      <c r="H23" s="89">
        <v>0</v>
      </c>
      <c r="I23" s="86">
        <v>0</v>
      </c>
      <c r="J23" s="72">
        <v>0</v>
      </c>
      <c r="K23" s="54">
        <v>0</v>
      </c>
      <c r="L23" s="89">
        <v>0</v>
      </c>
      <c r="M23" s="86">
        <v>0</v>
      </c>
      <c r="N23" s="72">
        <v>0</v>
      </c>
      <c r="O23" s="54">
        <v>0</v>
      </c>
      <c r="P23" s="89">
        <v>0</v>
      </c>
      <c r="Q23" s="86">
        <v>0</v>
      </c>
      <c r="R23" s="72">
        <v>0</v>
      </c>
      <c r="S23" s="32">
        <v>0</v>
      </c>
      <c r="T23" s="84">
        <v>0</v>
      </c>
      <c r="U23" s="80">
        <v>0</v>
      </c>
      <c r="V23" s="65">
        <v>0</v>
      </c>
      <c r="W23" s="32">
        <f t="shared" ref="W23:Y29" si="5">SUM(G23,K23,O23,S23)</f>
        <v>0</v>
      </c>
      <c r="X23" s="84">
        <f t="shared" si="5"/>
        <v>0</v>
      </c>
      <c r="Y23" s="80">
        <f t="shared" si="5"/>
        <v>0</v>
      </c>
    </row>
    <row r="24" spans="1:25">
      <c r="A24" s="41" t="s">
        <v>120</v>
      </c>
      <c r="B24" s="39">
        <v>0</v>
      </c>
      <c r="C24" s="54">
        <v>0</v>
      </c>
      <c r="D24" s="89">
        <v>0</v>
      </c>
      <c r="E24" s="86">
        <v>0</v>
      </c>
      <c r="F24" s="72">
        <v>0</v>
      </c>
      <c r="G24" s="54">
        <v>0</v>
      </c>
      <c r="H24" s="89">
        <v>0</v>
      </c>
      <c r="I24" s="86">
        <v>0</v>
      </c>
      <c r="J24" s="72">
        <v>0</v>
      </c>
      <c r="K24" s="54">
        <v>0</v>
      </c>
      <c r="L24" s="89">
        <v>0</v>
      </c>
      <c r="M24" s="86">
        <v>0</v>
      </c>
      <c r="N24" s="72">
        <v>0</v>
      </c>
      <c r="O24" s="54">
        <v>0</v>
      </c>
      <c r="P24" s="89">
        <v>0</v>
      </c>
      <c r="Q24" s="86">
        <v>0</v>
      </c>
      <c r="R24" s="72">
        <v>0</v>
      </c>
      <c r="S24" s="22">
        <v>0</v>
      </c>
      <c r="T24" s="82">
        <v>0</v>
      </c>
      <c r="U24" s="78">
        <v>0</v>
      </c>
      <c r="V24" s="39">
        <v>0</v>
      </c>
      <c r="W24" s="22">
        <f t="shared" si="5"/>
        <v>0</v>
      </c>
      <c r="X24" s="82">
        <f t="shared" si="5"/>
        <v>0</v>
      </c>
      <c r="Y24" s="78">
        <f t="shared" si="5"/>
        <v>0</v>
      </c>
    </row>
    <row r="25" spans="1:25">
      <c r="A25" s="41" t="s">
        <v>107</v>
      </c>
      <c r="B25" s="39">
        <v>0</v>
      </c>
      <c r="C25" s="54">
        <v>0</v>
      </c>
      <c r="D25" s="89">
        <v>0</v>
      </c>
      <c r="E25" s="86">
        <v>0</v>
      </c>
      <c r="F25" s="72">
        <v>44.999549999999999</v>
      </c>
      <c r="G25" s="54">
        <v>0</v>
      </c>
      <c r="H25" s="89">
        <v>0</v>
      </c>
      <c r="I25" s="86">
        <v>135</v>
      </c>
      <c r="J25" s="72">
        <v>0</v>
      </c>
      <c r="K25" s="54">
        <v>0</v>
      </c>
      <c r="L25" s="89">
        <v>0</v>
      </c>
      <c r="M25" s="86">
        <v>0</v>
      </c>
      <c r="N25" s="72">
        <v>0</v>
      </c>
      <c r="O25" s="54">
        <v>0</v>
      </c>
      <c r="P25" s="89">
        <v>0</v>
      </c>
      <c r="Q25" s="86">
        <v>0</v>
      </c>
      <c r="R25" s="72">
        <v>0</v>
      </c>
      <c r="S25" s="22">
        <v>0</v>
      </c>
      <c r="T25" s="82">
        <v>0</v>
      </c>
      <c r="U25" s="78">
        <v>0</v>
      </c>
      <c r="V25" s="39">
        <v>44.999549999999999</v>
      </c>
      <c r="W25" s="22">
        <f t="shared" si="5"/>
        <v>0</v>
      </c>
      <c r="X25" s="82">
        <f t="shared" si="5"/>
        <v>0</v>
      </c>
      <c r="Y25" s="78">
        <f t="shared" si="5"/>
        <v>135</v>
      </c>
    </row>
    <row r="26" spans="1:25">
      <c r="A26" s="41" t="s">
        <v>104</v>
      </c>
      <c r="B26" s="39">
        <v>0</v>
      </c>
      <c r="C26" s="54">
        <v>0</v>
      </c>
      <c r="D26" s="89">
        <v>0</v>
      </c>
      <c r="E26" s="86">
        <v>0</v>
      </c>
      <c r="F26" s="72">
        <v>0</v>
      </c>
      <c r="G26" s="54">
        <v>0</v>
      </c>
      <c r="H26" s="89">
        <v>0</v>
      </c>
      <c r="I26" s="86">
        <v>0</v>
      </c>
      <c r="J26" s="72">
        <v>180.68485980000003</v>
      </c>
      <c r="K26" s="54">
        <v>0</v>
      </c>
      <c r="L26" s="89">
        <v>114.83</v>
      </c>
      <c r="M26" s="86">
        <v>427.23</v>
      </c>
      <c r="N26" s="72">
        <v>899.12434199999996</v>
      </c>
      <c r="O26" s="54">
        <v>1014.25</v>
      </c>
      <c r="P26" s="89">
        <v>607.78</v>
      </c>
      <c r="Q26" s="86">
        <v>1075.3699999999999</v>
      </c>
      <c r="R26" s="72">
        <v>243.48756510000001</v>
      </c>
      <c r="S26" s="22">
        <v>566.66999999999996</v>
      </c>
      <c r="T26" s="82">
        <v>163.80000000000001</v>
      </c>
      <c r="U26" s="78">
        <v>0</v>
      </c>
      <c r="V26" s="39">
        <v>1323.2967669000002</v>
      </c>
      <c r="W26" s="22">
        <f t="shared" si="5"/>
        <v>1580.92</v>
      </c>
      <c r="X26" s="82">
        <f t="shared" si="5"/>
        <v>886.41000000000008</v>
      </c>
      <c r="Y26" s="78">
        <f t="shared" si="5"/>
        <v>1502.6</v>
      </c>
    </row>
    <row r="27" spans="1:25">
      <c r="A27" s="41" t="s">
        <v>102</v>
      </c>
      <c r="B27" s="39">
        <v>0</v>
      </c>
      <c r="C27" s="54">
        <v>0</v>
      </c>
      <c r="D27" s="89">
        <v>0</v>
      </c>
      <c r="E27" s="86">
        <v>0</v>
      </c>
      <c r="F27" s="72">
        <v>0</v>
      </c>
      <c r="G27" s="54">
        <v>0</v>
      </c>
      <c r="H27" s="89">
        <v>0</v>
      </c>
      <c r="I27" s="86">
        <v>0</v>
      </c>
      <c r="J27" s="72">
        <v>0</v>
      </c>
      <c r="K27" s="54">
        <v>0</v>
      </c>
      <c r="L27" s="89">
        <v>0</v>
      </c>
      <c r="M27" s="86">
        <v>0</v>
      </c>
      <c r="N27" s="72">
        <v>0</v>
      </c>
      <c r="O27" s="54">
        <v>0</v>
      </c>
      <c r="P27" s="89">
        <v>0</v>
      </c>
      <c r="Q27" s="86">
        <v>0</v>
      </c>
      <c r="R27" s="72">
        <v>0</v>
      </c>
      <c r="S27" s="22">
        <v>0</v>
      </c>
      <c r="T27" s="82">
        <v>0</v>
      </c>
      <c r="U27" s="78">
        <v>0</v>
      </c>
      <c r="V27" s="39">
        <v>0</v>
      </c>
      <c r="W27" s="22">
        <f t="shared" si="5"/>
        <v>0</v>
      </c>
      <c r="X27" s="82">
        <f t="shared" si="5"/>
        <v>0</v>
      </c>
      <c r="Y27" s="78">
        <f t="shared" si="5"/>
        <v>0</v>
      </c>
    </row>
    <row r="28" spans="1:25">
      <c r="A28" s="41" t="s">
        <v>98</v>
      </c>
      <c r="B28" s="39">
        <v>0</v>
      </c>
      <c r="C28" s="54">
        <v>0</v>
      </c>
      <c r="D28" s="89">
        <v>0</v>
      </c>
      <c r="E28" s="86">
        <v>0</v>
      </c>
      <c r="F28" s="72">
        <v>0</v>
      </c>
      <c r="G28" s="54">
        <v>0</v>
      </c>
      <c r="H28" s="89">
        <v>0</v>
      </c>
      <c r="I28" s="86">
        <v>0</v>
      </c>
      <c r="J28" s="72">
        <v>0</v>
      </c>
      <c r="K28" s="54">
        <v>0</v>
      </c>
      <c r="L28" s="89">
        <v>0</v>
      </c>
      <c r="M28" s="86">
        <v>0</v>
      </c>
      <c r="N28" s="72">
        <v>0</v>
      </c>
      <c r="O28" s="54">
        <v>0</v>
      </c>
      <c r="P28" s="89">
        <v>0</v>
      </c>
      <c r="Q28" s="86">
        <v>0</v>
      </c>
      <c r="R28" s="72">
        <v>0</v>
      </c>
      <c r="S28" s="22">
        <v>0</v>
      </c>
      <c r="T28" s="82">
        <v>0</v>
      </c>
      <c r="U28" s="78">
        <v>0</v>
      </c>
      <c r="V28" s="39">
        <v>0</v>
      </c>
      <c r="W28" s="22">
        <f t="shared" si="5"/>
        <v>0</v>
      </c>
      <c r="X28" s="82">
        <f t="shared" si="5"/>
        <v>0</v>
      </c>
      <c r="Y28" s="78">
        <f t="shared" si="5"/>
        <v>0</v>
      </c>
    </row>
    <row r="29" spans="1:25">
      <c r="A29" s="42" t="s">
        <v>84</v>
      </c>
      <c r="B29" s="64">
        <v>0</v>
      </c>
      <c r="C29" s="59">
        <v>0</v>
      </c>
      <c r="D29" s="91">
        <v>0</v>
      </c>
      <c r="E29" s="88">
        <v>0</v>
      </c>
      <c r="F29" s="73">
        <v>14.799852</v>
      </c>
      <c r="G29" s="59">
        <v>44.4</v>
      </c>
      <c r="H29" s="91">
        <v>0</v>
      </c>
      <c r="I29" s="88">
        <v>0</v>
      </c>
      <c r="J29" s="73">
        <v>354.83645160000003</v>
      </c>
      <c r="K29" s="59">
        <v>0</v>
      </c>
      <c r="L29" s="91">
        <v>722.72</v>
      </c>
      <c r="M29" s="88">
        <v>341.8</v>
      </c>
      <c r="N29" s="73">
        <v>125.032083</v>
      </c>
      <c r="O29" s="59">
        <v>144.80000000000001</v>
      </c>
      <c r="P29" s="91">
        <v>83.8</v>
      </c>
      <c r="Q29" s="88">
        <v>146.5</v>
      </c>
      <c r="R29" s="73">
        <v>39.599603999999999</v>
      </c>
      <c r="S29" s="35">
        <v>0</v>
      </c>
      <c r="T29" s="85">
        <v>37.799999999999997</v>
      </c>
      <c r="U29" s="81">
        <v>81</v>
      </c>
      <c r="V29" s="64">
        <v>534.26799059999996</v>
      </c>
      <c r="W29" s="35">
        <f t="shared" si="5"/>
        <v>189.20000000000002</v>
      </c>
      <c r="X29" s="85">
        <f t="shared" si="5"/>
        <v>844.31999999999994</v>
      </c>
      <c r="Y29" s="81">
        <f t="shared" si="5"/>
        <v>569.29999999999995</v>
      </c>
    </row>
    <row r="30" spans="1:25">
      <c r="A30" s="23" t="s">
        <v>563</v>
      </c>
      <c r="B30" s="27">
        <f t="shared" ref="B30:Y30" si="6">SUM(B23:B29)</f>
        <v>2600</v>
      </c>
      <c r="C30" s="60">
        <f t="shared" si="6"/>
        <v>2600</v>
      </c>
      <c r="D30" s="60">
        <f t="shared" si="6"/>
        <v>2600</v>
      </c>
      <c r="E30" s="60">
        <f t="shared" si="6"/>
        <v>2600</v>
      </c>
      <c r="F30" s="27">
        <f t="shared" si="6"/>
        <v>59.799402000000001</v>
      </c>
      <c r="G30" s="60">
        <f t="shared" si="6"/>
        <v>44.4</v>
      </c>
      <c r="H30" s="60">
        <f t="shared" si="6"/>
        <v>0</v>
      </c>
      <c r="I30" s="60">
        <f t="shared" si="6"/>
        <v>135</v>
      </c>
      <c r="J30" s="27">
        <f t="shared" si="6"/>
        <v>535.52131140000006</v>
      </c>
      <c r="K30" s="60">
        <f t="shared" si="6"/>
        <v>0</v>
      </c>
      <c r="L30" s="60">
        <f t="shared" si="6"/>
        <v>837.55000000000007</v>
      </c>
      <c r="M30" s="60">
        <f t="shared" si="6"/>
        <v>769.03</v>
      </c>
      <c r="N30" s="27">
        <f t="shared" si="6"/>
        <v>1024.1564249999999</v>
      </c>
      <c r="O30" s="60">
        <f t="shared" si="6"/>
        <v>1159.05</v>
      </c>
      <c r="P30" s="60">
        <f t="shared" si="6"/>
        <v>691.57999999999993</v>
      </c>
      <c r="Q30" s="60">
        <f t="shared" si="6"/>
        <v>1221.8699999999999</v>
      </c>
      <c r="R30" s="27">
        <f t="shared" si="6"/>
        <v>283.08716909999998</v>
      </c>
      <c r="S30" s="36">
        <f t="shared" si="6"/>
        <v>566.66999999999996</v>
      </c>
      <c r="T30" s="36">
        <f t="shared" si="6"/>
        <v>201.60000000000002</v>
      </c>
      <c r="U30" s="36">
        <f t="shared" si="6"/>
        <v>81</v>
      </c>
      <c r="V30" s="27">
        <f t="shared" si="6"/>
        <v>1902.5643075000003</v>
      </c>
      <c r="W30" s="36">
        <f t="shared" si="6"/>
        <v>1770.1200000000001</v>
      </c>
      <c r="X30" s="36">
        <f t="shared" si="6"/>
        <v>1730.73</v>
      </c>
      <c r="Y30" s="36">
        <f t="shared" si="6"/>
        <v>2206.8999999999996</v>
      </c>
    </row>
    <row r="31" spans="1:25">
      <c r="A31" s="24" t="s">
        <v>429</v>
      </c>
      <c r="B31" s="21"/>
      <c r="C31" s="26"/>
      <c r="D31" s="26"/>
      <c r="E31" s="26"/>
      <c r="F31" s="26"/>
      <c r="G31" s="26"/>
      <c r="H31" s="26"/>
      <c r="I31" s="26"/>
      <c r="J31" s="26"/>
      <c r="K31" s="26"/>
      <c r="L31" s="26"/>
      <c r="M31" s="26"/>
      <c r="N31" s="26"/>
      <c r="O31" s="26"/>
      <c r="P31" s="26"/>
      <c r="Q31" s="26"/>
      <c r="R31" s="26"/>
      <c r="S31" s="26"/>
      <c r="T31" s="26"/>
      <c r="U31" s="26"/>
      <c r="V31" s="21"/>
      <c r="W31" s="26"/>
      <c r="X31" s="26"/>
      <c r="Y31" s="26"/>
    </row>
    <row r="32" spans="1:25">
      <c r="A32" s="40" t="s">
        <v>81</v>
      </c>
      <c r="B32" s="65">
        <v>0</v>
      </c>
      <c r="C32" s="54">
        <v>0</v>
      </c>
      <c r="D32" s="89">
        <v>0</v>
      </c>
      <c r="E32" s="86">
        <v>0</v>
      </c>
      <c r="F32" s="72">
        <v>0</v>
      </c>
      <c r="G32" s="54">
        <v>0</v>
      </c>
      <c r="H32" s="89">
        <v>0</v>
      </c>
      <c r="I32" s="86">
        <v>0</v>
      </c>
      <c r="J32" s="72">
        <v>0</v>
      </c>
      <c r="K32" s="54">
        <v>0</v>
      </c>
      <c r="L32" s="89">
        <v>0</v>
      </c>
      <c r="M32" s="86">
        <v>0</v>
      </c>
      <c r="N32" s="72">
        <v>52.479475200000003</v>
      </c>
      <c r="O32" s="54">
        <v>0</v>
      </c>
      <c r="P32" s="89">
        <v>157.44</v>
      </c>
      <c r="Q32" s="86">
        <v>0</v>
      </c>
      <c r="R32" s="72">
        <v>0</v>
      </c>
      <c r="S32" s="32">
        <v>0</v>
      </c>
      <c r="T32" s="84">
        <v>0</v>
      </c>
      <c r="U32" s="80">
        <v>0</v>
      </c>
      <c r="V32" s="65">
        <v>52.479475200000003</v>
      </c>
      <c r="W32" s="32">
        <f t="shared" ref="W32:Y33" si="7">SUM(G32,K32,O32,S32)</f>
        <v>0</v>
      </c>
      <c r="X32" s="84">
        <f t="shared" si="7"/>
        <v>157.44</v>
      </c>
      <c r="Y32" s="80">
        <f t="shared" si="7"/>
        <v>0</v>
      </c>
    </row>
    <row r="33" spans="1:25">
      <c r="A33" s="42" t="s">
        <v>79</v>
      </c>
      <c r="B33" s="64">
        <v>0</v>
      </c>
      <c r="C33" s="59">
        <v>0</v>
      </c>
      <c r="D33" s="91">
        <v>0</v>
      </c>
      <c r="E33" s="88">
        <v>0</v>
      </c>
      <c r="F33" s="73">
        <v>0</v>
      </c>
      <c r="G33" s="59">
        <v>0</v>
      </c>
      <c r="H33" s="91">
        <v>0</v>
      </c>
      <c r="I33" s="88">
        <v>0</v>
      </c>
      <c r="J33" s="73">
        <v>266.33067</v>
      </c>
      <c r="K33" s="59">
        <v>799</v>
      </c>
      <c r="L33" s="91">
        <v>0</v>
      </c>
      <c r="M33" s="88">
        <v>0</v>
      </c>
      <c r="N33" s="73">
        <v>0</v>
      </c>
      <c r="O33" s="59">
        <v>0</v>
      </c>
      <c r="P33" s="91">
        <v>0</v>
      </c>
      <c r="Q33" s="88">
        <v>0</v>
      </c>
      <c r="R33" s="73">
        <v>393.32940000000002</v>
      </c>
      <c r="S33" s="35">
        <v>1180</v>
      </c>
      <c r="T33" s="85">
        <v>0</v>
      </c>
      <c r="U33" s="81">
        <v>0</v>
      </c>
      <c r="V33" s="64">
        <v>659.66007000000002</v>
      </c>
      <c r="W33" s="35">
        <f t="shared" si="7"/>
        <v>1979</v>
      </c>
      <c r="X33" s="85">
        <f t="shared" si="7"/>
        <v>0</v>
      </c>
      <c r="Y33" s="81">
        <f t="shared" si="7"/>
        <v>0</v>
      </c>
    </row>
    <row r="34" spans="1:25">
      <c r="A34" s="23" t="s">
        <v>564</v>
      </c>
      <c r="B34" s="27">
        <f t="shared" ref="B34:Y34" si="8">SUM(B32:B33)</f>
        <v>0</v>
      </c>
      <c r="C34" s="60">
        <f t="shared" si="8"/>
        <v>0</v>
      </c>
      <c r="D34" s="60">
        <f t="shared" si="8"/>
        <v>0</v>
      </c>
      <c r="E34" s="60">
        <f t="shared" si="8"/>
        <v>0</v>
      </c>
      <c r="F34" s="27">
        <f t="shared" si="8"/>
        <v>0</v>
      </c>
      <c r="G34" s="60">
        <f t="shared" si="8"/>
        <v>0</v>
      </c>
      <c r="H34" s="60">
        <f t="shared" si="8"/>
        <v>0</v>
      </c>
      <c r="I34" s="60">
        <f t="shared" si="8"/>
        <v>0</v>
      </c>
      <c r="J34" s="27">
        <f t="shared" si="8"/>
        <v>266.33067</v>
      </c>
      <c r="K34" s="60">
        <f t="shared" si="8"/>
        <v>799</v>
      </c>
      <c r="L34" s="60">
        <f t="shared" si="8"/>
        <v>0</v>
      </c>
      <c r="M34" s="60">
        <f t="shared" si="8"/>
        <v>0</v>
      </c>
      <c r="N34" s="27">
        <f t="shared" si="8"/>
        <v>52.479475200000003</v>
      </c>
      <c r="O34" s="60">
        <f t="shared" si="8"/>
        <v>0</v>
      </c>
      <c r="P34" s="60">
        <f t="shared" si="8"/>
        <v>157.44</v>
      </c>
      <c r="Q34" s="60">
        <f t="shared" si="8"/>
        <v>0</v>
      </c>
      <c r="R34" s="27">
        <f t="shared" si="8"/>
        <v>393.32940000000002</v>
      </c>
      <c r="S34" s="36">
        <f t="shared" si="8"/>
        <v>1180</v>
      </c>
      <c r="T34" s="36">
        <f t="shared" si="8"/>
        <v>0</v>
      </c>
      <c r="U34" s="36">
        <f t="shared" si="8"/>
        <v>0</v>
      </c>
      <c r="V34" s="27">
        <f t="shared" si="8"/>
        <v>712.13954520000004</v>
      </c>
      <c r="W34" s="36">
        <f t="shared" si="8"/>
        <v>1979</v>
      </c>
      <c r="X34" s="36">
        <f t="shared" si="8"/>
        <v>157.44</v>
      </c>
      <c r="Y34" s="36">
        <f t="shared" si="8"/>
        <v>0</v>
      </c>
    </row>
    <row r="35" spans="1:25">
      <c r="A35" s="24" t="s">
        <v>565</v>
      </c>
      <c r="B35" s="26"/>
      <c r="C35" s="26"/>
      <c r="D35" s="26"/>
      <c r="E35" s="26"/>
      <c r="F35" s="26"/>
      <c r="G35" s="26"/>
      <c r="H35" s="26"/>
      <c r="I35" s="26"/>
      <c r="J35" s="26"/>
      <c r="K35" s="26"/>
      <c r="L35" s="26"/>
      <c r="M35" s="26"/>
      <c r="N35" s="26"/>
      <c r="O35" s="26"/>
      <c r="P35" s="26"/>
      <c r="Q35" s="26"/>
      <c r="R35" s="26"/>
      <c r="S35" s="26"/>
      <c r="T35" s="26"/>
      <c r="U35" s="26"/>
      <c r="V35" s="26"/>
      <c r="W35" s="26"/>
      <c r="X35" s="26"/>
      <c r="Y35" s="26"/>
    </row>
    <row r="36" spans="1:25">
      <c r="A36" s="40" t="s">
        <v>77</v>
      </c>
      <c r="B36" s="65">
        <v>0</v>
      </c>
      <c r="C36" s="54">
        <v>0</v>
      </c>
      <c r="D36" s="89">
        <v>0</v>
      </c>
      <c r="E36" s="86">
        <v>0</v>
      </c>
      <c r="F36" s="72">
        <v>0</v>
      </c>
      <c r="G36" s="54">
        <v>0</v>
      </c>
      <c r="H36" s="89">
        <v>0</v>
      </c>
      <c r="I36" s="86">
        <v>0</v>
      </c>
      <c r="J36" s="72">
        <v>0</v>
      </c>
      <c r="K36" s="54">
        <v>0</v>
      </c>
      <c r="L36" s="89">
        <v>0</v>
      </c>
      <c r="M36" s="86">
        <v>0</v>
      </c>
      <c r="N36" s="72">
        <v>0</v>
      </c>
      <c r="O36" s="54">
        <v>0</v>
      </c>
      <c r="P36" s="89">
        <v>0</v>
      </c>
      <c r="Q36" s="86">
        <v>0</v>
      </c>
      <c r="R36" s="72">
        <v>0</v>
      </c>
      <c r="S36" s="32">
        <v>0</v>
      </c>
      <c r="T36" s="84">
        <v>0</v>
      </c>
      <c r="U36" s="80">
        <v>0</v>
      </c>
      <c r="V36" s="65">
        <v>0</v>
      </c>
      <c r="W36" s="32">
        <f t="shared" ref="W36:Y41" si="9">SUM(G36,K36,O36,S36)</f>
        <v>0</v>
      </c>
      <c r="X36" s="84">
        <f t="shared" si="9"/>
        <v>0</v>
      </c>
      <c r="Y36" s="80">
        <f t="shared" si="9"/>
        <v>0</v>
      </c>
    </row>
    <row r="37" spans="1:25">
      <c r="A37" s="41" t="s">
        <v>59</v>
      </c>
      <c r="B37" s="39">
        <v>0</v>
      </c>
      <c r="C37" s="54">
        <v>0</v>
      </c>
      <c r="D37" s="89">
        <v>0</v>
      </c>
      <c r="E37" s="86">
        <v>0</v>
      </c>
      <c r="F37" s="72">
        <v>0</v>
      </c>
      <c r="G37" s="54">
        <v>0</v>
      </c>
      <c r="H37" s="89">
        <v>0</v>
      </c>
      <c r="I37" s="86">
        <v>0</v>
      </c>
      <c r="J37" s="72">
        <v>0</v>
      </c>
      <c r="K37" s="54">
        <v>0</v>
      </c>
      <c r="L37" s="89">
        <v>0</v>
      </c>
      <c r="M37" s="86">
        <v>0</v>
      </c>
      <c r="N37" s="72">
        <v>0</v>
      </c>
      <c r="O37" s="54">
        <v>0</v>
      </c>
      <c r="P37" s="89">
        <v>0</v>
      </c>
      <c r="Q37" s="86">
        <v>0</v>
      </c>
      <c r="R37" s="72">
        <v>0</v>
      </c>
      <c r="S37" s="22">
        <v>0</v>
      </c>
      <c r="T37" s="82">
        <v>0</v>
      </c>
      <c r="U37" s="78">
        <v>0</v>
      </c>
      <c r="V37" s="39">
        <v>0</v>
      </c>
      <c r="W37" s="22">
        <f t="shared" si="9"/>
        <v>0</v>
      </c>
      <c r="X37" s="82">
        <f t="shared" si="9"/>
        <v>0</v>
      </c>
      <c r="Y37" s="78">
        <f t="shared" si="9"/>
        <v>0</v>
      </c>
    </row>
    <row r="38" spans="1:25">
      <c r="A38" s="41" t="s">
        <v>39</v>
      </c>
      <c r="B38" s="39">
        <v>0</v>
      </c>
      <c r="C38" s="54">
        <v>0</v>
      </c>
      <c r="D38" s="89">
        <v>0</v>
      </c>
      <c r="E38" s="86">
        <v>0</v>
      </c>
      <c r="F38" s="72">
        <v>0</v>
      </c>
      <c r="G38" s="54">
        <v>0</v>
      </c>
      <c r="H38" s="89">
        <v>0</v>
      </c>
      <c r="I38" s="86">
        <v>0</v>
      </c>
      <c r="J38" s="72">
        <v>0</v>
      </c>
      <c r="K38" s="54">
        <v>0</v>
      </c>
      <c r="L38" s="89">
        <v>0</v>
      </c>
      <c r="M38" s="86">
        <v>0</v>
      </c>
      <c r="N38" s="72">
        <v>0</v>
      </c>
      <c r="O38" s="54">
        <v>0</v>
      </c>
      <c r="P38" s="89">
        <v>0</v>
      </c>
      <c r="Q38" s="86">
        <v>0</v>
      </c>
      <c r="R38" s="72">
        <v>0</v>
      </c>
      <c r="S38" s="22">
        <v>0</v>
      </c>
      <c r="T38" s="82">
        <v>0</v>
      </c>
      <c r="U38" s="78">
        <v>0</v>
      </c>
      <c r="V38" s="39">
        <v>0</v>
      </c>
      <c r="W38" s="22">
        <f t="shared" si="9"/>
        <v>0</v>
      </c>
      <c r="X38" s="82">
        <f t="shared" si="9"/>
        <v>0</v>
      </c>
      <c r="Y38" s="78">
        <f t="shared" si="9"/>
        <v>0</v>
      </c>
    </row>
    <row r="39" spans="1:25">
      <c r="A39" s="92" t="s">
        <v>31</v>
      </c>
      <c r="B39" s="93">
        <v>0</v>
      </c>
      <c r="C39" s="94">
        <v>0</v>
      </c>
      <c r="D39" s="100">
        <v>0</v>
      </c>
      <c r="E39" s="99">
        <v>0</v>
      </c>
      <c r="F39" s="95">
        <v>0</v>
      </c>
      <c r="G39" s="94">
        <v>0</v>
      </c>
      <c r="H39" s="100">
        <v>0</v>
      </c>
      <c r="I39" s="99">
        <v>0</v>
      </c>
      <c r="J39" s="95">
        <v>0</v>
      </c>
      <c r="K39" s="94">
        <v>0</v>
      </c>
      <c r="L39" s="100">
        <v>0</v>
      </c>
      <c r="M39" s="99">
        <v>0</v>
      </c>
      <c r="N39" s="95">
        <v>0</v>
      </c>
      <c r="O39" s="94">
        <v>0</v>
      </c>
      <c r="P39" s="100">
        <v>0</v>
      </c>
      <c r="Q39" s="99">
        <v>0</v>
      </c>
      <c r="R39" s="95">
        <v>0</v>
      </c>
      <c r="S39" s="96">
        <v>0</v>
      </c>
      <c r="T39" s="98">
        <v>0</v>
      </c>
      <c r="U39" s="97">
        <v>0</v>
      </c>
      <c r="V39" s="93">
        <v>0</v>
      </c>
      <c r="W39" s="96">
        <f t="shared" si="9"/>
        <v>0</v>
      </c>
      <c r="X39" s="98">
        <f t="shared" si="9"/>
        <v>0</v>
      </c>
      <c r="Y39" s="97">
        <f t="shared" si="9"/>
        <v>0</v>
      </c>
    </row>
    <row r="40" spans="1:25">
      <c r="A40" s="41" t="s">
        <v>27</v>
      </c>
      <c r="B40" s="39">
        <v>164</v>
      </c>
      <c r="C40" s="54">
        <v>157</v>
      </c>
      <c r="D40" s="89">
        <v>157</v>
      </c>
      <c r="E40" s="86">
        <v>150</v>
      </c>
      <c r="F40" s="72">
        <v>3.5166314999999999</v>
      </c>
      <c r="G40" s="54">
        <v>2.79</v>
      </c>
      <c r="H40" s="89">
        <v>0</v>
      </c>
      <c r="I40" s="86">
        <v>7.76</v>
      </c>
      <c r="J40" s="72">
        <v>48.356183100000003</v>
      </c>
      <c r="K40" s="54">
        <v>50.26</v>
      </c>
      <c r="L40" s="89">
        <v>50.59</v>
      </c>
      <c r="M40" s="86">
        <v>44.22</v>
      </c>
      <c r="N40" s="72">
        <v>64.816018500000013</v>
      </c>
      <c r="O40" s="54">
        <v>72.91</v>
      </c>
      <c r="P40" s="89">
        <v>51.28</v>
      </c>
      <c r="Q40" s="86">
        <v>70.260000000000005</v>
      </c>
      <c r="R40" s="72">
        <v>42.23624430000001</v>
      </c>
      <c r="S40" s="22">
        <v>109.87</v>
      </c>
      <c r="T40" s="82">
        <v>12.18</v>
      </c>
      <c r="U40" s="78">
        <v>4.66</v>
      </c>
      <c r="V40" s="39">
        <v>158.92507740000002</v>
      </c>
      <c r="W40" s="22">
        <f t="shared" si="9"/>
        <v>235.82999999999998</v>
      </c>
      <c r="X40" s="82">
        <f t="shared" si="9"/>
        <v>114.05000000000001</v>
      </c>
      <c r="Y40" s="78">
        <f t="shared" si="9"/>
        <v>126.9</v>
      </c>
    </row>
    <row r="41" spans="1:25">
      <c r="A41" s="42" t="s">
        <v>25</v>
      </c>
      <c r="B41" s="64">
        <v>13</v>
      </c>
      <c r="C41" s="59">
        <v>13</v>
      </c>
      <c r="D41" s="91">
        <v>13</v>
      </c>
      <c r="E41" s="88">
        <v>18</v>
      </c>
      <c r="F41" s="73">
        <v>0.38666280000000003</v>
      </c>
      <c r="G41" s="59">
        <v>0.23</v>
      </c>
      <c r="H41" s="91">
        <v>0</v>
      </c>
      <c r="I41" s="88">
        <v>0.93</v>
      </c>
      <c r="J41" s="73">
        <v>4.5232881000000003</v>
      </c>
      <c r="K41" s="59">
        <v>4.08</v>
      </c>
      <c r="L41" s="91">
        <v>4.1900000000000004</v>
      </c>
      <c r="M41" s="88">
        <v>5.3</v>
      </c>
      <c r="N41" s="73">
        <v>6.1966047</v>
      </c>
      <c r="O41" s="59">
        <v>5.91</v>
      </c>
      <c r="P41" s="91">
        <v>4.25</v>
      </c>
      <c r="Q41" s="88">
        <v>8.43</v>
      </c>
      <c r="R41" s="73">
        <v>3.4932984000000005</v>
      </c>
      <c r="S41" s="35">
        <v>8.91</v>
      </c>
      <c r="T41" s="85">
        <v>1.01</v>
      </c>
      <c r="U41" s="81">
        <v>0.56000000000000005</v>
      </c>
      <c r="V41" s="64">
        <v>14.599854000000002</v>
      </c>
      <c r="W41" s="35">
        <f t="shared" si="9"/>
        <v>19.130000000000003</v>
      </c>
      <c r="X41" s="85">
        <f t="shared" si="9"/>
        <v>9.4500000000000011</v>
      </c>
      <c r="Y41" s="81">
        <f t="shared" si="9"/>
        <v>15.22</v>
      </c>
    </row>
    <row r="42" spans="1:25">
      <c r="A42" s="23" t="s">
        <v>566</v>
      </c>
      <c r="B42" s="27">
        <f t="shared" ref="B42:Y42" si="10">SUM(B36:B41)</f>
        <v>177</v>
      </c>
      <c r="C42" s="56">
        <f t="shared" si="10"/>
        <v>170</v>
      </c>
      <c r="D42" s="56">
        <f t="shared" si="10"/>
        <v>170</v>
      </c>
      <c r="E42" s="56">
        <f t="shared" si="10"/>
        <v>168</v>
      </c>
      <c r="F42" s="66">
        <f t="shared" si="10"/>
        <v>3.9032942999999998</v>
      </c>
      <c r="G42" s="56">
        <f t="shared" si="10"/>
        <v>3.02</v>
      </c>
      <c r="H42" s="56">
        <f t="shared" si="10"/>
        <v>0</v>
      </c>
      <c r="I42" s="56">
        <f t="shared" si="10"/>
        <v>8.69</v>
      </c>
      <c r="J42" s="66">
        <f t="shared" si="10"/>
        <v>52.879471200000005</v>
      </c>
      <c r="K42" s="56">
        <f t="shared" si="10"/>
        <v>54.339999999999996</v>
      </c>
      <c r="L42" s="56">
        <f t="shared" si="10"/>
        <v>54.78</v>
      </c>
      <c r="M42" s="56">
        <f t="shared" si="10"/>
        <v>49.519999999999996</v>
      </c>
      <c r="N42" s="66">
        <f t="shared" si="10"/>
        <v>71.012623200000007</v>
      </c>
      <c r="O42" s="56">
        <f t="shared" si="10"/>
        <v>78.819999999999993</v>
      </c>
      <c r="P42" s="56">
        <f t="shared" si="10"/>
        <v>55.53</v>
      </c>
      <c r="Q42" s="56">
        <f t="shared" si="10"/>
        <v>78.69</v>
      </c>
      <c r="R42" s="66">
        <f t="shared" si="10"/>
        <v>45.72954270000001</v>
      </c>
      <c r="S42" s="37">
        <f t="shared" si="10"/>
        <v>118.78</v>
      </c>
      <c r="T42" s="37">
        <f t="shared" si="10"/>
        <v>13.19</v>
      </c>
      <c r="U42" s="37">
        <f t="shared" si="10"/>
        <v>5.2200000000000006</v>
      </c>
      <c r="V42" s="27">
        <f t="shared" si="10"/>
        <v>173.52493140000001</v>
      </c>
      <c r="W42" s="37">
        <f t="shared" si="10"/>
        <v>254.95999999999998</v>
      </c>
      <c r="X42" s="37">
        <f t="shared" si="10"/>
        <v>123.50000000000001</v>
      </c>
      <c r="Y42" s="37">
        <f t="shared" si="10"/>
        <v>142.12</v>
      </c>
    </row>
    <row r="43" spans="1:25" ht="16.2" thickBot="1">
      <c r="A43" s="43" t="s">
        <v>567</v>
      </c>
      <c r="B43" s="34">
        <f>SUM(B21,B30,B34,B42)</f>
        <v>2777</v>
      </c>
      <c r="C43" s="52">
        <f t="shared" ref="C43:U43" si="11">SUM(C21,C30,C34,C42)</f>
        <v>2770</v>
      </c>
      <c r="D43" s="52">
        <f t="shared" si="11"/>
        <v>2770</v>
      </c>
      <c r="E43" s="52">
        <f t="shared" si="11"/>
        <v>2768</v>
      </c>
      <c r="F43" s="34">
        <f t="shared" si="11"/>
        <v>63.702696299999999</v>
      </c>
      <c r="G43" s="52">
        <f t="shared" si="11"/>
        <v>47.42</v>
      </c>
      <c r="H43" s="52">
        <f t="shared" si="11"/>
        <v>0</v>
      </c>
      <c r="I43" s="52">
        <f t="shared" si="11"/>
        <v>143.69</v>
      </c>
      <c r="J43" s="34">
        <f t="shared" si="11"/>
        <v>854.73145260000013</v>
      </c>
      <c r="K43" s="52">
        <f t="shared" si="11"/>
        <v>853.34</v>
      </c>
      <c r="L43" s="52">
        <f t="shared" si="11"/>
        <v>892.33</v>
      </c>
      <c r="M43" s="52">
        <f t="shared" si="11"/>
        <v>818.55</v>
      </c>
      <c r="N43" s="34">
        <f t="shared" si="11"/>
        <v>1147.6485233999999</v>
      </c>
      <c r="O43" s="52">
        <f t="shared" si="11"/>
        <v>1237.8699999999999</v>
      </c>
      <c r="P43" s="52">
        <f t="shared" si="11"/>
        <v>904.55</v>
      </c>
      <c r="Q43" s="52">
        <f t="shared" si="11"/>
        <v>1300.56</v>
      </c>
      <c r="R43" s="34">
        <f t="shared" si="11"/>
        <v>722.14611180000009</v>
      </c>
      <c r="S43" s="34">
        <f t="shared" si="11"/>
        <v>1865.45</v>
      </c>
      <c r="T43" s="34">
        <f t="shared" si="11"/>
        <v>214.79000000000002</v>
      </c>
      <c r="U43" s="34">
        <f t="shared" si="11"/>
        <v>86.22</v>
      </c>
      <c r="V43" s="34">
        <f>SUM(V21,V30,V34,V42)</f>
        <v>2788.2287841000007</v>
      </c>
      <c r="W43" s="34">
        <f t="shared" ref="W43:Y43" si="12">SUM(W21,W30,W34,W42)</f>
        <v>4004.08</v>
      </c>
      <c r="X43" s="34">
        <f t="shared" si="12"/>
        <v>2011.67</v>
      </c>
      <c r="Y43" s="34">
        <f t="shared" si="12"/>
        <v>2349.0199999999995</v>
      </c>
    </row>
    <row r="44" spans="1:25" ht="15" thickTop="1">
      <c r="A44" s="44" t="s">
        <v>568</v>
      </c>
      <c r="B44" s="28"/>
      <c r="C44" s="20"/>
      <c r="D44" s="20"/>
      <c r="E44" s="20"/>
      <c r="F44" s="28"/>
      <c r="G44" s="20"/>
      <c r="H44" s="20"/>
      <c r="I44" s="20"/>
      <c r="J44" s="28"/>
      <c r="K44" s="20"/>
      <c r="L44" s="20"/>
      <c r="M44" s="20"/>
      <c r="N44" s="28"/>
      <c r="O44" s="20"/>
      <c r="P44" s="20"/>
      <c r="Q44" s="20"/>
      <c r="R44" s="28"/>
      <c r="S44" s="20"/>
      <c r="T44" s="20"/>
      <c r="U44" s="20"/>
      <c r="V44" s="28"/>
      <c r="W44" s="20"/>
      <c r="X44" s="20"/>
      <c r="Y44" s="20"/>
    </row>
    <row r="45" spans="1:25">
      <c r="A45" s="40" t="s">
        <v>23</v>
      </c>
      <c r="B45" s="65">
        <v>0</v>
      </c>
      <c r="C45" s="54">
        <v>0</v>
      </c>
      <c r="D45" s="89">
        <v>0</v>
      </c>
      <c r="E45" s="86">
        <v>0</v>
      </c>
      <c r="F45" s="72">
        <v>0</v>
      </c>
      <c r="G45" s="54">
        <v>0</v>
      </c>
      <c r="H45" s="89">
        <v>0</v>
      </c>
      <c r="I45" s="86">
        <v>0</v>
      </c>
      <c r="J45" s="72">
        <v>0</v>
      </c>
      <c r="K45" s="54">
        <v>0</v>
      </c>
      <c r="L45" s="89">
        <v>0</v>
      </c>
      <c r="M45" s="86">
        <v>0</v>
      </c>
      <c r="N45" s="72">
        <v>0</v>
      </c>
      <c r="O45" s="54">
        <v>0</v>
      </c>
      <c r="P45" s="89">
        <v>0</v>
      </c>
      <c r="Q45" s="86">
        <v>0</v>
      </c>
      <c r="R45" s="72">
        <v>665.1933479999999</v>
      </c>
      <c r="S45" s="32">
        <v>1234.08</v>
      </c>
      <c r="T45" s="84">
        <v>758.33</v>
      </c>
      <c r="U45" s="80">
        <v>3.19</v>
      </c>
      <c r="V45" s="65">
        <v>665.1933479999999</v>
      </c>
      <c r="W45" s="32">
        <f t="shared" ref="W45:Y46" si="13">SUM(G45,K45,O45,S45)</f>
        <v>1234.08</v>
      </c>
      <c r="X45" s="84">
        <f t="shared" si="13"/>
        <v>758.33</v>
      </c>
      <c r="Y45" s="80">
        <f t="shared" si="13"/>
        <v>3.19</v>
      </c>
    </row>
    <row r="46" spans="1:25">
      <c r="A46" s="42" t="s">
        <v>7</v>
      </c>
      <c r="B46" s="64">
        <v>0</v>
      </c>
      <c r="C46" s="59">
        <v>0</v>
      </c>
      <c r="D46" s="91">
        <v>0</v>
      </c>
      <c r="E46" s="88">
        <v>0</v>
      </c>
      <c r="F46" s="73">
        <v>0</v>
      </c>
      <c r="G46" s="59">
        <v>0</v>
      </c>
      <c r="H46" s="91">
        <v>0</v>
      </c>
      <c r="I46" s="88">
        <v>0</v>
      </c>
      <c r="J46" s="73">
        <v>0</v>
      </c>
      <c r="K46" s="59">
        <v>0</v>
      </c>
      <c r="L46" s="91">
        <v>0</v>
      </c>
      <c r="M46" s="88">
        <v>0</v>
      </c>
      <c r="N46" s="73">
        <v>0</v>
      </c>
      <c r="O46" s="59">
        <v>0</v>
      </c>
      <c r="P46" s="91">
        <v>0</v>
      </c>
      <c r="Q46" s="88">
        <v>0</v>
      </c>
      <c r="R46" s="73">
        <v>0</v>
      </c>
      <c r="S46" s="35">
        <v>0</v>
      </c>
      <c r="T46" s="85">
        <v>0</v>
      </c>
      <c r="U46" s="81">
        <v>0</v>
      </c>
      <c r="V46" s="64">
        <v>0</v>
      </c>
      <c r="W46" s="35">
        <f t="shared" si="13"/>
        <v>0</v>
      </c>
      <c r="X46" s="85">
        <f t="shared" si="13"/>
        <v>0</v>
      </c>
      <c r="Y46" s="81">
        <f t="shared" si="13"/>
        <v>0</v>
      </c>
    </row>
    <row r="47" spans="1:25">
      <c r="A47" s="45" t="s">
        <v>569</v>
      </c>
      <c r="B47" s="49">
        <f t="shared" ref="B47:Y47" si="14">SUM(B45:B46)</f>
        <v>0</v>
      </c>
      <c r="C47" s="60">
        <f t="shared" si="14"/>
        <v>0</v>
      </c>
      <c r="D47" s="60">
        <f t="shared" si="14"/>
        <v>0</v>
      </c>
      <c r="E47" s="60">
        <f t="shared" si="14"/>
        <v>0</v>
      </c>
      <c r="F47" s="27">
        <f t="shared" si="14"/>
        <v>0</v>
      </c>
      <c r="G47" s="60">
        <f t="shared" si="14"/>
        <v>0</v>
      </c>
      <c r="H47" s="60">
        <f t="shared" si="14"/>
        <v>0</v>
      </c>
      <c r="I47" s="60">
        <f t="shared" si="14"/>
        <v>0</v>
      </c>
      <c r="J47" s="27">
        <f t="shared" si="14"/>
        <v>0</v>
      </c>
      <c r="K47" s="60">
        <f t="shared" si="14"/>
        <v>0</v>
      </c>
      <c r="L47" s="60">
        <f t="shared" si="14"/>
        <v>0</v>
      </c>
      <c r="M47" s="60">
        <f t="shared" si="14"/>
        <v>0</v>
      </c>
      <c r="N47" s="27">
        <f t="shared" si="14"/>
        <v>0</v>
      </c>
      <c r="O47" s="60">
        <f t="shared" si="14"/>
        <v>0</v>
      </c>
      <c r="P47" s="60">
        <f t="shared" si="14"/>
        <v>0</v>
      </c>
      <c r="Q47" s="60">
        <f t="shared" si="14"/>
        <v>0</v>
      </c>
      <c r="R47" s="27">
        <f t="shared" si="14"/>
        <v>665.1933479999999</v>
      </c>
      <c r="S47" s="36">
        <f t="shared" si="14"/>
        <v>1234.08</v>
      </c>
      <c r="T47" s="36">
        <f t="shared" si="14"/>
        <v>758.33</v>
      </c>
      <c r="U47" s="36">
        <f t="shared" si="14"/>
        <v>3.19</v>
      </c>
      <c r="V47" s="49">
        <f t="shared" si="14"/>
        <v>665.1933479999999</v>
      </c>
      <c r="W47" s="36">
        <f t="shared" si="14"/>
        <v>1234.08</v>
      </c>
      <c r="X47" s="36">
        <f t="shared" si="14"/>
        <v>758.33</v>
      </c>
      <c r="Y47" s="36">
        <f t="shared" si="14"/>
        <v>3.19</v>
      </c>
    </row>
    <row r="48" spans="1:25" ht="16.2" thickBot="1">
      <c r="A48" s="43" t="s">
        <v>570</v>
      </c>
      <c r="B48" s="34">
        <f>SUM(B12,B43,B47)</f>
        <v>0</v>
      </c>
      <c r="C48" s="52">
        <f t="shared" ref="C48:U48" si="15">SUM(C12,C43,C47)</f>
        <v>0</v>
      </c>
      <c r="D48" s="52">
        <f t="shared" si="15"/>
        <v>0</v>
      </c>
      <c r="E48" s="52">
        <f t="shared" si="15"/>
        <v>0</v>
      </c>
      <c r="F48" s="34">
        <f t="shared" si="15"/>
        <v>-1320.9501236999999</v>
      </c>
      <c r="G48" s="52">
        <f t="shared" si="15"/>
        <v>-1337.58</v>
      </c>
      <c r="H48" s="52">
        <f t="shared" si="15"/>
        <v>-1385</v>
      </c>
      <c r="I48" s="52">
        <f t="shared" si="15"/>
        <v>-1240.31</v>
      </c>
      <c r="J48" s="34">
        <f t="shared" si="15"/>
        <v>854.73145260000013</v>
      </c>
      <c r="K48" s="52">
        <f t="shared" si="15"/>
        <v>853.34</v>
      </c>
      <c r="L48" s="52">
        <f t="shared" si="15"/>
        <v>892.33</v>
      </c>
      <c r="M48" s="52">
        <f t="shared" si="15"/>
        <v>818.55</v>
      </c>
      <c r="N48" s="34">
        <f t="shared" si="15"/>
        <v>-237.00429660000009</v>
      </c>
      <c r="O48" s="52">
        <f t="shared" si="15"/>
        <v>-147.13000000000011</v>
      </c>
      <c r="P48" s="52">
        <f t="shared" si="15"/>
        <v>-480.45000000000005</v>
      </c>
      <c r="Q48" s="52">
        <f t="shared" si="15"/>
        <v>-83.440000000000055</v>
      </c>
      <c r="R48" s="34">
        <f t="shared" si="15"/>
        <v>564.62768700000004</v>
      </c>
      <c r="S48" s="34">
        <f t="shared" si="15"/>
        <v>631.37000000000012</v>
      </c>
      <c r="T48" s="34">
        <f t="shared" si="15"/>
        <v>973.12000000000012</v>
      </c>
      <c r="U48" s="34">
        <f t="shared" si="15"/>
        <v>89.41</v>
      </c>
      <c r="V48" s="34">
        <f>SUM(V12,V43,V47)</f>
        <v>-138.59528069999931</v>
      </c>
      <c r="W48" s="34">
        <f t="shared" ref="W48:Y48" si="16">SUM(W12,W43,W47)</f>
        <v>0</v>
      </c>
      <c r="X48" s="34">
        <f t="shared" si="16"/>
        <v>0</v>
      </c>
      <c r="Y48" s="34">
        <f t="shared" si="16"/>
        <v>-415.79000000000048</v>
      </c>
    </row>
    <row r="49" spans="1:25" ht="15" thickTop="1">
      <c r="A49" s="29"/>
      <c r="B49" s="19"/>
      <c r="C49" s="48"/>
      <c r="D49" s="48"/>
      <c r="E49" s="48"/>
      <c r="F49" s="19"/>
      <c r="G49" s="48"/>
      <c r="H49" s="48"/>
      <c r="I49" s="48"/>
      <c r="J49" s="19"/>
      <c r="K49" s="48"/>
      <c r="L49" s="48"/>
      <c r="M49" s="48"/>
      <c r="N49" s="19"/>
      <c r="O49" s="48"/>
      <c r="P49" s="48"/>
      <c r="Q49" s="48"/>
      <c r="R49" s="19"/>
      <c r="S49" s="48"/>
      <c r="T49" s="48"/>
      <c r="U49" s="48"/>
      <c r="V49" s="19"/>
      <c r="W49" s="48"/>
      <c r="X49" s="48"/>
      <c r="Y49" s="48"/>
    </row>
  </sheetData>
  <conditionalFormatting sqref="B15:C21 B23:C30 B32:C34 B36:C43 V36:W43 V32:W34 V23:W30 V15:W21 R36:S43 R32:S34 R23:S30 R15:S21 N36:O43 N32:O34 N23:O30 N15:O21 J36:K43 J32:K34 J23:K30 J15:K21 F36:G43 F32:G34 F23:G30 F15:G21">
    <cfRule type="cellIs" dxfId="129" priority="13" operator="lessThan">
      <formula>-0.01</formula>
    </cfRule>
  </conditionalFormatting>
  <conditionalFormatting sqref="Y15:Y21 Y23:Y30 Y32:Y34 Y36:Y43">
    <cfRule type="cellIs" dxfId="128" priority="12" operator="lessThan">
      <formula>-0.01</formula>
    </cfRule>
  </conditionalFormatting>
  <conditionalFormatting sqref="X15:X21 X23:X30 X32:X34 X36:X43">
    <cfRule type="cellIs" dxfId="127" priority="11" operator="lessThan">
      <formula>-0.01</formula>
    </cfRule>
  </conditionalFormatting>
  <conditionalFormatting sqref="U15:U21 U23:U30 U32:U34 U36:U43">
    <cfRule type="cellIs" dxfId="126" priority="10" operator="lessThan">
      <formula>-0.01</formula>
    </cfRule>
  </conditionalFormatting>
  <conditionalFormatting sqref="T15:T21 T23:T30 T32:T34 T36:T43">
    <cfRule type="cellIs" dxfId="125" priority="9" operator="lessThan">
      <formula>-0.01</formula>
    </cfRule>
  </conditionalFormatting>
  <conditionalFormatting sqref="Q15:Q21 Q23:Q30 Q32:Q34 Q36:Q43">
    <cfRule type="cellIs" dxfId="124" priority="8" operator="lessThan">
      <formula>-0.01</formula>
    </cfRule>
  </conditionalFormatting>
  <conditionalFormatting sqref="P15:P21 P23:P30 P32:P34 P36:P43">
    <cfRule type="cellIs" dxfId="123" priority="7" operator="lessThan">
      <formula>-0.01</formula>
    </cfRule>
  </conditionalFormatting>
  <conditionalFormatting sqref="M15:M21 M23:M30 M32:M34 M36:M43">
    <cfRule type="cellIs" dxfId="122" priority="6" operator="lessThan">
      <formula>-0.01</formula>
    </cfRule>
  </conditionalFormatting>
  <conditionalFormatting sqref="L15:L21 L23:L30 L32:L34 L36:L43">
    <cfRule type="cellIs" dxfId="121" priority="5" operator="lessThan">
      <formula>-0.01</formula>
    </cfRule>
  </conditionalFormatting>
  <conditionalFormatting sqref="I15:I21 I23:I30 I32:I34 I36:I43">
    <cfRule type="cellIs" dxfId="120" priority="4" operator="lessThan">
      <formula>-0.01</formula>
    </cfRule>
  </conditionalFormatting>
  <conditionalFormatting sqref="H15:H21 H23:H30 H32:H34 H36:H43">
    <cfRule type="cellIs" dxfId="119" priority="3" operator="lessThan">
      <formula>-0.01</formula>
    </cfRule>
  </conditionalFormatting>
  <conditionalFormatting sqref="E15:E21 E23:E30 E32:E34 E36:E43">
    <cfRule type="cellIs" dxfId="118" priority="2" operator="lessThan">
      <formula>-0.01</formula>
    </cfRule>
  </conditionalFormatting>
  <conditionalFormatting sqref="D15:D21 D23:D30 D32:D34 D36:D43">
    <cfRule type="cellIs" dxfId="117" priority="1" operator="lessThan">
      <formula>-0.01</formula>
    </cfRule>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F077B8-DED8-4423-A992-8439433990D1}">
  <sheetPr codeName="Sheet15"/>
  <dimension ref="A1:AZ49"/>
  <sheetViews>
    <sheetView showGridLines="0" workbookViewId="0">
      <pane xSplit="1" ySplit="6" topLeftCell="B7" activePane="bottomRight" state="frozen"/>
      <selection pane="topRight" activeCell="B1" sqref="B1"/>
      <selection pane="bottomLeft" activeCell="A7" sqref="A7"/>
      <selection pane="bottomRight"/>
    </sheetView>
  </sheetViews>
  <sheetFormatPr defaultRowHeight="14.4" outlineLevelCol="1"/>
  <cols>
    <col min="1" max="1" width="32.44140625" bestFit="1" customWidth="1"/>
    <col min="2" max="2" width="16.77734375" customWidth="1"/>
    <col min="3" max="5" width="13.44140625" style="57" hidden="1" customWidth="1" outlineLevel="1"/>
    <col min="6" max="6" width="16.77734375" customWidth="1" collapsed="1"/>
    <col min="7" max="9" width="13.44140625" style="57" hidden="1" customWidth="1" outlineLevel="1"/>
    <col min="10" max="10" width="16.77734375" customWidth="1" collapsed="1"/>
    <col min="11" max="13" width="13.44140625" style="57" hidden="1" customWidth="1" outlineLevel="1"/>
    <col min="14" max="14" width="16.77734375" customWidth="1" collapsed="1"/>
    <col min="15" max="17" width="13.44140625" style="57" hidden="1" customWidth="1" outlineLevel="1"/>
    <col min="18" max="18" width="16.77734375" customWidth="1" collapsed="1"/>
    <col min="19" max="21" width="13.44140625" style="57" hidden="1" customWidth="1" outlineLevel="1"/>
    <col min="22" max="22" width="16.77734375" customWidth="1" collapsed="1"/>
    <col min="23" max="25" width="13.44140625" style="57" hidden="1" customWidth="1" outlineLevel="1"/>
    <col min="26" max="26" width="8.88671875" collapsed="1"/>
  </cols>
  <sheetData>
    <row r="1" spans="1:52" ht="15.6">
      <c r="A1" s="68" t="s">
        <v>790</v>
      </c>
      <c r="B1" s="46"/>
      <c r="C1" s="46"/>
      <c r="D1" s="46"/>
      <c r="E1" s="46"/>
      <c r="F1" s="46"/>
      <c r="G1" s="46"/>
      <c r="H1" s="46"/>
      <c r="I1" s="46"/>
      <c r="J1" s="46"/>
      <c r="K1" s="46"/>
      <c r="L1" s="46"/>
      <c r="M1" s="46"/>
      <c r="N1" s="46"/>
      <c r="O1" s="46"/>
      <c r="P1" s="46"/>
      <c r="Q1" s="46"/>
      <c r="R1" s="46"/>
      <c r="V1" s="46"/>
      <c r="W1" s="46"/>
      <c r="X1" s="46"/>
      <c r="Y1" s="46"/>
    </row>
    <row r="2" spans="1:52" ht="15.6">
      <c r="A2" s="69" t="s">
        <v>410</v>
      </c>
      <c r="B2" s="47"/>
      <c r="C2" s="47"/>
      <c r="D2" s="47"/>
      <c r="E2" s="47"/>
      <c r="F2" s="47"/>
      <c r="G2" s="47"/>
      <c r="H2" s="47"/>
      <c r="I2" s="47"/>
      <c r="J2" s="47"/>
      <c r="K2" s="47"/>
      <c r="L2" s="47"/>
      <c r="M2" s="47"/>
      <c r="N2" s="47"/>
      <c r="O2" s="47"/>
      <c r="P2" s="47"/>
      <c r="Q2" s="47"/>
      <c r="R2" s="47"/>
      <c r="V2" s="47"/>
      <c r="W2" s="47"/>
      <c r="X2" s="47"/>
      <c r="Y2" s="47"/>
    </row>
    <row r="3" spans="1:52">
      <c r="A3" s="136"/>
      <c r="B3" s="61" t="s">
        <v>589</v>
      </c>
      <c r="C3" s="50" t="s">
        <v>572</v>
      </c>
      <c r="D3" s="50" t="s">
        <v>572</v>
      </c>
      <c r="E3" s="50" t="s">
        <v>572</v>
      </c>
      <c r="F3" s="61" t="s">
        <v>573</v>
      </c>
      <c r="G3" s="50" t="s">
        <v>573</v>
      </c>
      <c r="H3" s="50" t="s">
        <v>573</v>
      </c>
      <c r="I3" s="50" t="s">
        <v>573</v>
      </c>
      <c r="J3" s="61" t="s">
        <v>575</v>
      </c>
      <c r="K3" s="50" t="s">
        <v>575</v>
      </c>
      <c r="L3" s="50" t="s">
        <v>575</v>
      </c>
      <c r="M3" s="50" t="s">
        <v>575</v>
      </c>
      <c r="N3" s="61" t="s">
        <v>576</v>
      </c>
      <c r="O3" s="50" t="s">
        <v>576</v>
      </c>
      <c r="P3" s="50" t="s">
        <v>576</v>
      </c>
      <c r="Q3" s="50" t="s">
        <v>576</v>
      </c>
      <c r="R3" s="61" t="s">
        <v>577</v>
      </c>
      <c r="S3" s="38" t="s">
        <v>577</v>
      </c>
      <c r="T3" s="38" t="s">
        <v>577</v>
      </c>
      <c r="U3" s="38" t="s">
        <v>577</v>
      </c>
      <c r="V3" s="61" t="s">
        <v>585</v>
      </c>
      <c r="W3" s="38" t="s">
        <v>585</v>
      </c>
      <c r="X3" s="38" t="s">
        <v>585</v>
      </c>
      <c r="Y3" s="38" t="s">
        <v>585</v>
      </c>
      <c r="Z3" s="136"/>
      <c r="AA3" s="136"/>
      <c r="AB3" s="136"/>
      <c r="AC3" s="136"/>
      <c r="AD3" s="136"/>
      <c r="AE3" s="136"/>
      <c r="AF3" s="136"/>
      <c r="AG3" s="136"/>
      <c r="AH3" s="136"/>
      <c r="AI3" s="136"/>
      <c r="AJ3" s="136"/>
      <c r="AK3" s="136"/>
      <c r="AL3" s="136"/>
      <c r="AM3" s="136"/>
      <c r="AN3" s="136"/>
      <c r="AO3" s="136"/>
      <c r="AP3" s="136"/>
      <c r="AQ3" s="136"/>
      <c r="AR3" s="136"/>
      <c r="AS3" s="136"/>
      <c r="AT3" s="136"/>
      <c r="AU3" s="136"/>
      <c r="AV3" s="136"/>
      <c r="AW3" s="136"/>
      <c r="AX3" s="136"/>
      <c r="AY3" s="136"/>
      <c r="AZ3" s="136"/>
    </row>
    <row r="4" spans="1:52">
      <c r="A4" s="16"/>
      <c r="B4" s="31" t="str">
        <f>_xlfn.CONCAT("FY ",rngFY+rngYRS)</f>
        <v>FY 19</v>
      </c>
      <c r="C4" s="51" t="s">
        <v>555</v>
      </c>
      <c r="D4" s="51" t="s">
        <v>555</v>
      </c>
      <c r="E4" s="51" t="s">
        <v>555</v>
      </c>
      <c r="F4" s="31" t="s">
        <v>788</v>
      </c>
      <c r="G4" s="31" t="s">
        <v>789</v>
      </c>
      <c r="H4" s="31" t="s">
        <v>789</v>
      </c>
      <c r="I4" s="31" t="s">
        <v>789</v>
      </c>
      <c r="J4" s="31" t="s">
        <v>788</v>
      </c>
      <c r="K4" s="31" t="s">
        <v>789</v>
      </c>
      <c r="L4" s="31" t="s">
        <v>789</v>
      </c>
      <c r="M4" s="31" t="s">
        <v>789</v>
      </c>
      <c r="N4" s="31" t="s">
        <v>788</v>
      </c>
      <c r="O4" s="31" t="s">
        <v>789</v>
      </c>
      <c r="P4" s="31" t="s">
        <v>789</v>
      </c>
      <c r="Q4" s="31" t="s">
        <v>789</v>
      </c>
      <c r="R4" s="31" t="s">
        <v>788</v>
      </c>
      <c r="S4" s="31" t="s">
        <v>789</v>
      </c>
      <c r="T4" s="31" t="s">
        <v>789</v>
      </c>
      <c r="U4" s="31" t="s">
        <v>789</v>
      </c>
      <c r="V4" s="31" t="s">
        <v>574</v>
      </c>
      <c r="W4" s="31" t="s">
        <v>584</v>
      </c>
      <c r="X4" s="31" t="s">
        <v>584</v>
      </c>
      <c r="Y4" s="31" t="s">
        <v>584</v>
      </c>
    </row>
    <row r="5" spans="1:52">
      <c r="A5" s="17"/>
      <c r="B5" s="31"/>
      <c r="C5" s="51" t="s">
        <v>587</v>
      </c>
      <c r="D5" s="51" t="s">
        <v>586</v>
      </c>
      <c r="E5" s="51" t="s">
        <v>590</v>
      </c>
      <c r="F5" s="31"/>
      <c r="G5" s="51" t="s">
        <v>587</v>
      </c>
      <c r="H5" s="51" t="s">
        <v>586</v>
      </c>
      <c r="I5" s="51" t="s">
        <v>590</v>
      </c>
      <c r="J5" s="31"/>
      <c r="K5" s="51" t="s">
        <v>587</v>
      </c>
      <c r="L5" s="51" t="s">
        <v>586</v>
      </c>
      <c r="M5" s="51" t="s">
        <v>590</v>
      </c>
      <c r="N5" s="31"/>
      <c r="O5" s="51" t="s">
        <v>587</v>
      </c>
      <c r="P5" s="51" t="s">
        <v>586</v>
      </c>
      <c r="Q5" s="51" t="s">
        <v>590</v>
      </c>
      <c r="R5" s="31"/>
      <c r="S5" s="31" t="s">
        <v>587</v>
      </c>
      <c r="T5" s="31" t="s">
        <v>586</v>
      </c>
      <c r="U5" s="31" t="s">
        <v>590</v>
      </c>
      <c r="V5" s="31"/>
      <c r="W5" s="31" t="s">
        <v>587</v>
      </c>
      <c r="X5" s="31" t="s">
        <v>586</v>
      </c>
      <c r="Y5" s="31" t="s">
        <v>590</v>
      </c>
    </row>
    <row r="6" spans="1:52">
      <c r="A6" s="70"/>
      <c r="B6" s="62"/>
      <c r="C6" s="53"/>
      <c r="D6" s="53"/>
      <c r="E6" s="53"/>
      <c r="F6" s="62"/>
      <c r="G6" s="53"/>
      <c r="H6" s="53"/>
      <c r="I6" s="53"/>
      <c r="J6" s="62"/>
      <c r="K6" s="53"/>
      <c r="L6" s="53"/>
      <c r="M6" s="53"/>
      <c r="N6" s="62"/>
      <c r="O6" s="53"/>
      <c r="P6" s="53"/>
      <c r="Q6" s="53"/>
      <c r="R6" s="62"/>
      <c r="S6" s="62"/>
      <c r="T6" s="62"/>
      <c r="U6" s="62"/>
      <c r="V6" s="62"/>
      <c r="W6" s="62"/>
      <c r="X6" s="62"/>
      <c r="Y6" s="62"/>
    </row>
    <row r="7" spans="1:52">
      <c r="A7" s="18" t="s">
        <v>556</v>
      </c>
      <c r="B7" s="63"/>
      <c r="C7" s="58"/>
      <c r="D7" s="58"/>
      <c r="E7" s="58"/>
      <c r="F7" s="63"/>
      <c r="G7" s="58"/>
      <c r="H7" s="58"/>
      <c r="I7" s="58"/>
      <c r="J7" s="63"/>
      <c r="K7" s="58"/>
      <c r="L7" s="58"/>
      <c r="M7" s="58"/>
      <c r="N7" s="63"/>
      <c r="O7" s="58"/>
      <c r="P7" s="58"/>
      <c r="Q7" s="58"/>
      <c r="R7" s="63"/>
      <c r="S7" s="63"/>
      <c r="T7" s="63"/>
      <c r="U7" s="63"/>
      <c r="V7" s="63"/>
      <c r="W7" s="63"/>
      <c r="X7" s="63"/>
      <c r="Y7" s="63"/>
    </row>
    <row r="8" spans="1:52">
      <c r="A8" s="40" t="s">
        <v>557</v>
      </c>
      <c r="B8" s="39">
        <v>-95890</v>
      </c>
      <c r="C8" s="54">
        <v>-95657</v>
      </c>
      <c r="D8" s="89">
        <v>-95320</v>
      </c>
      <c r="E8" s="86">
        <v>-95238</v>
      </c>
      <c r="F8" s="72">
        <v>-47701.856310000003</v>
      </c>
      <c r="G8" s="54">
        <v>-47828</v>
      </c>
      <c r="H8" s="89">
        <v>-47660</v>
      </c>
      <c r="I8" s="86">
        <v>-47619</v>
      </c>
      <c r="J8" s="72">
        <v>0</v>
      </c>
      <c r="K8" s="54">
        <v>0</v>
      </c>
      <c r="L8" s="89">
        <v>0</v>
      </c>
      <c r="M8" s="86">
        <v>0</v>
      </c>
      <c r="N8" s="72">
        <v>-47702.189639999997</v>
      </c>
      <c r="O8" s="54">
        <v>-47829</v>
      </c>
      <c r="P8" s="89">
        <v>-47660</v>
      </c>
      <c r="Q8" s="86">
        <v>-47619</v>
      </c>
      <c r="R8" s="72">
        <v>0</v>
      </c>
      <c r="S8" s="22">
        <v>0</v>
      </c>
      <c r="T8" s="82">
        <v>0</v>
      </c>
      <c r="U8" s="78">
        <v>0</v>
      </c>
      <c r="V8" s="39">
        <v>-95404.04595</v>
      </c>
      <c r="W8" s="22">
        <f t="shared" ref="W8:Y11" si="0">SUM(G8,K8,O8,S8)</f>
        <v>-95657</v>
      </c>
      <c r="X8" s="82">
        <f t="shared" si="0"/>
        <v>-95320</v>
      </c>
      <c r="Y8" s="78">
        <f t="shared" si="0"/>
        <v>-95238</v>
      </c>
    </row>
    <row r="9" spans="1:52">
      <c r="A9" s="41" t="s">
        <v>558</v>
      </c>
      <c r="B9" s="39">
        <v>0</v>
      </c>
      <c r="C9" s="55">
        <v>0</v>
      </c>
      <c r="D9" s="90">
        <v>0</v>
      </c>
      <c r="E9" s="87">
        <v>0</v>
      </c>
      <c r="F9" s="72">
        <v>0</v>
      </c>
      <c r="G9" s="55">
        <v>0</v>
      </c>
      <c r="H9" s="90">
        <v>0</v>
      </c>
      <c r="I9" s="87">
        <v>0</v>
      </c>
      <c r="J9" s="72">
        <v>0</v>
      </c>
      <c r="K9" s="55">
        <v>0</v>
      </c>
      <c r="L9" s="90">
        <v>0</v>
      </c>
      <c r="M9" s="87">
        <v>0</v>
      </c>
      <c r="N9" s="72">
        <v>0</v>
      </c>
      <c r="O9" s="55">
        <v>0</v>
      </c>
      <c r="P9" s="90">
        <v>0</v>
      </c>
      <c r="Q9" s="87">
        <v>0</v>
      </c>
      <c r="R9" s="72">
        <v>0</v>
      </c>
      <c r="S9" s="33">
        <v>0</v>
      </c>
      <c r="T9" s="83">
        <v>0</v>
      </c>
      <c r="U9" s="79">
        <v>0</v>
      </c>
      <c r="V9" s="39">
        <v>0</v>
      </c>
      <c r="W9" s="33">
        <f t="shared" si="0"/>
        <v>0</v>
      </c>
      <c r="X9" s="83">
        <f t="shared" si="0"/>
        <v>0</v>
      </c>
      <c r="Y9" s="79">
        <f t="shared" si="0"/>
        <v>0</v>
      </c>
    </row>
    <row r="10" spans="1:52">
      <c r="A10" s="41" t="s">
        <v>212</v>
      </c>
      <c r="B10" s="39">
        <v>0</v>
      </c>
      <c r="C10" s="55">
        <v>0</v>
      </c>
      <c r="D10" s="90">
        <v>0</v>
      </c>
      <c r="E10" s="87">
        <v>0</v>
      </c>
      <c r="F10" s="72">
        <v>0</v>
      </c>
      <c r="G10" s="55">
        <v>0</v>
      </c>
      <c r="H10" s="90">
        <v>0</v>
      </c>
      <c r="I10" s="87">
        <v>0</v>
      </c>
      <c r="J10" s="72">
        <v>0</v>
      </c>
      <c r="K10" s="55">
        <v>0</v>
      </c>
      <c r="L10" s="90">
        <v>0</v>
      </c>
      <c r="M10" s="87">
        <v>0</v>
      </c>
      <c r="N10" s="72">
        <v>0</v>
      </c>
      <c r="O10" s="55">
        <v>0</v>
      </c>
      <c r="P10" s="90">
        <v>0</v>
      </c>
      <c r="Q10" s="87">
        <v>0</v>
      </c>
      <c r="R10" s="72">
        <v>0</v>
      </c>
      <c r="S10" s="33">
        <v>0</v>
      </c>
      <c r="T10" s="83">
        <v>0</v>
      </c>
      <c r="U10" s="79">
        <v>0</v>
      </c>
      <c r="V10" s="39">
        <v>0</v>
      </c>
      <c r="W10" s="33">
        <f t="shared" si="0"/>
        <v>0</v>
      </c>
      <c r="X10" s="83">
        <f t="shared" si="0"/>
        <v>0</v>
      </c>
      <c r="Y10" s="79">
        <f t="shared" si="0"/>
        <v>0</v>
      </c>
    </row>
    <row r="11" spans="1:52">
      <c r="A11" s="42" t="s">
        <v>210</v>
      </c>
      <c r="B11" s="64">
        <v>0</v>
      </c>
      <c r="C11" s="55">
        <v>0</v>
      </c>
      <c r="D11" s="90">
        <v>0</v>
      </c>
      <c r="E11" s="87">
        <v>0</v>
      </c>
      <c r="F11" s="73">
        <v>0</v>
      </c>
      <c r="G11" s="55">
        <v>0</v>
      </c>
      <c r="H11" s="90">
        <v>0</v>
      </c>
      <c r="I11" s="87">
        <v>0</v>
      </c>
      <c r="J11" s="73">
        <v>0</v>
      </c>
      <c r="K11" s="55">
        <v>0</v>
      </c>
      <c r="L11" s="90">
        <v>0</v>
      </c>
      <c r="M11" s="87">
        <v>0</v>
      </c>
      <c r="N11" s="73">
        <v>0</v>
      </c>
      <c r="O11" s="55">
        <v>0</v>
      </c>
      <c r="P11" s="90">
        <v>0</v>
      </c>
      <c r="Q11" s="87">
        <v>0</v>
      </c>
      <c r="R11" s="73">
        <v>-160.99839</v>
      </c>
      <c r="S11" s="33">
        <v>-483</v>
      </c>
      <c r="T11" s="83">
        <v>0</v>
      </c>
      <c r="U11" s="79">
        <v>0</v>
      </c>
      <c r="V11" s="64">
        <v>-160.99839</v>
      </c>
      <c r="W11" s="33">
        <f t="shared" si="0"/>
        <v>-483</v>
      </c>
      <c r="X11" s="83">
        <f t="shared" si="0"/>
        <v>0</v>
      </c>
      <c r="Y11" s="79">
        <f t="shared" si="0"/>
        <v>0</v>
      </c>
    </row>
    <row r="12" spans="1:52" ht="16.2" thickBot="1">
      <c r="A12" s="43" t="s">
        <v>559</v>
      </c>
      <c r="B12" s="34">
        <f>SUM(B8:B11)</f>
        <v>-95890</v>
      </c>
      <c r="C12" s="52">
        <f t="shared" ref="C12:U12" si="1">SUM(C8:C11)</f>
        <v>-95657</v>
      </c>
      <c r="D12" s="52">
        <f t="shared" si="1"/>
        <v>-95320</v>
      </c>
      <c r="E12" s="52">
        <f t="shared" si="1"/>
        <v>-95238</v>
      </c>
      <c r="F12" s="34">
        <f t="shared" si="1"/>
        <v>-47701.856310000003</v>
      </c>
      <c r="G12" s="52">
        <f t="shared" si="1"/>
        <v>-47828</v>
      </c>
      <c r="H12" s="52">
        <f t="shared" si="1"/>
        <v>-47660</v>
      </c>
      <c r="I12" s="52">
        <f t="shared" si="1"/>
        <v>-47619</v>
      </c>
      <c r="J12" s="34">
        <f t="shared" si="1"/>
        <v>0</v>
      </c>
      <c r="K12" s="52">
        <f t="shared" si="1"/>
        <v>0</v>
      </c>
      <c r="L12" s="52">
        <f t="shared" si="1"/>
        <v>0</v>
      </c>
      <c r="M12" s="52">
        <f t="shared" si="1"/>
        <v>0</v>
      </c>
      <c r="N12" s="34">
        <f t="shared" si="1"/>
        <v>-47702.189639999997</v>
      </c>
      <c r="O12" s="52">
        <f t="shared" si="1"/>
        <v>-47829</v>
      </c>
      <c r="P12" s="52">
        <f t="shared" si="1"/>
        <v>-47660</v>
      </c>
      <c r="Q12" s="52">
        <f t="shared" si="1"/>
        <v>-47619</v>
      </c>
      <c r="R12" s="34">
        <f t="shared" si="1"/>
        <v>-160.99839</v>
      </c>
      <c r="S12" s="34">
        <f t="shared" si="1"/>
        <v>-483</v>
      </c>
      <c r="T12" s="34">
        <f t="shared" si="1"/>
        <v>0</v>
      </c>
      <c r="U12" s="34">
        <f t="shared" si="1"/>
        <v>0</v>
      </c>
      <c r="V12" s="34">
        <f>SUM(V8:V11)</f>
        <v>-95565.044339999993</v>
      </c>
      <c r="W12" s="34">
        <f t="shared" ref="W12:Y12" si="2">SUM(W8:W11)</f>
        <v>-96140</v>
      </c>
      <c r="X12" s="34">
        <f t="shared" si="2"/>
        <v>-95320</v>
      </c>
      <c r="Y12" s="34">
        <f t="shared" si="2"/>
        <v>-95238</v>
      </c>
    </row>
    <row r="13" spans="1:52" ht="15" thickTop="1">
      <c r="A13" s="67"/>
      <c r="B13" s="67"/>
      <c r="C13" s="67"/>
      <c r="D13" s="67"/>
      <c r="E13" s="67"/>
      <c r="F13" s="67"/>
      <c r="G13" s="67"/>
      <c r="H13" s="67"/>
      <c r="I13" s="67"/>
      <c r="J13" s="67"/>
      <c r="K13" s="67"/>
      <c r="L13" s="67"/>
      <c r="M13" s="67"/>
      <c r="N13" s="67"/>
      <c r="O13" s="67"/>
      <c r="P13" s="67"/>
      <c r="Q13" s="67"/>
      <c r="R13" s="67"/>
      <c r="S13" s="67"/>
      <c r="T13" s="67"/>
      <c r="U13" s="67"/>
      <c r="V13" s="67"/>
      <c r="W13" s="67"/>
      <c r="X13" s="67"/>
      <c r="Y13" s="67"/>
    </row>
    <row r="14" spans="1:52">
      <c r="A14" s="18" t="s">
        <v>560</v>
      </c>
      <c r="B14" s="20"/>
      <c r="C14" s="20"/>
      <c r="D14" s="20"/>
      <c r="E14" s="20"/>
      <c r="F14" s="20"/>
      <c r="G14" s="20"/>
      <c r="H14" s="20"/>
      <c r="I14" s="20"/>
      <c r="J14" s="20"/>
      <c r="K14" s="20"/>
      <c r="L14" s="20"/>
      <c r="M14" s="20"/>
      <c r="N14" s="20"/>
      <c r="O14" s="20"/>
      <c r="P14" s="20"/>
      <c r="Q14" s="20"/>
      <c r="R14" s="20"/>
      <c r="S14" s="20"/>
      <c r="T14" s="20"/>
      <c r="U14" s="20"/>
      <c r="V14" s="20"/>
      <c r="W14" s="20"/>
      <c r="X14" s="20"/>
      <c r="Y14" s="20"/>
    </row>
    <row r="15" spans="1:52">
      <c r="A15" s="40" t="s">
        <v>188</v>
      </c>
      <c r="B15" s="65">
        <v>0</v>
      </c>
      <c r="C15" s="54">
        <v>0</v>
      </c>
      <c r="D15" s="89">
        <v>0</v>
      </c>
      <c r="E15" s="86">
        <v>0</v>
      </c>
      <c r="F15" s="72">
        <v>0</v>
      </c>
      <c r="G15" s="54">
        <v>0</v>
      </c>
      <c r="H15" s="89">
        <v>0</v>
      </c>
      <c r="I15" s="86">
        <v>0</v>
      </c>
      <c r="J15" s="72">
        <v>0</v>
      </c>
      <c r="K15" s="54">
        <v>0</v>
      </c>
      <c r="L15" s="89">
        <v>0</v>
      </c>
      <c r="M15" s="86">
        <v>0</v>
      </c>
      <c r="N15" s="72">
        <v>0</v>
      </c>
      <c r="O15" s="54">
        <v>0</v>
      </c>
      <c r="P15" s="89">
        <v>0</v>
      </c>
      <c r="Q15" s="86">
        <v>0</v>
      </c>
      <c r="R15" s="72">
        <v>0</v>
      </c>
      <c r="S15" s="32">
        <v>0</v>
      </c>
      <c r="T15" s="84">
        <v>0</v>
      </c>
      <c r="U15" s="80">
        <v>0</v>
      </c>
      <c r="V15" s="65">
        <v>0</v>
      </c>
      <c r="W15" s="32">
        <f t="shared" ref="W15:Y20" si="3">SUM(G15,K15,O15,S15)</f>
        <v>0</v>
      </c>
      <c r="X15" s="84">
        <f t="shared" si="3"/>
        <v>0</v>
      </c>
      <c r="Y15" s="80">
        <f t="shared" si="3"/>
        <v>0</v>
      </c>
    </row>
    <row r="16" spans="1:52">
      <c r="A16" s="41" t="s">
        <v>181</v>
      </c>
      <c r="B16" s="39">
        <v>0</v>
      </c>
      <c r="C16" s="54">
        <v>0</v>
      </c>
      <c r="D16" s="89">
        <v>0</v>
      </c>
      <c r="E16" s="86">
        <v>0</v>
      </c>
      <c r="F16" s="72">
        <v>0</v>
      </c>
      <c r="G16" s="54">
        <v>0</v>
      </c>
      <c r="H16" s="89">
        <v>0</v>
      </c>
      <c r="I16" s="86">
        <v>0</v>
      </c>
      <c r="J16" s="72">
        <v>0</v>
      </c>
      <c r="K16" s="54">
        <v>0</v>
      </c>
      <c r="L16" s="89">
        <v>0</v>
      </c>
      <c r="M16" s="86">
        <v>0</v>
      </c>
      <c r="N16" s="72">
        <v>0</v>
      </c>
      <c r="O16" s="54">
        <v>0</v>
      </c>
      <c r="P16" s="89">
        <v>0</v>
      </c>
      <c r="Q16" s="86">
        <v>0</v>
      </c>
      <c r="R16" s="72">
        <v>0</v>
      </c>
      <c r="S16" s="22">
        <v>0</v>
      </c>
      <c r="T16" s="82">
        <v>0</v>
      </c>
      <c r="U16" s="78">
        <v>0</v>
      </c>
      <c r="V16" s="39">
        <v>0</v>
      </c>
      <c r="W16" s="22">
        <f t="shared" si="3"/>
        <v>0</v>
      </c>
      <c r="X16" s="82">
        <f t="shared" si="3"/>
        <v>0</v>
      </c>
      <c r="Y16" s="78">
        <f t="shared" si="3"/>
        <v>0</v>
      </c>
    </row>
    <row r="17" spans="1:25">
      <c r="A17" s="92" t="s">
        <v>174</v>
      </c>
      <c r="B17" s="93">
        <v>48302</v>
      </c>
      <c r="C17" s="94">
        <v>88896</v>
      </c>
      <c r="D17" s="100">
        <v>88408</v>
      </c>
      <c r="E17" s="99">
        <v>88502</v>
      </c>
      <c r="F17" s="95">
        <v>7024.6664192999997</v>
      </c>
      <c r="G17" s="94">
        <v>3420.95</v>
      </c>
      <c r="H17" s="100">
        <v>4708.57</v>
      </c>
      <c r="I17" s="99">
        <v>12944.69</v>
      </c>
      <c r="J17" s="95">
        <v>16955.643775200002</v>
      </c>
      <c r="K17" s="94">
        <v>14008.54</v>
      </c>
      <c r="L17" s="100">
        <v>13845.5</v>
      </c>
      <c r="M17" s="99">
        <v>23013.4</v>
      </c>
      <c r="N17" s="95">
        <v>13542.527906700001</v>
      </c>
      <c r="O17" s="94">
        <v>7782.65</v>
      </c>
      <c r="P17" s="100">
        <v>9792.8799999999992</v>
      </c>
      <c r="Q17" s="99">
        <v>23052.46</v>
      </c>
      <c r="R17" s="95">
        <v>9699.476337600001</v>
      </c>
      <c r="S17" s="96">
        <v>8465.41</v>
      </c>
      <c r="T17" s="98">
        <v>7574.62</v>
      </c>
      <c r="U17" s="97">
        <v>13058.69</v>
      </c>
      <c r="V17" s="93">
        <v>47222.314438800007</v>
      </c>
      <c r="W17" s="96">
        <f t="shared" si="3"/>
        <v>33677.550000000003</v>
      </c>
      <c r="X17" s="98">
        <f t="shared" si="3"/>
        <v>35921.57</v>
      </c>
      <c r="Y17" s="97">
        <f t="shared" si="3"/>
        <v>72069.240000000005</v>
      </c>
    </row>
    <row r="18" spans="1:25">
      <c r="A18" s="41" t="s">
        <v>146</v>
      </c>
      <c r="B18" s="39">
        <v>0</v>
      </c>
      <c r="C18" s="54">
        <v>0</v>
      </c>
      <c r="D18" s="89">
        <v>0</v>
      </c>
      <c r="E18" s="86">
        <v>0</v>
      </c>
      <c r="F18" s="72">
        <v>0.63999360000000005</v>
      </c>
      <c r="G18" s="54">
        <v>0</v>
      </c>
      <c r="H18" s="89">
        <v>1.92</v>
      </c>
      <c r="I18" s="86">
        <v>0</v>
      </c>
      <c r="J18" s="72">
        <v>-2.1866447999999998</v>
      </c>
      <c r="K18" s="54">
        <v>0</v>
      </c>
      <c r="L18" s="89">
        <v>-6.56</v>
      </c>
      <c r="M18" s="86">
        <v>0</v>
      </c>
      <c r="N18" s="72">
        <v>1.5466511999999999</v>
      </c>
      <c r="O18" s="54">
        <v>0</v>
      </c>
      <c r="P18" s="89">
        <v>4.6399999999999997</v>
      </c>
      <c r="Q18" s="86">
        <v>0</v>
      </c>
      <c r="R18" s="72">
        <v>0</v>
      </c>
      <c r="S18" s="22">
        <v>0</v>
      </c>
      <c r="T18" s="82">
        <v>0</v>
      </c>
      <c r="U18" s="78">
        <v>0</v>
      </c>
      <c r="V18" s="39">
        <v>0</v>
      </c>
      <c r="W18" s="22">
        <f t="shared" si="3"/>
        <v>0</v>
      </c>
      <c r="X18" s="82">
        <f t="shared" si="3"/>
        <v>0</v>
      </c>
      <c r="Y18" s="78">
        <f t="shared" si="3"/>
        <v>0</v>
      </c>
    </row>
    <row r="19" spans="1:25">
      <c r="A19" s="41" t="s">
        <v>139</v>
      </c>
      <c r="B19" s="39">
        <v>0</v>
      </c>
      <c r="C19" s="54">
        <v>0</v>
      </c>
      <c r="D19" s="89">
        <v>0</v>
      </c>
      <c r="E19" s="86">
        <v>0</v>
      </c>
      <c r="F19" s="72">
        <v>0</v>
      </c>
      <c r="G19" s="54">
        <v>0</v>
      </c>
      <c r="H19" s="89">
        <v>0</v>
      </c>
      <c r="I19" s="86">
        <v>0</v>
      </c>
      <c r="J19" s="72">
        <v>0</v>
      </c>
      <c r="K19" s="54">
        <v>0</v>
      </c>
      <c r="L19" s="89">
        <v>0</v>
      </c>
      <c r="M19" s="86">
        <v>0</v>
      </c>
      <c r="N19" s="72">
        <v>0</v>
      </c>
      <c r="O19" s="54">
        <v>0</v>
      </c>
      <c r="P19" s="89">
        <v>0</v>
      </c>
      <c r="Q19" s="86">
        <v>0</v>
      </c>
      <c r="R19" s="72">
        <v>0</v>
      </c>
      <c r="S19" s="22">
        <v>0</v>
      </c>
      <c r="T19" s="82">
        <v>0</v>
      </c>
      <c r="U19" s="78">
        <v>0</v>
      </c>
      <c r="V19" s="39">
        <v>0</v>
      </c>
      <c r="W19" s="22">
        <f t="shared" si="3"/>
        <v>0</v>
      </c>
      <c r="X19" s="82">
        <f t="shared" si="3"/>
        <v>0</v>
      </c>
      <c r="Y19" s="78">
        <f t="shared" si="3"/>
        <v>0</v>
      </c>
    </row>
    <row r="20" spans="1:25">
      <c r="A20" s="42" t="s">
        <v>129</v>
      </c>
      <c r="B20" s="64">
        <v>483</v>
      </c>
      <c r="C20" s="59">
        <v>889</v>
      </c>
      <c r="D20" s="91">
        <v>1061</v>
      </c>
      <c r="E20" s="88">
        <v>974</v>
      </c>
      <c r="F20" s="73">
        <v>77.682556500000004</v>
      </c>
      <c r="G20" s="59">
        <v>34.21</v>
      </c>
      <c r="H20" s="91">
        <v>56.44</v>
      </c>
      <c r="I20" s="88">
        <v>142.4</v>
      </c>
      <c r="J20" s="73">
        <v>186.46146870000001</v>
      </c>
      <c r="K20" s="59">
        <v>140.09</v>
      </c>
      <c r="L20" s="91">
        <v>166.15</v>
      </c>
      <c r="M20" s="88">
        <v>253.15</v>
      </c>
      <c r="N20" s="73">
        <v>148.09185239999999</v>
      </c>
      <c r="O20" s="59">
        <v>77.83</v>
      </c>
      <c r="P20" s="91">
        <v>117.52</v>
      </c>
      <c r="Q20" s="88">
        <v>248.93</v>
      </c>
      <c r="R20" s="73">
        <v>107.94558720000001</v>
      </c>
      <c r="S20" s="35">
        <v>84.65</v>
      </c>
      <c r="T20" s="85">
        <v>90.89</v>
      </c>
      <c r="U20" s="81">
        <v>148.30000000000001</v>
      </c>
      <c r="V20" s="64">
        <v>520.18146479999996</v>
      </c>
      <c r="W20" s="35">
        <f t="shared" si="3"/>
        <v>336.78</v>
      </c>
      <c r="X20" s="85">
        <f t="shared" si="3"/>
        <v>431</v>
      </c>
      <c r="Y20" s="81">
        <f t="shared" si="3"/>
        <v>792.78</v>
      </c>
    </row>
    <row r="21" spans="1:25">
      <c r="A21" s="23" t="s">
        <v>561</v>
      </c>
      <c r="B21" s="27">
        <f t="shared" ref="B21:Y21" si="4">SUM(B15:B20)</f>
        <v>48785</v>
      </c>
      <c r="C21" s="60">
        <f t="shared" si="4"/>
        <v>89785</v>
      </c>
      <c r="D21" s="60">
        <f t="shared" si="4"/>
        <v>89469</v>
      </c>
      <c r="E21" s="60">
        <f t="shared" si="4"/>
        <v>89476</v>
      </c>
      <c r="F21" s="27">
        <f t="shared" si="4"/>
        <v>7102.9889693999994</v>
      </c>
      <c r="G21" s="56">
        <f t="shared" si="4"/>
        <v>3455.16</v>
      </c>
      <c r="H21" s="56">
        <f t="shared" si="4"/>
        <v>4766.9299999999994</v>
      </c>
      <c r="I21" s="56">
        <f t="shared" si="4"/>
        <v>13087.09</v>
      </c>
      <c r="J21" s="27">
        <f t="shared" si="4"/>
        <v>17139.918599100001</v>
      </c>
      <c r="K21" s="60">
        <f t="shared" si="4"/>
        <v>14148.630000000001</v>
      </c>
      <c r="L21" s="60">
        <f t="shared" si="4"/>
        <v>14005.09</v>
      </c>
      <c r="M21" s="60">
        <f t="shared" si="4"/>
        <v>23266.550000000003</v>
      </c>
      <c r="N21" s="27">
        <f t="shared" si="4"/>
        <v>13692.166410300002</v>
      </c>
      <c r="O21" s="60">
        <f t="shared" si="4"/>
        <v>7860.48</v>
      </c>
      <c r="P21" s="60">
        <f t="shared" si="4"/>
        <v>9915.0399999999991</v>
      </c>
      <c r="Q21" s="60">
        <f t="shared" si="4"/>
        <v>23301.39</v>
      </c>
      <c r="R21" s="27">
        <f t="shared" si="4"/>
        <v>9807.4219248000009</v>
      </c>
      <c r="S21" s="36">
        <f t="shared" si="4"/>
        <v>8550.06</v>
      </c>
      <c r="T21" s="36">
        <f t="shared" si="4"/>
        <v>7665.51</v>
      </c>
      <c r="U21" s="36">
        <f t="shared" si="4"/>
        <v>13206.99</v>
      </c>
      <c r="V21" s="27">
        <f t="shared" si="4"/>
        <v>47742.495903600007</v>
      </c>
      <c r="W21" s="36">
        <f t="shared" si="4"/>
        <v>34014.33</v>
      </c>
      <c r="X21" s="36">
        <f t="shared" si="4"/>
        <v>36352.57</v>
      </c>
      <c r="Y21" s="36">
        <f t="shared" si="4"/>
        <v>72862.02</v>
      </c>
    </row>
    <row r="22" spans="1:25">
      <c r="A22" s="24" t="s">
        <v>562</v>
      </c>
      <c r="B22" s="25"/>
      <c r="C22" s="25"/>
      <c r="D22" s="25"/>
      <c r="E22" s="25"/>
      <c r="F22" s="25"/>
      <c r="G22" s="25"/>
      <c r="H22" s="25"/>
      <c r="I22" s="25"/>
      <c r="J22" s="25"/>
      <c r="K22" s="25"/>
      <c r="L22" s="25"/>
      <c r="M22" s="25"/>
      <c r="N22" s="25"/>
      <c r="O22" s="25"/>
      <c r="P22" s="25"/>
      <c r="Q22" s="25"/>
      <c r="R22" s="25"/>
      <c r="S22" s="25"/>
      <c r="T22" s="25"/>
      <c r="U22" s="25"/>
      <c r="V22" s="25"/>
      <c r="W22" s="25"/>
      <c r="X22" s="25"/>
      <c r="Y22" s="25"/>
    </row>
    <row r="23" spans="1:25">
      <c r="A23" s="40" t="s">
        <v>127</v>
      </c>
      <c r="B23" s="65">
        <v>41000</v>
      </c>
      <c r="C23" s="54">
        <v>0</v>
      </c>
      <c r="D23" s="89">
        <v>0</v>
      </c>
      <c r="E23" s="86">
        <v>0</v>
      </c>
      <c r="F23" s="72">
        <v>0</v>
      </c>
      <c r="G23" s="54">
        <v>0</v>
      </c>
      <c r="H23" s="89">
        <v>0</v>
      </c>
      <c r="I23" s="86">
        <v>0</v>
      </c>
      <c r="J23" s="72">
        <v>0</v>
      </c>
      <c r="K23" s="54">
        <v>0</v>
      </c>
      <c r="L23" s="89">
        <v>0</v>
      </c>
      <c r="M23" s="86">
        <v>0</v>
      </c>
      <c r="N23" s="72">
        <v>0</v>
      </c>
      <c r="O23" s="54">
        <v>0</v>
      </c>
      <c r="P23" s="89">
        <v>0</v>
      </c>
      <c r="Q23" s="86">
        <v>0</v>
      </c>
      <c r="R23" s="72">
        <v>0</v>
      </c>
      <c r="S23" s="32">
        <v>0</v>
      </c>
      <c r="T23" s="84">
        <v>0</v>
      </c>
      <c r="U23" s="80">
        <v>0</v>
      </c>
      <c r="V23" s="65">
        <v>0</v>
      </c>
      <c r="W23" s="32">
        <f t="shared" ref="W23:Y29" si="5">SUM(G23,K23,O23,S23)</f>
        <v>0</v>
      </c>
      <c r="X23" s="84">
        <f t="shared" si="5"/>
        <v>0</v>
      </c>
      <c r="Y23" s="80">
        <f t="shared" si="5"/>
        <v>0</v>
      </c>
    </row>
    <row r="24" spans="1:25">
      <c r="A24" s="41" t="s">
        <v>120</v>
      </c>
      <c r="B24" s="39">
        <v>0</v>
      </c>
      <c r="C24" s="54">
        <v>0</v>
      </c>
      <c r="D24" s="89">
        <v>0</v>
      </c>
      <c r="E24" s="86">
        <v>0</v>
      </c>
      <c r="F24" s="72">
        <v>0</v>
      </c>
      <c r="G24" s="54">
        <v>0</v>
      </c>
      <c r="H24" s="89">
        <v>0</v>
      </c>
      <c r="I24" s="86">
        <v>0</v>
      </c>
      <c r="J24" s="72">
        <v>0</v>
      </c>
      <c r="K24" s="54">
        <v>0</v>
      </c>
      <c r="L24" s="89">
        <v>0</v>
      </c>
      <c r="M24" s="86">
        <v>0</v>
      </c>
      <c r="N24" s="72">
        <v>0</v>
      </c>
      <c r="O24" s="54">
        <v>0</v>
      </c>
      <c r="P24" s="89">
        <v>0</v>
      </c>
      <c r="Q24" s="86">
        <v>0</v>
      </c>
      <c r="R24" s="72">
        <v>0</v>
      </c>
      <c r="S24" s="22">
        <v>0</v>
      </c>
      <c r="T24" s="82">
        <v>0</v>
      </c>
      <c r="U24" s="78">
        <v>0</v>
      </c>
      <c r="V24" s="39">
        <v>0</v>
      </c>
      <c r="W24" s="22">
        <f t="shared" si="5"/>
        <v>0</v>
      </c>
      <c r="X24" s="82">
        <f t="shared" si="5"/>
        <v>0</v>
      </c>
      <c r="Y24" s="78">
        <f t="shared" si="5"/>
        <v>0</v>
      </c>
    </row>
    <row r="25" spans="1:25">
      <c r="A25" s="41" t="s">
        <v>107</v>
      </c>
      <c r="B25" s="39">
        <v>0</v>
      </c>
      <c r="C25" s="54">
        <v>0</v>
      </c>
      <c r="D25" s="89">
        <v>0</v>
      </c>
      <c r="E25" s="86">
        <v>0</v>
      </c>
      <c r="F25" s="72">
        <v>358.2664173</v>
      </c>
      <c r="G25" s="54">
        <v>317.04000000000002</v>
      </c>
      <c r="H25" s="89">
        <v>329.46</v>
      </c>
      <c r="I25" s="86">
        <v>428.31</v>
      </c>
      <c r="J25" s="72">
        <v>358.2664173</v>
      </c>
      <c r="K25" s="54">
        <v>317.04000000000002</v>
      </c>
      <c r="L25" s="89">
        <v>329.46</v>
      </c>
      <c r="M25" s="86">
        <v>428.31</v>
      </c>
      <c r="N25" s="72">
        <v>358.2664173</v>
      </c>
      <c r="O25" s="54">
        <v>317.04000000000002</v>
      </c>
      <c r="P25" s="89">
        <v>329.46</v>
      </c>
      <c r="Q25" s="86">
        <v>428.31</v>
      </c>
      <c r="R25" s="72">
        <v>358.2664173</v>
      </c>
      <c r="S25" s="22">
        <v>317.04000000000002</v>
      </c>
      <c r="T25" s="82">
        <v>329.46</v>
      </c>
      <c r="U25" s="78">
        <v>428.31</v>
      </c>
      <c r="V25" s="39">
        <v>1433.0656692</v>
      </c>
      <c r="W25" s="22">
        <f t="shared" si="5"/>
        <v>1268.1600000000001</v>
      </c>
      <c r="X25" s="82">
        <f t="shared" si="5"/>
        <v>1317.84</v>
      </c>
      <c r="Y25" s="78">
        <f t="shared" si="5"/>
        <v>1713.24</v>
      </c>
    </row>
    <row r="26" spans="1:25">
      <c r="A26" s="41" t="s">
        <v>104</v>
      </c>
      <c r="B26" s="39">
        <v>0</v>
      </c>
      <c r="C26" s="54">
        <v>0</v>
      </c>
      <c r="D26" s="89">
        <v>0</v>
      </c>
      <c r="E26" s="86">
        <v>0</v>
      </c>
      <c r="F26" s="72">
        <v>0</v>
      </c>
      <c r="G26" s="54">
        <v>0</v>
      </c>
      <c r="H26" s="89">
        <v>0</v>
      </c>
      <c r="I26" s="86">
        <v>0</v>
      </c>
      <c r="J26" s="72">
        <v>35.399646000000004</v>
      </c>
      <c r="K26" s="54">
        <v>106.2</v>
      </c>
      <c r="L26" s="89">
        <v>0</v>
      </c>
      <c r="M26" s="86">
        <v>0</v>
      </c>
      <c r="N26" s="72">
        <v>0</v>
      </c>
      <c r="O26" s="54">
        <v>0</v>
      </c>
      <c r="P26" s="89">
        <v>0</v>
      </c>
      <c r="Q26" s="86">
        <v>0</v>
      </c>
      <c r="R26" s="72">
        <v>-35.399646000000004</v>
      </c>
      <c r="S26" s="22">
        <v>-106.2</v>
      </c>
      <c r="T26" s="82">
        <v>0</v>
      </c>
      <c r="U26" s="78">
        <v>0</v>
      </c>
      <c r="V26" s="39">
        <v>0</v>
      </c>
      <c r="W26" s="22">
        <f t="shared" si="5"/>
        <v>0</v>
      </c>
      <c r="X26" s="82">
        <f t="shared" si="5"/>
        <v>0</v>
      </c>
      <c r="Y26" s="78">
        <f t="shared" si="5"/>
        <v>0</v>
      </c>
    </row>
    <row r="27" spans="1:25">
      <c r="A27" s="41" t="s">
        <v>102</v>
      </c>
      <c r="B27" s="39">
        <v>0</v>
      </c>
      <c r="C27" s="54">
        <v>0</v>
      </c>
      <c r="D27" s="89">
        <v>0</v>
      </c>
      <c r="E27" s="86">
        <v>0</v>
      </c>
      <c r="F27" s="72">
        <v>0</v>
      </c>
      <c r="G27" s="54">
        <v>0</v>
      </c>
      <c r="H27" s="89">
        <v>0</v>
      </c>
      <c r="I27" s="86">
        <v>0</v>
      </c>
      <c r="J27" s="72">
        <v>0</v>
      </c>
      <c r="K27" s="54">
        <v>0</v>
      </c>
      <c r="L27" s="89">
        <v>0</v>
      </c>
      <c r="M27" s="86">
        <v>0</v>
      </c>
      <c r="N27" s="72">
        <v>0</v>
      </c>
      <c r="O27" s="54">
        <v>0</v>
      </c>
      <c r="P27" s="89">
        <v>0</v>
      </c>
      <c r="Q27" s="86">
        <v>0</v>
      </c>
      <c r="R27" s="72">
        <v>0</v>
      </c>
      <c r="S27" s="22">
        <v>0</v>
      </c>
      <c r="T27" s="82">
        <v>0</v>
      </c>
      <c r="U27" s="78">
        <v>0</v>
      </c>
      <c r="V27" s="39">
        <v>0</v>
      </c>
      <c r="W27" s="22">
        <f t="shared" si="5"/>
        <v>0</v>
      </c>
      <c r="X27" s="82">
        <f t="shared" si="5"/>
        <v>0</v>
      </c>
      <c r="Y27" s="78">
        <f t="shared" si="5"/>
        <v>0</v>
      </c>
    </row>
    <row r="28" spans="1:25">
      <c r="A28" s="41" t="s">
        <v>98</v>
      </c>
      <c r="B28" s="39">
        <v>0</v>
      </c>
      <c r="C28" s="54">
        <v>0</v>
      </c>
      <c r="D28" s="89">
        <v>0</v>
      </c>
      <c r="E28" s="86">
        <v>0</v>
      </c>
      <c r="F28" s="72">
        <v>0</v>
      </c>
      <c r="G28" s="54">
        <v>0</v>
      </c>
      <c r="H28" s="89">
        <v>0</v>
      </c>
      <c r="I28" s="86">
        <v>0</v>
      </c>
      <c r="J28" s="72">
        <v>0</v>
      </c>
      <c r="K28" s="54">
        <v>0</v>
      </c>
      <c r="L28" s="89">
        <v>0</v>
      </c>
      <c r="M28" s="86">
        <v>0</v>
      </c>
      <c r="N28" s="72">
        <v>0</v>
      </c>
      <c r="O28" s="54">
        <v>0</v>
      </c>
      <c r="P28" s="89">
        <v>0</v>
      </c>
      <c r="Q28" s="86">
        <v>0</v>
      </c>
      <c r="R28" s="72">
        <v>0</v>
      </c>
      <c r="S28" s="22">
        <v>0</v>
      </c>
      <c r="T28" s="82">
        <v>0</v>
      </c>
      <c r="U28" s="78">
        <v>0</v>
      </c>
      <c r="V28" s="39">
        <v>0</v>
      </c>
      <c r="W28" s="22">
        <f t="shared" si="5"/>
        <v>0</v>
      </c>
      <c r="X28" s="82">
        <f t="shared" si="5"/>
        <v>0</v>
      </c>
      <c r="Y28" s="78">
        <f t="shared" si="5"/>
        <v>0</v>
      </c>
    </row>
    <row r="29" spans="1:25">
      <c r="A29" s="42" t="s">
        <v>84</v>
      </c>
      <c r="B29" s="64">
        <v>0</v>
      </c>
      <c r="C29" s="59">
        <v>0</v>
      </c>
      <c r="D29" s="91">
        <v>0</v>
      </c>
      <c r="E29" s="88">
        <v>0</v>
      </c>
      <c r="F29" s="73">
        <v>4637.7202890000008</v>
      </c>
      <c r="G29" s="59">
        <v>7357.5</v>
      </c>
      <c r="H29" s="91">
        <v>6555.8</v>
      </c>
      <c r="I29" s="88">
        <v>0</v>
      </c>
      <c r="J29" s="73">
        <v>7495.2217137000007</v>
      </c>
      <c r="K29" s="59">
        <v>12432.6</v>
      </c>
      <c r="L29" s="91">
        <v>10053.290000000001</v>
      </c>
      <c r="M29" s="88">
        <v>0</v>
      </c>
      <c r="N29" s="73">
        <v>5935.1573145000002</v>
      </c>
      <c r="O29" s="59">
        <v>9547.2999999999993</v>
      </c>
      <c r="P29" s="91">
        <v>8258.35</v>
      </c>
      <c r="Q29" s="88">
        <v>0</v>
      </c>
      <c r="R29" s="73">
        <v>8570.6476259999999</v>
      </c>
      <c r="S29" s="35">
        <v>9704.9</v>
      </c>
      <c r="T29" s="85">
        <v>11551.3</v>
      </c>
      <c r="U29" s="81">
        <v>4456</v>
      </c>
      <c r="V29" s="64">
        <v>26638.746943200003</v>
      </c>
      <c r="W29" s="35">
        <f t="shared" si="5"/>
        <v>39042.299999999996</v>
      </c>
      <c r="X29" s="85">
        <f t="shared" si="5"/>
        <v>36418.740000000005</v>
      </c>
      <c r="Y29" s="81">
        <f t="shared" si="5"/>
        <v>4456</v>
      </c>
    </row>
    <row r="30" spans="1:25">
      <c r="A30" s="23" t="s">
        <v>563</v>
      </c>
      <c r="B30" s="27">
        <f t="shared" ref="B30:Y30" si="6">SUM(B23:B29)</f>
        <v>41000</v>
      </c>
      <c r="C30" s="60">
        <f t="shared" si="6"/>
        <v>0</v>
      </c>
      <c r="D30" s="60">
        <f t="shared" si="6"/>
        <v>0</v>
      </c>
      <c r="E30" s="60">
        <f t="shared" si="6"/>
        <v>0</v>
      </c>
      <c r="F30" s="27">
        <f t="shared" si="6"/>
        <v>4995.9867063000011</v>
      </c>
      <c r="G30" s="60">
        <f t="shared" si="6"/>
        <v>7674.54</v>
      </c>
      <c r="H30" s="60">
        <f t="shared" si="6"/>
        <v>6885.26</v>
      </c>
      <c r="I30" s="60">
        <f t="shared" si="6"/>
        <v>428.31</v>
      </c>
      <c r="J30" s="27">
        <f t="shared" si="6"/>
        <v>7888.8877770000008</v>
      </c>
      <c r="K30" s="60">
        <f t="shared" si="6"/>
        <v>12855.84</v>
      </c>
      <c r="L30" s="60">
        <f t="shared" si="6"/>
        <v>10382.75</v>
      </c>
      <c r="M30" s="60">
        <f t="shared" si="6"/>
        <v>428.31</v>
      </c>
      <c r="N30" s="27">
        <f t="shared" si="6"/>
        <v>6293.4237318000005</v>
      </c>
      <c r="O30" s="60">
        <f t="shared" si="6"/>
        <v>9864.34</v>
      </c>
      <c r="P30" s="60">
        <f t="shared" si="6"/>
        <v>8587.81</v>
      </c>
      <c r="Q30" s="60">
        <f t="shared" si="6"/>
        <v>428.31</v>
      </c>
      <c r="R30" s="27">
        <f t="shared" si="6"/>
        <v>8893.5143972999995</v>
      </c>
      <c r="S30" s="36">
        <f t="shared" si="6"/>
        <v>9915.74</v>
      </c>
      <c r="T30" s="36">
        <f t="shared" si="6"/>
        <v>11880.759999999998</v>
      </c>
      <c r="U30" s="36">
        <f t="shared" si="6"/>
        <v>4884.3100000000004</v>
      </c>
      <c r="V30" s="27">
        <f t="shared" si="6"/>
        <v>28071.812612400005</v>
      </c>
      <c r="W30" s="36">
        <f t="shared" si="6"/>
        <v>40310.46</v>
      </c>
      <c r="X30" s="36">
        <f t="shared" si="6"/>
        <v>37736.58</v>
      </c>
      <c r="Y30" s="36">
        <f t="shared" si="6"/>
        <v>6169.24</v>
      </c>
    </row>
    <row r="31" spans="1:25">
      <c r="A31" s="24" t="s">
        <v>429</v>
      </c>
      <c r="B31" s="21"/>
      <c r="C31" s="26"/>
      <c r="D31" s="26"/>
      <c r="E31" s="26"/>
      <c r="F31" s="26"/>
      <c r="G31" s="26"/>
      <c r="H31" s="26"/>
      <c r="I31" s="26"/>
      <c r="J31" s="26"/>
      <c r="K31" s="26"/>
      <c r="L31" s="26"/>
      <c r="M31" s="26"/>
      <c r="N31" s="26"/>
      <c r="O31" s="26"/>
      <c r="P31" s="26"/>
      <c r="Q31" s="26"/>
      <c r="R31" s="26"/>
      <c r="S31" s="26"/>
      <c r="T31" s="26"/>
      <c r="U31" s="26"/>
      <c r="V31" s="21"/>
      <c r="W31" s="26"/>
      <c r="X31" s="26"/>
      <c r="Y31" s="26"/>
    </row>
    <row r="32" spans="1:25">
      <c r="A32" s="40" t="s">
        <v>81</v>
      </c>
      <c r="B32" s="65">
        <v>0</v>
      </c>
      <c r="C32" s="54">
        <v>0</v>
      </c>
      <c r="D32" s="89">
        <v>0</v>
      </c>
      <c r="E32" s="86">
        <v>0</v>
      </c>
      <c r="F32" s="72">
        <v>0</v>
      </c>
      <c r="G32" s="54">
        <v>0</v>
      </c>
      <c r="H32" s="89">
        <v>0</v>
      </c>
      <c r="I32" s="86">
        <v>0</v>
      </c>
      <c r="J32" s="72">
        <v>0</v>
      </c>
      <c r="K32" s="54">
        <v>0</v>
      </c>
      <c r="L32" s="89">
        <v>0</v>
      </c>
      <c r="M32" s="86">
        <v>0</v>
      </c>
      <c r="N32" s="72">
        <v>0</v>
      </c>
      <c r="O32" s="54">
        <v>0</v>
      </c>
      <c r="P32" s="89">
        <v>0</v>
      </c>
      <c r="Q32" s="86">
        <v>0</v>
      </c>
      <c r="R32" s="72">
        <v>0</v>
      </c>
      <c r="S32" s="32">
        <v>0</v>
      </c>
      <c r="T32" s="84">
        <v>0</v>
      </c>
      <c r="U32" s="80">
        <v>0</v>
      </c>
      <c r="V32" s="65">
        <v>0</v>
      </c>
      <c r="W32" s="32">
        <f t="shared" ref="W32:Y33" si="7">SUM(G32,K32,O32,S32)</f>
        <v>0</v>
      </c>
      <c r="X32" s="84">
        <f t="shared" si="7"/>
        <v>0</v>
      </c>
      <c r="Y32" s="80">
        <f t="shared" si="7"/>
        <v>0</v>
      </c>
    </row>
    <row r="33" spans="1:25">
      <c r="A33" s="42" t="s">
        <v>79</v>
      </c>
      <c r="B33" s="64">
        <v>0</v>
      </c>
      <c r="C33" s="59">
        <v>0</v>
      </c>
      <c r="D33" s="91">
        <v>0</v>
      </c>
      <c r="E33" s="88">
        <v>0</v>
      </c>
      <c r="F33" s="73">
        <v>0</v>
      </c>
      <c r="G33" s="59">
        <v>0</v>
      </c>
      <c r="H33" s="91">
        <v>0</v>
      </c>
      <c r="I33" s="88">
        <v>0</v>
      </c>
      <c r="J33" s="73">
        <v>0</v>
      </c>
      <c r="K33" s="59">
        <v>0</v>
      </c>
      <c r="L33" s="91">
        <v>0</v>
      </c>
      <c r="M33" s="88">
        <v>0</v>
      </c>
      <c r="N33" s="73">
        <v>0</v>
      </c>
      <c r="O33" s="59">
        <v>0</v>
      </c>
      <c r="P33" s="91">
        <v>0</v>
      </c>
      <c r="Q33" s="88">
        <v>0</v>
      </c>
      <c r="R33" s="73">
        <v>0</v>
      </c>
      <c r="S33" s="35">
        <v>0</v>
      </c>
      <c r="T33" s="85">
        <v>0</v>
      </c>
      <c r="U33" s="81">
        <v>0</v>
      </c>
      <c r="V33" s="64">
        <v>0</v>
      </c>
      <c r="W33" s="35">
        <f t="shared" si="7"/>
        <v>0</v>
      </c>
      <c r="X33" s="85">
        <f t="shared" si="7"/>
        <v>0</v>
      </c>
      <c r="Y33" s="81">
        <f t="shared" si="7"/>
        <v>0</v>
      </c>
    </row>
    <row r="34" spans="1:25">
      <c r="A34" s="23" t="s">
        <v>564</v>
      </c>
      <c r="B34" s="27">
        <f t="shared" ref="B34:Y34" si="8">SUM(B32:B33)</f>
        <v>0</v>
      </c>
      <c r="C34" s="60">
        <f t="shared" si="8"/>
        <v>0</v>
      </c>
      <c r="D34" s="60">
        <f t="shared" si="8"/>
        <v>0</v>
      </c>
      <c r="E34" s="60">
        <f t="shared" si="8"/>
        <v>0</v>
      </c>
      <c r="F34" s="27">
        <f t="shared" si="8"/>
        <v>0</v>
      </c>
      <c r="G34" s="60">
        <f t="shared" si="8"/>
        <v>0</v>
      </c>
      <c r="H34" s="60">
        <f t="shared" si="8"/>
        <v>0</v>
      </c>
      <c r="I34" s="60">
        <f t="shared" si="8"/>
        <v>0</v>
      </c>
      <c r="J34" s="27">
        <f t="shared" si="8"/>
        <v>0</v>
      </c>
      <c r="K34" s="60">
        <f t="shared" si="8"/>
        <v>0</v>
      </c>
      <c r="L34" s="60">
        <f t="shared" si="8"/>
        <v>0</v>
      </c>
      <c r="M34" s="60">
        <f t="shared" si="8"/>
        <v>0</v>
      </c>
      <c r="N34" s="27">
        <f t="shared" si="8"/>
        <v>0</v>
      </c>
      <c r="O34" s="60">
        <f t="shared" si="8"/>
        <v>0</v>
      </c>
      <c r="P34" s="60">
        <f t="shared" si="8"/>
        <v>0</v>
      </c>
      <c r="Q34" s="60">
        <f t="shared" si="8"/>
        <v>0</v>
      </c>
      <c r="R34" s="27">
        <f t="shared" si="8"/>
        <v>0</v>
      </c>
      <c r="S34" s="36">
        <f t="shared" si="8"/>
        <v>0</v>
      </c>
      <c r="T34" s="36">
        <f t="shared" si="8"/>
        <v>0</v>
      </c>
      <c r="U34" s="36">
        <f t="shared" si="8"/>
        <v>0</v>
      </c>
      <c r="V34" s="27">
        <f t="shared" si="8"/>
        <v>0</v>
      </c>
      <c r="W34" s="36">
        <f t="shared" si="8"/>
        <v>0</v>
      </c>
      <c r="X34" s="36">
        <f t="shared" si="8"/>
        <v>0</v>
      </c>
      <c r="Y34" s="36">
        <f t="shared" si="8"/>
        <v>0</v>
      </c>
    </row>
    <row r="35" spans="1:25">
      <c r="A35" s="24" t="s">
        <v>565</v>
      </c>
      <c r="B35" s="26"/>
      <c r="C35" s="26"/>
      <c r="D35" s="26"/>
      <c r="E35" s="26"/>
      <c r="F35" s="26"/>
      <c r="G35" s="26"/>
      <c r="H35" s="26"/>
      <c r="I35" s="26"/>
      <c r="J35" s="26"/>
      <c r="K35" s="26"/>
      <c r="L35" s="26"/>
      <c r="M35" s="26"/>
      <c r="N35" s="26"/>
      <c r="O35" s="26"/>
      <c r="P35" s="26"/>
      <c r="Q35" s="26"/>
      <c r="R35" s="26"/>
      <c r="S35" s="26"/>
      <c r="T35" s="26"/>
      <c r="U35" s="26"/>
      <c r="V35" s="26"/>
      <c r="W35" s="26"/>
      <c r="X35" s="26"/>
      <c r="Y35" s="26"/>
    </row>
    <row r="36" spans="1:25">
      <c r="A36" s="40" t="s">
        <v>77</v>
      </c>
      <c r="B36" s="65">
        <v>0</v>
      </c>
      <c r="C36" s="54">
        <v>0</v>
      </c>
      <c r="D36" s="89">
        <v>0</v>
      </c>
      <c r="E36" s="86">
        <v>0</v>
      </c>
      <c r="F36" s="72">
        <v>0</v>
      </c>
      <c r="G36" s="54">
        <v>0</v>
      </c>
      <c r="H36" s="89">
        <v>0</v>
      </c>
      <c r="I36" s="86">
        <v>0</v>
      </c>
      <c r="J36" s="72">
        <v>0</v>
      </c>
      <c r="K36" s="54">
        <v>0</v>
      </c>
      <c r="L36" s="89">
        <v>0</v>
      </c>
      <c r="M36" s="86">
        <v>0</v>
      </c>
      <c r="N36" s="72">
        <v>0</v>
      </c>
      <c r="O36" s="54">
        <v>0</v>
      </c>
      <c r="P36" s="89">
        <v>0</v>
      </c>
      <c r="Q36" s="86">
        <v>0</v>
      </c>
      <c r="R36" s="72">
        <v>0</v>
      </c>
      <c r="S36" s="32">
        <v>0</v>
      </c>
      <c r="T36" s="84">
        <v>0</v>
      </c>
      <c r="U36" s="80">
        <v>0</v>
      </c>
      <c r="V36" s="65">
        <v>0</v>
      </c>
      <c r="W36" s="32">
        <f t="shared" ref="W36:Y41" si="9">SUM(G36,K36,O36,S36)</f>
        <v>0</v>
      </c>
      <c r="X36" s="84">
        <f t="shared" si="9"/>
        <v>0</v>
      </c>
      <c r="Y36" s="80">
        <f t="shared" si="9"/>
        <v>0</v>
      </c>
    </row>
    <row r="37" spans="1:25">
      <c r="A37" s="41" t="s">
        <v>59</v>
      </c>
      <c r="B37" s="39">
        <v>0</v>
      </c>
      <c r="C37" s="54">
        <v>0</v>
      </c>
      <c r="D37" s="89">
        <v>0</v>
      </c>
      <c r="E37" s="86">
        <v>0</v>
      </c>
      <c r="F37" s="72">
        <v>0</v>
      </c>
      <c r="G37" s="54">
        <v>0</v>
      </c>
      <c r="H37" s="89">
        <v>0</v>
      </c>
      <c r="I37" s="86">
        <v>0</v>
      </c>
      <c r="J37" s="72">
        <v>0</v>
      </c>
      <c r="K37" s="54">
        <v>0</v>
      </c>
      <c r="L37" s="89">
        <v>0</v>
      </c>
      <c r="M37" s="86">
        <v>0</v>
      </c>
      <c r="N37" s="72">
        <v>0</v>
      </c>
      <c r="O37" s="54">
        <v>0</v>
      </c>
      <c r="P37" s="89">
        <v>0</v>
      </c>
      <c r="Q37" s="86">
        <v>0</v>
      </c>
      <c r="R37" s="72">
        <v>0</v>
      </c>
      <c r="S37" s="22">
        <v>0</v>
      </c>
      <c r="T37" s="82">
        <v>0</v>
      </c>
      <c r="U37" s="78">
        <v>0</v>
      </c>
      <c r="V37" s="39">
        <v>0</v>
      </c>
      <c r="W37" s="22">
        <f t="shared" si="9"/>
        <v>0</v>
      </c>
      <c r="X37" s="82">
        <f t="shared" si="9"/>
        <v>0</v>
      </c>
      <c r="Y37" s="78">
        <f t="shared" si="9"/>
        <v>0</v>
      </c>
    </row>
    <row r="38" spans="1:25">
      <c r="A38" s="41" t="s">
        <v>39</v>
      </c>
      <c r="B38" s="39">
        <v>0</v>
      </c>
      <c r="C38" s="54">
        <v>0</v>
      </c>
      <c r="D38" s="89">
        <v>0</v>
      </c>
      <c r="E38" s="86">
        <v>0</v>
      </c>
      <c r="F38" s="72">
        <v>0</v>
      </c>
      <c r="G38" s="54">
        <v>0</v>
      </c>
      <c r="H38" s="89">
        <v>0</v>
      </c>
      <c r="I38" s="86">
        <v>0</v>
      </c>
      <c r="J38" s="72">
        <v>0</v>
      </c>
      <c r="K38" s="54">
        <v>0</v>
      </c>
      <c r="L38" s="89">
        <v>0</v>
      </c>
      <c r="M38" s="86">
        <v>0</v>
      </c>
      <c r="N38" s="72">
        <v>0</v>
      </c>
      <c r="O38" s="54">
        <v>0</v>
      </c>
      <c r="P38" s="89">
        <v>0</v>
      </c>
      <c r="Q38" s="86">
        <v>0</v>
      </c>
      <c r="R38" s="72">
        <v>0</v>
      </c>
      <c r="S38" s="22">
        <v>0</v>
      </c>
      <c r="T38" s="82">
        <v>0</v>
      </c>
      <c r="U38" s="78">
        <v>0</v>
      </c>
      <c r="V38" s="39">
        <v>0</v>
      </c>
      <c r="W38" s="22">
        <f t="shared" si="9"/>
        <v>0</v>
      </c>
      <c r="X38" s="82">
        <f t="shared" si="9"/>
        <v>0</v>
      </c>
      <c r="Y38" s="78">
        <f t="shared" si="9"/>
        <v>0</v>
      </c>
    </row>
    <row r="39" spans="1:25">
      <c r="A39" s="92" t="s">
        <v>31</v>
      </c>
      <c r="B39" s="93">
        <v>0</v>
      </c>
      <c r="C39" s="94">
        <v>0</v>
      </c>
      <c r="D39" s="100">
        <v>0</v>
      </c>
      <c r="E39" s="99">
        <v>0</v>
      </c>
      <c r="F39" s="95">
        <v>0</v>
      </c>
      <c r="G39" s="94">
        <v>0</v>
      </c>
      <c r="H39" s="100">
        <v>0</v>
      </c>
      <c r="I39" s="99">
        <v>0</v>
      </c>
      <c r="J39" s="95">
        <v>0</v>
      </c>
      <c r="K39" s="94">
        <v>0</v>
      </c>
      <c r="L39" s="100">
        <v>0</v>
      </c>
      <c r="M39" s="99">
        <v>0</v>
      </c>
      <c r="N39" s="95">
        <v>0</v>
      </c>
      <c r="O39" s="94">
        <v>0</v>
      </c>
      <c r="P39" s="100">
        <v>0</v>
      </c>
      <c r="Q39" s="99">
        <v>0</v>
      </c>
      <c r="R39" s="95">
        <v>0</v>
      </c>
      <c r="S39" s="96">
        <v>0</v>
      </c>
      <c r="T39" s="98">
        <v>0</v>
      </c>
      <c r="U39" s="97">
        <v>0</v>
      </c>
      <c r="V39" s="93">
        <v>0</v>
      </c>
      <c r="W39" s="96">
        <f t="shared" si="9"/>
        <v>0</v>
      </c>
      <c r="X39" s="98">
        <f t="shared" si="9"/>
        <v>0</v>
      </c>
      <c r="Y39" s="97">
        <f t="shared" si="9"/>
        <v>0</v>
      </c>
    </row>
    <row r="40" spans="1:25">
      <c r="A40" s="41" t="s">
        <v>27</v>
      </c>
      <c r="B40" s="39">
        <v>5647</v>
      </c>
      <c r="C40" s="54">
        <v>5423</v>
      </c>
      <c r="D40" s="89">
        <v>5404</v>
      </c>
      <c r="E40" s="86">
        <v>5145</v>
      </c>
      <c r="F40" s="72">
        <v>726.99272999999994</v>
      </c>
      <c r="G40" s="54">
        <v>700.07</v>
      </c>
      <c r="H40" s="89">
        <v>703.79</v>
      </c>
      <c r="I40" s="86">
        <v>777.14</v>
      </c>
      <c r="J40" s="72">
        <v>1509.6915696000001</v>
      </c>
      <c r="K40" s="54">
        <v>1698.58</v>
      </c>
      <c r="L40" s="89">
        <v>1473.02</v>
      </c>
      <c r="M40" s="86">
        <v>1357.52</v>
      </c>
      <c r="N40" s="72">
        <v>1200.6079938000003</v>
      </c>
      <c r="O40" s="54">
        <v>1114.8900000000001</v>
      </c>
      <c r="P40" s="89">
        <v>1117.57</v>
      </c>
      <c r="Q40" s="86">
        <v>1369.4</v>
      </c>
      <c r="R40" s="72">
        <v>1127.4420588</v>
      </c>
      <c r="S40" s="22">
        <v>1161.5</v>
      </c>
      <c r="T40" s="82">
        <v>1180.5999999999999</v>
      </c>
      <c r="U40" s="78">
        <v>1040.26</v>
      </c>
      <c r="V40" s="39">
        <v>4564.7343522000001</v>
      </c>
      <c r="W40" s="22">
        <f t="shared" si="9"/>
        <v>4675.04</v>
      </c>
      <c r="X40" s="82">
        <f t="shared" si="9"/>
        <v>4474.9799999999996</v>
      </c>
      <c r="Y40" s="78">
        <f t="shared" si="9"/>
        <v>4544.32</v>
      </c>
    </row>
    <row r="41" spans="1:25">
      <c r="A41" s="42" t="s">
        <v>25</v>
      </c>
      <c r="B41" s="64">
        <v>458</v>
      </c>
      <c r="C41" s="59">
        <v>449</v>
      </c>
      <c r="D41" s="91">
        <v>447</v>
      </c>
      <c r="E41" s="88">
        <v>617</v>
      </c>
      <c r="F41" s="73">
        <v>69.4293057</v>
      </c>
      <c r="G41" s="59">
        <v>56.77</v>
      </c>
      <c r="H41" s="91">
        <v>58.27</v>
      </c>
      <c r="I41" s="88">
        <v>93.25</v>
      </c>
      <c r="J41" s="73">
        <v>140.85525810000001</v>
      </c>
      <c r="K41" s="59">
        <v>137.72999999999999</v>
      </c>
      <c r="L41" s="91">
        <v>121.94</v>
      </c>
      <c r="M41" s="88">
        <v>162.9</v>
      </c>
      <c r="N41" s="73">
        <v>115.74884250000002</v>
      </c>
      <c r="O41" s="59">
        <v>90.41</v>
      </c>
      <c r="P41" s="91">
        <v>92.51</v>
      </c>
      <c r="Q41" s="88">
        <v>164.33</v>
      </c>
      <c r="R41" s="73">
        <v>105.57561090000002</v>
      </c>
      <c r="S41" s="35">
        <v>94.17</v>
      </c>
      <c r="T41" s="85">
        <v>97.73</v>
      </c>
      <c r="U41" s="81">
        <v>124.83</v>
      </c>
      <c r="V41" s="64">
        <v>431.60901720000004</v>
      </c>
      <c r="W41" s="35">
        <f t="shared" si="9"/>
        <v>379.08</v>
      </c>
      <c r="X41" s="85">
        <f t="shared" si="9"/>
        <v>370.45000000000005</v>
      </c>
      <c r="Y41" s="81">
        <f t="shared" si="9"/>
        <v>545.31000000000006</v>
      </c>
    </row>
    <row r="42" spans="1:25">
      <c r="A42" s="23" t="s">
        <v>566</v>
      </c>
      <c r="B42" s="27">
        <f t="shared" ref="B42:Y42" si="10">SUM(B36:B41)</f>
        <v>6105</v>
      </c>
      <c r="C42" s="56">
        <f t="shared" si="10"/>
        <v>5872</v>
      </c>
      <c r="D42" s="56">
        <f t="shared" si="10"/>
        <v>5851</v>
      </c>
      <c r="E42" s="56">
        <f t="shared" si="10"/>
        <v>5762</v>
      </c>
      <c r="F42" s="66">
        <f t="shared" si="10"/>
        <v>796.42203569999992</v>
      </c>
      <c r="G42" s="56">
        <f t="shared" si="10"/>
        <v>756.84</v>
      </c>
      <c r="H42" s="56">
        <f t="shared" si="10"/>
        <v>762.06</v>
      </c>
      <c r="I42" s="56">
        <f t="shared" si="10"/>
        <v>870.39</v>
      </c>
      <c r="J42" s="66">
        <f t="shared" si="10"/>
        <v>1650.5468277</v>
      </c>
      <c r="K42" s="56">
        <f t="shared" si="10"/>
        <v>1836.31</v>
      </c>
      <c r="L42" s="56">
        <f t="shared" si="10"/>
        <v>1594.96</v>
      </c>
      <c r="M42" s="56">
        <f t="shared" si="10"/>
        <v>1520.42</v>
      </c>
      <c r="N42" s="66">
        <f t="shared" si="10"/>
        <v>1316.3568363000004</v>
      </c>
      <c r="O42" s="56">
        <f t="shared" si="10"/>
        <v>1205.3000000000002</v>
      </c>
      <c r="P42" s="56">
        <f t="shared" si="10"/>
        <v>1210.08</v>
      </c>
      <c r="Q42" s="56">
        <f t="shared" si="10"/>
        <v>1533.73</v>
      </c>
      <c r="R42" s="66">
        <f t="shared" si="10"/>
        <v>1233.0176697000002</v>
      </c>
      <c r="S42" s="37">
        <f t="shared" si="10"/>
        <v>1255.67</v>
      </c>
      <c r="T42" s="37">
        <f t="shared" si="10"/>
        <v>1278.33</v>
      </c>
      <c r="U42" s="37">
        <f t="shared" si="10"/>
        <v>1165.0899999999999</v>
      </c>
      <c r="V42" s="27">
        <f t="shared" si="10"/>
        <v>4996.3433694000005</v>
      </c>
      <c r="W42" s="37">
        <f t="shared" si="10"/>
        <v>5054.12</v>
      </c>
      <c r="X42" s="37">
        <f t="shared" si="10"/>
        <v>4845.4299999999994</v>
      </c>
      <c r="Y42" s="37">
        <f t="shared" si="10"/>
        <v>5089.63</v>
      </c>
    </row>
    <row r="43" spans="1:25" ht="16.2" thickBot="1">
      <c r="A43" s="43" t="s">
        <v>567</v>
      </c>
      <c r="B43" s="34">
        <f>SUM(B21,B30,B34,B42)</f>
        <v>95890</v>
      </c>
      <c r="C43" s="52">
        <f t="shared" ref="C43:U43" si="11">SUM(C21,C30,C34,C42)</f>
        <v>95657</v>
      </c>
      <c r="D43" s="52">
        <f t="shared" si="11"/>
        <v>95320</v>
      </c>
      <c r="E43" s="52">
        <f t="shared" si="11"/>
        <v>95238</v>
      </c>
      <c r="F43" s="34">
        <f t="shared" si="11"/>
        <v>12895.397711399999</v>
      </c>
      <c r="G43" s="52">
        <f t="shared" si="11"/>
        <v>11886.54</v>
      </c>
      <c r="H43" s="52">
        <f t="shared" si="11"/>
        <v>12414.249999999998</v>
      </c>
      <c r="I43" s="52">
        <f t="shared" si="11"/>
        <v>14385.789999999999</v>
      </c>
      <c r="J43" s="34">
        <f t="shared" si="11"/>
        <v>26679.353203800001</v>
      </c>
      <c r="K43" s="52">
        <f t="shared" si="11"/>
        <v>28840.780000000002</v>
      </c>
      <c r="L43" s="52">
        <f t="shared" si="11"/>
        <v>25982.799999999999</v>
      </c>
      <c r="M43" s="52">
        <f t="shared" si="11"/>
        <v>25215.280000000006</v>
      </c>
      <c r="N43" s="34">
        <f t="shared" si="11"/>
        <v>21301.946978400003</v>
      </c>
      <c r="O43" s="52">
        <f t="shared" si="11"/>
        <v>18930.12</v>
      </c>
      <c r="P43" s="52">
        <f t="shared" si="11"/>
        <v>19712.93</v>
      </c>
      <c r="Q43" s="52">
        <f t="shared" si="11"/>
        <v>25263.43</v>
      </c>
      <c r="R43" s="34">
        <f t="shared" si="11"/>
        <v>19933.953991800001</v>
      </c>
      <c r="S43" s="34">
        <f t="shared" si="11"/>
        <v>19721.47</v>
      </c>
      <c r="T43" s="34">
        <f t="shared" si="11"/>
        <v>20824.599999999999</v>
      </c>
      <c r="U43" s="34">
        <f t="shared" si="11"/>
        <v>19256.39</v>
      </c>
      <c r="V43" s="34">
        <f>SUM(V21,V30,V34,V42)</f>
        <v>80810.651885400017</v>
      </c>
      <c r="W43" s="34">
        <f t="shared" ref="W43:Y43" si="12">SUM(W21,W30,W34,W42)</f>
        <v>79378.91</v>
      </c>
      <c r="X43" s="34">
        <f t="shared" si="12"/>
        <v>78934.579999999987</v>
      </c>
      <c r="Y43" s="34">
        <f t="shared" si="12"/>
        <v>84120.890000000014</v>
      </c>
    </row>
    <row r="44" spans="1:25" ht="15" thickTop="1">
      <c r="A44" s="44" t="s">
        <v>568</v>
      </c>
      <c r="B44" s="28"/>
      <c r="C44" s="20"/>
      <c r="D44" s="20"/>
      <c r="E44" s="20"/>
      <c r="F44" s="28"/>
      <c r="G44" s="20"/>
      <c r="H44" s="20"/>
      <c r="I44" s="20"/>
      <c r="J44" s="28"/>
      <c r="K44" s="20"/>
      <c r="L44" s="20"/>
      <c r="M44" s="20"/>
      <c r="N44" s="28"/>
      <c r="O44" s="20"/>
      <c r="P44" s="20"/>
      <c r="Q44" s="20"/>
      <c r="R44" s="28"/>
      <c r="S44" s="20"/>
      <c r="T44" s="20"/>
      <c r="U44" s="20"/>
      <c r="V44" s="28"/>
      <c r="W44" s="20"/>
      <c r="X44" s="20"/>
      <c r="Y44" s="20"/>
    </row>
    <row r="45" spans="1:25">
      <c r="A45" s="40" t="s">
        <v>23</v>
      </c>
      <c r="B45" s="65">
        <v>0</v>
      </c>
      <c r="C45" s="54">
        <v>0</v>
      </c>
      <c r="D45" s="89">
        <v>0</v>
      </c>
      <c r="E45" s="86">
        <v>0</v>
      </c>
      <c r="F45" s="72">
        <v>0</v>
      </c>
      <c r="G45" s="54">
        <v>0</v>
      </c>
      <c r="H45" s="89">
        <v>0</v>
      </c>
      <c r="I45" s="86">
        <v>0</v>
      </c>
      <c r="J45" s="72">
        <v>0</v>
      </c>
      <c r="K45" s="54">
        <v>0</v>
      </c>
      <c r="L45" s="89">
        <v>0</v>
      </c>
      <c r="M45" s="86">
        <v>0</v>
      </c>
      <c r="N45" s="72">
        <v>0</v>
      </c>
      <c r="O45" s="54">
        <v>0</v>
      </c>
      <c r="P45" s="89">
        <v>0</v>
      </c>
      <c r="Q45" s="86">
        <v>0</v>
      </c>
      <c r="R45" s="72">
        <v>19539.914598899999</v>
      </c>
      <c r="S45" s="32">
        <v>16761.09</v>
      </c>
      <c r="T45" s="84">
        <v>16385.419999999998</v>
      </c>
      <c r="U45" s="80">
        <v>25473.82</v>
      </c>
      <c r="V45" s="65">
        <v>19539.914598899999</v>
      </c>
      <c r="W45" s="32">
        <f t="shared" ref="W45:Y46" si="13">SUM(G45,K45,O45,S45)</f>
        <v>16761.09</v>
      </c>
      <c r="X45" s="84">
        <f t="shared" si="13"/>
        <v>16385.419999999998</v>
      </c>
      <c r="Y45" s="80">
        <f t="shared" si="13"/>
        <v>25473.82</v>
      </c>
    </row>
    <row r="46" spans="1:25">
      <c r="A46" s="42" t="s">
        <v>7</v>
      </c>
      <c r="B46" s="64">
        <v>0</v>
      </c>
      <c r="C46" s="59">
        <v>0</v>
      </c>
      <c r="D46" s="91">
        <v>0</v>
      </c>
      <c r="E46" s="88">
        <v>0</v>
      </c>
      <c r="F46" s="73">
        <v>0</v>
      </c>
      <c r="G46" s="59">
        <v>0</v>
      </c>
      <c r="H46" s="91">
        <v>0</v>
      </c>
      <c r="I46" s="88">
        <v>0</v>
      </c>
      <c r="J46" s="73">
        <v>0</v>
      </c>
      <c r="K46" s="59">
        <v>0</v>
      </c>
      <c r="L46" s="91">
        <v>0</v>
      </c>
      <c r="M46" s="88">
        <v>0</v>
      </c>
      <c r="N46" s="73">
        <v>0</v>
      </c>
      <c r="O46" s="59">
        <v>0</v>
      </c>
      <c r="P46" s="91">
        <v>0</v>
      </c>
      <c r="Q46" s="88">
        <v>0</v>
      </c>
      <c r="R46" s="73">
        <v>0</v>
      </c>
      <c r="S46" s="35">
        <v>0</v>
      </c>
      <c r="T46" s="85">
        <v>0</v>
      </c>
      <c r="U46" s="81">
        <v>0</v>
      </c>
      <c r="V46" s="64">
        <v>0</v>
      </c>
      <c r="W46" s="35">
        <f t="shared" si="13"/>
        <v>0</v>
      </c>
      <c r="X46" s="85">
        <f t="shared" si="13"/>
        <v>0</v>
      </c>
      <c r="Y46" s="81">
        <f t="shared" si="13"/>
        <v>0</v>
      </c>
    </row>
    <row r="47" spans="1:25">
      <c r="A47" s="45" t="s">
        <v>569</v>
      </c>
      <c r="B47" s="49">
        <f t="shared" ref="B47:Y47" si="14">SUM(B45:B46)</f>
        <v>0</v>
      </c>
      <c r="C47" s="60">
        <f t="shared" si="14"/>
        <v>0</v>
      </c>
      <c r="D47" s="60">
        <f t="shared" si="14"/>
        <v>0</v>
      </c>
      <c r="E47" s="60">
        <f t="shared" si="14"/>
        <v>0</v>
      </c>
      <c r="F47" s="27">
        <f t="shared" si="14"/>
        <v>0</v>
      </c>
      <c r="G47" s="60">
        <f t="shared" si="14"/>
        <v>0</v>
      </c>
      <c r="H47" s="60">
        <f t="shared" si="14"/>
        <v>0</v>
      </c>
      <c r="I47" s="60">
        <f t="shared" si="14"/>
        <v>0</v>
      </c>
      <c r="J47" s="27">
        <f t="shared" si="14"/>
        <v>0</v>
      </c>
      <c r="K47" s="60">
        <f t="shared" si="14"/>
        <v>0</v>
      </c>
      <c r="L47" s="60">
        <f t="shared" si="14"/>
        <v>0</v>
      </c>
      <c r="M47" s="60">
        <f t="shared" si="14"/>
        <v>0</v>
      </c>
      <c r="N47" s="27">
        <f t="shared" si="14"/>
        <v>0</v>
      </c>
      <c r="O47" s="60">
        <f t="shared" si="14"/>
        <v>0</v>
      </c>
      <c r="P47" s="60">
        <f t="shared" si="14"/>
        <v>0</v>
      </c>
      <c r="Q47" s="60">
        <f t="shared" si="14"/>
        <v>0</v>
      </c>
      <c r="R47" s="27">
        <f t="shared" si="14"/>
        <v>19539.914598899999</v>
      </c>
      <c r="S47" s="36">
        <f t="shared" si="14"/>
        <v>16761.09</v>
      </c>
      <c r="T47" s="36">
        <f t="shared" si="14"/>
        <v>16385.419999999998</v>
      </c>
      <c r="U47" s="36">
        <f t="shared" si="14"/>
        <v>25473.82</v>
      </c>
      <c r="V47" s="49">
        <f t="shared" si="14"/>
        <v>19539.914598899999</v>
      </c>
      <c r="W47" s="36">
        <f t="shared" si="14"/>
        <v>16761.09</v>
      </c>
      <c r="X47" s="36">
        <f t="shared" si="14"/>
        <v>16385.419999999998</v>
      </c>
      <c r="Y47" s="36">
        <f t="shared" si="14"/>
        <v>25473.82</v>
      </c>
    </row>
    <row r="48" spans="1:25" ht="16.2" thickBot="1">
      <c r="A48" s="43" t="s">
        <v>570</v>
      </c>
      <c r="B48" s="34">
        <f>SUM(B12,B43,B47)</f>
        <v>0</v>
      </c>
      <c r="C48" s="52">
        <f t="shared" ref="C48:U48" si="15">SUM(C12,C43,C47)</f>
        <v>0</v>
      </c>
      <c r="D48" s="52">
        <f t="shared" si="15"/>
        <v>0</v>
      </c>
      <c r="E48" s="52">
        <f t="shared" si="15"/>
        <v>0</v>
      </c>
      <c r="F48" s="34">
        <f t="shared" si="15"/>
        <v>-34806.458598600002</v>
      </c>
      <c r="G48" s="52">
        <f t="shared" si="15"/>
        <v>-35941.46</v>
      </c>
      <c r="H48" s="52">
        <f t="shared" si="15"/>
        <v>-35245.75</v>
      </c>
      <c r="I48" s="52">
        <f t="shared" si="15"/>
        <v>-33233.21</v>
      </c>
      <c r="J48" s="34">
        <f t="shared" si="15"/>
        <v>26679.353203800001</v>
      </c>
      <c r="K48" s="52">
        <f t="shared" si="15"/>
        <v>28840.780000000002</v>
      </c>
      <c r="L48" s="52">
        <f t="shared" si="15"/>
        <v>25982.799999999999</v>
      </c>
      <c r="M48" s="52">
        <f t="shared" si="15"/>
        <v>25215.280000000006</v>
      </c>
      <c r="N48" s="34">
        <f t="shared" si="15"/>
        <v>-26400.242661599994</v>
      </c>
      <c r="O48" s="52">
        <f t="shared" si="15"/>
        <v>-28898.880000000001</v>
      </c>
      <c r="P48" s="52">
        <f t="shared" si="15"/>
        <v>-27947.07</v>
      </c>
      <c r="Q48" s="52">
        <f t="shared" si="15"/>
        <v>-22355.57</v>
      </c>
      <c r="R48" s="34">
        <f t="shared" si="15"/>
        <v>39312.870200699996</v>
      </c>
      <c r="S48" s="34">
        <f t="shared" si="15"/>
        <v>35999.56</v>
      </c>
      <c r="T48" s="34">
        <f t="shared" si="15"/>
        <v>37210.019999999997</v>
      </c>
      <c r="U48" s="34">
        <f t="shared" si="15"/>
        <v>44730.21</v>
      </c>
      <c r="V48" s="34">
        <f>SUM(V12,V43,V47)</f>
        <v>4785.5221443000228</v>
      </c>
      <c r="W48" s="34">
        <f t="shared" ref="W48:Y48" si="16">SUM(W12,W43,W47)</f>
        <v>0</v>
      </c>
      <c r="X48" s="34">
        <f t="shared" si="16"/>
        <v>0</v>
      </c>
      <c r="Y48" s="34">
        <f t="shared" si="16"/>
        <v>14356.710000000014</v>
      </c>
    </row>
    <row r="49" spans="1:25" ht="15" thickTop="1">
      <c r="A49" s="29"/>
      <c r="B49" s="19"/>
      <c r="C49" s="48"/>
      <c r="D49" s="48"/>
      <c r="E49" s="48"/>
      <c r="F49" s="19"/>
      <c r="G49" s="48"/>
      <c r="H49" s="48"/>
      <c r="I49" s="48"/>
      <c r="J49" s="19"/>
      <c r="K49" s="48"/>
      <c r="L49" s="48"/>
      <c r="M49" s="48"/>
      <c r="N49" s="19"/>
      <c r="O49" s="48"/>
      <c r="P49" s="48"/>
      <c r="Q49" s="48"/>
      <c r="R49" s="19"/>
      <c r="S49" s="48"/>
      <c r="T49" s="48"/>
      <c r="U49" s="48"/>
      <c r="V49" s="19"/>
      <c r="W49" s="48"/>
      <c r="X49" s="48"/>
      <c r="Y49" s="48"/>
    </row>
  </sheetData>
  <conditionalFormatting sqref="B15:C21 B23:C30 B32:C34 B36:C43 V36:W43 V32:W34 V23:W30 V15:W21 R36:S43 R32:S34 R23:S30 R15:S21 N36:O43 N32:O34 N23:O30 N15:O21 J36:K43 J32:K34 J23:K30 J15:K21 F36:G43 F32:G34 F23:G30 F15:G21">
    <cfRule type="cellIs" dxfId="116" priority="13" operator="lessThan">
      <formula>-0.01</formula>
    </cfRule>
  </conditionalFormatting>
  <conditionalFormatting sqref="Y15:Y21 Y23:Y30 Y32:Y34 Y36:Y43">
    <cfRule type="cellIs" dxfId="115" priority="12" operator="lessThan">
      <formula>-0.01</formula>
    </cfRule>
  </conditionalFormatting>
  <conditionalFormatting sqref="X15:X21 X23:X30 X32:X34 X36:X43">
    <cfRule type="cellIs" dxfId="114" priority="11" operator="lessThan">
      <formula>-0.01</formula>
    </cfRule>
  </conditionalFormatting>
  <conditionalFormatting sqref="U15:U21 U23:U30 U32:U34 U36:U43">
    <cfRule type="cellIs" dxfId="113" priority="10" operator="lessThan">
      <formula>-0.01</formula>
    </cfRule>
  </conditionalFormatting>
  <conditionalFormatting sqref="T15:T21 T23:T30 T32:T34 T36:T43">
    <cfRule type="cellIs" dxfId="112" priority="9" operator="lessThan">
      <formula>-0.01</formula>
    </cfRule>
  </conditionalFormatting>
  <conditionalFormatting sqref="Q15:Q21 Q23:Q30 Q32:Q34 Q36:Q43">
    <cfRule type="cellIs" dxfId="111" priority="8" operator="lessThan">
      <formula>-0.01</formula>
    </cfRule>
  </conditionalFormatting>
  <conditionalFormatting sqref="P15:P21 P23:P30 P32:P34 P36:P43">
    <cfRule type="cellIs" dxfId="110" priority="7" operator="lessThan">
      <formula>-0.01</formula>
    </cfRule>
  </conditionalFormatting>
  <conditionalFormatting sqref="M15:M21 M23:M30 M32:M34 M36:M43">
    <cfRule type="cellIs" dxfId="109" priority="6" operator="lessThan">
      <formula>-0.01</formula>
    </cfRule>
  </conditionalFormatting>
  <conditionalFormatting sqref="L15:L21 L23:L30 L32:L34 L36:L43">
    <cfRule type="cellIs" dxfId="108" priority="5" operator="lessThan">
      <formula>-0.01</formula>
    </cfRule>
  </conditionalFormatting>
  <conditionalFormatting sqref="I15:I21 I23:I30 I32:I34 I36:I43">
    <cfRule type="cellIs" dxfId="107" priority="4" operator="lessThan">
      <formula>-0.01</formula>
    </cfRule>
  </conditionalFormatting>
  <conditionalFormatting sqref="H15:H21 H23:H30 H32:H34 H36:H43">
    <cfRule type="cellIs" dxfId="106" priority="3" operator="lessThan">
      <formula>-0.01</formula>
    </cfRule>
  </conditionalFormatting>
  <conditionalFormatting sqref="E15:E21 E23:E30 E32:E34 E36:E43">
    <cfRule type="cellIs" dxfId="105" priority="2" operator="lessThan">
      <formula>-0.01</formula>
    </cfRule>
  </conditionalFormatting>
  <conditionalFormatting sqref="D15:D21 D23:D30 D32:D34 D36:D43">
    <cfRule type="cellIs" dxfId="104" priority="1" operator="lessThan">
      <formula>-0.01</formula>
    </cfRule>
  </conditionalFormatting>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026A5C-5B14-4C79-A37D-1F8C54D45D45}">
  <sheetPr codeName="Sheet16"/>
  <dimension ref="A1:AZ49"/>
  <sheetViews>
    <sheetView showGridLines="0" workbookViewId="0">
      <pane xSplit="1" ySplit="6" topLeftCell="B7" activePane="bottomRight" state="frozen"/>
      <selection pane="topRight" activeCell="B1" sqref="B1"/>
      <selection pane="bottomLeft" activeCell="A7" sqref="A7"/>
      <selection pane="bottomRight"/>
    </sheetView>
  </sheetViews>
  <sheetFormatPr defaultRowHeight="14.4" outlineLevelCol="1"/>
  <cols>
    <col min="1" max="1" width="32.44140625" bestFit="1" customWidth="1"/>
    <col min="2" max="2" width="16.77734375" customWidth="1"/>
    <col min="3" max="5" width="13.44140625" style="57" hidden="1" customWidth="1" outlineLevel="1"/>
    <col min="6" max="6" width="16.77734375" customWidth="1" collapsed="1"/>
    <col min="7" max="9" width="13.44140625" style="57" hidden="1" customWidth="1" outlineLevel="1"/>
    <col min="10" max="10" width="16.77734375" customWidth="1" collapsed="1"/>
    <col min="11" max="13" width="13.44140625" style="57" hidden="1" customWidth="1" outlineLevel="1"/>
    <col min="14" max="14" width="16.77734375" customWidth="1" collapsed="1"/>
    <col min="15" max="17" width="13.44140625" style="57" hidden="1" customWidth="1" outlineLevel="1"/>
    <col min="18" max="18" width="16.77734375" customWidth="1" collapsed="1"/>
    <col min="19" max="21" width="13.44140625" style="57" hidden="1" customWidth="1" outlineLevel="1"/>
    <col min="22" max="22" width="16.77734375" customWidth="1" collapsed="1"/>
    <col min="23" max="25" width="13.44140625" style="57" hidden="1" customWidth="1" outlineLevel="1"/>
    <col min="26" max="26" width="8.88671875" collapsed="1"/>
  </cols>
  <sheetData>
    <row r="1" spans="1:52" ht="15.6">
      <c r="A1" s="68" t="s">
        <v>790</v>
      </c>
      <c r="B1" s="46"/>
      <c r="C1" s="46"/>
      <c r="D1" s="46"/>
      <c r="E1" s="46"/>
      <c r="F1" s="46"/>
      <c r="G1" s="46"/>
      <c r="H1" s="46"/>
      <c r="I1" s="46"/>
      <c r="J1" s="46"/>
      <c r="K1" s="46"/>
      <c r="L1" s="46"/>
      <c r="M1" s="46"/>
      <c r="N1" s="46"/>
      <c r="O1" s="46"/>
      <c r="P1" s="46"/>
      <c r="Q1" s="46"/>
      <c r="R1" s="46"/>
      <c r="V1" s="46"/>
      <c r="W1" s="46"/>
      <c r="X1" s="46"/>
      <c r="Y1" s="46"/>
    </row>
    <row r="2" spans="1:52" ht="15.6">
      <c r="A2" s="69" t="s">
        <v>412</v>
      </c>
      <c r="B2" s="47"/>
      <c r="C2" s="47"/>
      <c r="D2" s="47"/>
      <c r="E2" s="47"/>
      <c r="F2" s="47"/>
      <c r="G2" s="47"/>
      <c r="H2" s="47"/>
      <c r="I2" s="47"/>
      <c r="J2" s="47"/>
      <c r="K2" s="47"/>
      <c r="L2" s="47"/>
      <c r="M2" s="47"/>
      <c r="N2" s="47"/>
      <c r="O2" s="47"/>
      <c r="P2" s="47"/>
      <c r="Q2" s="47"/>
      <c r="R2" s="47"/>
      <c r="V2" s="47"/>
      <c r="W2" s="47"/>
      <c r="X2" s="47"/>
      <c r="Y2" s="47"/>
    </row>
    <row r="3" spans="1:52">
      <c r="A3" s="136"/>
      <c r="B3" s="61" t="s">
        <v>589</v>
      </c>
      <c r="C3" s="50" t="s">
        <v>572</v>
      </c>
      <c r="D3" s="50" t="s">
        <v>572</v>
      </c>
      <c r="E3" s="50" t="s">
        <v>572</v>
      </c>
      <c r="F3" s="61" t="s">
        <v>573</v>
      </c>
      <c r="G3" s="50" t="s">
        <v>573</v>
      </c>
      <c r="H3" s="50" t="s">
        <v>573</v>
      </c>
      <c r="I3" s="50" t="s">
        <v>573</v>
      </c>
      <c r="J3" s="61" t="s">
        <v>575</v>
      </c>
      <c r="K3" s="50" t="s">
        <v>575</v>
      </c>
      <c r="L3" s="50" t="s">
        <v>575</v>
      </c>
      <c r="M3" s="50" t="s">
        <v>575</v>
      </c>
      <c r="N3" s="61" t="s">
        <v>576</v>
      </c>
      <c r="O3" s="50" t="s">
        <v>576</v>
      </c>
      <c r="P3" s="50" t="s">
        <v>576</v>
      </c>
      <c r="Q3" s="50" t="s">
        <v>576</v>
      </c>
      <c r="R3" s="61" t="s">
        <v>577</v>
      </c>
      <c r="S3" s="38" t="s">
        <v>577</v>
      </c>
      <c r="T3" s="38" t="s">
        <v>577</v>
      </c>
      <c r="U3" s="38" t="s">
        <v>577</v>
      </c>
      <c r="V3" s="61" t="s">
        <v>585</v>
      </c>
      <c r="W3" s="38" t="s">
        <v>585</v>
      </c>
      <c r="X3" s="38" t="s">
        <v>585</v>
      </c>
      <c r="Y3" s="38" t="s">
        <v>585</v>
      </c>
      <c r="Z3" s="136"/>
      <c r="AA3" s="136"/>
      <c r="AB3" s="136"/>
      <c r="AC3" s="136"/>
      <c r="AD3" s="136"/>
      <c r="AE3" s="136"/>
      <c r="AF3" s="136"/>
      <c r="AG3" s="136"/>
      <c r="AH3" s="136"/>
      <c r="AI3" s="136"/>
      <c r="AJ3" s="136"/>
      <c r="AK3" s="136"/>
      <c r="AL3" s="136"/>
      <c r="AM3" s="136"/>
      <c r="AN3" s="136"/>
      <c r="AO3" s="136"/>
      <c r="AP3" s="136"/>
      <c r="AQ3" s="136"/>
      <c r="AR3" s="136"/>
      <c r="AS3" s="136"/>
      <c r="AT3" s="136"/>
      <c r="AU3" s="136"/>
      <c r="AV3" s="136"/>
      <c r="AW3" s="136"/>
      <c r="AX3" s="136"/>
      <c r="AY3" s="136"/>
      <c r="AZ3" s="136"/>
    </row>
    <row r="4" spans="1:52">
      <c r="A4" s="16"/>
      <c r="B4" s="31" t="str">
        <f>_xlfn.CONCAT("FY ",rngFY+rngYRS)</f>
        <v>FY 19</v>
      </c>
      <c r="C4" s="51" t="s">
        <v>555</v>
      </c>
      <c r="D4" s="51" t="s">
        <v>555</v>
      </c>
      <c r="E4" s="51" t="s">
        <v>555</v>
      </c>
      <c r="F4" s="31" t="s">
        <v>788</v>
      </c>
      <c r="G4" s="31" t="s">
        <v>789</v>
      </c>
      <c r="H4" s="31" t="s">
        <v>789</v>
      </c>
      <c r="I4" s="31" t="s">
        <v>789</v>
      </c>
      <c r="J4" s="31" t="s">
        <v>788</v>
      </c>
      <c r="K4" s="31" t="s">
        <v>789</v>
      </c>
      <c r="L4" s="31" t="s">
        <v>789</v>
      </c>
      <c r="M4" s="31" t="s">
        <v>789</v>
      </c>
      <c r="N4" s="31" t="s">
        <v>788</v>
      </c>
      <c r="O4" s="31" t="s">
        <v>789</v>
      </c>
      <c r="P4" s="31" t="s">
        <v>789</v>
      </c>
      <c r="Q4" s="31" t="s">
        <v>789</v>
      </c>
      <c r="R4" s="31" t="s">
        <v>788</v>
      </c>
      <c r="S4" s="31" t="s">
        <v>789</v>
      </c>
      <c r="T4" s="31" t="s">
        <v>789</v>
      </c>
      <c r="U4" s="31" t="s">
        <v>789</v>
      </c>
      <c r="V4" s="31" t="s">
        <v>574</v>
      </c>
      <c r="W4" s="31" t="s">
        <v>584</v>
      </c>
      <c r="X4" s="31" t="s">
        <v>584</v>
      </c>
      <c r="Y4" s="31" t="s">
        <v>584</v>
      </c>
    </row>
    <row r="5" spans="1:52">
      <c r="A5" s="17"/>
      <c r="B5" s="31"/>
      <c r="C5" s="51" t="s">
        <v>587</v>
      </c>
      <c r="D5" s="51" t="s">
        <v>586</v>
      </c>
      <c r="E5" s="51" t="s">
        <v>590</v>
      </c>
      <c r="F5" s="31"/>
      <c r="G5" s="51" t="s">
        <v>587</v>
      </c>
      <c r="H5" s="51" t="s">
        <v>586</v>
      </c>
      <c r="I5" s="51" t="s">
        <v>590</v>
      </c>
      <c r="J5" s="31"/>
      <c r="K5" s="51" t="s">
        <v>587</v>
      </c>
      <c r="L5" s="51" t="s">
        <v>586</v>
      </c>
      <c r="M5" s="51" t="s">
        <v>590</v>
      </c>
      <c r="N5" s="31"/>
      <c r="O5" s="51" t="s">
        <v>587</v>
      </c>
      <c r="P5" s="51" t="s">
        <v>586</v>
      </c>
      <c r="Q5" s="51" t="s">
        <v>590</v>
      </c>
      <c r="R5" s="31"/>
      <c r="S5" s="31" t="s">
        <v>587</v>
      </c>
      <c r="T5" s="31" t="s">
        <v>586</v>
      </c>
      <c r="U5" s="31" t="s">
        <v>590</v>
      </c>
      <c r="V5" s="31"/>
      <c r="W5" s="31" t="s">
        <v>587</v>
      </c>
      <c r="X5" s="31" t="s">
        <v>586</v>
      </c>
      <c r="Y5" s="31" t="s">
        <v>590</v>
      </c>
    </row>
    <row r="6" spans="1:52">
      <c r="A6" s="70"/>
      <c r="B6" s="62"/>
      <c r="C6" s="53"/>
      <c r="D6" s="53"/>
      <c r="E6" s="53"/>
      <c r="F6" s="62"/>
      <c r="G6" s="53"/>
      <c r="H6" s="53"/>
      <c r="I6" s="53"/>
      <c r="J6" s="62"/>
      <c r="K6" s="53"/>
      <c r="L6" s="53"/>
      <c r="M6" s="53"/>
      <c r="N6" s="62"/>
      <c r="O6" s="53"/>
      <c r="P6" s="53"/>
      <c r="Q6" s="53"/>
      <c r="R6" s="62"/>
      <c r="S6" s="62"/>
      <c r="T6" s="62"/>
      <c r="U6" s="62"/>
      <c r="V6" s="62"/>
      <c r="W6" s="62"/>
      <c r="X6" s="62"/>
      <c r="Y6" s="62"/>
    </row>
    <row r="7" spans="1:52">
      <c r="A7" s="18" t="s">
        <v>556</v>
      </c>
      <c r="B7" s="63"/>
      <c r="C7" s="58"/>
      <c r="D7" s="58"/>
      <c r="E7" s="58"/>
      <c r="F7" s="63"/>
      <c r="G7" s="58"/>
      <c r="H7" s="58"/>
      <c r="I7" s="58"/>
      <c r="J7" s="63"/>
      <c r="K7" s="58"/>
      <c r="L7" s="58"/>
      <c r="M7" s="58"/>
      <c r="N7" s="63"/>
      <c r="O7" s="58"/>
      <c r="P7" s="58"/>
      <c r="Q7" s="58"/>
      <c r="R7" s="63"/>
      <c r="S7" s="63"/>
      <c r="T7" s="63"/>
      <c r="U7" s="63"/>
      <c r="V7" s="63"/>
      <c r="W7" s="63"/>
      <c r="X7" s="63"/>
      <c r="Y7" s="63"/>
    </row>
    <row r="8" spans="1:52">
      <c r="A8" s="40" t="s">
        <v>557</v>
      </c>
      <c r="B8" s="39">
        <v>-1063</v>
      </c>
      <c r="C8" s="54">
        <v>-1060</v>
      </c>
      <c r="D8" s="89">
        <v>-1060</v>
      </c>
      <c r="E8" s="86">
        <v>-1059</v>
      </c>
      <c r="F8" s="72">
        <v>-529.99470000000008</v>
      </c>
      <c r="G8" s="54">
        <v>-530</v>
      </c>
      <c r="H8" s="89">
        <v>-530</v>
      </c>
      <c r="I8" s="86">
        <v>-530</v>
      </c>
      <c r="J8" s="72">
        <v>0</v>
      </c>
      <c r="K8" s="54">
        <v>0</v>
      </c>
      <c r="L8" s="89">
        <v>0</v>
      </c>
      <c r="M8" s="86">
        <v>0</v>
      </c>
      <c r="N8" s="72">
        <v>-529.66137000000003</v>
      </c>
      <c r="O8" s="54">
        <v>-530</v>
      </c>
      <c r="P8" s="89">
        <v>-530</v>
      </c>
      <c r="Q8" s="86">
        <v>-529</v>
      </c>
      <c r="R8" s="72">
        <v>0</v>
      </c>
      <c r="S8" s="22">
        <v>0</v>
      </c>
      <c r="T8" s="82">
        <v>0</v>
      </c>
      <c r="U8" s="78">
        <v>0</v>
      </c>
      <c r="V8" s="39">
        <v>-1059.65607</v>
      </c>
      <c r="W8" s="22">
        <f t="shared" ref="W8:Y11" si="0">SUM(G8,K8,O8,S8)</f>
        <v>-1060</v>
      </c>
      <c r="X8" s="82">
        <f t="shared" si="0"/>
        <v>-1060</v>
      </c>
      <c r="Y8" s="78">
        <f t="shared" si="0"/>
        <v>-1059</v>
      </c>
    </row>
    <row r="9" spans="1:52">
      <c r="A9" s="41" t="s">
        <v>558</v>
      </c>
      <c r="B9" s="39">
        <v>0</v>
      </c>
      <c r="C9" s="55">
        <v>0</v>
      </c>
      <c r="D9" s="90">
        <v>0</v>
      </c>
      <c r="E9" s="87">
        <v>0</v>
      </c>
      <c r="F9" s="72">
        <v>0</v>
      </c>
      <c r="G9" s="55">
        <v>0</v>
      </c>
      <c r="H9" s="90">
        <v>0</v>
      </c>
      <c r="I9" s="87">
        <v>0</v>
      </c>
      <c r="J9" s="72">
        <v>0</v>
      </c>
      <c r="K9" s="55">
        <v>0</v>
      </c>
      <c r="L9" s="90">
        <v>0</v>
      </c>
      <c r="M9" s="87">
        <v>0</v>
      </c>
      <c r="N9" s="72">
        <v>0</v>
      </c>
      <c r="O9" s="55">
        <v>0</v>
      </c>
      <c r="P9" s="90">
        <v>0</v>
      </c>
      <c r="Q9" s="87">
        <v>0</v>
      </c>
      <c r="R9" s="72">
        <v>0</v>
      </c>
      <c r="S9" s="33">
        <v>0</v>
      </c>
      <c r="T9" s="83">
        <v>0</v>
      </c>
      <c r="U9" s="79">
        <v>0</v>
      </c>
      <c r="V9" s="39">
        <v>0</v>
      </c>
      <c r="W9" s="33">
        <f t="shared" si="0"/>
        <v>0</v>
      </c>
      <c r="X9" s="83">
        <f t="shared" si="0"/>
        <v>0</v>
      </c>
      <c r="Y9" s="79">
        <f t="shared" si="0"/>
        <v>0</v>
      </c>
    </row>
    <row r="10" spans="1:52">
      <c r="A10" s="41" t="s">
        <v>212</v>
      </c>
      <c r="B10" s="39">
        <v>0</v>
      </c>
      <c r="C10" s="55">
        <v>0</v>
      </c>
      <c r="D10" s="90">
        <v>0</v>
      </c>
      <c r="E10" s="87">
        <v>0</v>
      </c>
      <c r="F10" s="72">
        <v>0</v>
      </c>
      <c r="G10" s="55">
        <v>0</v>
      </c>
      <c r="H10" s="90">
        <v>0</v>
      </c>
      <c r="I10" s="87">
        <v>0</v>
      </c>
      <c r="J10" s="72">
        <v>0</v>
      </c>
      <c r="K10" s="55">
        <v>0</v>
      </c>
      <c r="L10" s="90">
        <v>0</v>
      </c>
      <c r="M10" s="87">
        <v>0</v>
      </c>
      <c r="N10" s="72">
        <v>0</v>
      </c>
      <c r="O10" s="55">
        <v>0</v>
      </c>
      <c r="P10" s="90">
        <v>0</v>
      </c>
      <c r="Q10" s="87">
        <v>0</v>
      </c>
      <c r="R10" s="72">
        <v>0</v>
      </c>
      <c r="S10" s="33">
        <v>0</v>
      </c>
      <c r="T10" s="83">
        <v>0</v>
      </c>
      <c r="U10" s="79">
        <v>0</v>
      </c>
      <c r="V10" s="39">
        <v>0</v>
      </c>
      <c r="W10" s="33">
        <f t="shared" si="0"/>
        <v>0</v>
      </c>
      <c r="X10" s="83">
        <f t="shared" si="0"/>
        <v>0</v>
      </c>
      <c r="Y10" s="79">
        <f t="shared" si="0"/>
        <v>0</v>
      </c>
    </row>
    <row r="11" spans="1:52">
      <c r="A11" s="42" t="s">
        <v>210</v>
      </c>
      <c r="B11" s="64">
        <v>0</v>
      </c>
      <c r="C11" s="55">
        <v>0</v>
      </c>
      <c r="D11" s="90">
        <v>0</v>
      </c>
      <c r="E11" s="87">
        <v>0</v>
      </c>
      <c r="F11" s="73">
        <v>0</v>
      </c>
      <c r="G11" s="55">
        <v>0</v>
      </c>
      <c r="H11" s="90">
        <v>0</v>
      </c>
      <c r="I11" s="87">
        <v>0</v>
      </c>
      <c r="J11" s="73">
        <v>0</v>
      </c>
      <c r="K11" s="55">
        <v>0</v>
      </c>
      <c r="L11" s="90">
        <v>0</v>
      </c>
      <c r="M11" s="87">
        <v>0</v>
      </c>
      <c r="N11" s="73">
        <v>0</v>
      </c>
      <c r="O11" s="55">
        <v>0</v>
      </c>
      <c r="P11" s="90">
        <v>0</v>
      </c>
      <c r="Q11" s="87">
        <v>0</v>
      </c>
      <c r="R11" s="73">
        <v>0</v>
      </c>
      <c r="S11" s="33">
        <v>0</v>
      </c>
      <c r="T11" s="83">
        <v>0</v>
      </c>
      <c r="U11" s="79">
        <v>0</v>
      </c>
      <c r="V11" s="64">
        <v>0</v>
      </c>
      <c r="W11" s="33">
        <f t="shared" si="0"/>
        <v>0</v>
      </c>
      <c r="X11" s="83">
        <f t="shared" si="0"/>
        <v>0</v>
      </c>
      <c r="Y11" s="79">
        <f t="shared" si="0"/>
        <v>0</v>
      </c>
    </row>
    <row r="12" spans="1:52" ht="16.2" thickBot="1">
      <c r="A12" s="43" t="s">
        <v>559</v>
      </c>
      <c r="B12" s="34">
        <f>SUM(B8:B11)</f>
        <v>-1063</v>
      </c>
      <c r="C12" s="52">
        <f t="shared" ref="C12:U12" si="1">SUM(C8:C11)</f>
        <v>-1060</v>
      </c>
      <c r="D12" s="52">
        <f t="shared" si="1"/>
        <v>-1060</v>
      </c>
      <c r="E12" s="52">
        <f t="shared" si="1"/>
        <v>-1059</v>
      </c>
      <c r="F12" s="34">
        <f t="shared" si="1"/>
        <v>-529.99470000000008</v>
      </c>
      <c r="G12" s="52">
        <f t="shared" si="1"/>
        <v>-530</v>
      </c>
      <c r="H12" s="52">
        <f t="shared" si="1"/>
        <v>-530</v>
      </c>
      <c r="I12" s="52">
        <f t="shared" si="1"/>
        <v>-530</v>
      </c>
      <c r="J12" s="34">
        <f t="shared" si="1"/>
        <v>0</v>
      </c>
      <c r="K12" s="52">
        <f t="shared" si="1"/>
        <v>0</v>
      </c>
      <c r="L12" s="52">
        <f t="shared" si="1"/>
        <v>0</v>
      </c>
      <c r="M12" s="52">
        <f t="shared" si="1"/>
        <v>0</v>
      </c>
      <c r="N12" s="34">
        <f t="shared" si="1"/>
        <v>-529.66137000000003</v>
      </c>
      <c r="O12" s="52">
        <f t="shared" si="1"/>
        <v>-530</v>
      </c>
      <c r="P12" s="52">
        <f t="shared" si="1"/>
        <v>-530</v>
      </c>
      <c r="Q12" s="52">
        <f t="shared" si="1"/>
        <v>-529</v>
      </c>
      <c r="R12" s="34">
        <f t="shared" si="1"/>
        <v>0</v>
      </c>
      <c r="S12" s="34">
        <f t="shared" si="1"/>
        <v>0</v>
      </c>
      <c r="T12" s="34">
        <f t="shared" si="1"/>
        <v>0</v>
      </c>
      <c r="U12" s="34">
        <f t="shared" si="1"/>
        <v>0</v>
      </c>
      <c r="V12" s="34">
        <f>SUM(V8:V11)</f>
        <v>-1059.65607</v>
      </c>
      <c r="W12" s="34">
        <f t="shared" ref="W12:Y12" si="2">SUM(W8:W11)</f>
        <v>-1060</v>
      </c>
      <c r="X12" s="34">
        <f t="shared" si="2"/>
        <v>-1060</v>
      </c>
      <c r="Y12" s="34">
        <f t="shared" si="2"/>
        <v>-1059</v>
      </c>
    </row>
    <row r="13" spans="1:52" ht="15" thickTop="1">
      <c r="A13" s="67"/>
      <c r="B13" s="67"/>
      <c r="C13" s="67"/>
      <c r="D13" s="67"/>
      <c r="E13" s="67"/>
      <c r="F13" s="67"/>
      <c r="G13" s="67"/>
      <c r="H13" s="67"/>
      <c r="I13" s="67"/>
      <c r="J13" s="67"/>
      <c r="K13" s="67"/>
      <c r="L13" s="67"/>
      <c r="M13" s="67"/>
      <c r="N13" s="67"/>
      <c r="O13" s="67"/>
      <c r="P13" s="67"/>
      <c r="Q13" s="67"/>
      <c r="R13" s="67"/>
      <c r="S13" s="67"/>
      <c r="T13" s="67"/>
      <c r="U13" s="67"/>
      <c r="V13" s="67"/>
      <c r="W13" s="67"/>
      <c r="X13" s="67"/>
      <c r="Y13" s="67"/>
    </row>
    <row r="14" spans="1:52">
      <c r="A14" s="18" t="s">
        <v>560</v>
      </c>
      <c r="B14" s="20"/>
      <c r="C14" s="20"/>
      <c r="D14" s="20"/>
      <c r="E14" s="20"/>
      <c r="F14" s="20"/>
      <c r="G14" s="20"/>
      <c r="H14" s="20"/>
      <c r="I14" s="20"/>
      <c r="J14" s="20"/>
      <c r="K14" s="20"/>
      <c r="L14" s="20"/>
      <c r="M14" s="20"/>
      <c r="N14" s="20"/>
      <c r="O14" s="20"/>
      <c r="P14" s="20"/>
      <c r="Q14" s="20"/>
      <c r="R14" s="20"/>
      <c r="S14" s="20"/>
      <c r="T14" s="20"/>
      <c r="U14" s="20"/>
      <c r="V14" s="20"/>
      <c r="W14" s="20"/>
      <c r="X14" s="20"/>
      <c r="Y14" s="20"/>
    </row>
    <row r="15" spans="1:52">
      <c r="A15" s="40" t="s">
        <v>188</v>
      </c>
      <c r="B15" s="65">
        <v>0</v>
      </c>
      <c r="C15" s="54">
        <v>0</v>
      </c>
      <c r="D15" s="89">
        <v>0</v>
      </c>
      <c r="E15" s="86">
        <v>0</v>
      </c>
      <c r="F15" s="72">
        <v>0</v>
      </c>
      <c r="G15" s="54">
        <v>0</v>
      </c>
      <c r="H15" s="89">
        <v>0</v>
      </c>
      <c r="I15" s="86">
        <v>0</v>
      </c>
      <c r="J15" s="72">
        <v>0</v>
      </c>
      <c r="K15" s="54">
        <v>0</v>
      </c>
      <c r="L15" s="89">
        <v>0</v>
      </c>
      <c r="M15" s="86">
        <v>0</v>
      </c>
      <c r="N15" s="72">
        <v>0</v>
      </c>
      <c r="O15" s="54">
        <v>0</v>
      </c>
      <c r="P15" s="89">
        <v>0</v>
      </c>
      <c r="Q15" s="86">
        <v>0</v>
      </c>
      <c r="R15" s="72">
        <v>0</v>
      </c>
      <c r="S15" s="32">
        <v>0</v>
      </c>
      <c r="T15" s="84">
        <v>0</v>
      </c>
      <c r="U15" s="80">
        <v>0</v>
      </c>
      <c r="V15" s="65">
        <v>0</v>
      </c>
      <c r="W15" s="32">
        <f t="shared" ref="W15:Y20" si="3">SUM(G15,K15,O15,S15)</f>
        <v>0</v>
      </c>
      <c r="X15" s="84">
        <f t="shared" si="3"/>
        <v>0</v>
      </c>
      <c r="Y15" s="80">
        <f t="shared" si="3"/>
        <v>0</v>
      </c>
    </row>
    <row r="16" spans="1:52">
      <c r="A16" s="41" t="s">
        <v>181</v>
      </c>
      <c r="B16" s="39">
        <v>0</v>
      </c>
      <c r="C16" s="54">
        <v>0</v>
      </c>
      <c r="D16" s="89">
        <v>0</v>
      </c>
      <c r="E16" s="86">
        <v>0</v>
      </c>
      <c r="F16" s="72">
        <v>0</v>
      </c>
      <c r="G16" s="54">
        <v>0</v>
      </c>
      <c r="H16" s="89">
        <v>0</v>
      </c>
      <c r="I16" s="86">
        <v>0</v>
      </c>
      <c r="J16" s="72">
        <v>0</v>
      </c>
      <c r="K16" s="54">
        <v>0</v>
      </c>
      <c r="L16" s="89">
        <v>0</v>
      </c>
      <c r="M16" s="86">
        <v>0</v>
      </c>
      <c r="N16" s="72">
        <v>0</v>
      </c>
      <c r="O16" s="54">
        <v>0</v>
      </c>
      <c r="P16" s="89">
        <v>0</v>
      </c>
      <c r="Q16" s="86">
        <v>0</v>
      </c>
      <c r="R16" s="72">
        <v>0</v>
      </c>
      <c r="S16" s="22">
        <v>0</v>
      </c>
      <c r="T16" s="82">
        <v>0</v>
      </c>
      <c r="U16" s="78">
        <v>0</v>
      </c>
      <c r="V16" s="39">
        <v>0</v>
      </c>
      <c r="W16" s="22">
        <f t="shared" si="3"/>
        <v>0</v>
      </c>
      <c r="X16" s="82">
        <f t="shared" si="3"/>
        <v>0</v>
      </c>
      <c r="Y16" s="78">
        <f t="shared" si="3"/>
        <v>0</v>
      </c>
    </row>
    <row r="17" spans="1:25">
      <c r="A17" s="92" t="s">
        <v>174</v>
      </c>
      <c r="B17" s="93">
        <v>0</v>
      </c>
      <c r="C17" s="94">
        <v>0</v>
      </c>
      <c r="D17" s="100">
        <v>0</v>
      </c>
      <c r="E17" s="99">
        <v>0</v>
      </c>
      <c r="F17" s="95">
        <v>0</v>
      </c>
      <c r="G17" s="94">
        <v>0</v>
      </c>
      <c r="H17" s="100">
        <v>0</v>
      </c>
      <c r="I17" s="99">
        <v>0</v>
      </c>
      <c r="J17" s="95">
        <v>0</v>
      </c>
      <c r="K17" s="94">
        <v>0</v>
      </c>
      <c r="L17" s="100">
        <v>0</v>
      </c>
      <c r="M17" s="99">
        <v>0</v>
      </c>
      <c r="N17" s="95">
        <v>0</v>
      </c>
      <c r="O17" s="94">
        <v>0</v>
      </c>
      <c r="P17" s="100">
        <v>0</v>
      </c>
      <c r="Q17" s="99">
        <v>0</v>
      </c>
      <c r="R17" s="95">
        <v>0</v>
      </c>
      <c r="S17" s="96">
        <v>0</v>
      </c>
      <c r="T17" s="98">
        <v>0</v>
      </c>
      <c r="U17" s="97">
        <v>0</v>
      </c>
      <c r="V17" s="93">
        <v>0</v>
      </c>
      <c r="W17" s="96">
        <f t="shared" si="3"/>
        <v>0</v>
      </c>
      <c r="X17" s="98">
        <f t="shared" si="3"/>
        <v>0</v>
      </c>
      <c r="Y17" s="97">
        <f t="shared" si="3"/>
        <v>0</v>
      </c>
    </row>
    <row r="18" spans="1:25">
      <c r="A18" s="41" t="s">
        <v>146</v>
      </c>
      <c r="B18" s="39">
        <v>0</v>
      </c>
      <c r="C18" s="54">
        <v>0</v>
      </c>
      <c r="D18" s="89">
        <v>0</v>
      </c>
      <c r="E18" s="86">
        <v>0</v>
      </c>
      <c r="F18" s="72">
        <v>0</v>
      </c>
      <c r="G18" s="54">
        <v>0</v>
      </c>
      <c r="H18" s="89">
        <v>0</v>
      </c>
      <c r="I18" s="86">
        <v>0</v>
      </c>
      <c r="J18" s="72">
        <v>0</v>
      </c>
      <c r="K18" s="54">
        <v>0</v>
      </c>
      <c r="L18" s="89">
        <v>0</v>
      </c>
      <c r="M18" s="86">
        <v>0</v>
      </c>
      <c r="N18" s="72">
        <v>0</v>
      </c>
      <c r="O18" s="54">
        <v>0</v>
      </c>
      <c r="P18" s="89">
        <v>0</v>
      </c>
      <c r="Q18" s="86">
        <v>0</v>
      </c>
      <c r="R18" s="72">
        <v>0</v>
      </c>
      <c r="S18" s="22">
        <v>0</v>
      </c>
      <c r="T18" s="82">
        <v>0</v>
      </c>
      <c r="U18" s="78">
        <v>0</v>
      </c>
      <c r="V18" s="39">
        <v>0</v>
      </c>
      <c r="W18" s="22">
        <f t="shared" si="3"/>
        <v>0</v>
      </c>
      <c r="X18" s="82">
        <f t="shared" si="3"/>
        <v>0</v>
      </c>
      <c r="Y18" s="78">
        <f t="shared" si="3"/>
        <v>0</v>
      </c>
    </row>
    <row r="19" spans="1:25">
      <c r="A19" s="41" t="s">
        <v>139</v>
      </c>
      <c r="B19" s="39">
        <v>0</v>
      </c>
      <c r="C19" s="54">
        <v>0</v>
      </c>
      <c r="D19" s="89">
        <v>0</v>
      </c>
      <c r="E19" s="86">
        <v>0</v>
      </c>
      <c r="F19" s="72">
        <v>0</v>
      </c>
      <c r="G19" s="54">
        <v>0</v>
      </c>
      <c r="H19" s="89">
        <v>0</v>
      </c>
      <c r="I19" s="86">
        <v>0</v>
      </c>
      <c r="J19" s="72">
        <v>0</v>
      </c>
      <c r="K19" s="54">
        <v>0</v>
      </c>
      <c r="L19" s="89">
        <v>0</v>
      </c>
      <c r="M19" s="86">
        <v>0</v>
      </c>
      <c r="N19" s="72">
        <v>0</v>
      </c>
      <c r="O19" s="54">
        <v>0</v>
      </c>
      <c r="P19" s="89">
        <v>0</v>
      </c>
      <c r="Q19" s="86">
        <v>0</v>
      </c>
      <c r="R19" s="72">
        <v>0</v>
      </c>
      <c r="S19" s="22">
        <v>0</v>
      </c>
      <c r="T19" s="82">
        <v>0</v>
      </c>
      <c r="U19" s="78">
        <v>0</v>
      </c>
      <c r="V19" s="39">
        <v>0</v>
      </c>
      <c r="W19" s="22">
        <f t="shared" si="3"/>
        <v>0</v>
      </c>
      <c r="X19" s="82">
        <f t="shared" si="3"/>
        <v>0</v>
      </c>
      <c r="Y19" s="78">
        <f t="shared" si="3"/>
        <v>0</v>
      </c>
    </row>
    <row r="20" spans="1:25">
      <c r="A20" s="42" t="s">
        <v>129</v>
      </c>
      <c r="B20" s="64">
        <v>0</v>
      </c>
      <c r="C20" s="59">
        <v>0</v>
      </c>
      <c r="D20" s="91">
        <v>0</v>
      </c>
      <c r="E20" s="88">
        <v>0</v>
      </c>
      <c r="F20" s="73">
        <v>0</v>
      </c>
      <c r="G20" s="59">
        <v>0</v>
      </c>
      <c r="H20" s="91">
        <v>0</v>
      </c>
      <c r="I20" s="88">
        <v>0</v>
      </c>
      <c r="J20" s="73">
        <v>0</v>
      </c>
      <c r="K20" s="59">
        <v>0</v>
      </c>
      <c r="L20" s="91">
        <v>0</v>
      </c>
      <c r="M20" s="88">
        <v>0</v>
      </c>
      <c r="N20" s="73">
        <v>0</v>
      </c>
      <c r="O20" s="59">
        <v>0</v>
      </c>
      <c r="P20" s="91">
        <v>0</v>
      </c>
      <c r="Q20" s="88">
        <v>0</v>
      </c>
      <c r="R20" s="73">
        <v>0</v>
      </c>
      <c r="S20" s="35">
        <v>0</v>
      </c>
      <c r="T20" s="85">
        <v>0</v>
      </c>
      <c r="U20" s="81">
        <v>0</v>
      </c>
      <c r="V20" s="64">
        <v>0</v>
      </c>
      <c r="W20" s="35">
        <f t="shared" si="3"/>
        <v>0</v>
      </c>
      <c r="X20" s="85">
        <f t="shared" si="3"/>
        <v>0</v>
      </c>
      <c r="Y20" s="81">
        <f t="shared" si="3"/>
        <v>0</v>
      </c>
    </row>
    <row r="21" spans="1:25">
      <c r="A21" s="23" t="s">
        <v>561</v>
      </c>
      <c r="B21" s="27">
        <f t="shared" ref="B21:Y21" si="4">SUM(B15:B20)</f>
        <v>0</v>
      </c>
      <c r="C21" s="60">
        <f t="shared" si="4"/>
        <v>0</v>
      </c>
      <c r="D21" s="60">
        <f t="shared" si="4"/>
        <v>0</v>
      </c>
      <c r="E21" s="60">
        <f t="shared" si="4"/>
        <v>0</v>
      </c>
      <c r="F21" s="27">
        <f t="shared" si="4"/>
        <v>0</v>
      </c>
      <c r="G21" s="56">
        <f t="shared" si="4"/>
        <v>0</v>
      </c>
      <c r="H21" s="56">
        <f t="shared" si="4"/>
        <v>0</v>
      </c>
      <c r="I21" s="56">
        <f t="shared" si="4"/>
        <v>0</v>
      </c>
      <c r="J21" s="27">
        <f t="shared" si="4"/>
        <v>0</v>
      </c>
      <c r="K21" s="60">
        <f t="shared" si="4"/>
        <v>0</v>
      </c>
      <c r="L21" s="60">
        <f t="shared" si="4"/>
        <v>0</v>
      </c>
      <c r="M21" s="60">
        <f t="shared" si="4"/>
        <v>0</v>
      </c>
      <c r="N21" s="27">
        <f t="shared" si="4"/>
        <v>0</v>
      </c>
      <c r="O21" s="60">
        <f t="shared" si="4"/>
        <v>0</v>
      </c>
      <c r="P21" s="60">
        <f t="shared" si="4"/>
        <v>0</v>
      </c>
      <c r="Q21" s="60">
        <f t="shared" si="4"/>
        <v>0</v>
      </c>
      <c r="R21" s="27">
        <f t="shared" si="4"/>
        <v>0</v>
      </c>
      <c r="S21" s="36">
        <f t="shared" si="4"/>
        <v>0</v>
      </c>
      <c r="T21" s="36">
        <f t="shared" si="4"/>
        <v>0</v>
      </c>
      <c r="U21" s="36">
        <f t="shared" si="4"/>
        <v>0</v>
      </c>
      <c r="V21" s="27">
        <f t="shared" si="4"/>
        <v>0</v>
      </c>
      <c r="W21" s="36">
        <f t="shared" si="4"/>
        <v>0</v>
      </c>
      <c r="X21" s="36">
        <f t="shared" si="4"/>
        <v>0</v>
      </c>
      <c r="Y21" s="36">
        <f t="shared" si="4"/>
        <v>0</v>
      </c>
    </row>
    <row r="22" spans="1:25">
      <c r="A22" s="24" t="s">
        <v>562</v>
      </c>
      <c r="B22" s="25"/>
      <c r="C22" s="25"/>
      <c r="D22" s="25"/>
      <c r="E22" s="25"/>
      <c r="F22" s="25"/>
      <c r="G22" s="25"/>
      <c r="H22" s="25"/>
      <c r="I22" s="25"/>
      <c r="J22" s="25"/>
      <c r="K22" s="25"/>
      <c r="L22" s="25"/>
      <c r="M22" s="25"/>
      <c r="N22" s="25"/>
      <c r="O22" s="25"/>
      <c r="P22" s="25"/>
      <c r="Q22" s="25"/>
      <c r="R22" s="25"/>
      <c r="S22" s="25"/>
      <c r="T22" s="25"/>
      <c r="U22" s="25"/>
      <c r="V22" s="25"/>
      <c r="W22" s="25"/>
      <c r="X22" s="25"/>
      <c r="Y22" s="25"/>
    </row>
    <row r="23" spans="1:25">
      <c r="A23" s="40" t="s">
        <v>127</v>
      </c>
      <c r="B23" s="65">
        <v>995</v>
      </c>
      <c r="C23" s="54">
        <v>995</v>
      </c>
      <c r="D23" s="89">
        <v>995</v>
      </c>
      <c r="E23" s="86">
        <v>995</v>
      </c>
      <c r="F23" s="72">
        <v>0</v>
      </c>
      <c r="G23" s="54">
        <v>0</v>
      </c>
      <c r="H23" s="89">
        <v>0</v>
      </c>
      <c r="I23" s="86">
        <v>0</v>
      </c>
      <c r="J23" s="72">
        <v>0</v>
      </c>
      <c r="K23" s="54">
        <v>0</v>
      </c>
      <c r="L23" s="89">
        <v>0</v>
      </c>
      <c r="M23" s="86">
        <v>0</v>
      </c>
      <c r="N23" s="72">
        <v>0</v>
      </c>
      <c r="O23" s="54">
        <v>0</v>
      </c>
      <c r="P23" s="89">
        <v>0</v>
      </c>
      <c r="Q23" s="86">
        <v>0</v>
      </c>
      <c r="R23" s="72">
        <v>0</v>
      </c>
      <c r="S23" s="32">
        <v>0</v>
      </c>
      <c r="T23" s="84">
        <v>0</v>
      </c>
      <c r="U23" s="80">
        <v>0</v>
      </c>
      <c r="V23" s="65">
        <v>0</v>
      </c>
      <c r="W23" s="32">
        <f t="shared" ref="W23:Y29" si="5">SUM(G23,K23,O23,S23)</f>
        <v>0</v>
      </c>
      <c r="X23" s="84">
        <f t="shared" si="5"/>
        <v>0</v>
      </c>
      <c r="Y23" s="80">
        <f t="shared" si="5"/>
        <v>0</v>
      </c>
    </row>
    <row r="24" spans="1:25">
      <c r="A24" s="41" t="s">
        <v>120</v>
      </c>
      <c r="B24" s="39">
        <v>0</v>
      </c>
      <c r="C24" s="54">
        <v>0</v>
      </c>
      <c r="D24" s="89">
        <v>0</v>
      </c>
      <c r="E24" s="86">
        <v>0</v>
      </c>
      <c r="F24" s="72">
        <v>0</v>
      </c>
      <c r="G24" s="54">
        <v>0</v>
      </c>
      <c r="H24" s="89">
        <v>0</v>
      </c>
      <c r="I24" s="86">
        <v>0</v>
      </c>
      <c r="J24" s="72">
        <v>0</v>
      </c>
      <c r="K24" s="54">
        <v>0</v>
      </c>
      <c r="L24" s="89">
        <v>0</v>
      </c>
      <c r="M24" s="86">
        <v>0</v>
      </c>
      <c r="N24" s="72">
        <v>0</v>
      </c>
      <c r="O24" s="54">
        <v>0</v>
      </c>
      <c r="P24" s="89">
        <v>0</v>
      </c>
      <c r="Q24" s="86">
        <v>0</v>
      </c>
      <c r="R24" s="72">
        <v>0</v>
      </c>
      <c r="S24" s="22">
        <v>0</v>
      </c>
      <c r="T24" s="82">
        <v>0</v>
      </c>
      <c r="U24" s="78">
        <v>0</v>
      </c>
      <c r="V24" s="39">
        <v>0</v>
      </c>
      <c r="W24" s="22">
        <f t="shared" si="5"/>
        <v>0</v>
      </c>
      <c r="X24" s="82">
        <f t="shared" si="5"/>
        <v>0</v>
      </c>
      <c r="Y24" s="78">
        <f t="shared" si="5"/>
        <v>0</v>
      </c>
    </row>
    <row r="25" spans="1:25">
      <c r="A25" s="41" t="s">
        <v>107</v>
      </c>
      <c r="B25" s="39">
        <v>0</v>
      </c>
      <c r="C25" s="54">
        <v>0</v>
      </c>
      <c r="D25" s="89">
        <v>0</v>
      </c>
      <c r="E25" s="86">
        <v>0</v>
      </c>
      <c r="F25" s="72">
        <v>0</v>
      </c>
      <c r="G25" s="54">
        <v>0</v>
      </c>
      <c r="H25" s="89">
        <v>0</v>
      </c>
      <c r="I25" s="86">
        <v>0</v>
      </c>
      <c r="J25" s="72">
        <v>0</v>
      </c>
      <c r="K25" s="54">
        <v>0</v>
      </c>
      <c r="L25" s="89">
        <v>0</v>
      </c>
      <c r="M25" s="86">
        <v>0</v>
      </c>
      <c r="N25" s="72">
        <v>0</v>
      </c>
      <c r="O25" s="54">
        <v>0</v>
      </c>
      <c r="P25" s="89">
        <v>0</v>
      </c>
      <c r="Q25" s="86">
        <v>0</v>
      </c>
      <c r="R25" s="72">
        <v>0</v>
      </c>
      <c r="S25" s="22">
        <v>0</v>
      </c>
      <c r="T25" s="82">
        <v>0</v>
      </c>
      <c r="U25" s="78">
        <v>0</v>
      </c>
      <c r="V25" s="39">
        <v>0</v>
      </c>
      <c r="W25" s="22">
        <f t="shared" si="5"/>
        <v>0</v>
      </c>
      <c r="X25" s="82">
        <f t="shared" si="5"/>
        <v>0</v>
      </c>
      <c r="Y25" s="78">
        <f t="shared" si="5"/>
        <v>0</v>
      </c>
    </row>
    <row r="26" spans="1:25">
      <c r="A26" s="41" t="s">
        <v>104</v>
      </c>
      <c r="B26" s="39">
        <v>0</v>
      </c>
      <c r="C26" s="54">
        <v>0</v>
      </c>
      <c r="D26" s="89">
        <v>0</v>
      </c>
      <c r="E26" s="86">
        <v>0</v>
      </c>
      <c r="F26" s="72">
        <v>0</v>
      </c>
      <c r="G26" s="54">
        <v>0</v>
      </c>
      <c r="H26" s="89">
        <v>0</v>
      </c>
      <c r="I26" s="86">
        <v>0</v>
      </c>
      <c r="J26" s="72">
        <v>0</v>
      </c>
      <c r="K26" s="54">
        <v>0</v>
      </c>
      <c r="L26" s="89">
        <v>0</v>
      </c>
      <c r="M26" s="86">
        <v>0</v>
      </c>
      <c r="N26" s="72">
        <v>0</v>
      </c>
      <c r="O26" s="54">
        <v>0</v>
      </c>
      <c r="P26" s="89">
        <v>0</v>
      </c>
      <c r="Q26" s="86">
        <v>0</v>
      </c>
      <c r="R26" s="72">
        <v>132.8186718</v>
      </c>
      <c r="S26" s="22">
        <v>398.46</v>
      </c>
      <c r="T26" s="82">
        <v>0</v>
      </c>
      <c r="U26" s="78">
        <v>0</v>
      </c>
      <c r="V26" s="39">
        <v>132.8186718</v>
      </c>
      <c r="W26" s="22">
        <f t="shared" si="5"/>
        <v>398.46</v>
      </c>
      <c r="X26" s="82">
        <f t="shared" si="5"/>
        <v>0</v>
      </c>
      <c r="Y26" s="78">
        <f t="shared" si="5"/>
        <v>0</v>
      </c>
    </row>
    <row r="27" spans="1:25">
      <c r="A27" s="41" t="s">
        <v>102</v>
      </c>
      <c r="B27" s="39">
        <v>0</v>
      </c>
      <c r="C27" s="54">
        <v>0</v>
      </c>
      <c r="D27" s="89">
        <v>0</v>
      </c>
      <c r="E27" s="86">
        <v>0</v>
      </c>
      <c r="F27" s="72">
        <v>0</v>
      </c>
      <c r="G27" s="54">
        <v>0</v>
      </c>
      <c r="H27" s="89">
        <v>0</v>
      </c>
      <c r="I27" s="86">
        <v>0</v>
      </c>
      <c r="J27" s="72">
        <v>0</v>
      </c>
      <c r="K27" s="54">
        <v>0</v>
      </c>
      <c r="L27" s="89">
        <v>0</v>
      </c>
      <c r="M27" s="86">
        <v>0</v>
      </c>
      <c r="N27" s="72">
        <v>0</v>
      </c>
      <c r="O27" s="54">
        <v>0</v>
      </c>
      <c r="P27" s="89">
        <v>0</v>
      </c>
      <c r="Q27" s="86">
        <v>0</v>
      </c>
      <c r="R27" s="72">
        <v>0</v>
      </c>
      <c r="S27" s="22">
        <v>0</v>
      </c>
      <c r="T27" s="82">
        <v>0</v>
      </c>
      <c r="U27" s="78">
        <v>0</v>
      </c>
      <c r="V27" s="39">
        <v>0</v>
      </c>
      <c r="W27" s="22">
        <f t="shared" si="5"/>
        <v>0</v>
      </c>
      <c r="X27" s="82">
        <f t="shared" si="5"/>
        <v>0</v>
      </c>
      <c r="Y27" s="78">
        <f t="shared" si="5"/>
        <v>0</v>
      </c>
    </row>
    <row r="28" spans="1:25">
      <c r="A28" s="41" t="s">
        <v>98</v>
      </c>
      <c r="B28" s="39">
        <v>0</v>
      </c>
      <c r="C28" s="54">
        <v>0</v>
      </c>
      <c r="D28" s="89">
        <v>0</v>
      </c>
      <c r="E28" s="86">
        <v>0</v>
      </c>
      <c r="F28" s="72">
        <v>0</v>
      </c>
      <c r="G28" s="54">
        <v>0</v>
      </c>
      <c r="H28" s="89">
        <v>0</v>
      </c>
      <c r="I28" s="86">
        <v>0</v>
      </c>
      <c r="J28" s="72">
        <v>0</v>
      </c>
      <c r="K28" s="54">
        <v>0</v>
      </c>
      <c r="L28" s="89">
        <v>0</v>
      </c>
      <c r="M28" s="86">
        <v>0</v>
      </c>
      <c r="N28" s="72">
        <v>0</v>
      </c>
      <c r="O28" s="54">
        <v>0</v>
      </c>
      <c r="P28" s="89">
        <v>0</v>
      </c>
      <c r="Q28" s="86">
        <v>0</v>
      </c>
      <c r="R28" s="72">
        <v>0</v>
      </c>
      <c r="S28" s="22">
        <v>0</v>
      </c>
      <c r="T28" s="82">
        <v>0</v>
      </c>
      <c r="U28" s="78">
        <v>0</v>
      </c>
      <c r="V28" s="39">
        <v>0</v>
      </c>
      <c r="W28" s="22">
        <f t="shared" si="5"/>
        <v>0</v>
      </c>
      <c r="X28" s="82">
        <f t="shared" si="5"/>
        <v>0</v>
      </c>
      <c r="Y28" s="78">
        <f t="shared" si="5"/>
        <v>0</v>
      </c>
    </row>
    <row r="29" spans="1:25">
      <c r="A29" s="42" t="s">
        <v>84</v>
      </c>
      <c r="B29" s="64">
        <v>0</v>
      </c>
      <c r="C29" s="59">
        <v>0</v>
      </c>
      <c r="D29" s="91">
        <v>0</v>
      </c>
      <c r="E29" s="88">
        <v>0</v>
      </c>
      <c r="F29" s="73">
        <v>0</v>
      </c>
      <c r="G29" s="59">
        <v>0</v>
      </c>
      <c r="H29" s="91">
        <v>0</v>
      </c>
      <c r="I29" s="88">
        <v>0</v>
      </c>
      <c r="J29" s="73">
        <v>0</v>
      </c>
      <c r="K29" s="59">
        <v>0</v>
      </c>
      <c r="L29" s="91">
        <v>0</v>
      </c>
      <c r="M29" s="88">
        <v>0</v>
      </c>
      <c r="N29" s="73">
        <v>0</v>
      </c>
      <c r="O29" s="59">
        <v>0</v>
      </c>
      <c r="P29" s="91">
        <v>0</v>
      </c>
      <c r="Q29" s="88">
        <v>0</v>
      </c>
      <c r="R29" s="73">
        <v>0</v>
      </c>
      <c r="S29" s="35">
        <v>0</v>
      </c>
      <c r="T29" s="85">
        <v>0</v>
      </c>
      <c r="U29" s="81">
        <v>0</v>
      </c>
      <c r="V29" s="64">
        <v>0</v>
      </c>
      <c r="W29" s="35">
        <f t="shared" si="5"/>
        <v>0</v>
      </c>
      <c r="X29" s="85">
        <f t="shared" si="5"/>
        <v>0</v>
      </c>
      <c r="Y29" s="81">
        <f t="shared" si="5"/>
        <v>0</v>
      </c>
    </row>
    <row r="30" spans="1:25">
      <c r="A30" s="23" t="s">
        <v>563</v>
      </c>
      <c r="B30" s="27">
        <f t="shared" ref="B30:Y30" si="6">SUM(B23:B29)</f>
        <v>995</v>
      </c>
      <c r="C30" s="60">
        <f t="shared" si="6"/>
        <v>995</v>
      </c>
      <c r="D30" s="60">
        <f t="shared" si="6"/>
        <v>995</v>
      </c>
      <c r="E30" s="60">
        <f t="shared" si="6"/>
        <v>995</v>
      </c>
      <c r="F30" s="27">
        <f t="shared" si="6"/>
        <v>0</v>
      </c>
      <c r="G30" s="60">
        <f t="shared" si="6"/>
        <v>0</v>
      </c>
      <c r="H30" s="60">
        <f t="shared" si="6"/>
        <v>0</v>
      </c>
      <c r="I30" s="60">
        <f t="shared" si="6"/>
        <v>0</v>
      </c>
      <c r="J30" s="27">
        <f t="shared" si="6"/>
        <v>0</v>
      </c>
      <c r="K30" s="60">
        <f t="shared" si="6"/>
        <v>0</v>
      </c>
      <c r="L30" s="60">
        <f t="shared" si="6"/>
        <v>0</v>
      </c>
      <c r="M30" s="60">
        <f t="shared" si="6"/>
        <v>0</v>
      </c>
      <c r="N30" s="27">
        <f t="shared" si="6"/>
        <v>0</v>
      </c>
      <c r="O30" s="60">
        <f t="shared" si="6"/>
        <v>0</v>
      </c>
      <c r="P30" s="60">
        <f t="shared" si="6"/>
        <v>0</v>
      </c>
      <c r="Q30" s="60">
        <f t="shared" si="6"/>
        <v>0</v>
      </c>
      <c r="R30" s="27">
        <f t="shared" si="6"/>
        <v>132.8186718</v>
      </c>
      <c r="S30" s="36">
        <f t="shared" si="6"/>
        <v>398.46</v>
      </c>
      <c r="T30" s="36">
        <f t="shared" si="6"/>
        <v>0</v>
      </c>
      <c r="U30" s="36">
        <f t="shared" si="6"/>
        <v>0</v>
      </c>
      <c r="V30" s="27">
        <f t="shared" si="6"/>
        <v>132.8186718</v>
      </c>
      <c r="W30" s="36">
        <f t="shared" si="6"/>
        <v>398.46</v>
      </c>
      <c r="X30" s="36">
        <f t="shared" si="6"/>
        <v>0</v>
      </c>
      <c r="Y30" s="36">
        <f t="shared" si="6"/>
        <v>0</v>
      </c>
    </row>
    <row r="31" spans="1:25">
      <c r="A31" s="24" t="s">
        <v>429</v>
      </c>
      <c r="B31" s="21"/>
      <c r="C31" s="26"/>
      <c r="D31" s="26"/>
      <c r="E31" s="26"/>
      <c r="F31" s="26"/>
      <c r="G31" s="26"/>
      <c r="H31" s="26"/>
      <c r="I31" s="26"/>
      <c r="J31" s="26"/>
      <c r="K31" s="26"/>
      <c r="L31" s="26"/>
      <c r="M31" s="26"/>
      <c r="N31" s="26"/>
      <c r="O31" s="26"/>
      <c r="P31" s="26"/>
      <c r="Q31" s="26"/>
      <c r="R31" s="26"/>
      <c r="S31" s="26"/>
      <c r="T31" s="26"/>
      <c r="U31" s="26"/>
      <c r="V31" s="21"/>
      <c r="W31" s="26"/>
      <c r="X31" s="26"/>
      <c r="Y31" s="26"/>
    </row>
    <row r="32" spans="1:25">
      <c r="A32" s="40" t="s">
        <v>81</v>
      </c>
      <c r="B32" s="65">
        <v>0</v>
      </c>
      <c r="C32" s="54">
        <v>0</v>
      </c>
      <c r="D32" s="89">
        <v>0</v>
      </c>
      <c r="E32" s="86">
        <v>0</v>
      </c>
      <c r="F32" s="72">
        <v>0</v>
      </c>
      <c r="G32" s="54">
        <v>0</v>
      </c>
      <c r="H32" s="89">
        <v>0</v>
      </c>
      <c r="I32" s="86">
        <v>0</v>
      </c>
      <c r="J32" s="72">
        <v>0</v>
      </c>
      <c r="K32" s="54">
        <v>0</v>
      </c>
      <c r="L32" s="89">
        <v>0</v>
      </c>
      <c r="M32" s="86">
        <v>0</v>
      </c>
      <c r="N32" s="72">
        <v>0</v>
      </c>
      <c r="O32" s="54">
        <v>0</v>
      </c>
      <c r="P32" s="89">
        <v>0</v>
      </c>
      <c r="Q32" s="86">
        <v>0</v>
      </c>
      <c r="R32" s="72">
        <v>0</v>
      </c>
      <c r="S32" s="32">
        <v>0</v>
      </c>
      <c r="T32" s="84">
        <v>0</v>
      </c>
      <c r="U32" s="80">
        <v>0</v>
      </c>
      <c r="V32" s="65">
        <v>0</v>
      </c>
      <c r="W32" s="32">
        <f t="shared" ref="W32:Y33" si="7">SUM(G32,K32,O32,S32)</f>
        <v>0</v>
      </c>
      <c r="X32" s="84">
        <f t="shared" si="7"/>
        <v>0</v>
      </c>
      <c r="Y32" s="80">
        <f t="shared" si="7"/>
        <v>0</v>
      </c>
    </row>
    <row r="33" spans="1:25">
      <c r="A33" s="42" t="s">
        <v>79</v>
      </c>
      <c r="B33" s="64">
        <v>0</v>
      </c>
      <c r="C33" s="59">
        <v>0</v>
      </c>
      <c r="D33" s="91">
        <v>0</v>
      </c>
      <c r="E33" s="88">
        <v>0</v>
      </c>
      <c r="F33" s="73">
        <v>0</v>
      </c>
      <c r="G33" s="59">
        <v>0</v>
      </c>
      <c r="H33" s="91">
        <v>0</v>
      </c>
      <c r="I33" s="88">
        <v>0</v>
      </c>
      <c r="J33" s="73">
        <v>0</v>
      </c>
      <c r="K33" s="59">
        <v>0</v>
      </c>
      <c r="L33" s="91">
        <v>0</v>
      </c>
      <c r="M33" s="88">
        <v>0</v>
      </c>
      <c r="N33" s="73">
        <v>0</v>
      </c>
      <c r="O33" s="59">
        <v>0</v>
      </c>
      <c r="P33" s="91">
        <v>0</v>
      </c>
      <c r="Q33" s="88">
        <v>0</v>
      </c>
      <c r="R33" s="73">
        <v>0</v>
      </c>
      <c r="S33" s="35">
        <v>0</v>
      </c>
      <c r="T33" s="85">
        <v>0</v>
      </c>
      <c r="U33" s="81">
        <v>0</v>
      </c>
      <c r="V33" s="64">
        <v>0</v>
      </c>
      <c r="W33" s="35">
        <f t="shared" si="7"/>
        <v>0</v>
      </c>
      <c r="X33" s="85">
        <f t="shared" si="7"/>
        <v>0</v>
      </c>
      <c r="Y33" s="81">
        <f t="shared" si="7"/>
        <v>0</v>
      </c>
    </row>
    <row r="34" spans="1:25">
      <c r="A34" s="23" t="s">
        <v>564</v>
      </c>
      <c r="B34" s="27">
        <f t="shared" ref="B34:Y34" si="8">SUM(B32:B33)</f>
        <v>0</v>
      </c>
      <c r="C34" s="60">
        <f t="shared" si="8"/>
        <v>0</v>
      </c>
      <c r="D34" s="60">
        <f t="shared" si="8"/>
        <v>0</v>
      </c>
      <c r="E34" s="60">
        <f t="shared" si="8"/>
        <v>0</v>
      </c>
      <c r="F34" s="27">
        <f t="shared" si="8"/>
        <v>0</v>
      </c>
      <c r="G34" s="60">
        <f t="shared" si="8"/>
        <v>0</v>
      </c>
      <c r="H34" s="60">
        <f t="shared" si="8"/>
        <v>0</v>
      </c>
      <c r="I34" s="60">
        <f t="shared" si="8"/>
        <v>0</v>
      </c>
      <c r="J34" s="27">
        <f t="shared" si="8"/>
        <v>0</v>
      </c>
      <c r="K34" s="60">
        <f t="shared" si="8"/>
        <v>0</v>
      </c>
      <c r="L34" s="60">
        <f t="shared" si="8"/>
        <v>0</v>
      </c>
      <c r="M34" s="60">
        <f t="shared" si="8"/>
        <v>0</v>
      </c>
      <c r="N34" s="27">
        <f t="shared" si="8"/>
        <v>0</v>
      </c>
      <c r="O34" s="60">
        <f t="shared" si="8"/>
        <v>0</v>
      </c>
      <c r="P34" s="60">
        <f t="shared" si="8"/>
        <v>0</v>
      </c>
      <c r="Q34" s="60">
        <f t="shared" si="8"/>
        <v>0</v>
      </c>
      <c r="R34" s="27">
        <f t="shared" si="8"/>
        <v>0</v>
      </c>
      <c r="S34" s="36">
        <f t="shared" si="8"/>
        <v>0</v>
      </c>
      <c r="T34" s="36">
        <f t="shared" si="8"/>
        <v>0</v>
      </c>
      <c r="U34" s="36">
        <f t="shared" si="8"/>
        <v>0</v>
      </c>
      <c r="V34" s="27">
        <f t="shared" si="8"/>
        <v>0</v>
      </c>
      <c r="W34" s="36">
        <f t="shared" si="8"/>
        <v>0</v>
      </c>
      <c r="X34" s="36">
        <f t="shared" si="8"/>
        <v>0</v>
      </c>
      <c r="Y34" s="36">
        <f t="shared" si="8"/>
        <v>0</v>
      </c>
    </row>
    <row r="35" spans="1:25">
      <c r="A35" s="24" t="s">
        <v>565</v>
      </c>
      <c r="B35" s="26"/>
      <c r="C35" s="26"/>
      <c r="D35" s="26"/>
      <c r="E35" s="26"/>
      <c r="F35" s="26"/>
      <c r="G35" s="26"/>
      <c r="H35" s="26"/>
      <c r="I35" s="26"/>
      <c r="J35" s="26"/>
      <c r="K35" s="26"/>
      <c r="L35" s="26"/>
      <c r="M35" s="26"/>
      <c r="N35" s="26"/>
      <c r="O35" s="26"/>
      <c r="P35" s="26"/>
      <c r="Q35" s="26"/>
      <c r="R35" s="26"/>
      <c r="S35" s="26"/>
      <c r="T35" s="26"/>
      <c r="U35" s="26"/>
      <c r="V35" s="26"/>
      <c r="W35" s="26"/>
      <c r="X35" s="26"/>
      <c r="Y35" s="26"/>
    </row>
    <row r="36" spans="1:25">
      <c r="A36" s="40" t="s">
        <v>77</v>
      </c>
      <c r="B36" s="65">
        <v>0</v>
      </c>
      <c r="C36" s="54">
        <v>0</v>
      </c>
      <c r="D36" s="89">
        <v>0</v>
      </c>
      <c r="E36" s="86">
        <v>0</v>
      </c>
      <c r="F36" s="72">
        <v>0</v>
      </c>
      <c r="G36" s="54">
        <v>0</v>
      </c>
      <c r="H36" s="89">
        <v>0</v>
      </c>
      <c r="I36" s="86">
        <v>0</v>
      </c>
      <c r="J36" s="72">
        <v>0</v>
      </c>
      <c r="K36" s="54">
        <v>0</v>
      </c>
      <c r="L36" s="89">
        <v>0</v>
      </c>
      <c r="M36" s="86">
        <v>0</v>
      </c>
      <c r="N36" s="72">
        <v>0</v>
      </c>
      <c r="O36" s="54">
        <v>0</v>
      </c>
      <c r="P36" s="89">
        <v>0</v>
      </c>
      <c r="Q36" s="86">
        <v>0</v>
      </c>
      <c r="R36" s="72">
        <v>0</v>
      </c>
      <c r="S36" s="32">
        <v>0</v>
      </c>
      <c r="T36" s="84">
        <v>0</v>
      </c>
      <c r="U36" s="80">
        <v>0</v>
      </c>
      <c r="V36" s="65">
        <v>0</v>
      </c>
      <c r="W36" s="32">
        <f t="shared" ref="W36:Y41" si="9">SUM(G36,K36,O36,S36)</f>
        <v>0</v>
      </c>
      <c r="X36" s="84">
        <f t="shared" si="9"/>
        <v>0</v>
      </c>
      <c r="Y36" s="80">
        <f t="shared" si="9"/>
        <v>0</v>
      </c>
    </row>
    <row r="37" spans="1:25">
      <c r="A37" s="41" t="s">
        <v>59</v>
      </c>
      <c r="B37" s="39">
        <v>0</v>
      </c>
      <c r="C37" s="54">
        <v>0</v>
      </c>
      <c r="D37" s="89">
        <v>0</v>
      </c>
      <c r="E37" s="86">
        <v>0</v>
      </c>
      <c r="F37" s="72">
        <v>0</v>
      </c>
      <c r="G37" s="54">
        <v>0</v>
      </c>
      <c r="H37" s="89">
        <v>0</v>
      </c>
      <c r="I37" s="86">
        <v>0</v>
      </c>
      <c r="J37" s="72">
        <v>0</v>
      </c>
      <c r="K37" s="54">
        <v>0</v>
      </c>
      <c r="L37" s="89">
        <v>0</v>
      </c>
      <c r="M37" s="86">
        <v>0</v>
      </c>
      <c r="N37" s="72">
        <v>0</v>
      </c>
      <c r="O37" s="54">
        <v>0</v>
      </c>
      <c r="P37" s="89">
        <v>0</v>
      </c>
      <c r="Q37" s="86">
        <v>0</v>
      </c>
      <c r="R37" s="72">
        <v>0</v>
      </c>
      <c r="S37" s="22">
        <v>0</v>
      </c>
      <c r="T37" s="82">
        <v>0</v>
      </c>
      <c r="U37" s="78">
        <v>0</v>
      </c>
      <c r="V37" s="39">
        <v>0</v>
      </c>
      <c r="W37" s="22">
        <f t="shared" si="9"/>
        <v>0</v>
      </c>
      <c r="X37" s="82">
        <f t="shared" si="9"/>
        <v>0</v>
      </c>
      <c r="Y37" s="78">
        <f t="shared" si="9"/>
        <v>0</v>
      </c>
    </row>
    <row r="38" spans="1:25">
      <c r="A38" s="41" t="s">
        <v>39</v>
      </c>
      <c r="B38" s="39">
        <v>0</v>
      </c>
      <c r="C38" s="54">
        <v>0</v>
      </c>
      <c r="D38" s="89">
        <v>0</v>
      </c>
      <c r="E38" s="86">
        <v>0</v>
      </c>
      <c r="F38" s="72">
        <v>0</v>
      </c>
      <c r="G38" s="54">
        <v>0</v>
      </c>
      <c r="H38" s="89">
        <v>0</v>
      </c>
      <c r="I38" s="86">
        <v>0</v>
      </c>
      <c r="J38" s="72">
        <v>0</v>
      </c>
      <c r="K38" s="54">
        <v>0</v>
      </c>
      <c r="L38" s="89">
        <v>0</v>
      </c>
      <c r="M38" s="86">
        <v>0</v>
      </c>
      <c r="N38" s="72">
        <v>0</v>
      </c>
      <c r="O38" s="54">
        <v>0</v>
      </c>
      <c r="P38" s="89">
        <v>0</v>
      </c>
      <c r="Q38" s="86">
        <v>0</v>
      </c>
      <c r="R38" s="72">
        <v>0</v>
      </c>
      <c r="S38" s="22">
        <v>0</v>
      </c>
      <c r="T38" s="82">
        <v>0</v>
      </c>
      <c r="U38" s="78">
        <v>0</v>
      </c>
      <c r="V38" s="39">
        <v>0</v>
      </c>
      <c r="W38" s="22">
        <f t="shared" si="9"/>
        <v>0</v>
      </c>
      <c r="X38" s="82">
        <f t="shared" si="9"/>
        <v>0</v>
      </c>
      <c r="Y38" s="78">
        <f t="shared" si="9"/>
        <v>0</v>
      </c>
    </row>
    <row r="39" spans="1:25">
      <c r="A39" s="92" t="s">
        <v>31</v>
      </c>
      <c r="B39" s="93">
        <v>0</v>
      </c>
      <c r="C39" s="94">
        <v>0</v>
      </c>
      <c r="D39" s="100">
        <v>0</v>
      </c>
      <c r="E39" s="99">
        <v>0</v>
      </c>
      <c r="F39" s="95">
        <v>0</v>
      </c>
      <c r="G39" s="94">
        <v>0</v>
      </c>
      <c r="H39" s="100">
        <v>0</v>
      </c>
      <c r="I39" s="99">
        <v>0</v>
      </c>
      <c r="J39" s="95">
        <v>0</v>
      </c>
      <c r="K39" s="94">
        <v>0</v>
      </c>
      <c r="L39" s="100">
        <v>0</v>
      </c>
      <c r="M39" s="99">
        <v>0</v>
      </c>
      <c r="N39" s="95">
        <v>0</v>
      </c>
      <c r="O39" s="94">
        <v>0</v>
      </c>
      <c r="P39" s="100">
        <v>0</v>
      </c>
      <c r="Q39" s="99">
        <v>0</v>
      </c>
      <c r="R39" s="95">
        <v>0</v>
      </c>
      <c r="S39" s="96">
        <v>0</v>
      </c>
      <c r="T39" s="98">
        <v>0</v>
      </c>
      <c r="U39" s="97">
        <v>0</v>
      </c>
      <c r="V39" s="93">
        <v>0</v>
      </c>
      <c r="W39" s="96">
        <f t="shared" si="9"/>
        <v>0</v>
      </c>
      <c r="X39" s="98">
        <f t="shared" si="9"/>
        <v>0</v>
      </c>
      <c r="Y39" s="97">
        <f t="shared" si="9"/>
        <v>0</v>
      </c>
    </row>
    <row r="40" spans="1:25">
      <c r="A40" s="41" t="s">
        <v>27</v>
      </c>
      <c r="B40" s="39">
        <v>63</v>
      </c>
      <c r="C40" s="54">
        <v>60</v>
      </c>
      <c r="D40" s="89">
        <v>60</v>
      </c>
      <c r="E40" s="86">
        <v>57</v>
      </c>
      <c r="F40" s="72">
        <v>0</v>
      </c>
      <c r="G40" s="54">
        <v>0</v>
      </c>
      <c r="H40" s="89">
        <v>0</v>
      </c>
      <c r="I40" s="86">
        <v>0</v>
      </c>
      <c r="J40" s="72">
        <v>0</v>
      </c>
      <c r="K40" s="54">
        <v>0</v>
      </c>
      <c r="L40" s="89">
        <v>0</v>
      </c>
      <c r="M40" s="86">
        <v>0</v>
      </c>
      <c r="N40" s="72">
        <v>0</v>
      </c>
      <c r="O40" s="54">
        <v>0</v>
      </c>
      <c r="P40" s="89">
        <v>0</v>
      </c>
      <c r="Q40" s="86">
        <v>0</v>
      </c>
      <c r="R40" s="72">
        <v>8.3532498000000004</v>
      </c>
      <c r="S40" s="22">
        <v>25.06</v>
      </c>
      <c r="T40" s="82">
        <v>0</v>
      </c>
      <c r="U40" s="78">
        <v>0</v>
      </c>
      <c r="V40" s="39">
        <v>8.3532498000000004</v>
      </c>
      <c r="W40" s="22">
        <f t="shared" si="9"/>
        <v>25.06</v>
      </c>
      <c r="X40" s="82">
        <f t="shared" si="9"/>
        <v>0</v>
      </c>
      <c r="Y40" s="78">
        <f t="shared" si="9"/>
        <v>0</v>
      </c>
    </row>
    <row r="41" spans="1:25">
      <c r="A41" s="42" t="s">
        <v>25</v>
      </c>
      <c r="B41" s="64">
        <v>5</v>
      </c>
      <c r="C41" s="59">
        <v>5</v>
      </c>
      <c r="D41" s="91">
        <v>5</v>
      </c>
      <c r="E41" s="88">
        <v>7</v>
      </c>
      <c r="F41" s="73">
        <v>0</v>
      </c>
      <c r="G41" s="59">
        <v>0</v>
      </c>
      <c r="H41" s="91">
        <v>0</v>
      </c>
      <c r="I41" s="88">
        <v>0</v>
      </c>
      <c r="J41" s="73">
        <v>0</v>
      </c>
      <c r="K41" s="59">
        <v>0</v>
      </c>
      <c r="L41" s="91">
        <v>0</v>
      </c>
      <c r="M41" s="88">
        <v>0</v>
      </c>
      <c r="N41" s="73">
        <v>0</v>
      </c>
      <c r="O41" s="59">
        <v>0</v>
      </c>
      <c r="P41" s="91">
        <v>0</v>
      </c>
      <c r="Q41" s="88">
        <v>0</v>
      </c>
      <c r="R41" s="73">
        <v>0.67665989999999998</v>
      </c>
      <c r="S41" s="35">
        <v>2.0299999999999998</v>
      </c>
      <c r="T41" s="85">
        <v>0</v>
      </c>
      <c r="U41" s="81">
        <v>0</v>
      </c>
      <c r="V41" s="64">
        <v>0.67665989999999998</v>
      </c>
      <c r="W41" s="35">
        <f t="shared" si="9"/>
        <v>2.0299999999999998</v>
      </c>
      <c r="X41" s="85">
        <f t="shared" si="9"/>
        <v>0</v>
      </c>
      <c r="Y41" s="81">
        <f t="shared" si="9"/>
        <v>0</v>
      </c>
    </row>
    <row r="42" spans="1:25">
      <c r="A42" s="23" t="s">
        <v>566</v>
      </c>
      <c r="B42" s="27">
        <f t="shared" ref="B42:Y42" si="10">SUM(B36:B41)</f>
        <v>68</v>
      </c>
      <c r="C42" s="56">
        <f t="shared" si="10"/>
        <v>65</v>
      </c>
      <c r="D42" s="56">
        <f t="shared" si="10"/>
        <v>65</v>
      </c>
      <c r="E42" s="56">
        <f t="shared" si="10"/>
        <v>64</v>
      </c>
      <c r="F42" s="66">
        <f t="shared" si="10"/>
        <v>0</v>
      </c>
      <c r="G42" s="56">
        <f t="shared" si="10"/>
        <v>0</v>
      </c>
      <c r="H42" s="56">
        <f t="shared" si="10"/>
        <v>0</v>
      </c>
      <c r="I42" s="56">
        <f t="shared" si="10"/>
        <v>0</v>
      </c>
      <c r="J42" s="66">
        <f t="shared" si="10"/>
        <v>0</v>
      </c>
      <c r="K42" s="56">
        <f t="shared" si="10"/>
        <v>0</v>
      </c>
      <c r="L42" s="56">
        <f t="shared" si="10"/>
        <v>0</v>
      </c>
      <c r="M42" s="56">
        <f t="shared" si="10"/>
        <v>0</v>
      </c>
      <c r="N42" s="66">
        <f t="shared" si="10"/>
        <v>0</v>
      </c>
      <c r="O42" s="56">
        <f t="shared" si="10"/>
        <v>0</v>
      </c>
      <c r="P42" s="56">
        <f t="shared" si="10"/>
        <v>0</v>
      </c>
      <c r="Q42" s="56">
        <f t="shared" si="10"/>
        <v>0</v>
      </c>
      <c r="R42" s="66">
        <f t="shared" si="10"/>
        <v>9.029909700000001</v>
      </c>
      <c r="S42" s="37">
        <f t="shared" si="10"/>
        <v>27.09</v>
      </c>
      <c r="T42" s="37">
        <f t="shared" si="10"/>
        <v>0</v>
      </c>
      <c r="U42" s="37">
        <f t="shared" si="10"/>
        <v>0</v>
      </c>
      <c r="V42" s="27">
        <f t="shared" si="10"/>
        <v>9.029909700000001</v>
      </c>
      <c r="W42" s="37">
        <f t="shared" si="10"/>
        <v>27.09</v>
      </c>
      <c r="X42" s="37">
        <f t="shared" si="10"/>
        <v>0</v>
      </c>
      <c r="Y42" s="37">
        <f t="shared" si="10"/>
        <v>0</v>
      </c>
    </row>
    <row r="43" spans="1:25" ht="16.2" thickBot="1">
      <c r="A43" s="43" t="s">
        <v>567</v>
      </c>
      <c r="B43" s="34">
        <f>SUM(B21,B30,B34,B42)</f>
        <v>1063</v>
      </c>
      <c r="C43" s="52">
        <f t="shared" ref="C43:U43" si="11">SUM(C21,C30,C34,C42)</f>
        <v>1060</v>
      </c>
      <c r="D43" s="52">
        <f t="shared" si="11"/>
        <v>1060</v>
      </c>
      <c r="E43" s="52">
        <f t="shared" si="11"/>
        <v>1059</v>
      </c>
      <c r="F43" s="34">
        <f t="shared" si="11"/>
        <v>0</v>
      </c>
      <c r="G43" s="52">
        <f t="shared" si="11"/>
        <v>0</v>
      </c>
      <c r="H43" s="52">
        <f t="shared" si="11"/>
        <v>0</v>
      </c>
      <c r="I43" s="52">
        <f t="shared" si="11"/>
        <v>0</v>
      </c>
      <c r="J43" s="34">
        <f t="shared" si="11"/>
        <v>0</v>
      </c>
      <c r="K43" s="52">
        <f t="shared" si="11"/>
        <v>0</v>
      </c>
      <c r="L43" s="52">
        <f t="shared" si="11"/>
        <v>0</v>
      </c>
      <c r="M43" s="52">
        <f t="shared" si="11"/>
        <v>0</v>
      </c>
      <c r="N43" s="34">
        <f t="shared" si="11"/>
        <v>0</v>
      </c>
      <c r="O43" s="52">
        <f t="shared" si="11"/>
        <v>0</v>
      </c>
      <c r="P43" s="52">
        <f t="shared" si="11"/>
        <v>0</v>
      </c>
      <c r="Q43" s="52">
        <f t="shared" si="11"/>
        <v>0</v>
      </c>
      <c r="R43" s="34">
        <f t="shared" si="11"/>
        <v>141.84858149999999</v>
      </c>
      <c r="S43" s="34">
        <f t="shared" si="11"/>
        <v>425.54999999999995</v>
      </c>
      <c r="T43" s="34">
        <f t="shared" si="11"/>
        <v>0</v>
      </c>
      <c r="U43" s="34">
        <f t="shared" si="11"/>
        <v>0</v>
      </c>
      <c r="V43" s="34">
        <f>SUM(V21,V30,V34,V42)</f>
        <v>141.84858149999999</v>
      </c>
      <c r="W43" s="34">
        <f t="shared" ref="W43:Y43" si="12">SUM(W21,W30,W34,W42)</f>
        <v>425.54999999999995</v>
      </c>
      <c r="X43" s="34">
        <f t="shared" si="12"/>
        <v>0</v>
      </c>
      <c r="Y43" s="34">
        <f t="shared" si="12"/>
        <v>0</v>
      </c>
    </row>
    <row r="44" spans="1:25" ht="15" thickTop="1">
      <c r="A44" s="44" t="s">
        <v>568</v>
      </c>
      <c r="B44" s="28"/>
      <c r="C44" s="20"/>
      <c r="D44" s="20"/>
      <c r="E44" s="20"/>
      <c r="F44" s="28"/>
      <c r="G44" s="20"/>
      <c r="H44" s="20"/>
      <c r="I44" s="20"/>
      <c r="J44" s="28"/>
      <c r="K44" s="20"/>
      <c r="L44" s="20"/>
      <c r="M44" s="20"/>
      <c r="N44" s="28"/>
      <c r="O44" s="20"/>
      <c r="P44" s="20"/>
      <c r="Q44" s="20"/>
      <c r="R44" s="28"/>
      <c r="S44" s="20"/>
      <c r="T44" s="20"/>
      <c r="U44" s="20"/>
      <c r="V44" s="28"/>
      <c r="W44" s="20"/>
      <c r="X44" s="20"/>
      <c r="Y44" s="20"/>
    </row>
    <row r="45" spans="1:25">
      <c r="A45" s="40" t="s">
        <v>23</v>
      </c>
      <c r="B45" s="65">
        <v>0</v>
      </c>
      <c r="C45" s="54">
        <v>0</v>
      </c>
      <c r="D45" s="89">
        <v>0</v>
      </c>
      <c r="E45" s="86">
        <v>0</v>
      </c>
      <c r="F45" s="72">
        <v>0</v>
      </c>
      <c r="G45" s="54">
        <v>0</v>
      </c>
      <c r="H45" s="89">
        <v>0</v>
      </c>
      <c r="I45" s="86">
        <v>0</v>
      </c>
      <c r="J45" s="72">
        <v>0</v>
      </c>
      <c r="K45" s="54">
        <v>0</v>
      </c>
      <c r="L45" s="89">
        <v>0</v>
      </c>
      <c r="M45" s="86">
        <v>0</v>
      </c>
      <c r="N45" s="72">
        <v>0</v>
      </c>
      <c r="O45" s="54">
        <v>0</v>
      </c>
      <c r="P45" s="89">
        <v>0</v>
      </c>
      <c r="Q45" s="86">
        <v>0</v>
      </c>
      <c r="R45" s="72">
        <v>1271.4706185</v>
      </c>
      <c r="S45" s="32">
        <v>634.45000000000005</v>
      </c>
      <c r="T45" s="84">
        <v>1060</v>
      </c>
      <c r="U45" s="80">
        <v>2120</v>
      </c>
      <c r="V45" s="65">
        <v>1271.4706185</v>
      </c>
      <c r="W45" s="32">
        <f t="shared" ref="W45:Y46" si="13">SUM(G45,K45,O45,S45)</f>
        <v>634.45000000000005</v>
      </c>
      <c r="X45" s="84">
        <f t="shared" si="13"/>
        <v>1060</v>
      </c>
      <c r="Y45" s="80">
        <f t="shared" si="13"/>
        <v>2120</v>
      </c>
    </row>
    <row r="46" spans="1:25">
      <c r="A46" s="42" t="s">
        <v>7</v>
      </c>
      <c r="B46" s="64">
        <v>0</v>
      </c>
      <c r="C46" s="59">
        <v>0</v>
      </c>
      <c r="D46" s="91">
        <v>0</v>
      </c>
      <c r="E46" s="88">
        <v>0</v>
      </c>
      <c r="F46" s="73">
        <v>0</v>
      </c>
      <c r="G46" s="59">
        <v>0</v>
      </c>
      <c r="H46" s="91">
        <v>0</v>
      </c>
      <c r="I46" s="88">
        <v>0</v>
      </c>
      <c r="J46" s="73">
        <v>0</v>
      </c>
      <c r="K46" s="59">
        <v>0</v>
      </c>
      <c r="L46" s="91">
        <v>0</v>
      </c>
      <c r="M46" s="88">
        <v>0</v>
      </c>
      <c r="N46" s="73">
        <v>0</v>
      </c>
      <c r="O46" s="59">
        <v>0</v>
      </c>
      <c r="P46" s="91">
        <v>0</v>
      </c>
      <c r="Q46" s="88">
        <v>0</v>
      </c>
      <c r="R46" s="73">
        <v>0</v>
      </c>
      <c r="S46" s="35">
        <v>0</v>
      </c>
      <c r="T46" s="85">
        <v>0</v>
      </c>
      <c r="U46" s="81">
        <v>0</v>
      </c>
      <c r="V46" s="64">
        <v>0</v>
      </c>
      <c r="W46" s="35">
        <f t="shared" si="13"/>
        <v>0</v>
      </c>
      <c r="X46" s="85">
        <f t="shared" si="13"/>
        <v>0</v>
      </c>
      <c r="Y46" s="81">
        <f t="shared" si="13"/>
        <v>0</v>
      </c>
    </row>
    <row r="47" spans="1:25">
      <c r="A47" s="45" t="s">
        <v>569</v>
      </c>
      <c r="B47" s="49">
        <f t="shared" ref="B47:Y47" si="14">SUM(B45:B46)</f>
        <v>0</v>
      </c>
      <c r="C47" s="60">
        <f t="shared" si="14"/>
        <v>0</v>
      </c>
      <c r="D47" s="60">
        <f t="shared" si="14"/>
        <v>0</v>
      </c>
      <c r="E47" s="60">
        <f t="shared" si="14"/>
        <v>0</v>
      </c>
      <c r="F47" s="27">
        <f t="shared" si="14"/>
        <v>0</v>
      </c>
      <c r="G47" s="60">
        <f t="shared" si="14"/>
        <v>0</v>
      </c>
      <c r="H47" s="60">
        <f t="shared" si="14"/>
        <v>0</v>
      </c>
      <c r="I47" s="60">
        <f t="shared" si="14"/>
        <v>0</v>
      </c>
      <c r="J47" s="27">
        <f t="shared" si="14"/>
        <v>0</v>
      </c>
      <c r="K47" s="60">
        <f t="shared" si="14"/>
        <v>0</v>
      </c>
      <c r="L47" s="60">
        <f t="shared" si="14"/>
        <v>0</v>
      </c>
      <c r="M47" s="60">
        <f t="shared" si="14"/>
        <v>0</v>
      </c>
      <c r="N47" s="27">
        <f t="shared" si="14"/>
        <v>0</v>
      </c>
      <c r="O47" s="60">
        <f t="shared" si="14"/>
        <v>0</v>
      </c>
      <c r="P47" s="60">
        <f t="shared" si="14"/>
        <v>0</v>
      </c>
      <c r="Q47" s="60">
        <f t="shared" si="14"/>
        <v>0</v>
      </c>
      <c r="R47" s="27">
        <f t="shared" si="14"/>
        <v>1271.4706185</v>
      </c>
      <c r="S47" s="36">
        <f t="shared" si="14"/>
        <v>634.45000000000005</v>
      </c>
      <c r="T47" s="36">
        <f t="shared" si="14"/>
        <v>1060</v>
      </c>
      <c r="U47" s="36">
        <f t="shared" si="14"/>
        <v>2120</v>
      </c>
      <c r="V47" s="49">
        <f t="shared" si="14"/>
        <v>1271.4706185</v>
      </c>
      <c r="W47" s="36">
        <f t="shared" si="14"/>
        <v>634.45000000000005</v>
      </c>
      <c r="X47" s="36">
        <f t="shared" si="14"/>
        <v>1060</v>
      </c>
      <c r="Y47" s="36">
        <f t="shared" si="14"/>
        <v>2120</v>
      </c>
    </row>
    <row r="48" spans="1:25" ht="16.2" thickBot="1">
      <c r="A48" s="43" t="s">
        <v>570</v>
      </c>
      <c r="B48" s="34">
        <f>SUM(B12,B43,B47)</f>
        <v>0</v>
      </c>
      <c r="C48" s="52">
        <f t="shared" ref="C48:U48" si="15">SUM(C12,C43,C47)</f>
        <v>0</v>
      </c>
      <c r="D48" s="52">
        <f t="shared" si="15"/>
        <v>0</v>
      </c>
      <c r="E48" s="52">
        <f t="shared" si="15"/>
        <v>0</v>
      </c>
      <c r="F48" s="34">
        <f t="shared" si="15"/>
        <v>-529.99470000000008</v>
      </c>
      <c r="G48" s="52">
        <f t="shared" si="15"/>
        <v>-530</v>
      </c>
      <c r="H48" s="52">
        <f t="shared" si="15"/>
        <v>-530</v>
      </c>
      <c r="I48" s="52">
        <f t="shared" si="15"/>
        <v>-530</v>
      </c>
      <c r="J48" s="34">
        <f t="shared" si="15"/>
        <v>0</v>
      </c>
      <c r="K48" s="52">
        <f t="shared" si="15"/>
        <v>0</v>
      </c>
      <c r="L48" s="52">
        <f t="shared" si="15"/>
        <v>0</v>
      </c>
      <c r="M48" s="52">
        <f t="shared" si="15"/>
        <v>0</v>
      </c>
      <c r="N48" s="34">
        <f t="shared" si="15"/>
        <v>-529.66137000000003</v>
      </c>
      <c r="O48" s="52">
        <f t="shared" si="15"/>
        <v>-530</v>
      </c>
      <c r="P48" s="52">
        <f t="shared" si="15"/>
        <v>-530</v>
      </c>
      <c r="Q48" s="52">
        <f t="shared" si="15"/>
        <v>-529</v>
      </c>
      <c r="R48" s="34">
        <f t="shared" si="15"/>
        <v>1413.3191999999999</v>
      </c>
      <c r="S48" s="34">
        <f t="shared" si="15"/>
        <v>1060</v>
      </c>
      <c r="T48" s="34">
        <f t="shared" si="15"/>
        <v>1060</v>
      </c>
      <c r="U48" s="34">
        <f t="shared" si="15"/>
        <v>2120</v>
      </c>
      <c r="V48" s="34">
        <f>SUM(V12,V43,V47)</f>
        <v>353.66313000000002</v>
      </c>
      <c r="W48" s="34">
        <f t="shared" ref="W48:Y48" si="16">SUM(W12,W43,W47)</f>
        <v>0</v>
      </c>
      <c r="X48" s="34">
        <f t="shared" si="16"/>
        <v>0</v>
      </c>
      <c r="Y48" s="34">
        <f t="shared" si="16"/>
        <v>1061</v>
      </c>
    </row>
    <row r="49" spans="1:25" ht="15" thickTop="1">
      <c r="A49" s="29"/>
      <c r="B49" s="19"/>
      <c r="C49" s="48"/>
      <c r="D49" s="48"/>
      <c r="E49" s="48"/>
      <c r="F49" s="19"/>
      <c r="G49" s="48"/>
      <c r="H49" s="48"/>
      <c r="I49" s="48"/>
      <c r="J49" s="19"/>
      <c r="K49" s="48"/>
      <c r="L49" s="48"/>
      <c r="M49" s="48"/>
      <c r="N49" s="19"/>
      <c r="O49" s="48"/>
      <c r="P49" s="48"/>
      <c r="Q49" s="48"/>
      <c r="R49" s="19"/>
      <c r="S49" s="48"/>
      <c r="T49" s="48"/>
      <c r="U49" s="48"/>
      <c r="V49" s="19"/>
      <c r="W49" s="48"/>
      <c r="X49" s="48"/>
      <c r="Y49" s="48"/>
    </row>
  </sheetData>
  <conditionalFormatting sqref="B15:C21 B23:C30 B32:C34 B36:C43 V36:W43 V32:W34 V23:W30 V15:W21 R36:S43 R32:S34 R23:S30 R15:S21 N36:O43 N32:O34 N23:O30 N15:O21 J36:K43 J32:K34 J23:K30 J15:K21 F36:G43 F32:G34 F23:G30 F15:G21">
    <cfRule type="cellIs" dxfId="103" priority="13" operator="lessThan">
      <formula>-0.01</formula>
    </cfRule>
  </conditionalFormatting>
  <conditionalFormatting sqref="Y15:Y21 Y23:Y30 Y32:Y34 Y36:Y43">
    <cfRule type="cellIs" dxfId="102" priority="12" operator="lessThan">
      <formula>-0.01</formula>
    </cfRule>
  </conditionalFormatting>
  <conditionalFormatting sqref="X15:X21 X23:X30 X32:X34 X36:X43">
    <cfRule type="cellIs" dxfId="101" priority="11" operator="lessThan">
      <formula>-0.01</formula>
    </cfRule>
  </conditionalFormatting>
  <conditionalFormatting sqref="U15:U21 U23:U30 U32:U34 U36:U43">
    <cfRule type="cellIs" dxfId="100" priority="10" operator="lessThan">
      <formula>-0.01</formula>
    </cfRule>
  </conditionalFormatting>
  <conditionalFormatting sqref="T15:T21 T23:T30 T32:T34 T36:T43">
    <cfRule type="cellIs" dxfId="99" priority="9" operator="lessThan">
      <formula>-0.01</formula>
    </cfRule>
  </conditionalFormatting>
  <conditionalFormatting sqref="Q15:Q21 Q23:Q30 Q32:Q34 Q36:Q43">
    <cfRule type="cellIs" dxfId="98" priority="8" operator="lessThan">
      <formula>-0.01</formula>
    </cfRule>
  </conditionalFormatting>
  <conditionalFormatting sqref="P15:P21 P23:P30 P32:P34 P36:P43">
    <cfRule type="cellIs" dxfId="97" priority="7" operator="lessThan">
      <formula>-0.01</formula>
    </cfRule>
  </conditionalFormatting>
  <conditionalFormatting sqref="M15:M21 M23:M30 M32:M34 M36:M43">
    <cfRule type="cellIs" dxfId="96" priority="6" operator="lessThan">
      <formula>-0.01</formula>
    </cfRule>
  </conditionalFormatting>
  <conditionalFormatting sqref="L15:L21 L23:L30 L32:L34 L36:L43">
    <cfRule type="cellIs" dxfId="95" priority="5" operator="lessThan">
      <formula>-0.01</formula>
    </cfRule>
  </conditionalFormatting>
  <conditionalFormatting sqref="I15:I21 I23:I30 I32:I34 I36:I43">
    <cfRule type="cellIs" dxfId="94" priority="4" operator="lessThan">
      <formula>-0.01</formula>
    </cfRule>
  </conditionalFormatting>
  <conditionalFormatting sqref="H15:H21 H23:H30 H32:H34 H36:H43">
    <cfRule type="cellIs" dxfId="93" priority="3" operator="lessThan">
      <formula>-0.01</formula>
    </cfRule>
  </conditionalFormatting>
  <conditionalFormatting sqref="E15:E21 E23:E30 E32:E34 E36:E43">
    <cfRule type="cellIs" dxfId="92" priority="2" operator="lessThan">
      <formula>-0.01</formula>
    </cfRule>
  </conditionalFormatting>
  <conditionalFormatting sqref="D15:D21 D23:D30 D32:D34 D36:D43">
    <cfRule type="cellIs" dxfId="91" priority="1" operator="lessThan">
      <formula>-0.01</formula>
    </cfRule>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9FA7A4-F5DD-4D59-8B6A-274B05F6AF55}">
  <sheetPr codeName="Sheet17"/>
  <dimension ref="A1:AZ49"/>
  <sheetViews>
    <sheetView showGridLines="0" workbookViewId="0">
      <pane xSplit="1" ySplit="6" topLeftCell="B7" activePane="bottomRight" state="frozen"/>
      <selection pane="topRight" activeCell="B1" sqref="B1"/>
      <selection pane="bottomLeft" activeCell="A7" sqref="A7"/>
      <selection pane="bottomRight"/>
    </sheetView>
  </sheetViews>
  <sheetFormatPr defaultRowHeight="14.4" outlineLevelCol="1"/>
  <cols>
    <col min="1" max="1" width="32.44140625" bestFit="1" customWidth="1"/>
    <col min="2" max="2" width="16.77734375" customWidth="1"/>
    <col min="3" max="5" width="13.44140625" style="57" hidden="1" customWidth="1" outlineLevel="1"/>
    <col min="6" max="6" width="16.77734375" customWidth="1" collapsed="1"/>
    <col min="7" max="9" width="13.44140625" style="57" hidden="1" customWidth="1" outlineLevel="1"/>
    <col min="10" max="10" width="16.77734375" customWidth="1" collapsed="1"/>
    <col min="11" max="13" width="13.44140625" style="57" hidden="1" customWidth="1" outlineLevel="1"/>
    <col min="14" max="14" width="16.77734375" customWidth="1" collapsed="1"/>
    <col min="15" max="17" width="13.44140625" style="57" hidden="1" customWidth="1" outlineLevel="1"/>
    <col min="18" max="18" width="16.77734375" customWidth="1" collapsed="1"/>
    <col min="19" max="21" width="13.44140625" style="57" hidden="1" customWidth="1" outlineLevel="1"/>
    <col min="22" max="22" width="16.77734375" customWidth="1" collapsed="1"/>
    <col min="23" max="25" width="13.44140625" style="57" hidden="1" customWidth="1" outlineLevel="1"/>
    <col min="26" max="26" width="8.88671875" collapsed="1"/>
  </cols>
  <sheetData>
    <row r="1" spans="1:52" ht="15.6">
      <c r="A1" s="68" t="s">
        <v>790</v>
      </c>
      <c r="B1" s="46"/>
      <c r="C1" s="46"/>
      <c r="D1" s="46"/>
      <c r="E1" s="46"/>
      <c r="F1" s="46"/>
      <c r="G1" s="46"/>
      <c r="H1" s="46"/>
      <c r="I1" s="46"/>
      <c r="J1" s="46"/>
      <c r="K1" s="46"/>
      <c r="L1" s="46"/>
      <c r="M1" s="46"/>
      <c r="N1" s="46"/>
      <c r="O1" s="46"/>
      <c r="P1" s="46"/>
      <c r="Q1" s="46"/>
      <c r="R1" s="46"/>
      <c r="V1" s="46"/>
      <c r="W1" s="46"/>
      <c r="X1" s="46"/>
      <c r="Y1" s="46"/>
    </row>
    <row r="2" spans="1:52" ht="15.6">
      <c r="A2" s="69" t="s">
        <v>414</v>
      </c>
      <c r="B2" s="47"/>
      <c r="C2" s="47"/>
      <c r="D2" s="47"/>
      <c r="E2" s="47"/>
      <c r="F2" s="47"/>
      <c r="G2" s="47"/>
      <c r="H2" s="47"/>
      <c r="I2" s="47"/>
      <c r="J2" s="47"/>
      <c r="K2" s="47"/>
      <c r="L2" s="47"/>
      <c r="M2" s="47"/>
      <c r="N2" s="47"/>
      <c r="O2" s="47"/>
      <c r="P2" s="47"/>
      <c r="Q2" s="47"/>
      <c r="R2" s="47"/>
      <c r="V2" s="47"/>
      <c r="W2" s="47"/>
      <c r="X2" s="47"/>
      <c r="Y2" s="47"/>
    </row>
    <row r="3" spans="1:52">
      <c r="A3" s="136"/>
      <c r="B3" s="61" t="s">
        <v>589</v>
      </c>
      <c r="C3" s="50" t="s">
        <v>572</v>
      </c>
      <c r="D3" s="50" t="s">
        <v>572</v>
      </c>
      <c r="E3" s="50" t="s">
        <v>572</v>
      </c>
      <c r="F3" s="61" t="s">
        <v>573</v>
      </c>
      <c r="G3" s="50" t="s">
        <v>573</v>
      </c>
      <c r="H3" s="50" t="s">
        <v>573</v>
      </c>
      <c r="I3" s="50" t="s">
        <v>573</v>
      </c>
      <c r="J3" s="61" t="s">
        <v>575</v>
      </c>
      <c r="K3" s="50" t="s">
        <v>575</v>
      </c>
      <c r="L3" s="50" t="s">
        <v>575</v>
      </c>
      <c r="M3" s="50" t="s">
        <v>575</v>
      </c>
      <c r="N3" s="61" t="s">
        <v>576</v>
      </c>
      <c r="O3" s="50" t="s">
        <v>576</v>
      </c>
      <c r="P3" s="50" t="s">
        <v>576</v>
      </c>
      <c r="Q3" s="50" t="s">
        <v>576</v>
      </c>
      <c r="R3" s="61" t="s">
        <v>577</v>
      </c>
      <c r="S3" s="38" t="s">
        <v>577</v>
      </c>
      <c r="T3" s="38" t="s">
        <v>577</v>
      </c>
      <c r="U3" s="38" t="s">
        <v>577</v>
      </c>
      <c r="V3" s="61" t="s">
        <v>585</v>
      </c>
      <c r="W3" s="38" t="s">
        <v>585</v>
      </c>
      <c r="X3" s="38" t="s">
        <v>585</v>
      </c>
      <c r="Y3" s="38" t="s">
        <v>585</v>
      </c>
      <c r="Z3" s="136"/>
      <c r="AA3" s="136"/>
      <c r="AB3" s="136"/>
      <c r="AC3" s="136"/>
      <c r="AD3" s="136"/>
      <c r="AE3" s="136"/>
      <c r="AF3" s="136"/>
      <c r="AG3" s="136"/>
      <c r="AH3" s="136"/>
      <c r="AI3" s="136"/>
      <c r="AJ3" s="136"/>
      <c r="AK3" s="136"/>
      <c r="AL3" s="136"/>
      <c r="AM3" s="136"/>
      <c r="AN3" s="136"/>
      <c r="AO3" s="136"/>
      <c r="AP3" s="136"/>
      <c r="AQ3" s="136"/>
      <c r="AR3" s="136"/>
      <c r="AS3" s="136"/>
      <c r="AT3" s="136"/>
      <c r="AU3" s="136"/>
      <c r="AV3" s="136"/>
      <c r="AW3" s="136"/>
      <c r="AX3" s="136"/>
      <c r="AY3" s="136"/>
      <c r="AZ3" s="136"/>
    </row>
    <row r="4" spans="1:52">
      <c r="A4" s="16"/>
      <c r="B4" s="31" t="str">
        <f>_xlfn.CONCAT("FY ",rngFY+rngYRS)</f>
        <v>FY 19</v>
      </c>
      <c r="C4" s="51" t="s">
        <v>555</v>
      </c>
      <c r="D4" s="51" t="s">
        <v>555</v>
      </c>
      <c r="E4" s="51" t="s">
        <v>555</v>
      </c>
      <c r="F4" s="31" t="s">
        <v>788</v>
      </c>
      <c r="G4" s="31" t="s">
        <v>789</v>
      </c>
      <c r="H4" s="31" t="s">
        <v>789</v>
      </c>
      <c r="I4" s="31" t="s">
        <v>789</v>
      </c>
      <c r="J4" s="31" t="s">
        <v>788</v>
      </c>
      <c r="K4" s="31" t="s">
        <v>789</v>
      </c>
      <c r="L4" s="31" t="s">
        <v>789</v>
      </c>
      <c r="M4" s="31" t="s">
        <v>789</v>
      </c>
      <c r="N4" s="31" t="s">
        <v>788</v>
      </c>
      <c r="O4" s="31" t="s">
        <v>789</v>
      </c>
      <c r="P4" s="31" t="s">
        <v>789</v>
      </c>
      <c r="Q4" s="31" t="s">
        <v>789</v>
      </c>
      <c r="R4" s="31" t="s">
        <v>788</v>
      </c>
      <c r="S4" s="31" t="s">
        <v>789</v>
      </c>
      <c r="T4" s="31" t="s">
        <v>789</v>
      </c>
      <c r="U4" s="31" t="s">
        <v>789</v>
      </c>
      <c r="V4" s="31" t="s">
        <v>574</v>
      </c>
      <c r="W4" s="31" t="s">
        <v>584</v>
      </c>
      <c r="X4" s="31" t="s">
        <v>584</v>
      </c>
      <c r="Y4" s="31" t="s">
        <v>584</v>
      </c>
    </row>
    <row r="5" spans="1:52">
      <c r="A5" s="17"/>
      <c r="B5" s="31"/>
      <c r="C5" s="51" t="s">
        <v>587</v>
      </c>
      <c r="D5" s="51" t="s">
        <v>586</v>
      </c>
      <c r="E5" s="51" t="s">
        <v>590</v>
      </c>
      <c r="F5" s="31"/>
      <c r="G5" s="51" t="s">
        <v>587</v>
      </c>
      <c r="H5" s="51" t="s">
        <v>586</v>
      </c>
      <c r="I5" s="51" t="s">
        <v>590</v>
      </c>
      <c r="J5" s="31"/>
      <c r="K5" s="51" t="s">
        <v>587</v>
      </c>
      <c r="L5" s="51" t="s">
        <v>586</v>
      </c>
      <c r="M5" s="51" t="s">
        <v>590</v>
      </c>
      <c r="N5" s="31"/>
      <c r="O5" s="51" t="s">
        <v>587</v>
      </c>
      <c r="P5" s="51" t="s">
        <v>586</v>
      </c>
      <c r="Q5" s="51" t="s">
        <v>590</v>
      </c>
      <c r="R5" s="31"/>
      <c r="S5" s="31" t="s">
        <v>587</v>
      </c>
      <c r="T5" s="31" t="s">
        <v>586</v>
      </c>
      <c r="U5" s="31" t="s">
        <v>590</v>
      </c>
      <c r="V5" s="31"/>
      <c r="W5" s="31" t="s">
        <v>587</v>
      </c>
      <c r="X5" s="31" t="s">
        <v>586</v>
      </c>
      <c r="Y5" s="31" t="s">
        <v>590</v>
      </c>
    </row>
    <row r="6" spans="1:52">
      <c r="A6" s="70"/>
      <c r="B6" s="62"/>
      <c r="C6" s="53"/>
      <c r="D6" s="53"/>
      <c r="E6" s="53"/>
      <c r="F6" s="62"/>
      <c r="G6" s="53"/>
      <c r="H6" s="53"/>
      <c r="I6" s="53"/>
      <c r="J6" s="62"/>
      <c r="K6" s="53"/>
      <c r="L6" s="53"/>
      <c r="M6" s="53"/>
      <c r="N6" s="62"/>
      <c r="O6" s="53"/>
      <c r="P6" s="53"/>
      <c r="Q6" s="53"/>
      <c r="R6" s="62"/>
      <c r="S6" s="62"/>
      <c r="T6" s="62"/>
      <c r="U6" s="62"/>
      <c r="V6" s="62"/>
      <c r="W6" s="62"/>
      <c r="X6" s="62"/>
      <c r="Y6" s="62"/>
    </row>
    <row r="7" spans="1:52">
      <c r="A7" s="18" t="s">
        <v>556</v>
      </c>
      <c r="B7" s="63"/>
      <c r="C7" s="58"/>
      <c r="D7" s="58"/>
      <c r="E7" s="58"/>
      <c r="F7" s="63"/>
      <c r="G7" s="58"/>
      <c r="H7" s="58"/>
      <c r="I7" s="58"/>
      <c r="J7" s="63"/>
      <c r="K7" s="58"/>
      <c r="L7" s="58"/>
      <c r="M7" s="58"/>
      <c r="N7" s="63"/>
      <c r="O7" s="58"/>
      <c r="P7" s="58"/>
      <c r="Q7" s="58"/>
      <c r="R7" s="63"/>
      <c r="S7" s="63"/>
      <c r="T7" s="63"/>
      <c r="U7" s="63"/>
      <c r="V7" s="63"/>
      <c r="W7" s="63"/>
      <c r="X7" s="63"/>
      <c r="Y7" s="63"/>
    </row>
    <row r="8" spans="1:52">
      <c r="A8" s="40" t="s">
        <v>557</v>
      </c>
      <c r="B8" s="39">
        <v>-21631</v>
      </c>
      <c r="C8" s="54">
        <v>-22431</v>
      </c>
      <c r="D8" s="89">
        <v>-22431</v>
      </c>
      <c r="E8" s="86">
        <v>-40746</v>
      </c>
      <c r="F8" s="72">
        <v>-19102.142310000003</v>
      </c>
      <c r="G8" s="54">
        <v>-11215</v>
      </c>
      <c r="H8" s="89">
        <v>-25719</v>
      </c>
      <c r="I8" s="86">
        <v>-20373</v>
      </c>
      <c r="J8" s="72">
        <v>0</v>
      </c>
      <c r="K8" s="54">
        <v>0</v>
      </c>
      <c r="L8" s="89">
        <v>0</v>
      </c>
      <c r="M8" s="86">
        <v>0</v>
      </c>
      <c r="N8" s="72">
        <v>-19102.475640000004</v>
      </c>
      <c r="O8" s="54">
        <v>-11216</v>
      </c>
      <c r="P8" s="89">
        <v>-25719</v>
      </c>
      <c r="Q8" s="86">
        <v>-20373</v>
      </c>
      <c r="R8" s="72">
        <v>0</v>
      </c>
      <c r="S8" s="22">
        <v>0</v>
      </c>
      <c r="T8" s="82">
        <v>0</v>
      </c>
      <c r="U8" s="78">
        <v>0</v>
      </c>
      <c r="V8" s="39">
        <v>-38204.61795</v>
      </c>
      <c r="W8" s="22">
        <f t="shared" ref="W8:Y11" si="0">SUM(G8,K8,O8,S8)</f>
        <v>-22431</v>
      </c>
      <c r="X8" s="82">
        <f t="shared" si="0"/>
        <v>-51438</v>
      </c>
      <c r="Y8" s="78">
        <f t="shared" si="0"/>
        <v>-40746</v>
      </c>
    </row>
    <row r="9" spans="1:52">
      <c r="A9" s="41" t="s">
        <v>558</v>
      </c>
      <c r="B9" s="39">
        <v>0</v>
      </c>
      <c r="C9" s="55">
        <v>0</v>
      </c>
      <c r="D9" s="90">
        <v>0</v>
      </c>
      <c r="E9" s="87">
        <v>0</v>
      </c>
      <c r="F9" s="72">
        <v>-1791.6487500000001</v>
      </c>
      <c r="G9" s="55">
        <v>0</v>
      </c>
      <c r="H9" s="90">
        <v>-5375</v>
      </c>
      <c r="I9" s="87">
        <v>0</v>
      </c>
      <c r="J9" s="72">
        <v>0</v>
      </c>
      <c r="K9" s="55">
        <v>0</v>
      </c>
      <c r="L9" s="90">
        <v>0</v>
      </c>
      <c r="M9" s="87">
        <v>0</v>
      </c>
      <c r="N9" s="72">
        <v>0</v>
      </c>
      <c r="O9" s="55">
        <v>0</v>
      </c>
      <c r="P9" s="90">
        <v>0</v>
      </c>
      <c r="Q9" s="87">
        <v>0</v>
      </c>
      <c r="R9" s="72">
        <v>1791.6487500000001</v>
      </c>
      <c r="S9" s="33">
        <v>0</v>
      </c>
      <c r="T9" s="83">
        <v>5375</v>
      </c>
      <c r="U9" s="79">
        <v>0</v>
      </c>
      <c r="V9" s="39">
        <v>0</v>
      </c>
      <c r="W9" s="33">
        <f t="shared" si="0"/>
        <v>0</v>
      </c>
      <c r="X9" s="83">
        <f t="shared" si="0"/>
        <v>0</v>
      </c>
      <c r="Y9" s="79">
        <f t="shared" si="0"/>
        <v>0</v>
      </c>
    </row>
    <row r="10" spans="1:52">
      <c r="A10" s="41" t="s">
        <v>212</v>
      </c>
      <c r="B10" s="39">
        <v>0</v>
      </c>
      <c r="C10" s="55">
        <v>0</v>
      </c>
      <c r="D10" s="90">
        <v>0</v>
      </c>
      <c r="E10" s="87">
        <v>0</v>
      </c>
      <c r="F10" s="72">
        <v>0</v>
      </c>
      <c r="G10" s="55">
        <v>0</v>
      </c>
      <c r="H10" s="90">
        <v>0</v>
      </c>
      <c r="I10" s="87">
        <v>0</v>
      </c>
      <c r="J10" s="72">
        <v>0</v>
      </c>
      <c r="K10" s="55">
        <v>0</v>
      </c>
      <c r="L10" s="90">
        <v>0</v>
      </c>
      <c r="M10" s="87">
        <v>0</v>
      </c>
      <c r="N10" s="72">
        <v>0</v>
      </c>
      <c r="O10" s="55">
        <v>0</v>
      </c>
      <c r="P10" s="90">
        <v>0</v>
      </c>
      <c r="Q10" s="87">
        <v>0</v>
      </c>
      <c r="R10" s="72">
        <v>0</v>
      </c>
      <c r="S10" s="33">
        <v>0</v>
      </c>
      <c r="T10" s="83">
        <v>0</v>
      </c>
      <c r="U10" s="79">
        <v>0</v>
      </c>
      <c r="V10" s="39">
        <v>0</v>
      </c>
      <c r="W10" s="33">
        <f t="shared" si="0"/>
        <v>0</v>
      </c>
      <c r="X10" s="83">
        <f t="shared" si="0"/>
        <v>0</v>
      </c>
      <c r="Y10" s="79">
        <f t="shared" si="0"/>
        <v>0</v>
      </c>
    </row>
    <row r="11" spans="1:52">
      <c r="A11" s="42" t="s">
        <v>210</v>
      </c>
      <c r="B11" s="64">
        <v>0</v>
      </c>
      <c r="C11" s="55">
        <v>0</v>
      </c>
      <c r="D11" s="90">
        <v>0</v>
      </c>
      <c r="E11" s="87">
        <v>0</v>
      </c>
      <c r="F11" s="73">
        <v>0</v>
      </c>
      <c r="G11" s="55">
        <v>0</v>
      </c>
      <c r="H11" s="90">
        <v>0</v>
      </c>
      <c r="I11" s="87">
        <v>0</v>
      </c>
      <c r="J11" s="73">
        <v>0</v>
      </c>
      <c r="K11" s="55">
        <v>0</v>
      </c>
      <c r="L11" s="90">
        <v>0</v>
      </c>
      <c r="M11" s="87">
        <v>0</v>
      </c>
      <c r="N11" s="73">
        <v>0</v>
      </c>
      <c r="O11" s="55">
        <v>0</v>
      </c>
      <c r="P11" s="90">
        <v>0</v>
      </c>
      <c r="Q11" s="87">
        <v>0</v>
      </c>
      <c r="R11" s="73">
        <v>-148230.17768339999</v>
      </c>
      <c r="S11" s="33">
        <v>-133649.79999999999</v>
      </c>
      <c r="T11" s="83">
        <v>-123293.57</v>
      </c>
      <c r="U11" s="79">
        <v>-187751.61</v>
      </c>
      <c r="V11" s="64">
        <v>-148230.17768339999</v>
      </c>
      <c r="W11" s="33">
        <f t="shared" si="0"/>
        <v>-133649.79999999999</v>
      </c>
      <c r="X11" s="83">
        <f t="shared" si="0"/>
        <v>-123293.57</v>
      </c>
      <c r="Y11" s="79">
        <f t="shared" si="0"/>
        <v>-187751.61</v>
      </c>
    </row>
    <row r="12" spans="1:52" ht="16.2" thickBot="1">
      <c r="A12" s="43" t="s">
        <v>559</v>
      </c>
      <c r="B12" s="34">
        <f>SUM(B8:B11)</f>
        <v>-21631</v>
      </c>
      <c r="C12" s="52">
        <f t="shared" ref="C12:U12" si="1">SUM(C8:C11)</f>
        <v>-22431</v>
      </c>
      <c r="D12" s="52">
        <f t="shared" si="1"/>
        <v>-22431</v>
      </c>
      <c r="E12" s="52">
        <f t="shared" si="1"/>
        <v>-40746</v>
      </c>
      <c r="F12" s="34">
        <f t="shared" si="1"/>
        <v>-20893.791060000003</v>
      </c>
      <c r="G12" s="52">
        <f t="shared" si="1"/>
        <v>-11215</v>
      </c>
      <c r="H12" s="52">
        <f t="shared" si="1"/>
        <v>-31094</v>
      </c>
      <c r="I12" s="52">
        <f t="shared" si="1"/>
        <v>-20373</v>
      </c>
      <c r="J12" s="34">
        <f t="shared" si="1"/>
        <v>0</v>
      </c>
      <c r="K12" s="52">
        <f t="shared" si="1"/>
        <v>0</v>
      </c>
      <c r="L12" s="52">
        <f t="shared" si="1"/>
        <v>0</v>
      </c>
      <c r="M12" s="52">
        <f t="shared" si="1"/>
        <v>0</v>
      </c>
      <c r="N12" s="34">
        <f t="shared" si="1"/>
        <v>-19102.475640000004</v>
      </c>
      <c r="O12" s="52">
        <f t="shared" si="1"/>
        <v>-11216</v>
      </c>
      <c r="P12" s="52">
        <f t="shared" si="1"/>
        <v>-25719</v>
      </c>
      <c r="Q12" s="52">
        <f t="shared" si="1"/>
        <v>-20373</v>
      </c>
      <c r="R12" s="34">
        <f t="shared" si="1"/>
        <v>-146438.5289334</v>
      </c>
      <c r="S12" s="34">
        <f t="shared" si="1"/>
        <v>-133649.79999999999</v>
      </c>
      <c r="T12" s="34">
        <f t="shared" si="1"/>
        <v>-117918.57</v>
      </c>
      <c r="U12" s="34">
        <f t="shared" si="1"/>
        <v>-187751.61</v>
      </c>
      <c r="V12" s="34">
        <f>SUM(V8:V11)</f>
        <v>-186434.79563339998</v>
      </c>
      <c r="W12" s="34">
        <f t="shared" ref="W12:Y12" si="2">SUM(W8:W11)</f>
        <v>-156080.79999999999</v>
      </c>
      <c r="X12" s="34">
        <f t="shared" si="2"/>
        <v>-174731.57</v>
      </c>
      <c r="Y12" s="34">
        <f t="shared" si="2"/>
        <v>-228497.61</v>
      </c>
    </row>
    <row r="13" spans="1:52" ht="15" thickTop="1">
      <c r="A13" s="67"/>
      <c r="B13" s="67"/>
      <c r="C13" s="67"/>
      <c r="D13" s="67"/>
      <c r="E13" s="67"/>
      <c r="F13" s="67"/>
      <c r="G13" s="67"/>
      <c r="H13" s="67"/>
      <c r="I13" s="67"/>
      <c r="J13" s="67"/>
      <c r="K13" s="67"/>
      <c r="L13" s="67"/>
      <c r="M13" s="67"/>
      <c r="N13" s="67"/>
      <c r="O13" s="67"/>
      <c r="P13" s="67"/>
      <c r="Q13" s="67"/>
      <c r="R13" s="67"/>
      <c r="S13" s="67"/>
      <c r="T13" s="67"/>
      <c r="U13" s="67"/>
      <c r="V13" s="67"/>
      <c r="W13" s="67"/>
      <c r="X13" s="67"/>
      <c r="Y13" s="67"/>
    </row>
    <row r="14" spans="1:52">
      <c r="A14" s="18" t="s">
        <v>560</v>
      </c>
      <c r="B14" s="20"/>
      <c r="C14" s="20"/>
      <c r="D14" s="20"/>
      <c r="E14" s="20"/>
      <c r="F14" s="20"/>
      <c r="G14" s="20"/>
      <c r="H14" s="20"/>
      <c r="I14" s="20"/>
      <c r="J14" s="20"/>
      <c r="K14" s="20"/>
      <c r="L14" s="20"/>
      <c r="M14" s="20"/>
      <c r="N14" s="20"/>
      <c r="O14" s="20"/>
      <c r="P14" s="20"/>
      <c r="Q14" s="20"/>
      <c r="R14" s="20"/>
      <c r="S14" s="20"/>
      <c r="T14" s="20"/>
      <c r="U14" s="20"/>
      <c r="V14" s="20"/>
      <c r="W14" s="20"/>
      <c r="X14" s="20"/>
      <c r="Y14" s="20"/>
    </row>
    <row r="15" spans="1:52">
      <c r="A15" s="40" t="s">
        <v>188</v>
      </c>
      <c r="B15" s="65">
        <v>0</v>
      </c>
      <c r="C15" s="54">
        <v>0</v>
      </c>
      <c r="D15" s="89">
        <v>0</v>
      </c>
      <c r="E15" s="86">
        <v>0</v>
      </c>
      <c r="F15" s="72">
        <v>0</v>
      </c>
      <c r="G15" s="54">
        <v>0</v>
      </c>
      <c r="H15" s="89">
        <v>0</v>
      </c>
      <c r="I15" s="86">
        <v>0</v>
      </c>
      <c r="J15" s="72">
        <v>0</v>
      </c>
      <c r="K15" s="54">
        <v>0</v>
      </c>
      <c r="L15" s="89">
        <v>0</v>
      </c>
      <c r="M15" s="86">
        <v>0</v>
      </c>
      <c r="N15" s="72">
        <v>0</v>
      </c>
      <c r="O15" s="54">
        <v>0</v>
      </c>
      <c r="P15" s="89">
        <v>0</v>
      </c>
      <c r="Q15" s="86">
        <v>0</v>
      </c>
      <c r="R15" s="72">
        <v>0</v>
      </c>
      <c r="S15" s="32">
        <v>0</v>
      </c>
      <c r="T15" s="84">
        <v>0</v>
      </c>
      <c r="U15" s="80">
        <v>0</v>
      </c>
      <c r="V15" s="65">
        <v>0</v>
      </c>
      <c r="W15" s="32">
        <f t="shared" ref="W15:Y20" si="3">SUM(G15,K15,O15,S15)</f>
        <v>0</v>
      </c>
      <c r="X15" s="84">
        <f t="shared" si="3"/>
        <v>0</v>
      </c>
      <c r="Y15" s="80">
        <f t="shared" si="3"/>
        <v>0</v>
      </c>
    </row>
    <row r="16" spans="1:52">
      <c r="A16" s="41" t="s">
        <v>181</v>
      </c>
      <c r="B16" s="39">
        <v>0</v>
      </c>
      <c r="C16" s="54">
        <v>0</v>
      </c>
      <c r="D16" s="89">
        <v>0</v>
      </c>
      <c r="E16" s="86">
        <v>0</v>
      </c>
      <c r="F16" s="72">
        <v>0</v>
      </c>
      <c r="G16" s="54">
        <v>0</v>
      </c>
      <c r="H16" s="89">
        <v>0</v>
      </c>
      <c r="I16" s="86">
        <v>0</v>
      </c>
      <c r="J16" s="72">
        <v>0</v>
      </c>
      <c r="K16" s="54">
        <v>0</v>
      </c>
      <c r="L16" s="89">
        <v>0</v>
      </c>
      <c r="M16" s="86">
        <v>0</v>
      </c>
      <c r="N16" s="72">
        <v>0</v>
      </c>
      <c r="O16" s="54">
        <v>0</v>
      </c>
      <c r="P16" s="89">
        <v>0</v>
      </c>
      <c r="Q16" s="86">
        <v>0</v>
      </c>
      <c r="R16" s="72">
        <v>0</v>
      </c>
      <c r="S16" s="22">
        <v>0</v>
      </c>
      <c r="T16" s="82">
        <v>0</v>
      </c>
      <c r="U16" s="78">
        <v>0</v>
      </c>
      <c r="V16" s="39">
        <v>0</v>
      </c>
      <c r="W16" s="22">
        <f t="shared" si="3"/>
        <v>0</v>
      </c>
      <c r="X16" s="82">
        <f t="shared" si="3"/>
        <v>0</v>
      </c>
      <c r="Y16" s="78">
        <f t="shared" si="3"/>
        <v>0</v>
      </c>
    </row>
    <row r="17" spans="1:25">
      <c r="A17" s="92" t="s">
        <v>174</v>
      </c>
      <c r="B17" s="93">
        <v>0</v>
      </c>
      <c r="C17" s="94">
        <v>0</v>
      </c>
      <c r="D17" s="100">
        <v>0</v>
      </c>
      <c r="E17" s="99">
        <v>0</v>
      </c>
      <c r="F17" s="95">
        <v>0</v>
      </c>
      <c r="G17" s="94">
        <v>0</v>
      </c>
      <c r="H17" s="100">
        <v>0</v>
      </c>
      <c r="I17" s="99">
        <v>0</v>
      </c>
      <c r="J17" s="95">
        <v>0</v>
      </c>
      <c r="K17" s="94">
        <v>0</v>
      </c>
      <c r="L17" s="100">
        <v>0</v>
      </c>
      <c r="M17" s="99">
        <v>0</v>
      </c>
      <c r="N17" s="95">
        <v>0</v>
      </c>
      <c r="O17" s="94">
        <v>0</v>
      </c>
      <c r="P17" s="100">
        <v>0</v>
      </c>
      <c r="Q17" s="99">
        <v>0</v>
      </c>
      <c r="R17" s="95">
        <v>0</v>
      </c>
      <c r="S17" s="96">
        <v>0</v>
      </c>
      <c r="T17" s="98">
        <v>0</v>
      </c>
      <c r="U17" s="97">
        <v>0</v>
      </c>
      <c r="V17" s="93">
        <v>0</v>
      </c>
      <c r="W17" s="96">
        <f t="shared" si="3"/>
        <v>0</v>
      </c>
      <c r="X17" s="98">
        <f t="shared" si="3"/>
        <v>0</v>
      </c>
      <c r="Y17" s="97">
        <f t="shared" si="3"/>
        <v>0</v>
      </c>
    </row>
    <row r="18" spans="1:25">
      <c r="A18" s="41" t="s">
        <v>146</v>
      </c>
      <c r="B18" s="39">
        <v>0</v>
      </c>
      <c r="C18" s="54">
        <v>0</v>
      </c>
      <c r="D18" s="89">
        <v>0</v>
      </c>
      <c r="E18" s="86">
        <v>0</v>
      </c>
      <c r="F18" s="72">
        <v>0</v>
      </c>
      <c r="G18" s="54">
        <v>0</v>
      </c>
      <c r="H18" s="89">
        <v>0</v>
      </c>
      <c r="I18" s="86">
        <v>0</v>
      </c>
      <c r="J18" s="72">
        <v>0</v>
      </c>
      <c r="K18" s="54">
        <v>0</v>
      </c>
      <c r="L18" s="89">
        <v>0</v>
      </c>
      <c r="M18" s="86">
        <v>0</v>
      </c>
      <c r="N18" s="72">
        <v>0</v>
      </c>
      <c r="O18" s="54">
        <v>0</v>
      </c>
      <c r="P18" s="89">
        <v>0</v>
      </c>
      <c r="Q18" s="86">
        <v>0</v>
      </c>
      <c r="R18" s="72">
        <v>0</v>
      </c>
      <c r="S18" s="22">
        <v>0</v>
      </c>
      <c r="T18" s="82">
        <v>0</v>
      </c>
      <c r="U18" s="78">
        <v>0</v>
      </c>
      <c r="V18" s="39">
        <v>0</v>
      </c>
      <c r="W18" s="22">
        <f t="shared" si="3"/>
        <v>0</v>
      </c>
      <c r="X18" s="82">
        <f t="shared" si="3"/>
        <v>0</v>
      </c>
      <c r="Y18" s="78">
        <f t="shared" si="3"/>
        <v>0</v>
      </c>
    </row>
    <row r="19" spans="1:25">
      <c r="A19" s="41" t="s">
        <v>139</v>
      </c>
      <c r="B19" s="39">
        <v>0</v>
      </c>
      <c r="C19" s="54">
        <v>0</v>
      </c>
      <c r="D19" s="89">
        <v>0</v>
      </c>
      <c r="E19" s="86">
        <v>0</v>
      </c>
      <c r="F19" s="72">
        <v>0</v>
      </c>
      <c r="G19" s="54">
        <v>0</v>
      </c>
      <c r="H19" s="89">
        <v>0</v>
      </c>
      <c r="I19" s="86">
        <v>0</v>
      </c>
      <c r="J19" s="72">
        <v>0</v>
      </c>
      <c r="K19" s="54">
        <v>0</v>
      </c>
      <c r="L19" s="89">
        <v>0</v>
      </c>
      <c r="M19" s="86">
        <v>0</v>
      </c>
      <c r="N19" s="72">
        <v>0</v>
      </c>
      <c r="O19" s="54">
        <v>0</v>
      </c>
      <c r="P19" s="89">
        <v>0</v>
      </c>
      <c r="Q19" s="86">
        <v>0</v>
      </c>
      <c r="R19" s="72">
        <v>0</v>
      </c>
      <c r="S19" s="22">
        <v>0</v>
      </c>
      <c r="T19" s="82">
        <v>0</v>
      </c>
      <c r="U19" s="78">
        <v>0</v>
      </c>
      <c r="V19" s="39">
        <v>0</v>
      </c>
      <c r="W19" s="22">
        <f t="shared" si="3"/>
        <v>0</v>
      </c>
      <c r="X19" s="82">
        <f t="shared" si="3"/>
        <v>0</v>
      </c>
      <c r="Y19" s="78">
        <f t="shared" si="3"/>
        <v>0</v>
      </c>
    </row>
    <row r="20" spans="1:25">
      <c r="A20" s="42" t="s">
        <v>129</v>
      </c>
      <c r="B20" s="64">
        <v>0</v>
      </c>
      <c r="C20" s="59">
        <v>0</v>
      </c>
      <c r="D20" s="91">
        <v>0</v>
      </c>
      <c r="E20" s="88">
        <v>0</v>
      </c>
      <c r="F20" s="73">
        <v>0</v>
      </c>
      <c r="G20" s="59">
        <v>0</v>
      </c>
      <c r="H20" s="91">
        <v>0</v>
      </c>
      <c r="I20" s="88">
        <v>0</v>
      </c>
      <c r="J20" s="73">
        <v>0</v>
      </c>
      <c r="K20" s="59">
        <v>0</v>
      </c>
      <c r="L20" s="91">
        <v>0</v>
      </c>
      <c r="M20" s="88">
        <v>0</v>
      </c>
      <c r="N20" s="73">
        <v>0</v>
      </c>
      <c r="O20" s="59">
        <v>0</v>
      </c>
      <c r="P20" s="91">
        <v>0</v>
      </c>
      <c r="Q20" s="88">
        <v>0</v>
      </c>
      <c r="R20" s="73">
        <v>0</v>
      </c>
      <c r="S20" s="35">
        <v>0</v>
      </c>
      <c r="T20" s="85">
        <v>0</v>
      </c>
      <c r="U20" s="81">
        <v>0</v>
      </c>
      <c r="V20" s="64">
        <v>0</v>
      </c>
      <c r="W20" s="35">
        <f t="shared" si="3"/>
        <v>0</v>
      </c>
      <c r="X20" s="85">
        <f t="shared" si="3"/>
        <v>0</v>
      </c>
      <c r="Y20" s="81">
        <f t="shared" si="3"/>
        <v>0</v>
      </c>
    </row>
    <row r="21" spans="1:25">
      <c r="A21" s="23" t="s">
        <v>561</v>
      </c>
      <c r="B21" s="27">
        <f t="shared" ref="B21:Y21" si="4">SUM(B15:B20)</f>
        <v>0</v>
      </c>
      <c r="C21" s="60">
        <f t="shared" si="4"/>
        <v>0</v>
      </c>
      <c r="D21" s="60">
        <f t="shared" si="4"/>
        <v>0</v>
      </c>
      <c r="E21" s="60">
        <f t="shared" si="4"/>
        <v>0</v>
      </c>
      <c r="F21" s="27">
        <f t="shared" si="4"/>
        <v>0</v>
      </c>
      <c r="G21" s="56">
        <f t="shared" si="4"/>
        <v>0</v>
      </c>
      <c r="H21" s="56">
        <f t="shared" si="4"/>
        <v>0</v>
      </c>
      <c r="I21" s="56">
        <f t="shared" si="4"/>
        <v>0</v>
      </c>
      <c r="J21" s="27">
        <f t="shared" si="4"/>
        <v>0</v>
      </c>
      <c r="K21" s="60">
        <f t="shared" si="4"/>
        <v>0</v>
      </c>
      <c r="L21" s="60">
        <f t="shared" si="4"/>
        <v>0</v>
      </c>
      <c r="M21" s="60">
        <f t="shared" si="4"/>
        <v>0</v>
      </c>
      <c r="N21" s="27">
        <f t="shared" si="4"/>
        <v>0</v>
      </c>
      <c r="O21" s="60">
        <f t="shared" si="4"/>
        <v>0</v>
      </c>
      <c r="P21" s="60">
        <f t="shared" si="4"/>
        <v>0</v>
      </c>
      <c r="Q21" s="60">
        <f t="shared" si="4"/>
        <v>0</v>
      </c>
      <c r="R21" s="27">
        <f t="shared" si="4"/>
        <v>0</v>
      </c>
      <c r="S21" s="36">
        <f t="shared" si="4"/>
        <v>0</v>
      </c>
      <c r="T21" s="36">
        <f t="shared" si="4"/>
        <v>0</v>
      </c>
      <c r="U21" s="36">
        <f t="shared" si="4"/>
        <v>0</v>
      </c>
      <c r="V21" s="27">
        <f t="shared" si="4"/>
        <v>0</v>
      </c>
      <c r="W21" s="36">
        <f t="shared" si="4"/>
        <v>0</v>
      </c>
      <c r="X21" s="36">
        <f t="shared" si="4"/>
        <v>0</v>
      </c>
      <c r="Y21" s="36">
        <f t="shared" si="4"/>
        <v>0</v>
      </c>
    </row>
    <row r="22" spans="1:25">
      <c r="A22" s="24" t="s">
        <v>562</v>
      </c>
      <c r="B22" s="25"/>
      <c r="C22" s="25"/>
      <c r="D22" s="25"/>
      <c r="E22" s="25"/>
      <c r="F22" s="25"/>
      <c r="G22" s="25"/>
      <c r="H22" s="25"/>
      <c r="I22" s="25"/>
      <c r="J22" s="25"/>
      <c r="K22" s="25"/>
      <c r="L22" s="25"/>
      <c r="M22" s="25"/>
      <c r="N22" s="25"/>
      <c r="O22" s="25"/>
      <c r="P22" s="25"/>
      <c r="Q22" s="25"/>
      <c r="R22" s="25"/>
      <c r="S22" s="25"/>
      <c r="T22" s="25"/>
      <c r="U22" s="25"/>
      <c r="V22" s="25"/>
      <c r="W22" s="25"/>
      <c r="X22" s="25"/>
      <c r="Y22" s="25"/>
    </row>
    <row r="23" spans="1:25">
      <c r="A23" s="40" t="s">
        <v>127</v>
      </c>
      <c r="B23" s="65">
        <v>20254</v>
      </c>
      <c r="C23" s="54">
        <v>21054</v>
      </c>
      <c r="D23" s="89">
        <v>21055</v>
      </c>
      <c r="E23" s="86">
        <v>38281</v>
      </c>
      <c r="F23" s="72">
        <v>0</v>
      </c>
      <c r="G23" s="54">
        <v>0</v>
      </c>
      <c r="H23" s="89">
        <v>0</v>
      </c>
      <c r="I23" s="86">
        <v>0</v>
      </c>
      <c r="J23" s="72">
        <v>0</v>
      </c>
      <c r="K23" s="54">
        <v>0</v>
      </c>
      <c r="L23" s="89">
        <v>0</v>
      </c>
      <c r="M23" s="86">
        <v>0</v>
      </c>
      <c r="N23" s="72">
        <v>0</v>
      </c>
      <c r="O23" s="54">
        <v>0</v>
      </c>
      <c r="P23" s="89">
        <v>0</v>
      </c>
      <c r="Q23" s="86">
        <v>0</v>
      </c>
      <c r="R23" s="72">
        <v>0</v>
      </c>
      <c r="S23" s="32">
        <v>0</v>
      </c>
      <c r="T23" s="84">
        <v>0</v>
      </c>
      <c r="U23" s="80">
        <v>0</v>
      </c>
      <c r="V23" s="65">
        <v>0</v>
      </c>
      <c r="W23" s="32">
        <f t="shared" ref="W23:Y29" si="5">SUM(G23,K23,O23,S23)</f>
        <v>0</v>
      </c>
      <c r="X23" s="84">
        <f t="shared" si="5"/>
        <v>0</v>
      </c>
      <c r="Y23" s="80">
        <f t="shared" si="5"/>
        <v>0</v>
      </c>
    </row>
    <row r="24" spans="1:25">
      <c r="A24" s="41" t="s">
        <v>120</v>
      </c>
      <c r="B24" s="39">
        <v>0</v>
      </c>
      <c r="C24" s="54">
        <v>0</v>
      </c>
      <c r="D24" s="89">
        <v>0</v>
      </c>
      <c r="E24" s="86">
        <v>0</v>
      </c>
      <c r="F24" s="72">
        <v>0</v>
      </c>
      <c r="G24" s="54">
        <v>0</v>
      </c>
      <c r="H24" s="89">
        <v>0</v>
      </c>
      <c r="I24" s="86">
        <v>0</v>
      </c>
      <c r="J24" s="72">
        <v>0</v>
      </c>
      <c r="K24" s="54">
        <v>0</v>
      </c>
      <c r="L24" s="89">
        <v>0</v>
      </c>
      <c r="M24" s="86">
        <v>0</v>
      </c>
      <c r="N24" s="72">
        <v>0</v>
      </c>
      <c r="O24" s="54">
        <v>0</v>
      </c>
      <c r="P24" s="89">
        <v>0</v>
      </c>
      <c r="Q24" s="86">
        <v>0</v>
      </c>
      <c r="R24" s="72">
        <v>0</v>
      </c>
      <c r="S24" s="22">
        <v>0</v>
      </c>
      <c r="T24" s="82">
        <v>0</v>
      </c>
      <c r="U24" s="78">
        <v>0</v>
      </c>
      <c r="V24" s="39">
        <v>0</v>
      </c>
      <c r="W24" s="22">
        <f t="shared" si="5"/>
        <v>0</v>
      </c>
      <c r="X24" s="82">
        <f t="shared" si="5"/>
        <v>0</v>
      </c>
      <c r="Y24" s="78">
        <f t="shared" si="5"/>
        <v>0</v>
      </c>
    </row>
    <row r="25" spans="1:25">
      <c r="A25" s="41" t="s">
        <v>107</v>
      </c>
      <c r="B25" s="39">
        <v>0</v>
      </c>
      <c r="C25" s="54">
        <v>0</v>
      </c>
      <c r="D25" s="89">
        <v>0</v>
      </c>
      <c r="E25" s="86">
        <v>0</v>
      </c>
      <c r="F25" s="72">
        <v>731.03935620000004</v>
      </c>
      <c r="G25" s="54">
        <v>745.28</v>
      </c>
      <c r="H25" s="89">
        <v>681.2</v>
      </c>
      <c r="I25" s="86">
        <v>766.66</v>
      </c>
      <c r="J25" s="72">
        <v>509.79823529999999</v>
      </c>
      <c r="K25" s="54">
        <v>610.28</v>
      </c>
      <c r="L25" s="89">
        <v>506.06</v>
      </c>
      <c r="M25" s="86">
        <v>413.07</v>
      </c>
      <c r="N25" s="72">
        <v>606.60060060000001</v>
      </c>
      <c r="O25" s="54">
        <v>340.07</v>
      </c>
      <c r="P25" s="89">
        <v>965.1</v>
      </c>
      <c r="Q25" s="86">
        <v>514.65</v>
      </c>
      <c r="R25" s="72">
        <v>3179.9315337000003</v>
      </c>
      <c r="S25" s="22">
        <v>438.48</v>
      </c>
      <c r="T25" s="82">
        <v>430.4</v>
      </c>
      <c r="U25" s="78">
        <v>8671.01</v>
      </c>
      <c r="V25" s="39">
        <v>5027.3697258000002</v>
      </c>
      <c r="W25" s="22">
        <f t="shared" si="5"/>
        <v>2134.1099999999997</v>
      </c>
      <c r="X25" s="82">
        <f t="shared" si="5"/>
        <v>2582.7600000000002</v>
      </c>
      <c r="Y25" s="78">
        <f t="shared" si="5"/>
        <v>10365.39</v>
      </c>
    </row>
    <row r="26" spans="1:25">
      <c r="A26" s="41" t="s">
        <v>104</v>
      </c>
      <c r="B26" s="39">
        <v>0</v>
      </c>
      <c r="C26" s="54">
        <v>0</v>
      </c>
      <c r="D26" s="89">
        <v>0</v>
      </c>
      <c r="E26" s="86">
        <v>0</v>
      </c>
      <c r="F26" s="72">
        <v>104.20562459999999</v>
      </c>
      <c r="G26" s="54">
        <v>0</v>
      </c>
      <c r="H26" s="89">
        <v>123.28</v>
      </c>
      <c r="I26" s="86">
        <v>189.34</v>
      </c>
      <c r="J26" s="72">
        <v>6617.7038223</v>
      </c>
      <c r="K26" s="54">
        <v>6180.4</v>
      </c>
      <c r="L26" s="89">
        <v>2643.55</v>
      </c>
      <c r="M26" s="86">
        <v>11029.36</v>
      </c>
      <c r="N26" s="72">
        <v>1917.4374921000001</v>
      </c>
      <c r="O26" s="54">
        <v>3570.36</v>
      </c>
      <c r="P26" s="89">
        <v>1504.48</v>
      </c>
      <c r="Q26" s="86">
        <v>677.53</v>
      </c>
      <c r="R26" s="72">
        <v>3438.3122832000004</v>
      </c>
      <c r="S26" s="22">
        <v>-11.85</v>
      </c>
      <c r="T26" s="82">
        <v>4720.72</v>
      </c>
      <c r="U26" s="78">
        <v>5606.17</v>
      </c>
      <c r="V26" s="39">
        <v>12077.6592222</v>
      </c>
      <c r="W26" s="22">
        <f t="shared" si="5"/>
        <v>9738.91</v>
      </c>
      <c r="X26" s="82">
        <f t="shared" si="5"/>
        <v>8992.0300000000007</v>
      </c>
      <c r="Y26" s="78">
        <f t="shared" si="5"/>
        <v>17502.400000000001</v>
      </c>
    </row>
    <row r="27" spans="1:25">
      <c r="A27" s="41" t="s">
        <v>102</v>
      </c>
      <c r="B27" s="39">
        <v>0</v>
      </c>
      <c r="C27" s="54">
        <v>0</v>
      </c>
      <c r="D27" s="89">
        <v>0</v>
      </c>
      <c r="E27" s="86">
        <v>0</v>
      </c>
      <c r="F27" s="72">
        <v>24.999750000000002</v>
      </c>
      <c r="G27" s="54">
        <v>75</v>
      </c>
      <c r="H27" s="89">
        <v>0</v>
      </c>
      <c r="I27" s="86">
        <v>0</v>
      </c>
      <c r="J27" s="72">
        <v>360.79972529999998</v>
      </c>
      <c r="K27" s="54">
        <v>576.91</v>
      </c>
      <c r="L27" s="89">
        <v>0</v>
      </c>
      <c r="M27" s="86">
        <v>505.5</v>
      </c>
      <c r="N27" s="72">
        <v>18.33315</v>
      </c>
      <c r="O27" s="54">
        <v>0</v>
      </c>
      <c r="P27" s="89">
        <v>0</v>
      </c>
      <c r="Q27" s="86">
        <v>55</v>
      </c>
      <c r="R27" s="72">
        <v>55.666110000000003</v>
      </c>
      <c r="S27" s="22">
        <v>0</v>
      </c>
      <c r="T27" s="82">
        <v>0</v>
      </c>
      <c r="U27" s="78">
        <v>167</v>
      </c>
      <c r="V27" s="39">
        <v>459.79873529999998</v>
      </c>
      <c r="W27" s="22">
        <f t="shared" si="5"/>
        <v>651.91</v>
      </c>
      <c r="X27" s="82">
        <f t="shared" si="5"/>
        <v>0</v>
      </c>
      <c r="Y27" s="78">
        <f t="shared" si="5"/>
        <v>727.5</v>
      </c>
    </row>
    <row r="28" spans="1:25">
      <c r="A28" s="41" t="s">
        <v>98</v>
      </c>
      <c r="B28" s="39">
        <v>0</v>
      </c>
      <c r="C28" s="54">
        <v>0</v>
      </c>
      <c r="D28" s="89">
        <v>0</v>
      </c>
      <c r="E28" s="86">
        <v>0</v>
      </c>
      <c r="F28" s="72">
        <v>966.95699700000011</v>
      </c>
      <c r="G28" s="54">
        <v>492</v>
      </c>
      <c r="H28" s="89">
        <v>1080.02</v>
      </c>
      <c r="I28" s="86">
        <v>1328.88</v>
      </c>
      <c r="J28" s="72">
        <v>2447.9121873000004</v>
      </c>
      <c r="K28" s="54">
        <v>1260.1600000000001</v>
      </c>
      <c r="L28" s="89">
        <v>2038.65</v>
      </c>
      <c r="M28" s="86">
        <v>4045</v>
      </c>
      <c r="N28" s="72">
        <v>1278.6972129000001</v>
      </c>
      <c r="O28" s="54">
        <v>842.73</v>
      </c>
      <c r="P28" s="89">
        <v>2173.54</v>
      </c>
      <c r="Q28" s="86">
        <v>819.86</v>
      </c>
      <c r="R28" s="72">
        <v>2077.5025581</v>
      </c>
      <c r="S28" s="22">
        <v>1287.22</v>
      </c>
      <c r="T28" s="82">
        <v>754.61</v>
      </c>
      <c r="U28" s="78">
        <v>4190.74</v>
      </c>
      <c r="V28" s="39">
        <v>6771.0689553000002</v>
      </c>
      <c r="W28" s="22">
        <f t="shared" si="5"/>
        <v>3882.1100000000006</v>
      </c>
      <c r="X28" s="82">
        <f t="shared" si="5"/>
        <v>6046.82</v>
      </c>
      <c r="Y28" s="78">
        <f t="shared" si="5"/>
        <v>10384.48</v>
      </c>
    </row>
    <row r="29" spans="1:25">
      <c r="A29" s="42" t="s">
        <v>84</v>
      </c>
      <c r="B29" s="64">
        <v>0</v>
      </c>
      <c r="C29" s="59">
        <v>0</v>
      </c>
      <c r="D29" s="91">
        <v>0</v>
      </c>
      <c r="E29" s="88">
        <v>0</v>
      </c>
      <c r="F29" s="73">
        <v>3153.7517955000003</v>
      </c>
      <c r="G29" s="59">
        <v>3369.81</v>
      </c>
      <c r="H29" s="91">
        <v>5746</v>
      </c>
      <c r="I29" s="88">
        <v>345.54</v>
      </c>
      <c r="J29" s="73">
        <v>3047.9395203000004</v>
      </c>
      <c r="K29" s="59">
        <v>3658.91</v>
      </c>
      <c r="L29" s="91">
        <v>2269.48</v>
      </c>
      <c r="M29" s="88">
        <v>3215.52</v>
      </c>
      <c r="N29" s="73">
        <v>-14.733186</v>
      </c>
      <c r="O29" s="59">
        <v>0</v>
      </c>
      <c r="P29" s="91">
        <v>-85.01</v>
      </c>
      <c r="Q29" s="88">
        <v>40.81</v>
      </c>
      <c r="R29" s="73">
        <v>-367.8496548</v>
      </c>
      <c r="S29" s="35">
        <v>691.9</v>
      </c>
      <c r="T29" s="85">
        <v>-2211.6</v>
      </c>
      <c r="U29" s="81">
        <v>416.14</v>
      </c>
      <c r="V29" s="64">
        <v>5819.1084749999991</v>
      </c>
      <c r="W29" s="35">
        <f t="shared" si="5"/>
        <v>7720.619999999999</v>
      </c>
      <c r="X29" s="85">
        <f t="shared" si="5"/>
        <v>5718.869999999999</v>
      </c>
      <c r="Y29" s="81">
        <f t="shared" si="5"/>
        <v>4018.0099999999998</v>
      </c>
    </row>
    <row r="30" spans="1:25">
      <c r="A30" s="23" t="s">
        <v>563</v>
      </c>
      <c r="B30" s="27">
        <f t="shared" ref="B30:Y30" si="6">SUM(B23:B29)</f>
        <v>20254</v>
      </c>
      <c r="C30" s="60">
        <f t="shared" si="6"/>
        <v>21054</v>
      </c>
      <c r="D30" s="60">
        <f t="shared" si="6"/>
        <v>21055</v>
      </c>
      <c r="E30" s="60">
        <f t="shared" si="6"/>
        <v>38281</v>
      </c>
      <c r="F30" s="27">
        <f t="shared" si="6"/>
        <v>4980.9535233000006</v>
      </c>
      <c r="G30" s="60">
        <f t="shared" si="6"/>
        <v>4682.09</v>
      </c>
      <c r="H30" s="60">
        <f t="shared" si="6"/>
        <v>7630.5</v>
      </c>
      <c r="I30" s="60">
        <f t="shared" si="6"/>
        <v>2630.42</v>
      </c>
      <c r="J30" s="27">
        <f t="shared" si="6"/>
        <v>12984.153490500001</v>
      </c>
      <c r="K30" s="60">
        <f t="shared" si="6"/>
        <v>12286.66</v>
      </c>
      <c r="L30" s="60">
        <f t="shared" si="6"/>
        <v>7457.74</v>
      </c>
      <c r="M30" s="60">
        <f t="shared" si="6"/>
        <v>19208.45</v>
      </c>
      <c r="N30" s="27">
        <f t="shared" si="6"/>
        <v>3806.3352696000002</v>
      </c>
      <c r="O30" s="60">
        <f t="shared" si="6"/>
        <v>4753.16</v>
      </c>
      <c r="P30" s="60">
        <f t="shared" si="6"/>
        <v>4558.1099999999997</v>
      </c>
      <c r="Q30" s="60">
        <f t="shared" si="6"/>
        <v>2107.85</v>
      </c>
      <c r="R30" s="27">
        <f t="shared" si="6"/>
        <v>8383.5628302000005</v>
      </c>
      <c r="S30" s="36">
        <f t="shared" si="6"/>
        <v>2405.75</v>
      </c>
      <c r="T30" s="36">
        <f t="shared" si="6"/>
        <v>3694.1299999999997</v>
      </c>
      <c r="U30" s="36">
        <f t="shared" si="6"/>
        <v>19051.059999999998</v>
      </c>
      <c r="V30" s="27">
        <f t="shared" si="6"/>
        <v>30155.005113599997</v>
      </c>
      <c r="W30" s="36">
        <f t="shared" si="6"/>
        <v>24127.66</v>
      </c>
      <c r="X30" s="36">
        <f t="shared" si="6"/>
        <v>23340.48</v>
      </c>
      <c r="Y30" s="36">
        <f t="shared" si="6"/>
        <v>42997.780000000006</v>
      </c>
    </row>
    <row r="31" spans="1:25">
      <c r="A31" s="24" t="s">
        <v>429</v>
      </c>
      <c r="B31" s="21"/>
      <c r="C31" s="26"/>
      <c r="D31" s="26"/>
      <c r="E31" s="26"/>
      <c r="F31" s="26"/>
      <c r="G31" s="26"/>
      <c r="H31" s="26"/>
      <c r="I31" s="26"/>
      <c r="J31" s="26"/>
      <c r="K31" s="26"/>
      <c r="L31" s="26"/>
      <c r="M31" s="26"/>
      <c r="N31" s="26"/>
      <c r="O31" s="26"/>
      <c r="P31" s="26"/>
      <c r="Q31" s="26"/>
      <c r="R31" s="26"/>
      <c r="S31" s="26"/>
      <c r="T31" s="26"/>
      <c r="U31" s="26"/>
      <c r="V31" s="21"/>
      <c r="W31" s="26"/>
      <c r="X31" s="26"/>
      <c r="Y31" s="26"/>
    </row>
    <row r="32" spans="1:25">
      <c r="A32" s="40" t="s">
        <v>81</v>
      </c>
      <c r="B32" s="65">
        <v>0</v>
      </c>
      <c r="C32" s="54">
        <v>0</v>
      </c>
      <c r="D32" s="89">
        <v>0</v>
      </c>
      <c r="E32" s="86">
        <v>0</v>
      </c>
      <c r="F32" s="72">
        <v>0</v>
      </c>
      <c r="G32" s="54">
        <v>0</v>
      </c>
      <c r="H32" s="89">
        <v>0</v>
      </c>
      <c r="I32" s="86">
        <v>0</v>
      </c>
      <c r="J32" s="72">
        <v>844.61822040000004</v>
      </c>
      <c r="K32" s="54">
        <v>0</v>
      </c>
      <c r="L32" s="89">
        <v>0</v>
      </c>
      <c r="M32" s="86">
        <v>2533.88</v>
      </c>
      <c r="N32" s="72">
        <v>0</v>
      </c>
      <c r="O32" s="54">
        <v>0</v>
      </c>
      <c r="P32" s="89">
        <v>0</v>
      </c>
      <c r="Q32" s="86">
        <v>0</v>
      </c>
      <c r="R32" s="72">
        <v>24.3197568</v>
      </c>
      <c r="S32" s="32">
        <v>0</v>
      </c>
      <c r="T32" s="84">
        <v>72.959999999999994</v>
      </c>
      <c r="U32" s="80">
        <v>0</v>
      </c>
      <c r="V32" s="65">
        <v>868.93797720000009</v>
      </c>
      <c r="W32" s="32">
        <f t="shared" ref="W32:Y33" si="7">SUM(G32,K32,O32,S32)</f>
        <v>0</v>
      </c>
      <c r="X32" s="84">
        <f t="shared" si="7"/>
        <v>72.959999999999994</v>
      </c>
      <c r="Y32" s="80">
        <f t="shared" si="7"/>
        <v>2533.88</v>
      </c>
    </row>
    <row r="33" spans="1:25">
      <c r="A33" s="42" t="s">
        <v>79</v>
      </c>
      <c r="B33" s="64">
        <v>0</v>
      </c>
      <c r="C33" s="59">
        <v>0</v>
      </c>
      <c r="D33" s="91">
        <v>0</v>
      </c>
      <c r="E33" s="88">
        <v>0</v>
      </c>
      <c r="F33" s="73">
        <v>0</v>
      </c>
      <c r="G33" s="59">
        <v>0</v>
      </c>
      <c r="H33" s="91">
        <v>0</v>
      </c>
      <c r="I33" s="88">
        <v>0</v>
      </c>
      <c r="J33" s="73">
        <v>0</v>
      </c>
      <c r="K33" s="59">
        <v>0</v>
      </c>
      <c r="L33" s="91">
        <v>0</v>
      </c>
      <c r="M33" s="88">
        <v>0</v>
      </c>
      <c r="N33" s="73">
        <v>413.32920000000001</v>
      </c>
      <c r="O33" s="59">
        <v>1240</v>
      </c>
      <c r="P33" s="91">
        <v>0</v>
      </c>
      <c r="Q33" s="88">
        <v>0</v>
      </c>
      <c r="R33" s="73">
        <v>0</v>
      </c>
      <c r="S33" s="35">
        <v>0</v>
      </c>
      <c r="T33" s="85">
        <v>0</v>
      </c>
      <c r="U33" s="81">
        <v>0</v>
      </c>
      <c r="V33" s="64">
        <v>413.32920000000001</v>
      </c>
      <c r="W33" s="35">
        <f t="shared" si="7"/>
        <v>1240</v>
      </c>
      <c r="X33" s="85">
        <f t="shared" si="7"/>
        <v>0</v>
      </c>
      <c r="Y33" s="81">
        <f t="shared" si="7"/>
        <v>0</v>
      </c>
    </row>
    <row r="34" spans="1:25">
      <c r="A34" s="23" t="s">
        <v>564</v>
      </c>
      <c r="B34" s="27">
        <f t="shared" ref="B34:Y34" si="8">SUM(B32:B33)</f>
        <v>0</v>
      </c>
      <c r="C34" s="60">
        <f t="shared" si="8"/>
        <v>0</v>
      </c>
      <c r="D34" s="60">
        <f t="shared" si="8"/>
        <v>0</v>
      </c>
      <c r="E34" s="60">
        <f t="shared" si="8"/>
        <v>0</v>
      </c>
      <c r="F34" s="27">
        <f t="shared" si="8"/>
        <v>0</v>
      </c>
      <c r="G34" s="60">
        <f t="shared" si="8"/>
        <v>0</v>
      </c>
      <c r="H34" s="60">
        <f t="shared" si="8"/>
        <v>0</v>
      </c>
      <c r="I34" s="60">
        <f t="shared" si="8"/>
        <v>0</v>
      </c>
      <c r="J34" s="27">
        <f t="shared" si="8"/>
        <v>844.61822040000004</v>
      </c>
      <c r="K34" s="60">
        <f t="shared" si="8"/>
        <v>0</v>
      </c>
      <c r="L34" s="60">
        <f t="shared" si="8"/>
        <v>0</v>
      </c>
      <c r="M34" s="60">
        <f t="shared" si="8"/>
        <v>2533.88</v>
      </c>
      <c r="N34" s="27">
        <f t="shared" si="8"/>
        <v>413.32920000000001</v>
      </c>
      <c r="O34" s="60">
        <f t="shared" si="8"/>
        <v>1240</v>
      </c>
      <c r="P34" s="60">
        <f t="shared" si="8"/>
        <v>0</v>
      </c>
      <c r="Q34" s="60">
        <f t="shared" si="8"/>
        <v>0</v>
      </c>
      <c r="R34" s="27">
        <f t="shared" si="8"/>
        <v>24.3197568</v>
      </c>
      <c r="S34" s="36">
        <f t="shared" si="8"/>
        <v>0</v>
      </c>
      <c r="T34" s="36">
        <f t="shared" si="8"/>
        <v>72.959999999999994</v>
      </c>
      <c r="U34" s="36">
        <f t="shared" si="8"/>
        <v>0</v>
      </c>
      <c r="V34" s="27">
        <f t="shared" si="8"/>
        <v>1282.2671772000001</v>
      </c>
      <c r="W34" s="36">
        <f t="shared" si="8"/>
        <v>1240</v>
      </c>
      <c r="X34" s="36">
        <f t="shared" si="8"/>
        <v>72.959999999999994</v>
      </c>
      <c r="Y34" s="36">
        <f t="shared" si="8"/>
        <v>2533.88</v>
      </c>
    </row>
    <row r="35" spans="1:25">
      <c r="A35" s="24" t="s">
        <v>565</v>
      </c>
      <c r="B35" s="26"/>
      <c r="C35" s="26"/>
      <c r="D35" s="26"/>
      <c r="E35" s="26"/>
      <c r="F35" s="26"/>
      <c r="G35" s="26"/>
      <c r="H35" s="26"/>
      <c r="I35" s="26"/>
      <c r="J35" s="26"/>
      <c r="K35" s="26"/>
      <c r="L35" s="26"/>
      <c r="M35" s="26"/>
      <c r="N35" s="26"/>
      <c r="O35" s="26"/>
      <c r="P35" s="26"/>
      <c r="Q35" s="26"/>
      <c r="R35" s="26"/>
      <c r="S35" s="26"/>
      <c r="T35" s="26"/>
      <c r="U35" s="26"/>
      <c r="V35" s="26"/>
      <c r="W35" s="26"/>
      <c r="X35" s="26"/>
      <c r="Y35" s="26"/>
    </row>
    <row r="36" spans="1:25">
      <c r="A36" s="40" t="s">
        <v>77</v>
      </c>
      <c r="B36" s="65">
        <v>0</v>
      </c>
      <c r="C36" s="54">
        <v>0</v>
      </c>
      <c r="D36" s="89">
        <v>0</v>
      </c>
      <c r="E36" s="86">
        <v>0</v>
      </c>
      <c r="F36" s="72">
        <v>0</v>
      </c>
      <c r="G36" s="54">
        <v>0</v>
      </c>
      <c r="H36" s="89">
        <v>0</v>
      </c>
      <c r="I36" s="86">
        <v>0</v>
      </c>
      <c r="J36" s="72">
        <v>0</v>
      </c>
      <c r="K36" s="54">
        <v>0</v>
      </c>
      <c r="L36" s="89">
        <v>0</v>
      </c>
      <c r="M36" s="86">
        <v>0</v>
      </c>
      <c r="N36" s="72">
        <v>0</v>
      </c>
      <c r="O36" s="54">
        <v>0</v>
      </c>
      <c r="P36" s="89">
        <v>0</v>
      </c>
      <c r="Q36" s="86">
        <v>0</v>
      </c>
      <c r="R36" s="72">
        <v>12.179878200000001</v>
      </c>
      <c r="S36" s="32">
        <v>36.54</v>
      </c>
      <c r="T36" s="84">
        <v>0</v>
      </c>
      <c r="U36" s="80">
        <v>0</v>
      </c>
      <c r="V36" s="65">
        <v>12.179878200000001</v>
      </c>
      <c r="W36" s="32">
        <f t="shared" ref="W36:Y41" si="9">SUM(G36,K36,O36,S36)</f>
        <v>36.54</v>
      </c>
      <c r="X36" s="84">
        <f t="shared" si="9"/>
        <v>0</v>
      </c>
      <c r="Y36" s="80">
        <f t="shared" si="9"/>
        <v>0</v>
      </c>
    </row>
    <row r="37" spans="1:25">
      <c r="A37" s="41" t="s">
        <v>59</v>
      </c>
      <c r="B37" s="39">
        <v>0</v>
      </c>
      <c r="C37" s="54">
        <v>0</v>
      </c>
      <c r="D37" s="89">
        <v>0</v>
      </c>
      <c r="E37" s="86">
        <v>0</v>
      </c>
      <c r="F37" s="72">
        <v>0</v>
      </c>
      <c r="G37" s="54">
        <v>0</v>
      </c>
      <c r="H37" s="89">
        <v>0</v>
      </c>
      <c r="I37" s="86">
        <v>0</v>
      </c>
      <c r="J37" s="72">
        <v>0</v>
      </c>
      <c r="K37" s="54">
        <v>0</v>
      </c>
      <c r="L37" s="89">
        <v>0</v>
      </c>
      <c r="M37" s="86">
        <v>0</v>
      </c>
      <c r="N37" s="72">
        <v>0</v>
      </c>
      <c r="O37" s="54">
        <v>0</v>
      </c>
      <c r="P37" s="89">
        <v>0</v>
      </c>
      <c r="Q37" s="86">
        <v>0</v>
      </c>
      <c r="R37" s="72">
        <v>0</v>
      </c>
      <c r="S37" s="22">
        <v>0</v>
      </c>
      <c r="T37" s="82">
        <v>0</v>
      </c>
      <c r="U37" s="78">
        <v>0</v>
      </c>
      <c r="V37" s="39">
        <v>0</v>
      </c>
      <c r="W37" s="22">
        <f t="shared" si="9"/>
        <v>0</v>
      </c>
      <c r="X37" s="82">
        <f t="shared" si="9"/>
        <v>0</v>
      </c>
      <c r="Y37" s="78">
        <f t="shared" si="9"/>
        <v>0</v>
      </c>
    </row>
    <row r="38" spans="1:25">
      <c r="A38" s="41" t="s">
        <v>39</v>
      </c>
      <c r="B38" s="39">
        <v>0</v>
      </c>
      <c r="C38" s="54">
        <v>0</v>
      </c>
      <c r="D38" s="89">
        <v>0</v>
      </c>
      <c r="E38" s="86">
        <v>0</v>
      </c>
      <c r="F38" s="72">
        <v>0</v>
      </c>
      <c r="G38" s="54">
        <v>0</v>
      </c>
      <c r="H38" s="89">
        <v>0</v>
      </c>
      <c r="I38" s="86">
        <v>0</v>
      </c>
      <c r="J38" s="72">
        <v>0</v>
      </c>
      <c r="K38" s="54">
        <v>0</v>
      </c>
      <c r="L38" s="89">
        <v>0</v>
      </c>
      <c r="M38" s="86">
        <v>0</v>
      </c>
      <c r="N38" s="72">
        <v>0</v>
      </c>
      <c r="O38" s="54">
        <v>0</v>
      </c>
      <c r="P38" s="89">
        <v>0</v>
      </c>
      <c r="Q38" s="86">
        <v>0</v>
      </c>
      <c r="R38" s="72">
        <v>0</v>
      </c>
      <c r="S38" s="22">
        <v>0</v>
      </c>
      <c r="T38" s="82">
        <v>0</v>
      </c>
      <c r="U38" s="78">
        <v>0</v>
      </c>
      <c r="V38" s="39">
        <v>0</v>
      </c>
      <c r="W38" s="22">
        <f t="shared" si="9"/>
        <v>0</v>
      </c>
      <c r="X38" s="82">
        <f t="shared" si="9"/>
        <v>0</v>
      </c>
      <c r="Y38" s="78">
        <f t="shared" si="9"/>
        <v>0</v>
      </c>
    </row>
    <row r="39" spans="1:25">
      <c r="A39" s="92" t="s">
        <v>31</v>
      </c>
      <c r="B39" s="93">
        <v>0</v>
      </c>
      <c r="C39" s="94">
        <v>0</v>
      </c>
      <c r="D39" s="100">
        <v>0</v>
      </c>
      <c r="E39" s="99">
        <v>0</v>
      </c>
      <c r="F39" s="95">
        <v>0</v>
      </c>
      <c r="G39" s="94">
        <v>0</v>
      </c>
      <c r="H39" s="100">
        <v>0</v>
      </c>
      <c r="I39" s="99">
        <v>0</v>
      </c>
      <c r="J39" s="95">
        <v>0</v>
      </c>
      <c r="K39" s="94">
        <v>0</v>
      </c>
      <c r="L39" s="100">
        <v>0</v>
      </c>
      <c r="M39" s="99">
        <v>0</v>
      </c>
      <c r="N39" s="95">
        <v>0</v>
      </c>
      <c r="O39" s="94">
        <v>0</v>
      </c>
      <c r="P39" s="100">
        <v>0</v>
      </c>
      <c r="Q39" s="99">
        <v>0</v>
      </c>
      <c r="R39" s="95">
        <v>0</v>
      </c>
      <c r="S39" s="96">
        <v>0</v>
      </c>
      <c r="T39" s="98">
        <v>0</v>
      </c>
      <c r="U39" s="97">
        <v>0</v>
      </c>
      <c r="V39" s="93">
        <v>0</v>
      </c>
      <c r="W39" s="96">
        <f t="shared" si="9"/>
        <v>0</v>
      </c>
      <c r="X39" s="98">
        <f t="shared" si="9"/>
        <v>0</v>
      </c>
      <c r="Y39" s="97">
        <f t="shared" si="9"/>
        <v>0</v>
      </c>
    </row>
    <row r="40" spans="1:25">
      <c r="A40" s="41" t="s">
        <v>27</v>
      </c>
      <c r="B40" s="39">
        <v>1274</v>
      </c>
      <c r="C40" s="54">
        <v>1272</v>
      </c>
      <c r="D40" s="89">
        <v>1271</v>
      </c>
      <c r="E40" s="86">
        <v>2201</v>
      </c>
      <c r="F40" s="72">
        <v>302.20697790000003</v>
      </c>
      <c r="G40" s="54">
        <v>294.51</v>
      </c>
      <c r="H40" s="89">
        <v>460.88</v>
      </c>
      <c r="I40" s="86">
        <v>151.24</v>
      </c>
      <c r="J40" s="72">
        <v>824.47842179999998</v>
      </c>
      <c r="K40" s="54">
        <v>772.83</v>
      </c>
      <c r="L40" s="89">
        <v>450.44</v>
      </c>
      <c r="M40" s="86">
        <v>1250.19</v>
      </c>
      <c r="N40" s="72">
        <v>257.82742170000006</v>
      </c>
      <c r="O40" s="54">
        <v>376.98</v>
      </c>
      <c r="P40" s="89">
        <v>275.31</v>
      </c>
      <c r="Q40" s="86">
        <v>121.2</v>
      </c>
      <c r="R40" s="72">
        <v>492.18841140000006</v>
      </c>
      <c r="S40" s="22">
        <v>153.61000000000001</v>
      </c>
      <c r="T40" s="82">
        <v>227.53</v>
      </c>
      <c r="U40" s="78">
        <v>1095.44</v>
      </c>
      <c r="V40" s="39">
        <v>1876.7012328000001</v>
      </c>
      <c r="W40" s="22">
        <f t="shared" si="9"/>
        <v>1597.9300000000003</v>
      </c>
      <c r="X40" s="82">
        <f t="shared" si="9"/>
        <v>1414.1599999999999</v>
      </c>
      <c r="Y40" s="78">
        <f t="shared" si="9"/>
        <v>2618.0700000000002</v>
      </c>
    </row>
    <row r="41" spans="1:25">
      <c r="A41" s="42" t="s">
        <v>25</v>
      </c>
      <c r="B41" s="64">
        <v>103</v>
      </c>
      <c r="C41" s="59">
        <v>105</v>
      </c>
      <c r="D41" s="91">
        <v>105</v>
      </c>
      <c r="E41" s="88">
        <v>264</v>
      </c>
      <c r="F41" s="73">
        <v>26.7297327</v>
      </c>
      <c r="G41" s="59">
        <v>23.88</v>
      </c>
      <c r="H41" s="91">
        <v>38.159999999999997</v>
      </c>
      <c r="I41" s="88">
        <v>18.149999999999999</v>
      </c>
      <c r="J41" s="73">
        <v>83.325833400000008</v>
      </c>
      <c r="K41" s="59">
        <v>62.67</v>
      </c>
      <c r="L41" s="91">
        <v>37.29</v>
      </c>
      <c r="M41" s="88">
        <v>150.02000000000001</v>
      </c>
      <c r="N41" s="73">
        <v>22.6364403</v>
      </c>
      <c r="O41" s="59">
        <v>30.57</v>
      </c>
      <c r="P41" s="91">
        <v>22.79</v>
      </c>
      <c r="Q41" s="88">
        <v>14.55</v>
      </c>
      <c r="R41" s="73">
        <v>54.242790900000003</v>
      </c>
      <c r="S41" s="35">
        <v>12.45</v>
      </c>
      <c r="T41" s="85">
        <v>18.829999999999998</v>
      </c>
      <c r="U41" s="81">
        <v>131.44999999999999</v>
      </c>
      <c r="V41" s="64">
        <v>186.93479730000001</v>
      </c>
      <c r="W41" s="35">
        <f t="shared" si="9"/>
        <v>129.57</v>
      </c>
      <c r="X41" s="85">
        <f t="shared" si="9"/>
        <v>117.06999999999998</v>
      </c>
      <c r="Y41" s="81">
        <f t="shared" si="9"/>
        <v>314.17</v>
      </c>
    </row>
    <row r="42" spans="1:25">
      <c r="A42" s="23" t="s">
        <v>566</v>
      </c>
      <c r="B42" s="27">
        <f t="shared" ref="B42:Y42" si="10">SUM(B36:B41)</f>
        <v>1377</v>
      </c>
      <c r="C42" s="56">
        <f t="shared" si="10"/>
        <v>1377</v>
      </c>
      <c r="D42" s="56">
        <f t="shared" si="10"/>
        <v>1376</v>
      </c>
      <c r="E42" s="56">
        <f t="shared" si="10"/>
        <v>2465</v>
      </c>
      <c r="F42" s="66">
        <f t="shared" si="10"/>
        <v>328.93671060000003</v>
      </c>
      <c r="G42" s="56">
        <f t="shared" si="10"/>
        <v>318.39</v>
      </c>
      <c r="H42" s="56">
        <f t="shared" si="10"/>
        <v>499.03999999999996</v>
      </c>
      <c r="I42" s="56">
        <f t="shared" si="10"/>
        <v>169.39000000000001</v>
      </c>
      <c r="J42" s="66">
        <f t="shared" si="10"/>
        <v>907.80425519999994</v>
      </c>
      <c r="K42" s="56">
        <f t="shared" si="10"/>
        <v>835.5</v>
      </c>
      <c r="L42" s="56">
        <f t="shared" si="10"/>
        <v>487.73</v>
      </c>
      <c r="M42" s="56">
        <f t="shared" si="10"/>
        <v>1400.21</v>
      </c>
      <c r="N42" s="66">
        <f t="shared" si="10"/>
        <v>280.46386200000006</v>
      </c>
      <c r="O42" s="56">
        <f t="shared" si="10"/>
        <v>407.55</v>
      </c>
      <c r="P42" s="56">
        <f t="shared" si="10"/>
        <v>298.10000000000002</v>
      </c>
      <c r="Q42" s="56">
        <f t="shared" si="10"/>
        <v>135.75</v>
      </c>
      <c r="R42" s="66">
        <f t="shared" si="10"/>
        <v>558.61108050000007</v>
      </c>
      <c r="S42" s="37">
        <f t="shared" si="10"/>
        <v>202.6</v>
      </c>
      <c r="T42" s="37">
        <f t="shared" si="10"/>
        <v>246.36</v>
      </c>
      <c r="U42" s="37">
        <f t="shared" si="10"/>
        <v>1226.8900000000001</v>
      </c>
      <c r="V42" s="27">
        <f t="shared" si="10"/>
        <v>2075.8159083</v>
      </c>
      <c r="W42" s="37">
        <f t="shared" si="10"/>
        <v>1764.0400000000002</v>
      </c>
      <c r="X42" s="37">
        <f t="shared" si="10"/>
        <v>1531.2299999999998</v>
      </c>
      <c r="Y42" s="37">
        <f t="shared" si="10"/>
        <v>2932.2400000000002</v>
      </c>
    </row>
    <row r="43" spans="1:25" ht="16.2" thickBot="1">
      <c r="A43" s="43" t="s">
        <v>567</v>
      </c>
      <c r="B43" s="34">
        <f>SUM(B21,B30,B34,B42)</f>
        <v>21631</v>
      </c>
      <c r="C43" s="52">
        <f t="shared" ref="C43:U43" si="11">SUM(C21,C30,C34,C42)</f>
        <v>22431</v>
      </c>
      <c r="D43" s="52">
        <f t="shared" si="11"/>
        <v>22431</v>
      </c>
      <c r="E43" s="52">
        <f t="shared" si="11"/>
        <v>40746</v>
      </c>
      <c r="F43" s="34">
        <f t="shared" si="11"/>
        <v>5309.8902339000006</v>
      </c>
      <c r="G43" s="52">
        <f t="shared" si="11"/>
        <v>5000.4800000000005</v>
      </c>
      <c r="H43" s="52">
        <f t="shared" si="11"/>
        <v>8129.54</v>
      </c>
      <c r="I43" s="52">
        <f t="shared" si="11"/>
        <v>2799.81</v>
      </c>
      <c r="J43" s="34">
        <f t="shared" si="11"/>
        <v>14736.575966100001</v>
      </c>
      <c r="K43" s="52">
        <f t="shared" si="11"/>
        <v>13122.16</v>
      </c>
      <c r="L43" s="52">
        <f t="shared" si="11"/>
        <v>7945.4699999999993</v>
      </c>
      <c r="M43" s="52">
        <f t="shared" si="11"/>
        <v>23142.54</v>
      </c>
      <c r="N43" s="34">
        <f t="shared" si="11"/>
        <v>4500.1283316000008</v>
      </c>
      <c r="O43" s="52">
        <f t="shared" si="11"/>
        <v>6400.71</v>
      </c>
      <c r="P43" s="52">
        <f t="shared" si="11"/>
        <v>4856.21</v>
      </c>
      <c r="Q43" s="52">
        <f t="shared" si="11"/>
        <v>2243.6</v>
      </c>
      <c r="R43" s="34">
        <f t="shared" si="11"/>
        <v>8966.4936675000008</v>
      </c>
      <c r="S43" s="34">
        <f t="shared" si="11"/>
        <v>2608.35</v>
      </c>
      <c r="T43" s="34">
        <f t="shared" si="11"/>
        <v>4013.45</v>
      </c>
      <c r="U43" s="34">
        <f t="shared" si="11"/>
        <v>20277.949999999997</v>
      </c>
      <c r="V43" s="34">
        <f>SUM(V21,V30,V34,V42)</f>
        <v>33513.088199099999</v>
      </c>
      <c r="W43" s="34">
        <f t="shared" ref="W43:Y43" si="12">SUM(W21,W30,W34,W42)</f>
        <v>27131.7</v>
      </c>
      <c r="X43" s="34">
        <f t="shared" si="12"/>
        <v>24944.67</v>
      </c>
      <c r="Y43" s="34">
        <f t="shared" si="12"/>
        <v>48463.9</v>
      </c>
    </row>
    <row r="44" spans="1:25" ht="15" thickTop="1">
      <c r="A44" s="44" t="s">
        <v>568</v>
      </c>
      <c r="B44" s="28"/>
      <c r="C44" s="20"/>
      <c r="D44" s="20"/>
      <c r="E44" s="20"/>
      <c r="F44" s="28"/>
      <c r="G44" s="20"/>
      <c r="H44" s="20"/>
      <c r="I44" s="20"/>
      <c r="J44" s="28"/>
      <c r="K44" s="20"/>
      <c r="L44" s="20"/>
      <c r="M44" s="20"/>
      <c r="N44" s="28"/>
      <c r="O44" s="20"/>
      <c r="P44" s="20"/>
      <c r="Q44" s="20"/>
      <c r="R44" s="28"/>
      <c r="S44" s="20"/>
      <c r="T44" s="20"/>
      <c r="U44" s="20"/>
      <c r="V44" s="28"/>
      <c r="W44" s="20"/>
      <c r="X44" s="20"/>
      <c r="Y44" s="20"/>
    </row>
    <row r="45" spans="1:25">
      <c r="A45" s="40" t="s">
        <v>23</v>
      </c>
      <c r="B45" s="65">
        <v>0</v>
      </c>
      <c r="C45" s="54">
        <v>0</v>
      </c>
      <c r="D45" s="89">
        <v>0</v>
      </c>
      <c r="E45" s="86">
        <v>0</v>
      </c>
      <c r="F45" s="72">
        <v>15426.17907</v>
      </c>
      <c r="G45" s="54">
        <v>46279</v>
      </c>
      <c r="H45" s="89">
        <v>0</v>
      </c>
      <c r="I45" s="86">
        <v>0</v>
      </c>
      <c r="J45" s="72">
        <v>16333.17</v>
      </c>
      <c r="K45" s="54">
        <v>0</v>
      </c>
      <c r="L45" s="89">
        <v>32473</v>
      </c>
      <c r="M45" s="86">
        <v>16527</v>
      </c>
      <c r="N45" s="72">
        <v>0</v>
      </c>
      <c r="O45" s="54">
        <v>0</v>
      </c>
      <c r="P45" s="89">
        <v>0</v>
      </c>
      <c r="Q45" s="86">
        <v>0</v>
      </c>
      <c r="R45" s="72">
        <v>55221.621111600005</v>
      </c>
      <c r="S45" s="32">
        <v>12737.71</v>
      </c>
      <c r="T45" s="84">
        <v>60031.73</v>
      </c>
      <c r="U45" s="80">
        <v>92897.08</v>
      </c>
      <c r="V45" s="65">
        <v>86980.970181600016</v>
      </c>
      <c r="W45" s="32">
        <f t="shared" ref="W45:Y46" si="13">SUM(G45,K45,O45,S45)</f>
        <v>59016.71</v>
      </c>
      <c r="X45" s="84">
        <f t="shared" si="13"/>
        <v>92504.73000000001</v>
      </c>
      <c r="Y45" s="80">
        <f t="shared" si="13"/>
        <v>109424.08</v>
      </c>
    </row>
    <row r="46" spans="1:25">
      <c r="A46" s="42" t="s">
        <v>7</v>
      </c>
      <c r="B46" s="64">
        <v>0</v>
      </c>
      <c r="C46" s="59">
        <v>0</v>
      </c>
      <c r="D46" s="91">
        <v>0</v>
      </c>
      <c r="E46" s="88">
        <v>0</v>
      </c>
      <c r="F46" s="73">
        <v>0</v>
      </c>
      <c r="G46" s="59">
        <v>0</v>
      </c>
      <c r="H46" s="91">
        <v>0</v>
      </c>
      <c r="I46" s="88">
        <v>0</v>
      </c>
      <c r="J46" s="73">
        <v>0</v>
      </c>
      <c r="K46" s="59">
        <v>0</v>
      </c>
      <c r="L46" s="91">
        <v>0</v>
      </c>
      <c r="M46" s="88">
        <v>0</v>
      </c>
      <c r="N46" s="73">
        <v>0</v>
      </c>
      <c r="O46" s="59">
        <v>0</v>
      </c>
      <c r="P46" s="91">
        <v>0</v>
      </c>
      <c r="Q46" s="88">
        <v>0</v>
      </c>
      <c r="R46" s="73">
        <v>0</v>
      </c>
      <c r="S46" s="35">
        <v>0</v>
      </c>
      <c r="T46" s="85">
        <v>0</v>
      </c>
      <c r="U46" s="81">
        <v>0</v>
      </c>
      <c r="V46" s="64">
        <v>0</v>
      </c>
      <c r="W46" s="35">
        <f t="shared" si="13"/>
        <v>0</v>
      </c>
      <c r="X46" s="85">
        <f t="shared" si="13"/>
        <v>0</v>
      </c>
      <c r="Y46" s="81">
        <f t="shared" si="13"/>
        <v>0</v>
      </c>
    </row>
    <row r="47" spans="1:25">
      <c r="A47" s="45" t="s">
        <v>569</v>
      </c>
      <c r="B47" s="49">
        <f t="shared" ref="B47:Y47" si="14">SUM(B45:B46)</f>
        <v>0</v>
      </c>
      <c r="C47" s="60">
        <f t="shared" si="14"/>
        <v>0</v>
      </c>
      <c r="D47" s="60">
        <f t="shared" si="14"/>
        <v>0</v>
      </c>
      <c r="E47" s="60">
        <f t="shared" si="14"/>
        <v>0</v>
      </c>
      <c r="F47" s="27">
        <f t="shared" si="14"/>
        <v>15426.17907</v>
      </c>
      <c r="G47" s="60">
        <f t="shared" si="14"/>
        <v>46279</v>
      </c>
      <c r="H47" s="60">
        <f t="shared" si="14"/>
        <v>0</v>
      </c>
      <c r="I47" s="60">
        <f t="shared" si="14"/>
        <v>0</v>
      </c>
      <c r="J47" s="27">
        <f t="shared" si="14"/>
        <v>16333.17</v>
      </c>
      <c r="K47" s="60">
        <f t="shared" si="14"/>
        <v>0</v>
      </c>
      <c r="L47" s="60">
        <f t="shared" si="14"/>
        <v>32473</v>
      </c>
      <c r="M47" s="60">
        <f t="shared" si="14"/>
        <v>16527</v>
      </c>
      <c r="N47" s="27">
        <f t="shared" si="14"/>
        <v>0</v>
      </c>
      <c r="O47" s="60">
        <f t="shared" si="14"/>
        <v>0</v>
      </c>
      <c r="P47" s="60">
        <f t="shared" si="14"/>
        <v>0</v>
      </c>
      <c r="Q47" s="60">
        <f t="shared" si="14"/>
        <v>0</v>
      </c>
      <c r="R47" s="27">
        <f t="shared" si="14"/>
        <v>55221.621111600005</v>
      </c>
      <c r="S47" s="36">
        <f t="shared" si="14"/>
        <v>12737.71</v>
      </c>
      <c r="T47" s="36">
        <f t="shared" si="14"/>
        <v>60031.73</v>
      </c>
      <c r="U47" s="36">
        <f t="shared" si="14"/>
        <v>92897.08</v>
      </c>
      <c r="V47" s="49">
        <f t="shared" si="14"/>
        <v>86980.970181600016</v>
      </c>
      <c r="W47" s="36">
        <f t="shared" si="14"/>
        <v>59016.71</v>
      </c>
      <c r="X47" s="36">
        <f t="shared" si="14"/>
        <v>92504.73000000001</v>
      </c>
      <c r="Y47" s="36">
        <f t="shared" si="14"/>
        <v>109424.08</v>
      </c>
    </row>
    <row r="48" spans="1:25" ht="16.2" thickBot="1">
      <c r="A48" s="43" t="s">
        <v>570</v>
      </c>
      <c r="B48" s="34">
        <f>SUM(B12,B43,B47)</f>
        <v>0</v>
      </c>
      <c r="C48" s="52">
        <f t="shared" ref="C48:U48" si="15">SUM(C12,C43,C47)</f>
        <v>0</v>
      </c>
      <c r="D48" s="52">
        <f t="shared" si="15"/>
        <v>0</v>
      </c>
      <c r="E48" s="52">
        <f t="shared" si="15"/>
        <v>0</v>
      </c>
      <c r="F48" s="34">
        <f t="shared" si="15"/>
        <v>-157.72175610000158</v>
      </c>
      <c r="G48" s="52">
        <f t="shared" si="15"/>
        <v>40064.480000000003</v>
      </c>
      <c r="H48" s="52">
        <f t="shared" si="15"/>
        <v>-22964.46</v>
      </c>
      <c r="I48" s="52">
        <f t="shared" si="15"/>
        <v>-17573.189999999999</v>
      </c>
      <c r="J48" s="34">
        <f t="shared" si="15"/>
        <v>31069.745966100003</v>
      </c>
      <c r="K48" s="52">
        <f t="shared" si="15"/>
        <v>13122.16</v>
      </c>
      <c r="L48" s="52">
        <f t="shared" si="15"/>
        <v>40418.47</v>
      </c>
      <c r="M48" s="52">
        <f t="shared" si="15"/>
        <v>39669.54</v>
      </c>
      <c r="N48" s="34">
        <f t="shared" si="15"/>
        <v>-14602.347308400003</v>
      </c>
      <c r="O48" s="52">
        <f t="shared" si="15"/>
        <v>-4815.29</v>
      </c>
      <c r="P48" s="52">
        <f t="shared" si="15"/>
        <v>-20862.79</v>
      </c>
      <c r="Q48" s="52">
        <f t="shared" si="15"/>
        <v>-18129.400000000001</v>
      </c>
      <c r="R48" s="34">
        <f t="shared" si="15"/>
        <v>-82250.414154299986</v>
      </c>
      <c r="S48" s="34">
        <f t="shared" si="15"/>
        <v>-118303.73999999999</v>
      </c>
      <c r="T48" s="34">
        <f t="shared" si="15"/>
        <v>-53873.390000000007</v>
      </c>
      <c r="U48" s="34">
        <f t="shared" si="15"/>
        <v>-74576.579999999973</v>
      </c>
      <c r="V48" s="34">
        <f>SUM(V12,V43,V47)</f>
        <v>-65940.737252699968</v>
      </c>
      <c r="W48" s="34">
        <f t="shared" ref="W48:Y48" si="16">SUM(W12,W43,W47)</f>
        <v>-69932.389999999985</v>
      </c>
      <c r="X48" s="34">
        <f t="shared" si="16"/>
        <v>-57282.170000000013</v>
      </c>
      <c r="Y48" s="34">
        <f t="shared" si="16"/>
        <v>-70609.62999999999</v>
      </c>
    </row>
    <row r="49" spans="1:25" ht="15" thickTop="1">
      <c r="A49" s="29"/>
      <c r="B49" s="19"/>
      <c r="C49" s="48"/>
      <c r="D49" s="48"/>
      <c r="E49" s="48"/>
      <c r="F49" s="19"/>
      <c r="G49" s="48"/>
      <c r="H49" s="48"/>
      <c r="I49" s="48"/>
      <c r="J49" s="19"/>
      <c r="K49" s="48"/>
      <c r="L49" s="48"/>
      <c r="M49" s="48"/>
      <c r="N49" s="19"/>
      <c r="O49" s="48"/>
      <c r="P49" s="48"/>
      <c r="Q49" s="48"/>
      <c r="R49" s="19"/>
      <c r="S49" s="48"/>
      <c r="T49" s="48"/>
      <c r="U49" s="48"/>
      <c r="V49" s="19"/>
      <c r="W49" s="48"/>
      <c r="X49" s="48"/>
      <c r="Y49" s="48"/>
    </row>
  </sheetData>
  <conditionalFormatting sqref="B15:C21 B23:C30 B32:C34 B36:C43 V36:W43 V32:W34 V23:W30 V15:W21 R36:S43 R32:S34 R23:S30 R15:S21 N36:O43 N32:O34 N23:O30 N15:O21 J36:K43 J32:K34 J23:K30 J15:K21 F36:G43 F32:G34 F23:G30 F15:G21">
    <cfRule type="cellIs" dxfId="90" priority="13" operator="lessThan">
      <formula>-0.01</formula>
    </cfRule>
  </conditionalFormatting>
  <conditionalFormatting sqref="Y15:Y21 Y23:Y30 Y32:Y34 Y36:Y43">
    <cfRule type="cellIs" dxfId="89" priority="12" operator="lessThan">
      <formula>-0.01</formula>
    </cfRule>
  </conditionalFormatting>
  <conditionalFormatting sqref="X15:X21 X23:X30 X32:X34 X36:X43">
    <cfRule type="cellIs" dxfId="88" priority="11" operator="lessThan">
      <formula>-0.01</formula>
    </cfRule>
  </conditionalFormatting>
  <conditionalFormatting sqref="U15:U21 U23:U30 U32:U34 U36:U43">
    <cfRule type="cellIs" dxfId="87" priority="10" operator="lessThan">
      <formula>-0.01</formula>
    </cfRule>
  </conditionalFormatting>
  <conditionalFormatting sqref="T15:T21 T23:T30 T32:T34 T36:T43">
    <cfRule type="cellIs" dxfId="86" priority="9" operator="lessThan">
      <formula>-0.01</formula>
    </cfRule>
  </conditionalFormatting>
  <conditionalFormatting sqref="Q15:Q21 Q23:Q30 Q32:Q34 Q36:Q43">
    <cfRule type="cellIs" dxfId="85" priority="8" operator="lessThan">
      <formula>-0.01</formula>
    </cfRule>
  </conditionalFormatting>
  <conditionalFormatting sqref="P15:P21 P23:P30 P32:P34 P36:P43">
    <cfRule type="cellIs" dxfId="84" priority="7" operator="lessThan">
      <formula>-0.01</formula>
    </cfRule>
  </conditionalFormatting>
  <conditionalFormatting sqref="M15:M21 M23:M30 M32:M34 M36:M43">
    <cfRule type="cellIs" dxfId="83" priority="6" operator="lessThan">
      <formula>-0.01</formula>
    </cfRule>
  </conditionalFormatting>
  <conditionalFormatting sqref="L15:L21 L23:L30 L32:L34 L36:L43">
    <cfRule type="cellIs" dxfId="82" priority="5" operator="lessThan">
      <formula>-0.01</formula>
    </cfRule>
  </conditionalFormatting>
  <conditionalFormatting sqref="I15:I21 I23:I30 I32:I34 I36:I43">
    <cfRule type="cellIs" dxfId="81" priority="4" operator="lessThan">
      <formula>-0.01</formula>
    </cfRule>
  </conditionalFormatting>
  <conditionalFormatting sqref="H15:H21 H23:H30 H32:H34 H36:H43">
    <cfRule type="cellIs" dxfId="80" priority="3" operator="lessThan">
      <formula>-0.01</formula>
    </cfRule>
  </conditionalFormatting>
  <conditionalFormatting sqref="E15:E21 E23:E30 E32:E34 E36:E43">
    <cfRule type="cellIs" dxfId="79" priority="2" operator="lessThan">
      <formula>-0.01</formula>
    </cfRule>
  </conditionalFormatting>
  <conditionalFormatting sqref="D15:D21 D23:D30 D32:D34 D36:D43">
    <cfRule type="cellIs" dxfId="78" priority="1" operator="lessThan">
      <formula>-0.01</formula>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408B8F-E5A7-4E54-9F98-64E0764D4F8B}">
  <sheetPr codeName="Sheet18"/>
  <dimension ref="A1:AZ49"/>
  <sheetViews>
    <sheetView showGridLines="0" workbookViewId="0">
      <pane xSplit="1" ySplit="6" topLeftCell="B7" activePane="bottomRight" state="frozen"/>
      <selection pane="topRight" activeCell="B1" sqref="B1"/>
      <selection pane="bottomLeft" activeCell="A7" sqref="A7"/>
      <selection pane="bottomRight"/>
    </sheetView>
  </sheetViews>
  <sheetFormatPr defaultRowHeight="14.4" outlineLevelCol="1"/>
  <cols>
    <col min="1" max="1" width="32.44140625" bestFit="1" customWidth="1"/>
    <col min="2" max="2" width="16.77734375" customWidth="1"/>
    <col min="3" max="5" width="13.44140625" style="57" hidden="1" customWidth="1" outlineLevel="1"/>
    <col min="6" max="6" width="16.77734375" customWidth="1" collapsed="1"/>
    <col min="7" max="9" width="13.44140625" style="57" hidden="1" customWidth="1" outlineLevel="1"/>
    <col min="10" max="10" width="16.77734375" customWidth="1" collapsed="1"/>
    <col min="11" max="13" width="13.44140625" style="57" hidden="1" customWidth="1" outlineLevel="1"/>
    <col min="14" max="14" width="16.77734375" customWidth="1" collapsed="1"/>
    <col min="15" max="17" width="13.44140625" style="57" hidden="1" customWidth="1" outlineLevel="1"/>
    <col min="18" max="18" width="16.77734375" customWidth="1" collapsed="1"/>
    <col min="19" max="21" width="13.44140625" style="57" hidden="1" customWidth="1" outlineLevel="1"/>
    <col min="22" max="22" width="16.77734375" customWidth="1" collapsed="1"/>
    <col min="23" max="25" width="13.44140625" style="57" hidden="1" customWidth="1" outlineLevel="1"/>
    <col min="26" max="26" width="8.88671875" collapsed="1"/>
  </cols>
  <sheetData>
    <row r="1" spans="1:52" ht="15.6">
      <c r="A1" s="68" t="s">
        <v>790</v>
      </c>
      <c r="B1" s="46"/>
      <c r="C1" s="46"/>
      <c r="D1" s="46"/>
      <c r="E1" s="46"/>
      <c r="F1" s="46"/>
      <c r="G1" s="46"/>
      <c r="H1" s="46"/>
      <c r="I1" s="46"/>
      <c r="J1" s="46"/>
      <c r="K1" s="46"/>
      <c r="L1" s="46"/>
      <c r="M1" s="46"/>
      <c r="N1" s="46"/>
      <c r="O1" s="46"/>
      <c r="P1" s="46"/>
      <c r="Q1" s="46"/>
      <c r="R1" s="46"/>
      <c r="V1" s="46"/>
      <c r="W1" s="46"/>
      <c r="X1" s="46"/>
      <c r="Y1" s="46"/>
    </row>
    <row r="2" spans="1:52" ht="15.6">
      <c r="A2" s="69" t="s">
        <v>417</v>
      </c>
      <c r="B2" s="47"/>
      <c r="C2" s="47"/>
      <c r="D2" s="47"/>
      <c r="E2" s="47"/>
      <c r="F2" s="47"/>
      <c r="G2" s="47"/>
      <c r="H2" s="47"/>
      <c r="I2" s="47"/>
      <c r="J2" s="47"/>
      <c r="K2" s="47"/>
      <c r="L2" s="47"/>
      <c r="M2" s="47"/>
      <c r="N2" s="47"/>
      <c r="O2" s="47"/>
      <c r="P2" s="47"/>
      <c r="Q2" s="47"/>
      <c r="R2" s="47"/>
      <c r="V2" s="47"/>
      <c r="W2" s="47"/>
      <c r="X2" s="47"/>
      <c r="Y2" s="47"/>
    </row>
    <row r="3" spans="1:52">
      <c r="A3" s="136"/>
      <c r="B3" s="61" t="s">
        <v>589</v>
      </c>
      <c r="C3" s="50" t="s">
        <v>572</v>
      </c>
      <c r="D3" s="50" t="s">
        <v>572</v>
      </c>
      <c r="E3" s="50" t="s">
        <v>572</v>
      </c>
      <c r="F3" s="61" t="s">
        <v>573</v>
      </c>
      <c r="G3" s="50" t="s">
        <v>573</v>
      </c>
      <c r="H3" s="50" t="s">
        <v>573</v>
      </c>
      <c r="I3" s="50" t="s">
        <v>573</v>
      </c>
      <c r="J3" s="61" t="s">
        <v>575</v>
      </c>
      <c r="K3" s="50" t="s">
        <v>575</v>
      </c>
      <c r="L3" s="50" t="s">
        <v>575</v>
      </c>
      <c r="M3" s="50" t="s">
        <v>575</v>
      </c>
      <c r="N3" s="61" t="s">
        <v>576</v>
      </c>
      <c r="O3" s="50" t="s">
        <v>576</v>
      </c>
      <c r="P3" s="50" t="s">
        <v>576</v>
      </c>
      <c r="Q3" s="50" t="s">
        <v>576</v>
      </c>
      <c r="R3" s="61" t="s">
        <v>577</v>
      </c>
      <c r="S3" s="38" t="s">
        <v>577</v>
      </c>
      <c r="T3" s="38" t="s">
        <v>577</v>
      </c>
      <c r="U3" s="38" t="s">
        <v>577</v>
      </c>
      <c r="V3" s="61" t="s">
        <v>585</v>
      </c>
      <c r="W3" s="38" t="s">
        <v>585</v>
      </c>
      <c r="X3" s="38" t="s">
        <v>585</v>
      </c>
      <c r="Y3" s="38" t="s">
        <v>585</v>
      </c>
      <c r="Z3" s="136"/>
      <c r="AA3" s="136"/>
      <c r="AB3" s="136"/>
      <c r="AC3" s="136"/>
      <c r="AD3" s="136"/>
      <c r="AE3" s="136"/>
      <c r="AF3" s="136"/>
      <c r="AG3" s="136"/>
      <c r="AH3" s="136"/>
      <c r="AI3" s="136"/>
      <c r="AJ3" s="136"/>
      <c r="AK3" s="136"/>
      <c r="AL3" s="136"/>
      <c r="AM3" s="136"/>
      <c r="AN3" s="136"/>
      <c r="AO3" s="136"/>
      <c r="AP3" s="136"/>
      <c r="AQ3" s="136"/>
      <c r="AR3" s="136"/>
      <c r="AS3" s="136"/>
      <c r="AT3" s="136"/>
      <c r="AU3" s="136"/>
      <c r="AV3" s="136"/>
      <c r="AW3" s="136"/>
      <c r="AX3" s="136"/>
      <c r="AY3" s="136"/>
      <c r="AZ3" s="136"/>
    </row>
    <row r="4" spans="1:52">
      <c r="A4" s="16"/>
      <c r="B4" s="31" t="str">
        <f>_xlfn.CONCAT("FY ",rngFY+rngYRS)</f>
        <v>FY 19</v>
      </c>
      <c r="C4" s="51" t="s">
        <v>555</v>
      </c>
      <c r="D4" s="51" t="s">
        <v>555</v>
      </c>
      <c r="E4" s="51" t="s">
        <v>555</v>
      </c>
      <c r="F4" s="31" t="s">
        <v>788</v>
      </c>
      <c r="G4" s="31" t="s">
        <v>789</v>
      </c>
      <c r="H4" s="31" t="s">
        <v>789</v>
      </c>
      <c r="I4" s="31" t="s">
        <v>789</v>
      </c>
      <c r="J4" s="31" t="s">
        <v>788</v>
      </c>
      <c r="K4" s="31" t="s">
        <v>789</v>
      </c>
      <c r="L4" s="31" t="s">
        <v>789</v>
      </c>
      <c r="M4" s="31" t="s">
        <v>789</v>
      </c>
      <c r="N4" s="31" t="s">
        <v>788</v>
      </c>
      <c r="O4" s="31" t="s">
        <v>789</v>
      </c>
      <c r="P4" s="31" t="s">
        <v>789</v>
      </c>
      <c r="Q4" s="31" t="s">
        <v>789</v>
      </c>
      <c r="R4" s="31" t="s">
        <v>788</v>
      </c>
      <c r="S4" s="31" t="s">
        <v>789</v>
      </c>
      <c r="T4" s="31" t="s">
        <v>789</v>
      </c>
      <c r="U4" s="31" t="s">
        <v>789</v>
      </c>
      <c r="V4" s="31" t="s">
        <v>574</v>
      </c>
      <c r="W4" s="31" t="s">
        <v>584</v>
      </c>
      <c r="X4" s="31" t="s">
        <v>584</v>
      </c>
      <c r="Y4" s="31" t="s">
        <v>584</v>
      </c>
    </row>
    <row r="5" spans="1:52">
      <c r="A5" s="17"/>
      <c r="B5" s="31"/>
      <c r="C5" s="51" t="s">
        <v>587</v>
      </c>
      <c r="D5" s="51" t="s">
        <v>586</v>
      </c>
      <c r="E5" s="51" t="s">
        <v>590</v>
      </c>
      <c r="F5" s="31"/>
      <c r="G5" s="51" t="s">
        <v>587</v>
      </c>
      <c r="H5" s="51" t="s">
        <v>586</v>
      </c>
      <c r="I5" s="51" t="s">
        <v>590</v>
      </c>
      <c r="J5" s="31"/>
      <c r="K5" s="51" t="s">
        <v>587</v>
      </c>
      <c r="L5" s="51" t="s">
        <v>586</v>
      </c>
      <c r="M5" s="51" t="s">
        <v>590</v>
      </c>
      <c r="N5" s="31"/>
      <c r="O5" s="51" t="s">
        <v>587</v>
      </c>
      <c r="P5" s="51" t="s">
        <v>586</v>
      </c>
      <c r="Q5" s="51" t="s">
        <v>590</v>
      </c>
      <c r="R5" s="31"/>
      <c r="S5" s="31" t="s">
        <v>587</v>
      </c>
      <c r="T5" s="31" t="s">
        <v>586</v>
      </c>
      <c r="U5" s="31" t="s">
        <v>590</v>
      </c>
      <c r="V5" s="31"/>
      <c r="W5" s="31" t="s">
        <v>587</v>
      </c>
      <c r="X5" s="31" t="s">
        <v>586</v>
      </c>
      <c r="Y5" s="31" t="s">
        <v>590</v>
      </c>
    </row>
    <row r="6" spans="1:52">
      <c r="A6" s="70"/>
      <c r="B6" s="62"/>
      <c r="C6" s="53"/>
      <c r="D6" s="53"/>
      <c r="E6" s="53"/>
      <c r="F6" s="62"/>
      <c r="G6" s="53"/>
      <c r="H6" s="53"/>
      <c r="I6" s="53"/>
      <c r="J6" s="62"/>
      <c r="K6" s="53"/>
      <c r="L6" s="53"/>
      <c r="M6" s="53"/>
      <c r="N6" s="62"/>
      <c r="O6" s="53"/>
      <c r="P6" s="53"/>
      <c r="Q6" s="53"/>
      <c r="R6" s="62"/>
      <c r="S6" s="62"/>
      <c r="T6" s="62"/>
      <c r="U6" s="62"/>
      <c r="V6" s="62"/>
      <c r="W6" s="62"/>
      <c r="X6" s="62"/>
      <c r="Y6" s="62"/>
    </row>
    <row r="7" spans="1:52">
      <c r="A7" s="18" t="s">
        <v>556</v>
      </c>
      <c r="B7" s="63"/>
      <c r="C7" s="58"/>
      <c r="D7" s="58"/>
      <c r="E7" s="58"/>
      <c r="F7" s="63"/>
      <c r="G7" s="58"/>
      <c r="H7" s="58"/>
      <c r="I7" s="58"/>
      <c r="J7" s="63"/>
      <c r="K7" s="58"/>
      <c r="L7" s="58"/>
      <c r="M7" s="58"/>
      <c r="N7" s="63"/>
      <c r="O7" s="58"/>
      <c r="P7" s="58"/>
      <c r="Q7" s="58"/>
      <c r="R7" s="63"/>
      <c r="S7" s="63"/>
      <c r="T7" s="63"/>
      <c r="U7" s="63"/>
      <c r="V7" s="63"/>
      <c r="W7" s="63"/>
      <c r="X7" s="63"/>
      <c r="Y7" s="63"/>
    </row>
    <row r="8" spans="1:52">
      <c r="A8" s="40" t="s">
        <v>557</v>
      </c>
      <c r="B8" s="39">
        <v>0</v>
      </c>
      <c r="C8" s="54">
        <v>0</v>
      </c>
      <c r="D8" s="89">
        <v>0</v>
      </c>
      <c r="E8" s="86">
        <v>0</v>
      </c>
      <c r="F8" s="72">
        <v>0</v>
      </c>
      <c r="G8" s="54">
        <v>0</v>
      </c>
      <c r="H8" s="89">
        <v>0</v>
      </c>
      <c r="I8" s="86">
        <v>0</v>
      </c>
      <c r="J8" s="72">
        <v>0</v>
      </c>
      <c r="K8" s="54">
        <v>0</v>
      </c>
      <c r="L8" s="89">
        <v>0</v>
      </c>
      <c r="M8" s="86">
        <v>0</v>
      </c>
      <c r="N8" s="72">
        <v>0</v>
      </c>
      <c r="O8" s="54">
        <v>0</v>
      </c>
      <c r="P8" s="89">
        <v>0</v>
      </c>
      <c r="Q8" s="86">
        <v>0</v>
      </c>
      <c r="R8" s="72">
        <v>0</v>
      </c>
      <c r="S8" s="22">
        <v>0</v>
      </c>
      <c r="T8" s="82">
        <v>0</v>
      </c>
      <c r="U8" s="78">
        <v>0</v>
      </c>
      <c r="V8" s="39">
        <v>0</v>
      </c>
      <c r="W8" s="22">
        <f t="shared" ref="W8:Y11" si="0">SUM(G8,K8,O8,S8)</f>
        <v>0</v>
      </c>
      <c r="X8" s="82">
        <f t="shared" si="0"/>
        <v>0</v>
      </c>
      <c r="Y8" s="78">
        <f t="shared" si="0"/>
        <v>0</v>
      </c>
    </row>
    <row r="9" spans="1:52">
      <c r="A9" s="41" t="s">
        <v>558</v>
      </c>
      <c r="B9" s="39">
        <v>0</v>
      </c>
      <c r="C9" s="55">
        <v>0</v>
      </c>
      <c r="D9" s="90">
        <v>0</v>
      </c>
      <c r="E9" s="87">
        <v>0</v>
      </c>
      <c r="F9" s="72">
        <v>0</v>
      </c>
      <c r="G9" s="55">
        <v>0</v>
      </c>
      <c r="H9" s="90">
        <v>0</v>
      </c>
      <c r="I9" s="87">
        <v>0</v>
      </c>
      <c r="J9" s="72">
        <v>0</v>
      </c>
      <c r="K9" s="55">
        <v>0</v>
      </c>
      <c r="L9" s="90">
        <v>0</v>
      </c>
      <c r="M9" s="87">
        <v>0</v>
      </c>
      <c r="N9" s="72">
        <v>0</v>
      </c>
      <c r="O9" s="55">
        <v>0</v>
      </c>
      <c r="P9" s="90">
        <v>0</v>
      </c>
      <c r="Q9" s="87">
        <v>0</v>
      </c>
      <c r="R9" s="72">
        <v>0</v>
      </c>
      <c r="S9" s="33">
        <v>0</v>
      </c>
      <c r="T9" s="83">
        <v>0</v>
      </c>
      <c r="U9" s="79">
        <v>0</v>
      </c>
      <c r="V9" s="39">
        <v>0</v>
      </c>
      <c r="W9" s="33">
        <f t="shared" si="0"/>
        <v>0</v>
      </c>
      <c r="X9" s="83">
        <f t="shared" si="0"/>
        <v>0</v>
      </c>
      <c r="Y9" s="79">
        <f t="shared" si="0"/>
        <v>0</v>
      </c>
    </row>
    <row r="10" spans="1:52">
      <c r="A10" s="41" t="s">
        <v>212</v>
      </c>
      <c r="B10" s="39">
        <v>0</v>
      </c>
      <c r="C10" s="55">
        <v>0</v>
      </c>
      <c r="D10" s="90">
        <v>0</v>
      </c>
      <c r="E10" s="87">
        <v>0</v>
      </c>
      <c r="F10" s="72">
        <v>0</v>
      </c>
      <c r="G10" s="55">
        <v>0</v>
      </c>
      <c r="H10" s="90">
        <v>0</v>
      </c>
      <c r="I10" s="87">
        <v>0</v>
      </c>
      <c r="J10" s="72">
        <v>0</v>
      </c>
      <c r="K10" s="55">
        <v>0</v>
      </c>
      <c r="L10" s="90">
        <v>0</v>
      </c>
      <c r="M10" s="87">
        <v>0</v>
      </c>
      <c r="N10" s="72">
        <v>0</v>
      </c>
      <c r="O10" s="55">
        <v>0</v>
      </c>
      <c r="P10" s="90">
        <v>0</v>
      </c>
      <c r="Q10" s="87">
        <v>0</v>
      </c>
      <c r="R10" s="72">
        <v>0</v>
      </c>
      <c r="S10" s="33">
        <v>0</v>
      </c>
      <c r="T10" s="83">
        <v>0</v>
      </c>
      <c r="U10" s="79">
        <v>0</v>
      </c>
      <c r="V10" s="39">
        <v>0</v>
      </c>
      <c r="W10" s="33">
        <f t="shared" si="0"/>
        <v>0</v>
      </c>
      <c r="X10" s="83">
        <f t="shared" si="0"/>
        <v>0</v>
      </c>
      <c r="Y10" s="79">
        <f t="shared" si="0"/>
        <v>0</v>
      </c>
    </row>
    <row r="11" spans="1:52">
      <c r="A11" s="42" t="s">
        <v>210</v>
      </c>
      <c r="B11" s="64">
        <v>0</v>
      </c>
      <c r="C11" s="55">
        <v>0</v>
      </c>
      <c r="D11" s="90">
        <v>0</v>
      </c>
      <c r="E11" s="87">
        <v>0</v>
      </c>
      <c r="F11" s="73">
        <v>0</v>
      </c>
      <c r="G11" s="55">
        <v>0</v>
      </c>
      <c r="H11" s="90">
        <v>0</v>
      </c>
      <c r="I11" s="87">
        <v>0</v>
      </c>
      <c r="J11" s="73">
        <v>0</v>
      </c>
      <c r="K11" s="55">
        <v>0</v>
      </c>
      <c r="L11" s="90">
        <v>0</v>
      </c>
      <c r="M11" s="87">
        <v>0</v>
      </c>
      <c r="N11" s="73">
        <v>0</v>
      </c>
      <c r="O11" s="55">
        <v>0</v>
      </c>
      <c r="P11" s="90">
        <v>0</v>
      </c>
      <c r="Q11" s="87">
        <v>0</v>
      </c>
      <c r="R11" s="73">
        <v>0</v>
      </c>
      <c r="S11" s="33">
        <v>0</v>
      </c>
      <c r="T11" s="83">
        <v>0</v>
      </c>
      <c r="U11" s="79">
        <v>0</v>
      </c>
      <c r="V11" s="64">
        <v>0</v>
      </c>
      <c r="W11" s="33">
        <f t="shared" si="0"/>
        <v>0</v>
      </c>
      <c r="X11" s="83">
        <f t="shared" si="0"/>
        <v>0</v>
      </c>
      <c r="Y11" s="79">
        <f t="shared" si="0"/>
        <v>0</v>
      </c>
    </row>
    <row r="12" spans="1:52" ht="16.2" thickBot="1">
      <c r="A12" s="43" t="s">
        <v>559</v>
      </c>
      <c r="B12" s="34">
        <f>SUM(B8:B11)</f>
        <v>0</v>
      </c>
      <c r="C12" s="52">
        <f t="shared" ref="C12:U12" si="1">SUM(C8:C11)</f>
        <v>0</v>
      </c>
      <c r="D12" s="52">
        <f t="shared" si="1"/>
        <v>0</v>
      </c>
      <c r="E12" s="52">
        <f t="shared" si="1"/>
        <v>0</v>
      </c>
      <c r="F12" s="34">
        <f t="shared" si="1"/>
        <v>0</v>
      </c>
      <c r="G12" s="52">
        <f t="shared" si="1"/>
        <v>0</v>
      </c>
      <c r="H12" s="52">
        <f t="shared" si="1"/>
        <v>0</v>
      </c>
      <c r="I12" s="52">
        <f t="shared" si="1"/>
        <v>0</v>
      </c>
      <c r="J12" s="34">
        <f t="shared" si="1"/>
        <v>0</v>
      </c>
      <c r="K12" s="52">
        <f t="shared" si="1"/>
        <v>0</v>
      </c>
      <c r="L12" s="52">
        <f t="shared" si="1"/>
        <v>0</v>
      </c>
      <c r="M12" s="52">
        <f t="shared" si="1"/>
        <v>0</v>
      </c>
      <c r="N12" s="34">
        <f t="shared" si="1"/>
        <v>0</v>
      </c>
      <c r="O12" s="52">
        <f t="shared" si="1"/>
        <v>0</v>
      </c>
      <c r="P12" s="52">
        <f t="shared" si="1"/>
        <v>0</v>
      </c>
      <c r="Q12" s="52">
        <f t="shared" si="1"/>
        <v>0</v>
      </c>
      <c r="R12" s="34">
        <f t="shared" si="1"/>
        <v>0</v>
      </c>
      <c r="S12" s="34">
        <f t="shared" si="1"/>
        <v>0</v>
      </c>
      <c r="T12" s="34">
        <f t="shared" si="1"/>
        <v>0</v>
      </c>
      <c r="U12" s="34">
        <f t="shared" si="1"/>
        <v>0</v>
      </c>
      <c r="V12" s="34">
        <f>SUM(V8:V11)</f>
        <v>0</v>
      </c>
      <c r="W12" s="34">
        <f t="shared" ref="W12:Y12" si="2">SUM(W8:W11)</f>
        <v>0</v>
      </c>
      <c r="X12" s="34">
        <f t="shared" si="2"/>
        <v>0</v>
      </c>
      <c r="Y12" s="34">
        <f t="shared" si="2"/>
        <v>0</v>
      </c>
    </row>
    <row r="13" spans="1:52" ht="15" thickTop="1">
      <c r="A13" s="67"/>
      <c r="B13" s="67"/>
      <c r="C13" s="67"/>
      <c r="D13" s="67"/>
      <c r="E13" s="67"/>
      <c r="F13" s="67"/>
      <c r="G13" s="67"/>
      <c r="H13" s="67"/>
      <c r="I13" s="67"/>
      <c r="J13" s="67"/>
      <c r="K13" s="67"/>
      <c r="L13" s="67"/>
      <c r="M13" s="67"/>
      <c r="N13" s="67"/>
      <c r="O13" s="67"/>
      <c r="P13" s="67"/>
      <c r="Q13" s="67"/>
      <c r="R13" s="67"/>
      <c r="S13" s="67"/>
      <c r="T13" s="67"/>
      <c r="U13" s="67"/>
      <c r="V13" s="67"/>
      <c r="W13" s="67"/>
      <c r="X13" s="67"/>
      <c r="Y13" s="67"/>
    </row>
    <row r="14" spans="1:52">
      <c r="A14" s="18" t="s">
        <v>560</v>
      </c>
      <c r="B14" s="20"/>
      <c r="C14" s="20"/>
      <c r="D14" s="20"/>
      <c r="E14" s="20"/>
      <c r="F14" s="20"/>
      <c r="G14" s="20"/>
      <c r="H14" s="20"/>
      <c r="I14" s="20"/>
      <c r="J14" s="20"/>
      <c r="K14" s="20"/>
      <c r="L14" s="20"/>
      <c r="M14" s="20"/>
      <c r="N14" s="20"/>
      <c r="O14" s="20"/>
      <c r="P14" s="20"/>
      <c r="Q14" s="20"/>
      <c r="R14" s="20"/>
      <c r="S14" s="20"/>
      <c r="T14" s="20"/>
      <c r="U14" s="20"/>
      <c r="V14" s="20"/>
      <c r="W14" s="20"/>
      <c r="X14" s="20"/>
      <c r="Y14" s="20"/>
    </row>
    <row r="15" spans="1:52">
      <c r="A15" s="40" t="s">
        <v>188</v>
      </c>
      <c r="B15" s="65">
        <v>0</v>
      </c>
      <c r="C15" s="54">
        <v>0</v>
      </c>
      <c r="D15" s="89">
        <v>0</v>
      </c>
      <c r="E15" s="86">
        <v>0</v>
      </c>
      <c r="F15" s="72">
        <v>0</v>
      </c>
      <c r="G15" s="54">
        <v>0</v>
      </c>
      <c r="H15" s="89">
        <v>0</v>
      </c>
      <c r="I15" s="86">
        <v>0</v>
      </c>
      <c r="J15" s="72">
        <v>0</v>
      </c>
      <c r="K15" s="54">
        <v>0</v>
      </c>
      <c r="L15" s="89">
        <v>0</v>
      </c>
      <c r="M15" s="86">
        <v>0</v>
      </c>
      <c r="N15" s="72">
        <v>0</v>
      </c>
      <c r="O15" s="54">
        <v>0</v>
      </c>
      <c r="P15" s="89">
        <v>0</v>
      </c>
      <c r="Q15" s="86">
        <v>0</v>
      </c>
      <c r="R15" s="72">
        <v>0</v>
      </c>
      <c r="S15" s="32">
        <v>0</v>
      </c>
      <c r="T15" s="84">
        <v>0</v>
      </c>
      <c r="U15" s="80">
        <v>0</v>
      </c>
      <c r="V15" s="65">
        <v>0</v>
      </c>
      <c r="W15" s="32">
        <f t="shared" ref="W15:Y20" si="3">SUM(G15,K15,O15,S15)</f>
        <v>0</v>
      </c>
      <c r="X15" s="84">
        <f t="shared" si="3"/>
        <v>0</v>
      </c>
      <c r="Y15" s="80">
        <f t="shared" si="3"/>
        <v>0</v>
      </c>
    </row>
    <row r="16" spans="1:52">
      <c r="A16" s="41" t="s">
        <v>181</v>
      </c>
      <c r="B16" s="39">
        <v>0</v>
      </c>
      <c r="C16" s="54">
        <v>0</v>
      </c>
      <c r="D16" s="89">
        <v>0</v>
      </c>
      <c r="E16" s="86">
        <v>0</v>
      </c>
      <c r="F16" s="72">
        <v>0</v>
      </c>
      <c r="G16" s="54">
        <v>0</v>
      </c>
      <c r="H16" s="89">
        <v>0</v>
      </c>
      <c r="I16" s="86">
        <v>0</v>
      </c>
      <c r="J16" s="72">
        <v>0</v>
      </c>
      <c r="K16" s="54">
        <v>0</v>
      </c>
      <c r="L16" s="89">
        <v>0</v>
      </c>
      <c r="M16" s="86">
        <v>0</v>
      </c>
      <c r="N16" s="72">
        <v>0</v>
      </c>
      <c r="O16" s="54">
        <v>0</v>
      </c>
      <c r="P16" s="89">
        <v>0</v>
      </c>
      <c r="Q16" s="86">
        <v>0</v>
      </c>
      <c r="R16" s="72">
        <v>0</v>
      </c>
      <c r="S16" s="22">
        <v>0</v>
      </c>
      <c r="T16" s="82">
        <v>0</v>
      </c>
      <c r="U16" s="78">
        <v>0</v>
      </c>
      <c r="V16" s="39">
        <v>0</v>
      </c>
      <c r="W16" s="22">
        <f t="shared" si="3"/>
        <v>0</v>
      </c>
      <c r="X16" s="82">
        <f t="shared" si="3"/>
        <v>0</v>
      </c>
      <c r="Y16" s="78">
        <f t="shared" si="3"/>
        <v>0</v>
      </c>
    </row>
    <row r="17" spans="1:25">
      <c r="A17" s="92" t="s">
        <v>174</v>
      </c>
      <c r="B17" s="93">
        <v>0</v>
      </c>
      <c r="C17" s="94">
        <v>0</v>
      </c>
      <c r="D17" s="100">
        <v>0</v>
      </c>
      <c r="E17" s="99">
        <v>0</v>
      </c>
      <c r="F17" s="95">
        <v>0</v>
      </c>
      <c r="G17" s="94">
        <v>0</v>
      </c>
      <c r="H17" s="100">
        <v>0</v>
      </c>
      <c r="I17" s="99">
        <v>0</v>
      </c>
      <c r="J17" s="95">
        <v>0</v>
      </c>
      <c r="K17" s="94">
        <v>0</v>
      </c>
      <c r="L17" s="100">
        <v>0</v>
      </c>
      <c r="M17" s="99">
        <v>0</v>
      </c>
      <c r="N17" s="95">
        <v>0</v>
      </c>
      <c r="O17" s="94">
        <v>0</v>
      </c>
      <c r="P17" s="100">
        <v>0</v>
      </c>
      <c r="Q17" s="99">
        <v>0</v>
      </c>
      <c r="R17" s="95">
        <v>0</v>
      </c>
      <c r="S17" s="96">
        <v>0</v>
      </c>
      <c r="T17" s="98">
        <v>0</v>
      </c>
      <c r="U17" s="97">
        <v>0</v>
      </c>
      <c r="V17" s="93">
        <v>0</v>
      </c>
      <c r="W17" s="96">
        <f t="shared" si="3"/>
        <v>0</v>
      </c>
      <c r="X17" s="98">
        <f t="shared" si="3"/>
        <v>0</v>
      </c>
      <c r="Y17" s="97">
        <f t="shared" si="3"/>
        <v>0</v>
      </c>
    </row>
    <row r="18" spans="1:25">
      <c r="A18" s="41" t="s">
        <v>146</v>
      </c>
      <c r="B18" s="39">
        <v>0</v>
      </c>
      <c r="C18" s="54">
        <v>0</v>
      </c>
      <c r="D18" s="89">
        <v>0</v>
      </c>
      <c r="E18" s="86">
        <v>0</v>
      </c>
      <c r="F18" s="72">
        <v>0</v>
      </c>
      <c r="G18" s="54">
        <v>0</v>
      </c>
      <c r="H18" s="89">
        <v>0</v>
      </c>
      <c r="I18" s="86">
        <v>0</v>
      </c>
      <c r="J18" s="72">
        <v>0</v>
      </c>
      <c r="K18" s="54">
        <v>0</v>
      </c>
      <c r="L18" s="89">
        <v>0</v>
      </c>
      <c r="M18" s="86">
        <v>0</v>
      </c>
      <c r="N18" s="72">
        <v>0</v>
      </c>
      <c r="O18" s="54">
        <v>0</v>
      </c>
      <c r="P18" s="89">
        <v>0</v>
      </c>
      <c r="Q18" s="86">
        <v>0</v>
      </c>
      <c r="R18" s="72">
        <v>0</v>
      </c>
      <c r="S18" s="22">
        <v>0</v>
      </c>
      <c r="T18" s="82">
        <v>0</v>
      </c>
      <c r="U18" s="78">
        <v>0</v>
      </c>
      <c r="V18" s="39">
        <v>0</v>
      </c>
      <c r="W18" s="22">
        <f t="shared" si="3"/>
        <v>0</v>
      </c>
      <c r="X18" s="82">
        <f t="shared" si="3"/>
        <v>0</v>
      </c>
      <c r="Y18" s="78">
        <f t="shared" si="3"/>
        <v>0</v>
      </c>
    </row>
    <row r="19" spans="1:25">
      <c r="A19" s="41" t="s">
        <v>139</v>
      </c>
      <c r="B19" s="39">
        <v>0</v>
      </c>
      <c r="C19" s="54">
        <v>0</v>
      </c>
      <c r="D19" s="89">
        <v>0</v>
      </c>
      <c r="E19" s="86">
        <v>0</v>
      </c>
      <c r="F19" s="72">
        <v>0</v>
      </c>
      <c r="G19" s="54">
        <v>0</v>
      </c>
      <c r="H19" s="89">
        <v>0</v>
      </c>
      <c r="I19" s="86">
        <v>0</v>
      </c>
      <c r="J19" s="72">
        <v>0</v>
      </c>
      <c r="K19" s="54">
        <v>0</v>
      </c>
      <c r="L19" s="89">
        <v>0</v>
      </c>
      <c r="M19" s="86">
        <v>0</v>
      </c>
      <c r="N19" s="72">
        <v>0</v>
      </c>
      <c r="O19" s="54">
        <v>0</v>
      </c>
      <c r="P19" s="89">
        <v>0</v>
      </c>
      <c r="Q19" s="86">
        <v>0</v>
      </c>
      <c r="R19" s="72">
        <v>0</v>
      </c>
      <c r="S19" s="22">
        <v>0</v>
      </c>
      <c r="T19" s="82">
        <v>0</v>
      </c>
      <c r="U19" s="78">
        <v>0</v>
      </c>
      <c r="V19" s="39">
        <v>0</v>
      </c>
      <c r="W19" s="22">
        <f t="shared" si="3"/>
        <v>0</v>
      </c>
      <c r="X19" s="82">
        <f t="shared" si="3"/>
        <v>0</v>
      </c>
      <c r="Y19" s="78">
        <f t="shared" si="3"/>
        <v>0</v>
      </c>
    </row>
    <row r="20" spans="1:25">
      <c r="A20" s="42" t="s">
        <v>129</v>
      </c>
      <c r="B20" s="64">
        <v>0</v>
      </c>
      <c r="C20" s="59">
        <v>0</v>
      </c>
      <c r="D20" s="91">
        <v>0</v>
      </c>
      <c r="E20" s="88">
        <v>0</v>
      </c>
      <c r="F20" s="73">
        <v>0</v>
      </c>
      <c r="G20" s="59">
        <v>0</v>
      </c>
      <c r="H20" s="91">
        <v>0</v>
      </c>
      <c r="I20" s="88">
        <v>0</v>
      </c>
      <c r="J20" s="73">
        <v>0</v>
      </c>
      <c r="K20" s="59">
        <v>0</v>
      </c>
      <c r="L20" s="91">
        <v>0</v>
      </c>
      <c r="M20" s="88">
        <v>0</v>
      </c>
      <c r="N20" s="73">
        <v>0</v>
      </c>
      <c r="O20" s="59">
        <v>0</v>
      </c>
      <c r="P20" s="91">
        <v>0</v>
      </c>
      <c r="Q20" s="88">
        <v>0</v>
      </c>
      <c r="R20" s="73">
        <v>0</v>
      </c>
      <c r="S20" s="35">
        <v>0</v>
      </c>
      <c r="T20" s="85">
        <v>0</v>
      </c>
      <c r="U20" s="81">
        <v>0</v>
      </c>
      <c r="V20" s="64">
        <v>0</v>
      </c>
      <c r="W20" s="35">
        <f t="shared" si="3"/>
        <v>0</v>
      </c>
      <c r="X20" s="85">
        <f t="shared" si="3"/>
        <v>0</v>
      </c>
      <c r="Y20" s="81">
        <f t="shared" si="3"/>
        <v>0</v>
      </c>
    </row>
    <row r="21" spans="1:25">
      <c r="A21" s="23" t="s">
        <v>561</v>
      </c>
      <c r="B21" s="27">
        <f t="shared" ref="B21:Y21" si="4">SUM(B15:B20)</f>
        <v>0</v>
      </c>
      <c r="C21" s="60">
        <f t="shared" si="4"/>
        <v>0</v>
      </c>
      <c r="D21" s="60">
        <f t="shared" si="4"/>
        <v>0</v>
      </c>
      <c r="E21" s="60">
        <f t="shared" si="4"/>
        <v>0</v>
      </c>
      <c r="F21" s="27">
        <f t="shared" si="4"/>
        <v>0</v>
      </c>
      <c r="G21" s="56">
        <f t="shared" si="4"/>
        <v>0</v>
      </c>
      <c r="H21" s="56">
        <f t="shared" si="4"/>
        <v>0</v>
      </c>
      <c r="I21" s="56">
        <f t="shared" si="4"/>
        <v>0</v>
      </c>
      <c r="J21" s="27">
        <f t="shared" si="4"/>
        <v>0</v>
      </c>
      <c r="K21" s="60">
        <f t="shared" si="4"/>
        <v>0</v>
      </c>
      <c r="L21" s="60">
        <f t="shared" si="4"/>
        <v>0</v>
      </c>
      <c r="M21" s="60">
        <f t="shared" si="4"/>
        <v>0</v>
      </c>
      <c r="N21" s="27">
        <f t="shared" si="4"/>
        <v>0</v>
      </c>
      <c r="O21" s="60">
        <f t="shared" si="4"/>
        <v>0</v>
      </c>
      <c r="P21" s="60">
        <f t="shared" si="4"/>
        <v>0</v>
      </c>
      <c r="Q21" s="60">
        <f t="shared" si="4"/>
        <v>0</v>
      </c>
      <c r="R21" s="27">
        <f t="shared" si="4"/>
        <v>0</v>
      </c>
      <c r="S21" s="36">
        <f t="shared" si="4"/>
        <v>0</v>
      </c>
      <c r="T21" s="36">
        <f t="shared" si="4"/>
        <v>0</v>
      </c>
      <c r="U21" s="36">
        <f t="shared" si="4"/>
        <v>0</v>
      </c>
      <c r="V21" s="27">
        <f t="shared" si="4"/>
        <v>0</v>
      </c>
      <c r="W21" s="36">
        <f t="shared" si="4"/>
        <v>0</v>
      </c>
      <c r="X21" s="36">
        <f t="shared" si="4"/>
        <v>0</v>
      </c>
      <c r="Y21" s="36">
        <f t="shared" si="4"/>
        <v>0</v>
      </c>
    </row>
    <row r="22" spans="1:25">
      <c r="A22" s="24" t="s">
        <v>562</v>
      </c>
      <c r="B22" s="25"/>
      <c r="C22" s="25"/>
      <c r="D22" s="25"/>
      <c r="E22" s="25"/>
      <c r="F22" s="25"/>
      <c r="G22" s="25"/>
      <c r="H22" s="25"/>
      <c r="I22" s="25"/>
      <c r="J22" s="25"/>
      <c r="K22" s="25"/>
      <c r="L22" s="25"/>
      <c r="M22" s="25"/>
      <c r="N22" s="25"/>
      <c r="O22" s="25"/>
      <c r="P22" s="25"/>
      <c r="Q22" s="25"/>
      <c r="R22" s="25"/>
      <c r="S22" s="25"/>
      <c r="T22" s="25"/>
      <c r="U22" s="25"/>
      <c r="V22" s="25"/>
      <c r="W22" s="25"/>
      <c r="X22" s="25"/>
      <c r="Y22" s="25"/>
    </row>
    <row r="23" spans="1:25">
      <c r="A23" s="40" t="s">
        <v>127</v>
      </c>
      <c r="B23" s="65">
        <v>0</v>
      </c>
      <c r="C23" s="54">
        <v>0</v>
      </c>
      <c r="D23" s="89">
        <v>0</v>
      </c>
      <c r="E23" s="86">
        <v>0</v>
      </c>
      <c r="F23" s="72">
        <v>0</v>
      </c>
      <c r="G23" s="54">
        <v>0</v>
      </c>
      <c r="H23" s="89">
        <v>0</v>
      </c>
      <c r="I23" s="86">
        <v>0</v>
      </c>
      <c r="J23" s="72">
        <v>0</v>
      </c>
      <c r="K23" s="54">
        <v>0</v>
      </c>
      <c r="L23" s="89">
        <v>0</v>
      </c>
      <c r="M23" s="86">
        <v>0</v>
      </c>
      <c r="N23" s="72">
        <v>0</v>
      </c>
      <c r="O23" s="54">
        <v>0</v>
      </c>
      <c r="P23" s="89">
        <v>0</v>
      </c>
      <c r="Q23" s="86">
        <v>0</v>
      </c>
      <c r="R23" s="72">
        <v>0</v>
      </c>
      <c r="S23" s="32">
        <v>0</v>
      </c>
      <c r="T23" s="84">
        <v>0</v>
      </c>
      <c r="U23" s="80">
        <v>0</v>
      </c>
      <c r="V23" s="65">
        <v>0</v>
      </c>
      <c r="W23" s="32">
        <f t="shared" ref="W23:Y29" si="5">SUM(G23,K23,O23,S23)</f>
        <v>0</v>
      </c>
      <c r="X23" s="84">
        <f t="shared" si="5"/>
        <v>0</v>
      </c>
      <c r="Y23" s="80">
        <f t="shared" si="5"/>
        <v>0</v>
      </c>
    </row>
    <row r="24" spans="1:25">
      <c r="A24" s="41" t="s">
        <v>120</v>
      </c>
      <c r="B24" s="39">
        <v>0</v>
      </c>
      <c r="C24" s="54">
        <v>0</v>
      </c>
      <c r="D24" s="89">
        <v>0</v>
      </c>
      <c r="E24" s="86">
        <v>0</v>
      </c>
      <c r="F24" s="72">
        <v>0</v>
      </c>
      <c r="G24" s="54">
        <v>0</v>
      </c>
      <c r="H24" s="89">
        <v>0</v>
      </c>
      <c r="I24" s="86">
        <v>0</v>
      </c>
      <c r="J24" s="72">
        <v>0</v>
      </c>
      <c r="K24" s="54">
        <v>0</v>
      </c>
      <c r="L24" s="89">
        <v>0</v>
      </c>
      <c r="M24" s="86">
        <v>0</v>
      </c>
      <c r="N24" s="72">
        <v>0</v>
      </c>
      <c r="O24" s="54">
        <v>0</v>
      </c>
      <c r="P24" s="89">
        <v>0</v>
      </c>
      <c r="Q24" s="86">
        <v>0</v>
      </c>
      <c r="R24" s="72">
        <v>0</v>
      </c>
      <c r="S24" s="22">
        <v>0</v>
      </c>
      <c r="T24" s="82">
        <v>0</v>
      </c>
      <c r="U24" s="78">
        <v>0</v>
      </c>
      <c r="V24" s="39">
        <v>0</v>
      </c>
      <c r="W24" s="22">
        <f t="shared" si="5"/>
        <v>0</v>
      </c>
      <c r="X24" s="82">
        <f t="shared" si="5"/>
        <v>0</v>
      </c>
      <c r="Y24" s="78">
        <f t="shared" si="5"/>
        <v>0</v>
      </c>
    </row>
    <row r="25" spans="1:25">
      <c r="A25" s="41" t="s">
        <v>107</v>
      </c>
      <c r="B25" s="39">
        <v>0</v>
      </c>
      <c r="C25" s="54">
        <v>0</v>
      </c>
      <c r="D25" s="89">
        <v>0</v>
      </c>
      <c r="E25" s="86">
        <v>0</v>
      </c>
      <c r="F25" s="72">
        <v>0</v>
      </c>
      <c r="G25" s="54">
        <v>0</v>
      </c>
      <c r="H25" s="89">
        <v>0</v>
      </c>
      <c r="I25" s="86">
        <v>0</v>
      </c>
      <c r="J25" s="72">
        <v>0</v>
      </c>
      <c r="K25" s="54">
        <v>0</v>
      </c>
      <c r="L25" s="89">
        <v>0</v>
      </c>
      <c r="M25" s="86">
        <v>0</v>
      </c>
      <c r="N25" s="72">
        <v>0</v>
      </c>
      <c r="O25" s="54">
        <v>0</v>
      </c>
      <c r="P25" s="89">
        <v>0</v>
      </c>
      <c r="Q25" s="86">
        <v>0</v>
      </c>
      <c r="R25" s="72">
        <v>0</v>
      </c>
      <c r="S25" s="22">
        <v>0</v>
      </c>
      <c r="T25" s="82">
        <v>0</v>
      </c>
      <c r="U25" s="78">
        <v>0</v>
      </c>
      <c r="V25" s="39">
        <v>0</v>
      </c>
      <c r="W25" s="22">
        <f t="shared" si="5"/>
        <v>0</v>
      </c>
      <c r="X25" s="82">
        <f t="shared" si="5"/>
        <v>0</v>
      </c>
      <c r="Y25" s="78">
        <f t="shared" si="5"/>
        <v>0</v>
      </c>
    </row>
    <row r="26" spans="1:25">
      <c r="A26" s="41" t="s">
        <v>104</v>
      </c>
      <c r="B26" s="39">
        <v>0</v>
      </c>
      <c r="C26" s="54">
        <v>0</v>
      </c>
      <c r="D26" s="89">
        <v>0</v>
      </c>
      <c r="E26" s="86">
        <v>0</v>
      </c>
      <c r="F26" s="72">
        <v>0</v>
      </c>
      <c r="G26" s="54">
        <v>0</v>
      </c>
      <c r="H26" s="89">
        <v>0</v>
      </c>
      <c r="I26" s="86">
        <v>0</v>
      </c>
      <c r="J26" s="72">
        <v>0</v>
      </c>
      <c r="K26" s="54">
        <v>0</v>
      </c>
      <c r="L26" s="89">
        <v>0</v>
      </c>
      <c r="M26" s="86">
        <v>0</v>
      </c>
      <c r="N26" s="72">
        <v>0</v>
      </c>
      <c r="O26" s="54">
        <v>0</v>
      </c>
      <c r="P26" s="89">
        <v>0</v>
      </c>
      <c r="Q26" s="86">
        <v>0</v>
      </c>
      <c r="R26" s="72">
        <v>0</v>
      </c>
      <c r="S26" s="22">
        <v>0</v>
      </c>
      <c r="T26" s="82">
        <v>0</v>
      </c>
      <c r="U26" s="78">
        <v>0</v>
      </c>
      <c r="V26" s="39">
        <v>0</v>
      </c>
      <c r="W26" s="22">
        <f t="shared" si="5"/>
        <v>0</v>
      </c>
      <c r="X26" s="82">
        <f t="shared" si="5"/>
        <v>0</v>
      </c>
      <c r="Y26" s="78">
        <f t="shared" si="5"/>
        <v>0</v>
      </c>
    </row>
    <row r="27" spans="1:25">
      <c r="A27" s="41" t="s">
        <v>102</v>
      </c>
      <c r="B27" s="39">
        <v>0</v>
      </c>
      <c r="C27" s="54">
        <v>0</v>
      </c>
      <c r="D27" s="89">
        <v>0</v>
      </c>
      <c r="E27" s="86">
        <v>0</v>
      </c>
      <c r="F27" s="72">
        <v>0</v>
      </c>
      <c r="G27" s="54">
        <v>0</v>
      </c>
      <c r="H27" s="89">
        <v>0</v>
      </c>
      <c r="I27" s="86">
        <v>0</v>
      </c>
      <c r="J27" s="72">
        <v>0</v>
      </c>
      <c r="K27" s="54">
        <v>0</v>
      </c>
      <c r="L27" s="89">
        <v>0</v>
      </c>
      <c r="M27" s="86">
        <v>0</v>
      </c>
      <c r="N27" s="72">
        <v>0</v>
      </c>
      <c r="O27" s="54">
        <v>0</v>
      </c>
      <c r="P27" s="89">
        <v>0</v>
      </c>
      <c r="Q27" s="86">
        <v>0</v>
      </c>
      <c r="R27" s="72">
        <v>0</v>
      </c>
      <c r="S27" s="22">
        <v>0</v>
      </c>
      <c r="T27" s="82">
        <v>0</v>
      </c>
      <c r="U27" s="78">
        <v>0</v>
      </c>
      <c r="V27" s="39">
        <v>0</v>
      </c>
      <c r="W27" s="22">
        <f t="shared" si="5"/>
        <v>0</v>
      </c>
      <c r="X27" s="82">
        <f t="shared" si="5"/>
        <v>0</v>
      </c>
      <c r="Y27" s="78">
        <f t="shared" si="5"/>
        <v>0</v>
      </c>
    </row>
    <row r="28" spans="1:25">
      <c r="A28" s="41" t="s">
        <v>98</v>
      </c>
      <c r="B28" s="39">
        <v>0</v>
      </c>
      <c r="C28" s="54">
        <v>0</v>
      </c>
      <c r="D28" s="89">
        <v>0</v>
      </c>
      <c r="E28" s="86">
        <v>0</v>
      </c>
      <c r="F28" s="72">
        <v>0</v>
      </c>
      <c r="G28" s="54">
        <v>0</v>
      </c>
      <c r="H28" s="89">
        <v>0</v>
      </c>
      <c r="I28" s="86">
        <v>0</v>
      </c>
      <c r="J28" s="72">
        <v>0</v>
      </c>
      <c r="K28" s="54">
        <v>0</v>
      </c>
      <c r="L28" s="89">
        <v>0</v>
      </c>
      <c r="M28" s="86">
        <v>0</v>
      </c>
      <c r="N28" s="72">
        <v>0</v>
      </c>
      <c r="O28" s="54">
        <v>0</v>
      </c>
      <c r="P28" s="89">
        <v>0</v>
      </c>
      <c r="Q28" s="86">
        <v>0</v>
      </c>
      <c r="R28" s="72">
        <v>0</v>
      </c>
      <c r="S28" s="22">
        <v>0</v>
      </c>
      <c r="T28" s="82">
        <v>0</v>
      </c>
      <c r="U28" s="78">
        <v>0</v>
      </c>
      <c r="V28" s="39">
        <v>0</v>
      </c>
      <c r="W28" s="22">
        <f t="shared" si="5"/>
        <v>0</v>
      </c>
      <c r="X28" s="82">
        <f t="shared" si="5"/>
        <v>0</v>
      </c>
      <c r="Y28" s="78">
        <f t="shared" si="5"/>
        <v>0</v>
      </c>
    </row>
    <row r="29" spans="1:25">
      <c r="A29" s="42" t="s">
        <v>84</v>
      </c>
      <c r="B29" s="64">
        <v>0</v>
      </c>
      <c r="C29" s="59">
        <v>0</v>
      </c>
      <c r="D29" s="91">
        <v>0</v>
      </c>
      <c r="E29" s="88">
        <v>0</v>
      </c>
      <c r="F29" s="73">
        <v>0</v>
      </c>
      <c r="G29" s="59">
        <v>0</v>
      </c>
      <c r="H29" s="91">
        <v>0</v>
      </c>
      <c r="I29" s="88">
        <v>0</v>
      </c>
      <c r="J29" s="73">
        <v>0</v>
      </c>
      <c r="K29" s="59">
        <v>0</v>
      </c>
      <c r="L29" s="91">
        <v>0</v>
      </c>
      <c r="M29" s="88">
        <v>0</v>
      </c>
      <c r="N29" s="73">
        <v>0</v>
      </c>
      <c r="O29" s="59">
        <v>0</v>
      </c>
      <c r="P29" s="91">
        <v>0</v>
      </c>
      <c r="Q29" s="88">
        <v>0</v>
      </c>
      <c r="R29" s="73">
        <v>0</v>
      </c>
      <c r="S29" s="35">
        <v>0</v>
      </c>
      <c r="T29" s="85">
        <v>0</v>
      </c>
      <c r="U29" s="81">
        <v>0</v>
      </c>
      <c r="V29" s="64">
        <v>0</v>
      </c>
      <c r="W29" s="35">
        <f t="shared" si="5"/>
        <v>0</v>
      </c>
      <c r="X29" s="85">
        <f t="shared" si="5"/>
        <v>0</v>
      </c>
      <c r="Y29" s="81">
        <f t="shared" si="5"/>
        <v>0</v>
      </c>
    </row>
    <row r="30" spans="1:25">
      <c r="A30" s="23" t="s">
        <v>563</v>
      </c>
      <c r="B30" s="27">
        <f t="shared" ref="B30:Y30" si="6">SUM(B23:B29)</f>
        <v>0</v>
      </c>
      <c r="C30" s="60">
        <f t="shared" si="6"/>
        <v>0</v>
      </c>
      <c r="D30" s="60">
        <f t="shared" si="6"/>
        <v>0</v>
      </c>
      <c r="E30" s="60">
        <f t="shared" si="6"/>
        <v>0</v>
      </c>
      <c r="F30" s="27">
        <f t="shared" si="6"/>
        <v>0</v>
      </c>
      <c r="G30" s="60">
        <f t="shared" si="6"/>
        <v>0</v>
      </c>
      <c r="H30" s="60">
        <f t="shared" si="6"/>
        <v>0</v>
      </c>
      <c r="I30" s="60">
        <f t="shared" si="6"/>
        <v>0</v>
      </c>
      <c r="J30" s="27">
        <f t="shared" si="6"/>
        <v>0</v>
      </c>
      <c r="K30" s="60">
        <f t="shared" si="6"/>
        <v>0</v>
      </c>
      <c r="L30" s="60">
        <f t="shared" si="6"/>
        <v>0</v>
      </c>
      <c r="M30" s="60">
        <f t="shared" si="6"/>
        <v>0</v>
      </c>
      <c r="N30" s="27">
        <f t="shared" si="6"/>
        <v>0</v>
      </c>
      <c r="O30" s="60">
        <f t="shared" si="6"/>
        <v>0</v>
      </c>
      <c r="P30" s="60">
        <f t="shared" si="6"/>
        <v>0</v>
      </c>
      <c r="Q30" s="60">
        <f t="shared" si="6"/>
        <v>0</v>
      </c>
      <c r="R30" s="27">
        <f t="shared" si="6"/>
        <v>0</v>
      </c>
      <c r="S30" s="36">
        <f t="shared" si="6"/>
        <v>0</v>
      </c>
      <c r="T30" s="36">
        <f t="shared" si="6"/>
        <v>0</v>
      </c>
      <c r="U30" s="36">
        <f t="shared" si="6"/>
        <v>0</v>
      </c>
      <c r="V30" s="27">
        <f t="shared" si="6"/>
        <v>0</v>
      </c>
      <c r="W30" s="36">
        <f t="shared" si="6"/>
        <v>0</v>
      </c>
      <c r="X30" s="36">
        <f t="shared" si="6"/>
        <v>0</v>
      </c>
      <c r="Y30" s="36">
        <f t="shared" si="6"/>
        <v>0</v>
      </c>
    </row>
    <row r="31" spans="1:25">
      <c r="A31" s="24" t="s">
        <v>429</v>
      </c>
      <c r="B31" s="21"/>
      <c r="C31" s="26"/>
      <c r="D31" s="26"/>
      <c r="E31" s="26"/>
      <c r="F31" s="26"/>
      <c r="G31" s="26"/>
      <c r="H31" s="26"/>
      <c r="I31" s="26"/>
      <c r="J31" s="26"/>
      <c r="K31" s="26"/>
      <c r="L31" s="26"/>
      <c r="M31" s="26"/>
      <c r="N31" s="26"/>
      <c r="O31" s="26"/>
      <c r="P31" s="26"/>
      <c r="Q31" s="26"/>
      <c r="R31" s="26"/>
      <c r="S31" s="26"/>
      <c r="T31" s="26"/>
      <c r="U31" s="26"/>
      <c r="V31" s="21"/>
      <c r="W31" s="26"/>
      <c r="X31" s="26"/>
      <c r="Y31" s="26"/>
    </row>
    <row r="32" spans="1:25">
      <c r="A32" s="40" t="s">
        <v>81</v>
      </c>
      <c r="B32" s="65">
        <v>0</v>
      </c>
      <c r="C32" s="54">
        <v>0</v>
      </c>
      <c r="D32" s="89">
        <v>0</v>
      </c>
      <c r="E32" s="86">
        <v>0</v>
      </c>
      <c r="F32" s="72">
        <v>0</v>
      </c>
      <c r="G32" s="54">
        <v>0</v>
      </c>
      <c r="H32" s="89">
        <v>0</v>
      </c>
      <c r="I32" s="86">
        <v>0</v>
      </c>
      <c r="J32" s="72">
        <v>0</v>
      </c>
      <c r="K32" s="54">
        <v>0</v>
      </c>
      <c r="L32" s="89">
        <v>0</v>
      </c>
      <c r="M32" s="86">
        <v>0</v>
      </c>
      <c r="N32" s="72">
        <v>0</v>
      </c>
      <c r="O32" s="54">
        <v>0</v>
      </c>
      <c r="P32" s="89">
        <v>0</v>
      </c>
      <c r="Q32" s="86">
        <v>0</v>
      </c>
      <c r="R32" s="72">
        <v>0</v>
      </c>
      <c r="S32" s="32">
        <v>0</v>
      </c>
      <c r="T32" s="84">
        <v>0</v>
      </c>
      <c r="U32" s="80">
        <v>0</v>
      </c>
      <c r="V32" s="65">
        <v>0</v>
      </c>
      <c r="W32" s="32">
        <f t="shared" ref="W32:Y33" si="7">SUM(G32,K32,O32,S32)</f>
        <v>0</v>
      </c>
      <c r="X32" s="84">
        <f t="shared" si="7"/>
        <v>0</v>
      </c>
      <c r="Y32" s="80">
        <f t="shared" si="7"/>
        <v>0</v>
      </c>
    </row>
    <row r="33" spans="1:25">
      <c r="A33" s="42" t="s">
        <v>79</v>
      </c>
      <c r="B33" s="64">
        <v>0</v>
      </c>
      <c r="C33" s="59">
        <v>0</v>
      </c>
      <c r="D33" s="91">
        <v>0</v>
      </c>
      <c r="E33" s="88">
        <v>0</v>
      </c>
      <c r="F33" s="73">
        <v>0</v>
      </c>
      <c r="G33" s="59">
        <v>0</v>
      </c>
      <c r="H33" s="91">
        <v>0</v>
      </c>
      <c r="I33" s="88">
        <v>0</v>
      </c>
      <c r="J33" s="73">
        <v>0</v>
      </c>
      <c r="K33" s="59">
        <v>0</v>
      </c>
      <c r="L33" s="91">
        <v>0</v>
      </c>
      <c r="M33" s="88">
        <v>0</v>
      </c>
      <c r="N33" s="73">
        <v>0</v>
      </c>
      <c r="O33" s="59">
        <v>0</v>
      </c>
      <c r="P33" s="91">
        <v>0</v>
      </c>
      <c r="Q33" s="88">
        <v>0</v>
      </c>
      <c r="R33" s="73">
        <v>0</v>
      </c>
      <c r="S33" s="35">
        <v>0</v>
      </c>
      <c r="T33" s="85">
        <v>0</v>
      </c>
      <c r="U33" s="81">
        <v>0</v>
      </c>
      <c r="V33" s="64">
        <v>0</v>
      </c>
      <c r="W33" s="35">
        <f t="shared" si="7"/>
        <v>0</v>
      </c>
      <c r="X33" s="85">
        <f t="shared" si="7"/>
        <v>0</v>
      </c>
      <c r="Y33" s="81">
        <f t="shared" si="7"/>
        <v>0</v>
      </c>
    </row>
    <row r="34" spans="1:25">
      <c r="A34" s="23" t="s">
        <v>564</v>
      </c>
      <c r="B34" s="27">
        <f t="shared" ref="B34:Y34" si="8">SUM(B32:B33)</f>
        <v>0</v>
      </c>
      <c r="C34" s="60">
        <f t="shared" si="8"/>
        <v>0</v>
      </c>
      <c r="D34" s="60">
        <f t="shared" si="8"/>
        <v>0</v>
      </c>
      <c r="E34" s="60">
        <f t="shared" si="8"/>
        <v>0</v>
      </c>
      <c r="F34" s="27">
        <f t="shared" si="8"/>
        <v>0</v>
      </c>
      <c r="G34" s="60">
        <f t="shared" si="8"/>
        <v>0</v>
      </c>
      <c r="H34" s="60">
        <f t="shared" si="8"/>
        <v>0</v>
      </c>
      <c r="I34" s="60">
        <f t="shared" si="8"/>
        <v>0</v>
      </c>
      <c r="J34" s="27">
        <f t="shared" si="8"/>
        <v>0</v>
      </c>
      <c r="K34" s="60">
        <f t="shared" si="8"/>
        <v>0</v>
      </c>
      <c r="L34" s="60">
        <f t="shared" si="8"/>
        <v>0</v>
      </c>
      <c r="M34" s="60">
        <f t="shared" si="8"/>
        <v>0</v>
      </c>
      <c r="N34" s="27">
        <f t="shared" si="8"/>
        <v>0</v>
      </c>
      <c r="O34" s="60">
        <f t="shared" si="8"/>
        <v>0</v>
      </c>
      <c r="P34" s="60">
        <f t="shared" si="8"/>
        <v>0</v>
      </c>
      <c r="Q34" s="60">
        <f t="shared" si="8"/>
        <v>0</v>
      </c>
      <c r="R34" s="27">
        <f t="shared" si="8"/>
        <v>0</v>
      </c>
      <c r="S34" s="36">
        <f t="shared" si="8"/>
        <v>0</v>
      </c>
      <c r="T34" s="36">
        <f t="shared" si="8"/>
        <v>0</v>
      </c>
      <c r="U34" s="36">
        <f t="shared" si="8"/>
        <v>0</v>
      </c>
      <c r="V34" s="27">
        <f t="shared" si="8"/>
        <v>0</v>
      </c>
      <c r="W34" s="36">
        <f t="shared" si="8"/>
        <v>0</v>
      </c>
      <c r="X34" s="36">
        <f t="shared" si="8"/>
        <v>0</v>
      </c>
      <c r="Y34" s="36">
        <f t="shared" si="8"/>
        <v>0</v>
      </c>
    </row>
    <row r="35" spans="1:25">
      <c r="A35" s="24" t="s">
        <v>565</v>
      </c>
      <c r="B35" s="26"/>
      <c r="C35" s="26"/>
      <c r="D35" s="26"/>
      <c r="E35" s="26"/>
      <c r="F35" s="26"/>
      <c r="G35" s="26"/>
      <c r="H35" s="26"/>
      <c r="I35" s="26"/>
      <c r="J35" s="26"/>
      <c r="K35" s="26"/>
      <c r="L35" s="26"/>
      <c r="M35" s="26"/>
      <c r="N35" s="26"/>
      <c r="O35" s="26"/>
      <c r="P35" s="26"/>
      <c r="Q35" s="26"/>
      <c r="R35" s="26"/>
      <c r="S35" s="26"/>
      <c r="T35" s="26"/>
      <c r="U35" s="26"/>
      <c r="V35" s="26"/>
      <c r="W35" s="26"/>
      <c r="X35" s="26"/>
      <c r="Y35" s="26"/>
    </row>
    <row r="36" spans="1:25">
      <c r="A36" s="40" t="s">
        <v>77</v>
      </c>
      <c r="B36" s="65">
        <v>0</v>
      </c>
      <c r="C36" s="54">
        <v>0</v>
      </c>
      <c r="D36" s="89">
        <v>0</v>
      </c>
      <c r="E36" s="86">
        <v>0</v>
      </c>
      <c r="F36" s="72">
        <v>0</v>
      </c>
      <c r="G36" s="54">
        <v>0</v>
      </c>
      <c r="H36" s="89">
        <v>0</v>
      </c>
      <c r="I36" s="86">
        <v>0</v>
      </c>
      <c r="J36" s="72">
        <v>0</v>
      </c>
      <c r="K36" s="54">
        <v>0</v>
      </c>
      <c r="L36" s="89">
        <v>0</v>
      </c>
      <c r="M36" s="86">
        <v>0</v>
      </c>
      <c r="N36" s="72">
        <v>0</v>
      </c>
      <c r="O36" s="54">
        <v>0</v>
      </c>
      <c r="P36" s="89">
        <v>0</v>
      </c>
      <c r="Q36" s="86">
        <v>0</v>
      </c>
      <c r="R36" s="72">
        <v>0</v>
      </c>
      <c r="S36" s="32">
        <v>0</v>
      </c>
      <c r="T36" s="84">
        <v>0</v>
      </c>
      <c r="U36" s="80">
        <v>0</v>
      </c>
      <c r="V36" s="65">
        <v>0</v>
      </c>
      <c r="W36" s="32">
        <f t="shared" ref="W36:Y41" si="9">SUM(G36,K36,O36,S36)</f>
        <v>0</v>
      </c>
      <c r="X36" s="84">
        <f t="shared" si="9"/>
        <v>0</v>
      </c>
      <c r="Y36" s="80">
        <f t="shared" si="9"/>
        <v>0</v>
      </c>
    </row>
    <row r="37" spans="1:25">
      <c r="A37" s="41" t="s">
        <v>59</v>
      </c>
      <c r="B37" s="39">
        <v>0</v>
      </c>
      <c r="C37" s="54">
        <v>0</v>
      </c>
      <c r="D37" s="89">
        <v>0</v>
      </c>
      <c r="E37" s="86">
        <v>0</v>
      </c>
      <c r="F37" s="72">
        <v>0</v>
      </c>
      <c r="G37" s="54">
        <v>0</v>
      </c>
      <c r="H37" s="89">
        <v>0</v>
      </c>
      <c r="I37" s="86">
        <v>0</v>
      </c>
      <c r="J37" s="72">
        <v>0</v>
      </c>
      <c r="K37" s="54">
        <v>0</v>
      </c>
      <c r="L37" s="89">
        <v>0</v>
      </c>
      <c r="M37" s="86">
        <v>0</v>
      </c>
      <c r="N37" s="72">
        <v>0</v>
      </c>
      <c r="O37" s="54">
        <v>0</v>
      </c>
      <c r="P37" s="89">
        <v>0</v>
      </c>
      <c r="Q37" s="86">
        <v>0</v>
      </c>
      <c r="R37" s="72">
        <v>0</v>
      </c>
      <c r="S37" s="22">
        <v>0</v>
      </c>
      <c r="T37" s="82">
        <v>0</v>
      </c>
      <c r="U37" s="78">
        <v>0</v>
      </c>
      <c r="V37" s="39">
        <v>0</v>
      </c>
      <c r="W37" s="22">
        <f t="shared" si="9"/>
        <v>0</v>
      </c>
      <c r="X37" s="82">
        <f t="shared" si="9"/>
        <v>0</v>
      </c>
      <c r="Y37" s="78">
        <f t="shared" si="9"/>
        <v>0</v>
      </c>
    </row>
    <row r="38" spans="1:25">
      <c r="A38" s="41" t="s">
        <v>39</v>
      </c>
      <c r="B38" s="39">
        <v>0</v>
      </c>
      <c r="C38" s="54">
        <v>0</v>
      </c>
      <c r="D38" s="89">
        <v>0</v>
      </c>
      <c r="E38" s="86">
        <v>0</v>
      </c>
      <c r="F38" s="72">
        <v>0</v>
      </c>
      <c r="G38" s="54">
        <v>0</v>
      </c>
      <c r="H38" s="89">
        <v>0</v>
      </c>
      <c r="I38" s="86">
        <v>0</v>
      </c>
      <c r="J38" s="72">
        <v>0</v>
      </c>
      <c r="K38" s="54">
        <v>0</v>
      </c>
      <c r="L38" s="89">
        <v>0</v>
      </c>
      <c r="M38" s="86">
        <v>0</v>
      </c>
      <c r="N38" s="72">
        <v>0</v>
      </c>
      <c r="O38" s="54">
        <v>0</v>
      </c>
      <c r="P38" s="89">
        <v>0</v>
      </c>
      <c r="Q38" s="86">
        <v>0</v>
      </c>
      <c r="R38" s="72">
        <v>0</v>
      </c>
      <c r="S38" s="22">
        <v>0</v>
      </c>
      <c r="T38" s="82">
        <v>0</v>
      </c>
      <c r="U38" s="78">
        <v>0</v>
      </c>
      <c r="V38" s="39">
        <v>0</v>
      </c>
      <c r="W38" s="22">
        <f t="shared" si="9"/>
        <v>0</v>
      </c>
      <c r="X38" s="82">
        <f t="shared" si="9"/>
        <v>0</v>
      </c>
      <c r="Y38" s="78">
        <f t="shared" si="9"/>
        <v>0</v>
      </c>
    </row>
    <row r="39" spans="1:25">
      <c r="A39" s="92" t="s">
        <v>31</v>
      </c>
      <c r="B39" s="93">
        <v>0</v>
      </c>
      <c r="C39" s="94">
        <v>0</v>
      </c>
      <c r="D39" s="100">
        <v>0</v>
      </c>
      <c r="E39" s="99">
        <v>0</v>
      </c>
      <c r="F39" s="95">
        <v>0</v>
      </c>
      <c r="G39" s="94">
        <v>0</v>
      </c>
      <c r="H39" s="100">
        <v>0</v>
      </c>
      <c r="I39" s="99">
        <v>0</v>
      </c>
      <c r="J39" s="95">
        <v>0</v>
      </c>
      <c r="K39" s="94">
        <v>0</v>
      </c>
      <c r="L39" s="100">
        <v>0</v>
      </c>
      <c r="M39" s="99">
        <v>0</v>
      </c>
      <c r="N39" s="95">
        <v>0</v>
      </c>
      <c r="O39" s="94">
        <v>0</v>
      </c>
      <c r="P39" s="100">
        <v>0</v>
      </c>
      <c r="Q39" s="99">
        <v>0</v>
      </c>
      <c r="R39" s="95">
        <v>0</v>
      </c>
      <c r="S39" s="96">
        <v>0</v>
      </c>
      <c r="T39" s="98">
        <v>0</v>
      </c>
      <c r="U39" s="97">
        <v>0</v>
      </c>
      <c r="V39" s="93">
        <v>0</v>
      </c>
      <c r="W39" s="96">
        <f t="shared" si="9"/>
        <v>0</v>
      </c>
      <c r="X39" s="98">
        <f t="shared" si="9"/>
        <v>0</v>
      </c>
      <c r="Y39" s="97">
        <f t="shared" si="9"/>
        <v>0</v>
      </c>
    </row>
    <row r="40" spans="1:25">
      <c r="A40" s="41" t="s">
        <v>27</v>
      </c>
      <c r="B40" s="39">
        <v>0</v>
      </c>
      <c r="C40" s="54">
        <v>0</v>
      </c>
      <c r="D40" s="89">
        <v>0</v>
      </c>
      <c r="E40" s="86">
        <v>0</v>
      </c>
      <c r="F40" s="72">
        <v>0</v>
      </c>
      <c r="G40" s="54">
        <v>0</v>
      </c>
      <c r="H40" s="89">
        <v>0</v>
      </c>
      <c r="I40" s="86">
        <v>0</v>
      </c>
      <c r="J40" s="72">
        <v>0</v>
      </c>
      <c r="K40" s="54">
        <v>0</v>
      </c>
      <c r="L40" s="89">
        <v>0</v>
      </c>
      <c r="M40" s="86">
        <v>0</v>
      </c>
      <c r="N40" s="72">
        <v>0</v>
      </c>
      <c r="O40" s="54">
        <v>0</v>
      </c>
      <c r="P40" s="89">
        <v>0</v>
      </c>
      <c r="Q40" s="86">
        <v>0</v>
      </c>
      <c r="R40" s="72">
        <v>0</v>
      </c>
      <c r="S40" s="22">
        <v>0</v>
      </c>
      <c r="T40" s="82">
        <v>0</v>
      </c>
      <c r="U40" s="78">
        <v>0</v>
      </c>
      <c r="V40" s="39">
        <v>0</v>
      </c>
      <c r="W40" s="22">
        <f t="shared" si="9"/>
        <v>0</v>
      </c>
      <c r="X40" s="82">
        <f t="shared" si="9"/>
        <v>0</v>
      </c>
      <c r="Y40" s="78">
        <f t="shared" si="9"/>
        <v>0</v>
      </c>
    </row>
    <row r="41" spans="1:25">
      <c r="A41" s="42" t="s">
        <v>25</v>
      </c>
      <c r="B41" s="64">
        <v>0</v>
      </c>
      <c r="C41" s="59">
        <v>0</v>
      </c>
      <c r="D41" s="91">
        <v>0</v>
      </c>
      <c r="E41" s="88">
        <v>0</v>
      </c>
      <c r="F41" s="73">
        <v>0</v>
      </c>
      <c r="G41" s="59">
        <v>0</v>
      </c>
      <c r="H41" s="91">
        <v>0</v>
      </c>
      <c r="I41" s="88">
        <v>0</v>
      </c>
      <c r="J41" s="73">
        <v>0</v>
      </c>
      <c r="K41" s="59">
        <v>0</v>
      </c>
      <c r="L41" s="91">
        <v>0</v>
      </c>
      <c r="M41" s="88">
        <v>0</v>
      </c>
      <c r="N41" s="73">
        <v>0</v>
      </c>
      <c r="O41" s="59">
        <v>0</v>
      </c>
      <c r="P41" s="91">
        <v>0</v>
      </c>
      <c r="Q41" s="88">
        <v>0</v>
      </c>
      <c r="R41" s="73">
        <v>0</v>
      </c>
      <c r="S41" s="35">
        <v>0</v>
      </c>
      <c r="T41" s="85">
        <v>0</v>
      </c>
      <c r="U41" s="81">
        <v>0</v>
      </c>
      <c r="V41" s="64">
        <v>0</v>
      </c>
      <c r="W41" s="35">
        <f t="shared" si="9"/>
        <v>0</v>
      </c>
      <c r="X41" s="85">
        <f t="shared" si="9"/>
        <v>0</v>
      </c>
      <c r="Y41" s="81">
        <f t="shared" si="9"/>
        <v>0</v>
      </c>
    </row>
    <row r="42" spans="1:25">
      <c r="A42" s="23" t="s">
        <v>566</v>
      </c>
      <c r="B42" s="27">
        <f t="shared" ref="B42:Y42" si="10">SUM(B36:B41)</f>
        <v>0</v>
      </c>
      <c r="C42" s="56">
        <f t="shared" si="10"/>
        <v>0</v>
      </c>
      <c r="D42" s="56">
        <f t="shared" si="10"/>
        <v>0</v>
      </c>
      <c r="E42" s="56">
        <f t="shared" si="10"/>
        <v>0</v>
      </c>
      <c r="F42" s="66">
        <f t="shared" si="10"/>
        <v>0</v>
      </c>
      <c r="G42" s="56">
        <f t="shared" si="10"/>
        <v>0</v>
      </c>
      <c r="H42" s="56">
        <f t="shared" si="10"/>
        <v>0</v>
      </c>
      <c r="I42" s="56">
        <f t="shared" si="10"/>
        <v>0</v>
      </c>
      <c r="J42" s="66">
        <f t="shared" si="10"/>
        <v>0</v>
      </c>
      <c r="K42" s="56">
        <f t="shared" si="10"/>
        <v>0</v>
      </c>
      <c r="L42" s="56">
        <f t="shared" si="10"/>
        <v>0</v>
      </c>
      <c r="M42" s="56">
        <f t="shared" si="10"/>
        <v>0</v>
      </c>
      <c r="N42" s="66">
        <f t="shared" si="10"/>
        <v>0</v>
      </c>
      <c r="O42" s="56">
        <f t="shared" si="10"/>
        <v>0</v>
      </c>
      <c r="P42" s="56">
        <f t="shared" si="10"/>
        <v>0</v>
      </c>
      <c r="Q42" s="56">
        <f t="shared" si="10"/>
        <v>0</v>
      </c>
      <c r="R42" s="66">
        <f t="shared" si="10"/>
        <v>0</v>
      </c>
      <c r="S42" s="37">
        <f t="shared" si="10"/>
        <v>0</v>
      </c>
      <c r="T42" s="37">
        <f t="shared" si="10"/>
        <v>0</v>
      </c>
      <c r="U42" s="37">
        <f t="shared" si="10"/>
        <v>0</v>
      </c>
      <c r="V42" s="27">
        <f t="shared" si="10"/>
        <v>0</v>
      </c>
      <c r="W42" s="37">
        <f t="shared" si="10"/>
        <v>0</v>
      </c>
      <c r="X42" s="37">
        <f t="shared" si="10"/>
        <v>0</v>
      </c>
      <c r="Y42" s="37">
        <f t="shared" si="10"/>
        <v>0</v>
      </c>
    </row>
    <row r="43" spans="1:25" ht="16.2" thickBot="1">
      <c r="A43" s="43" t="s">
        <v>567</v>
      </c>
      <c r="B43" s="34">
        <f>SUM(B21,B30,B34,B42)</f>
        <v>0</v>
      </c>
      <c r="C43" s="52">
        <f t="shared" ref="C43:U43" si="11">SUM(C21,C30,C34,C42)</f>
        <v>0</v>
      </c>
      <c r="D43" s="52">
        <f t="shared" si="11"/>
        <v>0</v>
      </c>
      <c r="E43" s="52">
        <f t="shared" si="11"/>
        <v>0</v>
      </c>
      <c r="F43" s="34">
        <f t="shared" si="11"/>
        <v>0</v>
      </c>
      <c r="G43" s="52">
        <f t="shared" si="11"/>
        <v>0</v>
      </c>
      <c r="H43" s="52">
        <f t="shared" si="11"/>
        <v>0</v>
      </c>
      <c r="I43" s="52">
        <f t="shared" si="11"/>
        <v>0</v>
      </c>
      <c r="J43" s="34">
        <f t="shared" si="11"/>
        <v>0</v>
      </c>
      <c r="K43" s="52">
        <f t="shared" si="11"/>
        <v>0</v>
      </c>
      <c r="L43" s="52">
        <f t="shared" si="11"/>
        <v>0</v>
      </c>
      <c r="M43" s="52">
        <f t="shared" si="11"/>
        <v>0</v>
      </c>
      <c r="N43" s="34">
        <f t="shared" si="11"/>
        <v>0</v>
      </c>
      <c r="O43" s="52">
        <f t="shared" si="11"/>
        <v>0</v>
      </c>
      <c r="P43" s="52">
        <f t="shared" si="11"/>
        <v>0</v>
      </c>
      <c r="Q43" s="52">
        <f t="shared" si="11"/>
        <v>0</v>
      </c>
      <c r="R43" s="34">
        <f t="shared" si="11"/>
        <v>0</v>
      </c>
      <c r="S43" s="34">
        <f t="shared" si="11"/>
        <v>0</v>
      </c>
      <c r="T43" s="34">
        <f t="shared" si="11"/>
        <v>0</v>
      </c>
      <c r="U43" s="34">
        <f t="shared" si="11"/>
        <v>0</v>
      </c>
      <c r="V43" s="34">
        <f>SUM(V21,V30,V34,V42)</f>
        <v>0</v>
      </c>
      <c r="W43" s="34">
        <f t="shared" ref="W43:Y43" si="12">SUM(W21,W30,W34,W42)</f>
        <v>0</v>
      </c>
      <c r="X43" s="34">
        <f t="shared" si="12"/>
        <v>0</v>
      </c>
      <c r="Y43" s="34">
        <f t="shared" si="12"/>
        <v>0</v>
      </c>
    </row>
    <row r="44" spans="1:25" ht="15" thickTop="1">
      <c r="A44" s="44" t="s">
        <v>568</v>
      </c>
      <c r="B44" s="28"/>
      <c r="C44" s="20"/>
      <c r="D44" s="20"/>
      <c r="E44" s="20"/>
      <c r="F44" s="28"/>
      <c r="G44" s="20"/>
      <c r="H44" s="20"/>
      <c r="I44" s="20"/>
      <c r="J44" s="28"/>
      <c r="K44" s="20"/>
      <c r="L44" s="20"/>
      <c r="M44" s="20"/>
      <c r="N44" s="28"/>
      <c r="O44" s="20"/>
      <c r="P44" s="20"/>
      <c r="Q44" s="20"/>
      <c r="R44" s="28"/>
      <c r="S44" s="20"/>
      <c r="T44" s="20"/>
      <c r="U44" s="20"/>
      <c r="V44" s="28"/>
      <c r="W44" s="20"/>
      <c r="X44" s="20"/>
      <c r="Y44" s="20"/>
    </row>
    <row r="45" spans="1:25">
      <c r="A45" s="40" t="s">
        <v>23</v>
      </c>
      <c r="B45" s="65">
        <v>0</v>
      </c>
      <c r="C45" s="54">
        <v>0</v>
      </c>
      <c r="D45" s="89">
        <v>0</v>
      </c>
      <c r="E45" s="86">
        <v>0</v>
      </c>
      <c r="F45" s="72">
        <v>0</v>
      </c>
      <c r="G45" s="54">
        <v>0</v>
      </c>
      <c r="H45" s="89">
        <v>0</v>
      </c>
      <c r="I45" s="86">
        <v>0</v>
      </c>
      <c r="J45" s="72">
        <v>0</v>
      </c>
      <c r="K45" s="54">
        <v>0</v>
      </c>
      <c r="L45" s="89">
        <v>0</v>
      </c>
      <c r="M45" s="86">
        <v>0</v>
      </c>
      <c r="N45" s="72">
        <v>0</v>
      </c>
      <c r="O45" s="54">
        <v>0</v>
      </c>
      <c r="P45" s="89">
        <v>0</v>
      </c>
      <c r="Q45" s="86">
        <v>0</v>
      </c>
      <c r="R45" s="72">
        <v>0</v>
      </c>
      <c r="S45" s="32">
        <v>0</v>
      </c>
      <c r="T45" s="84">
        <v>0</v>
      </c>
      <c r="U45" s="80">
        <v>0</v>
      </c>
      <c r="V45" s="65">
        <v>0</v>
      </c>
      <c r="W45" s="32">
        <f t="shared" ref="W45:Y46" si="13">SUM(G45,K45,O45,S45)</f>
        <v>0</v>
      </c>
      <c r="X45" s="84">
        <f t="shared" si="13"/>
        <v>0</v>
      </c>
      <c r="Y45" s="80">
        <f t="shared" si="13"/>
        <v>0</v>
      </c>
    </row>
    <row r="46" spans="1:25">
      <c r="A46" s="42" t="s">
        <v>7</v>
      </c>
      <c r="B46" s="64">
        <v>0</v>
      </c>
      <c r="C46" s="59">
        <v>0</v>
      </c>
      <c r="D46" s="91">
        <v>0</v>
      </c>
      <c r="E46" s="88">
        <v>0</v>
      </c>
      <c r="F46" s="73">
        <v>0</v>
      </c>
      <c r="G46" s="59">
        <v>0</v>
      </c>
      <c r="H46" s="91">
        <v>0</v>
      </c>
      <c r="I46" s="88">
        <v>0</v>
      </c>
      <c r="J46" s="73">
        <v>0</v>
      </c>
      <c r="K46" s="59">
        <v>0</v>
      </c>
      <c r="L46" s="91">
        <v>0</v>
      </c>
      <c r="M46" s="88">
        <v>0</v>
      </c>
      <c r="N46" s="73">
        <v>0</v>
      </c>
      <c r="O46" s="59">
        <v>0</v>
      </c>
      <c r="P46" s="91">
        <v>0</v>
      </c>
      <c r="Q46" s="88">
        <v>0</v>
      </c>
      <c r="R46" s="73">
        <v>0</v>
      </c>
      <c r="S46" s="35">
        <v>0</v>
      </c>
      <c r="T46" s="85">
        <v>0</v>
      </c>
      <c r="U46" s="81">
        <v>0</v>
      </c>
      <c r="V46" s="64">
        <v>0</v>
      </c>
      <c r="W46" s="35">
        <f t="shared" si="13"/>
        <v>0</v>
      </c>
      <c r="X46" s="85">
        <f t="shared" si="13"/>
        <v>0</v>
      </c>
      <c r="Y46" s="81">
        <f t="shared" si="13"/>
        <v>0</v>
      </c>
    </row>
    <row r="47" spans="1:25">
      <c r="A47" s="45" t="s">
        <v>569</v>
      </c>
      <c r="B47" s="49">
        <f t="shared" ref="B47:Y47" si="14">SUM(B45:B46)</f>
        <v>0</v>
      </c>
      <c r="C47" s="60">
        <f t="shared" si="14"/>
        <v>0</v>
      </c>
      <c r="D47" s="60">
        <f t="shared" si="14"/>
        <v>0</v>
      </c>
      <c r="E47" s="60">
        <f t="shared" si="14"/>
        <v>0</v>
      </c>
      <c r="F47" s="27">
        <f t="shared" si="14"/>
        <v>0</v>
      </c>
      <c r="G47" s="60">
        <f t="shared" si="14"/>
        <v>0</v>
      </c>
      <c r="H47" s="60">
        <f t="shared" si="14"/>
        <v>0</v>
      </c>
      <c r="I47" s="60">
        <f t="shared" si="14"/>
        <v>0</v>
      </c>
      <c r="J47" s="27">
        <f t="shared" si="14"/>
        <v>0</v>
      </c>
      <c r="K47" s="60">
        <f t="shared" si="14"/>
        <v>0</v>
      </c>
      <c r="L47" s="60">
        <f t="shared" si="14"/>
        <v>0</v>
      </c>
      <c r="M47" s="60">
        <f t="shared" si="14"/>
        <v>0</v>
      </c>
      <c r="N47" s="27">
        <f t="shared" si="14"/>
        <v>0</v>
      </c>
      <c r="O47" s="60">
        <f t="shared" si="14"/>
        <v>0</v>
      </c>
      <c r="P47" s="60">
        <f t="shared" si="14"/>
        <v>0</v>
      </c>
      <c r="Q47" s="60">
        <f t="shared" si="14"/>
        <v>0</v>
      </c>
      <c r="R47" s="27">
        <f t="shared" si="14"/>
        <v>0</v>
      </c>
      <c r="S47" s="36">
        <f t="shared" si="14"/>
        <v>0</v>
      </c>
      <c r="T47" s="36">
        <f t="shared" si="14"/>
        <v>0</v>
      </c>
      <c r="U47" s="36">
        <f t="shared" si="14"/>
        <v>0</v>
      </c>
      <c r="V47" s="49">
        <f t="shared" si="14"/>
        <v>0</v>
      </c>
      <c r="W47" s="36">
        <f t="shared" si="14"/>
        <v>0</v>
      </c>
      <c r="X47" s="36">
        <f t="shared" si="14"/>
        <v>0</v>
      </c>
      <c r="Y47" s="36">
        <f t="shared" si="14"/>
        <v>0</v>
      </c>
    </row>
    <row r="48" spans="1:25" ht="16.2" thickBot="1">
      <c r="A48" s="43" t="s">
        <v>570</v>
      </c>
      <c r="B48" s="34">
        <f>SUM(B12,B43,B47)</f>
        <v>0</v>
      </c>
      <c r="C48" s="52">
        <f t="shared" ref="C48:U48" si="15">SUM(C12,C43,C47)</f>
        <v>0</v>
      </c>
      <c r="D48" s="52">
        <f t="shared" si="15"/>
        <v>0</v>
      </c>
      <c r="E48" s="52">
        <f t="shared" si="15"/>
        <v>0</v>
      </c>
      <c r="F48" s="34">
        <f t="shared" si="15"/>
        <v>0</v>
      </c>
      <c r="G48" s="52">
        <f t="shared" si="15"/>
        <v>0</v>
      </c>
      <c r="H48" s="52">
        <f t="shared" si="15"/>
        <v>0</v>
      </c>
      <c r="I48" s="52">
        <f t="shared" si="15"/>
        <v>0</v>
      </c>
      <c r="J48" s="34">
        <f t="shared" si="15"/>
        <v>0</v>
      </c>
      <c r="K48" s="52">
        <f t="shared" si="15"/>
        <v>0</v>
      </c>
      <c r="L48" s="52">
        <f t="shared" si="15"/>
        <v>0</v>
      </c>
      <c r="M48" s="52">
        <f t="shared" si="15"/>
        <v>0</v>
      </c>
      <c r="N48" s="34">
        <f t="shared" si="15"/>
        <v>0</v>
      </c>
      <c r="O48" s="52">
        <f t="shared" si="15"/>
        <v>0</v>
      </c>
      <c r="P48" s="52">
        <f t="shared" si="15"/>
        <v>0</v>
      </c>
      <c r="Q48" s="52">
        <f t="shared" si="15"/>
        <v>0</v>
      </c>
      <c r="R48" s="34">
        <f t="shared" si="15"/>
        <v>0</v>
      </c>
      <c r="S48" s="34">
        <f t="shared" si="15"/>
        <v>0</v>
      </c>
      <c r="T48" s="34">
        <f t="shared" si="15"/>
        <v>0</v>
      </c>
      <c r="U48" s="34">
        <f t="shared" si="15"/>
        <v>0</v>
      </c>
      <c r="V48" s="34">
        <f>SUM(V12,V43,V47)</f>
        <v>0</v>
      </c>
      <c r="W48" s="34">
        <f t="shared" ref="W48:Y48" si="16">SUM(W12,W43,W47)</f>
        <v>0</v>
      </c>
      <c r="X48" s="34">
        <f t="shared" si="16"/>
        <v>0</v>
      </c>
      <c r="Y48" s="34">
        <f t="shared" si="16"/>
        <v>0</v>
      </c>
    </row>
    <row r="49" spans="1:25" ht="15" thickTop="1">
      <c r="A49" s="29"/>
      <c r="B49" s="19"/>
      <c r="C49" s="48"/>
      <c r="D49" s="48"/>
      <c r="E49" s="48"/>
      <c r="F49" s="19"/>
      <c r="G49" s="48"/>
      <c r="H49" s="48"/>
      <c r="I49" s="48"/>
      <c r="J49" s="19"/>
      <c r="K49" s="48"/>
      <c r="L49" s="48"/>
      <c r="M49" s="48"/>
      <c r="N49" s="19"/>
      <c r="O49" s="48"/>
      <c r="P49" s="48"/>
      <c r="Q49" s="48"/>
      <c r="R49" s="19"/>
      <c r="S49" s="48"/>
      <c r="T49" s="48"/>
      <c r="U49" s="48"/>
      <c r="V49" s="19"/>
      <c r="W49" s="48"/>
      <c r="X49" s="48"/>
      <c r="Y49" s="48"/>
    </row>
  </sheetData>
  <conditionalFormatting sqref="B15:C21 B23:C30 B32:C34 B36:C43 V36:W43 V32:W34 V23:W30 V15:W21 R36:S43 R32:S34 R23:S30 R15:S21 N36:O43 N32:O34 N23:O30 N15:O21 J36:K43 J32:K34 J23:K30 J15:K21 F36:G43 F32:G34 F23:G30 F15:G21">
    <cfRule type="cellIs" dxfId="77" priority="13" operator="lessThan">
      <formula>-0.01</formula>
    </cfRule>
  </conditionalFormatting>
  <conditionalFormatting sqref="Y15:Y21 Y23:Y30 Y32:Y34 Y36:Y43">
    <cfRule type="cellIs" dxfId="76" priority="12" operator="lessThan">
      <formula>-0.01</formula>
    </cfRule>
  </conditionalFormatting>
  <conditionalFormatting sqref="X15:X21 X23:X30 X32:X34 X36:X43">
    <cfRule type="cellIs" dxfId="75" priority="11" operator="lessThan">
      <formula>-0.01</formula>
    </cfRule>
  </conditionalFormatting>
  <conditionalFormatting sqref="U15:U21 U23:U30 U32:U34 U36:U43">
    <cfRule type="cellIs" dxfId="74" priority="10" operator="lessThan">
      <formula>-0.01</formula>
    </cfRule>
  </conditionalFormatting>
  <conditionalFormatting sqref="T15:T21 T23:T30 T32:T34 T36:T43">
    <cfRule type="cellIs" dxfId="73" priority="9" operator="lessThan">
      <formula>-0.01</formula>
    </cfRule>
  </conditionalFormatting>
  <conditionalFormatting sqref="Q15:Q21 Q23:Q30 Q32:Q34 Q36:Q43">
    <cfRule type="cellIs" dxfId="72" priority="8" operator="lessThan">
      <formula>-0.01</formula>
    </cfRule>
  </conditionalFormatting>
  <conditionalFormatting sqref="P15:P21 P23:P30 P32:P34 P36:P43">
    <cfRule type="cellIs" dxfId="71" priority="7" operator="lessThan">
      <formula>-0.01</formula>
    </cfRule>
  </conditionalFormatting>
  <conditionalFormatting sqref="M15:M21 M23:M30 M32:M34 M36:M43">
    <cfRule type="cellIs" dxfId="70" priority="6" operator="lessThan">
      <formula>-0.01</formula>
    </cfRule>
  </conditionalFormatting>
  <conditionalFormatting sqref="L15:L21 L23:L30 L32:L34 L36:L43">
    <cfRule type="cellIs" dxfId="69" priority="5" operator="lessThan">
      <formula>-0.01</formula>
    </cfRule>
  </conditionalFormatting>
  <conditionalFormatting sqref="I15:I21 I23:I30 I32:I34 I36:I43">
    <cfRule type="cellIs" dxfId="68" priority="4" operator="lessThan">
      <formula>-0.01</formula>
    </cfRule>
  </conditionalFormatting>
  <conditionalFormatting sqref="H15:H21 H23:H30 H32:H34 H36:H43">
    <cfRule type="cellIs" dxfId="67" priority="3" operator="lessThan">
      <formula>-0.01</formula>
    </cfRule>
  </conditionalFormatting>
  <conditionalFormatting sqref="E15:E21 E23:E30 E32:E34 E36:E43">
    <cfRule type="cellIs" dxfId="66" priority="2" operator="lessThan">
      <formula>-0.01</formula>
    </cfRule>
  </conditionalFormatting>
  <conditionalFormatting sqref="D15:D21 D23:D30 D32:D34 D36:D43">
    <cfRule type="cellIs" dxfId="65" priority="1" operator="lessThan">
      <formula>-0.01</formula>
    </cfRule>
  </conditionalFormatting>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3D4CF5-28B8-453D-81A1-4F60727C479F}">
  <sheetPr codeName="Sheet19"/>
  <dimension ref="A1:AZ49"/>
  <sheetViews>
    <sheetView showGridLines="0" workbookViewId="0">
      <pane xSplit="1" ySplit="6" topLeftCell="B7" activePane="bottomRight" state="frozen"/>
      <selection pane="topRight" activeCell="B1" sqref="B1"/>
      <selection pane="bottomLeft" activeCell="A7" sqref="A7"/>
      <selection pane="bottomRight"/>
    </sheetView>
  </sheetViews>
  <sheetFormatPr defaultRowHeight="14.4" outlineLevelCol="1"/>
  <cols>
    <col min="1" max="1" width="32.44140625" bestFit="1" customWidth="1"/>
    <col min="2" max="2" width="16.77734375" customWidth="1"/>
    <col min="3" max="5" width="13.44140625" style="57" hidden="1" customWidth="1" outlineLevel="1"/>
    <col min="6" max="6" width="16.77734375" customWidth="1" collapsed="1"/>
    <col min="7" max="9" width="13.44140625" style="57" hidden="1" customWidth="1" outlineLevel="1"/>
    <col min="10" max="10" width="16.77734375" customWidth="1" collapsed="1"/>
    <col min="11" max="13" width="13.44140625" style="57" hidden="1" customWidth="1" outlineLevel="1"/>
    <col min="14" max="14" width="16.77734375" customWidth="1" collapsed="1"/>
    <col min="15" max="17" width="13.44140625" style="57" hidden="1" customWidth="1" outlineLevel="1"/>
    <col min="18" max="18" width="16.77734375" customWidth="1" collapsed="1"/>
    <col min="19" max="21" width="13.44140625" style="57" hidden="1" customWidth="1" outlineLevel="1"/>
    <col min="22" max="22" width="16.77734375" customWidth="1" collapsed="1"/>
    <col min="23" max="25" width="13.44140625" style="57" hidden="1" customWidth="1" outlineLevel="1"/>
    <col min="26" max="26" width="8.88671875" collapsed="1"/>
  </cols>
  <sheetData>
    <row r="1" spans="1:52" ht="15.6">
      <c r="A1" s="68" t="s">
        <v>790</v>
      </c>
      <c r="B1" s="46"/>
      <c r="C1" s="46"/>
      <c r="D1" s="46"/>
      <c r="E1" s="46"/>
      <c r="F1" s="46"/>
      <c r="G1" s="46"/>
      <c r="H1" s="46"/>
      <c r="I1" s="46"/>
      <c r="J1" s="46"/>
      <c r="K1" s="46"/>
      <c r="L1" s="46"/>
      <c r="M1" s="46"/>
      <c r="N1" s="46"/>
      <c r="O1" s="46"/>
      <c r="P1" s="46"/>
      <c r="Q1" s="46"/>
      <c r="R1" s="46"/>
      <c r="V1" s="46"/>
      <c r="W1" s="46"/>
      <c r="X1" s="46"/>
      <c r="Y1" s="46"/>
    </row>
    <row r="2" spans="1:52" ht="15.6">
      <c r="A2" s="69" t="s">
        <v>419</v>
      </c>
      <c r="B2" s="47"/>
      <c r="C2" s="47"/>
      <c r="D2" s="47"/>
      <c r="E2" s="47"/>
      <c r="F2" s="47"/>
      <c r="G2" s="47"/>
      <c r="H2" s="47"/>
      <c r="I2" s="47"/>
      <c r="J2" s="47"/>
      <c r="K2" s="47"/>
      <c r="L2" s="47"/>
      <c r="M2" s="47"/>
      <c r="N2" s="47"/>
      <c r="O2" s="47"/>
      <c r="P2" s="47"/>
      <c r="Q2" s="47"/>
      <c r="R2" s="47"/>
      <c r="V2" s="47"/>
      <c r="W2" s="47"/>
      <c r="X2" s="47"/>
      <c r="Y2" s="47"/>
    </row>
    <row r="3" spans="1:52">
      <c r="A3" s="136"/>
      <c r="B3" s="61" t="s">
        <v>589</v>
      </c>
      <c r="C3" s="50" t="s">
        <v>572</v>
      </c>
      <c r="D3" s="50" t="s">
        <v>572</v>
      </c>
      <c r="E3" s="50" t="s">
        <v>572</v>
      </c>
      <c r="F3" s="61" t="s">
        <v>573</v>
      </c>
      <c r="G3" s="50" t="s">
        <v>573</v>
      </c>
      <c r="H3" s="50" t="s">
        <v>573</v>
      </c>
      <c r="I3" s="50" t="s">
        <v>573</v>
      </c>
      <c r="J3" s="61" t="s">
        <v>575</v>
      </c>
      <c r="K3" s="50" t="s">
        <v>575</v>
      </c>
      <c r="L3" s="50" t="s">
        <v>575</v>
      </c>
      <c r="M3" s="50" t="s">
        <v>575</v>
      </c>
      <c r="N3" s="61" t="s">
        <v>576</v>
      </c>
      <c r="O3" s="50" t="s">
        <v>576</v>
      </c>
      <c r="P3" s="50" t="s">
        <v>576</v>
      </c>
      <c r="Q3" s="50" t="s">
        <v>576</v>
      </c>
      <c r="R3" s="61" t="s">
        <v>577</v>
      </c>
      <c r="S3" s="38" t="s">
        <v>577</v>
      </c>
      <c r="T3" s="38" t="s">
        <v>577</v>
      </c>
      <c r="U3" s="38" t="s">
        <v>577</v>
      </c>
      <c r="V3" s="61" t="s">
        <v>585</v>
      </c>
      <c r="W3" s="38" t="s">
        <v>585</v>
      </c>
      <c r="X3" s="38" t="s">
        <v>585</v>
      </c>
      <c r="Y3" s="38" t="s">
        <v>585</v>
      </c>
      <c r="Z3" s="136"/>
      <c r="AA3" s="136"/>
      <c r="AB3" s="136"/>
      <c r="AC3" s="136"/>
      <c r="AD3" s="136"/>
      <c r="AE3" s="136"/>
      <c r="AF3" s="136"/>
      <c r="AG3" s="136"/>
      <c r="AH3" s="136"/>
      <c r="AI3" s="136"/>
      <c r="AJ3" s="136"/>
      <c r="AK3" s="136"/>
      <c r="AL3" s="136"/>
      <c r="AM3" s="136"/>
      <c r="AN3" s="136"/>
      <c r="AO3" s="136"/>
      <c r="AP3" s="136"/>
      <c r="AQ3" s="136"/>
      <c r="AR3" s="136"/>
      <c r="AS3" s="136"/>
      <c r="AT3" s="136"/>
      <c r="AU3" s="136"/>
      <c r="AV3" s="136"/>
      <c r="AW3" s="136"/>
      <c r="AX3" s="136"/>
      <c r="AY3" s="136"/>
      <c r="AZ3" s="136"/>
    </row>
    <row r="4" spans="1:52">
      <c r="A4" s="16"/>
      <c r="B4" s="31" t="str">
        <f>_xlfn.CONCAT("FY ",rngFY+rngYRS)</f>
        <v>FY 19</v>
      </c>
      <c r="C4" s="51" t="s">
        <v>555</v>
      </c>
      <c r="D4" s="51" t="s">
        <v>555</v>
      </c>
      <c r="E4" s="51" t="s">
        <v>555</v>
      </c>
      <c r="F4" s="31" t="s">
        <v>788</v>
      </c>
      <c r="G4" s="31" t="s">
        <v>789</v>
      </c>
      <c r="H4" s="31" t="s">
        <v>789</v>
      </c>
      <c r="I4" s="31" t="s">
        <v>789</v>
      </c>
      <c r="J4" s="31" t="s">
        <v>788</v>
      </c>
      <c r="K4" s="31" t="s">
        <v>789</v>
      </c>
      <c r="L4" s="31" t="s">
        <v>789</v>
      </c>
      <c r="M4" s="31" t="s">
        <v>789</v>
      </c>
      <c r="N4" s="31" t="s">
        <v>788</v>
      </c>
      <c r="O4" s="31" t="s">
        <v>789</v>
      </c>
      <c r="P4" s="31" t="s">
        <v>789</v>
      </c>
      <c r="Q4" s="31" t="s">
        <v>789</v>
      </c>
      <c r="R4" s="31" t="s">
        <v>788</v>
      </c>
      <c r="S4" s="31" t="s">
        <v>789</v>
      </c>
      <c r="T4" s="31" t="s">
        <v>789</v>
      </c>
      <c r="U4" s="31" t="s">
        <v>789</v>
      </c>
      <c r="V4" s="31" t="s">
        <v>574</v>
      </c>
      <c r="W4" s="31" t="s">
        <v>584</v>
      </c>
      <c r="X4" s="31" t="s">
        <v>584</v>
      </c>
      <c r="Y4" s="31" t="s">
        <v>584</v>
      </c>
    </row>
    <row r="5" spans="1:52">
      <c r="A5" s="17"/>
      <c r="B5" s="31"/>
      <c r="C5" s="51" t="s">
        <v>587</v>
      </c>
      <c r="D5" s="51" t="s">
        <v>586</v>
      </c>
      <c r="E5" s="51" t="s">
        <v>590</v>
      </c>
      <c r="F5" s="31"/>
      <c r="G5" s="51" t="s">
        <v>587</v>
      </c>
      <c r="H5" s="51" t="s">
        <v>586</v>
      </c>
      <c r="I5" s="51" t="s">
        <v>590</v>
      </c>
      <c r="J5" s="31"/>
      <c r="K5" s="51" t="s">
        <v>587</v>
      </c>
      <c r="L5" s="51" t="s">
        <v>586</v>
      </c>
      <c r="M5" s="51" t="s">
        <v>590</v>
      </c>
      <c r="N5" s="31"/>
      <c r="O5" s="51" t="s">
        <v>587</v>
      </c>
      <c r="P5" s="51" t="s">
        <v>586</v>
      </c>
      <c r="Q5" s="51" t="s">
        <v>590</v>
      </c>
      <c r="R5" s="31"/>
      <c r="S5" s="31" t="s">
        <v>587</v>
      </c>
      <c r="T5" s="31" t="s">
        <v>586</v>
      </c>
      <c r="U5" s="31" t="s">
        <v>590</v>
      </c>
      <c r="V5" s="31"/>
      <c r="W5" s="31" t="s">
        <v>587</v>
      </c>
      <c r="X5" s="31" t="s">
        <v>586</v>
      </c>
      <c r="Y5" s="31" t="s">
        <v>590</v>
      </c>
    </row>
    <row r="6" spans="1:52">
      <c r="A6" s="70"/>
      <c r="B6" s="62"/>
      <c r="C6" s="53"/>
      <c r="D6" s="53"/>
      <c r="E6" s="53"/>
      <c r="F6" s="62"/>
      <c r="G6" s="53"/>
      <c r="H6" s="53"/>
      <c r="I6" s="53"/>
      <c r="J6" s="62"/>
      <c r="K6" s="53"/>
      <c r="L6" s="53"/>
      <c r="M6" s="53"/>
      <c r="N6" s="62"/>
      <c r="O6" s="53"/>
      <c r="P6" s="53"/>
      <c r="Q6" s="53"/>
      <c r="R6" s="62"/>
      <c r="S6" s="62"/>
      <c r="T6" s="62"/>
      <c r="U6" s="62"/>
      <c r="V6" s="62"/>
      <c r="W6" s="62"/>
      <c r="X6" s="62"/>
      <c r="Y6" s="62"/>
    </row>
    <row r="7" spans="1:52">
      <c r="A7" s="18" t="s">
        <v>556</v>
      </c>
      <c r="B7" s="63"/>
      <c r="C7" s="58"/>
      <c r="D7" s="58"/>
      <c r="E7" s="58"/>
      <c r="F7" s="63"/>
      <c r="G7" s="58"/>
      <c r="H7" s="58"/>
      <c r="I7" s="58"/>
      <c r="J7" s="63"/>
      <c r="K7" s="58"/>
      <c r="L7" s="58"/>
      <c r="M7" s="58"/>
      <c r="N7" s="63"/>
      <c r="O7" s="58"/>
      <c r="P7" s="58"/>
      <c r="Q7" s="58"/>
      <c r="R7" s="63"/>
      <c r="S7" s="63"/>
      <c r="T7" s="63"/>
      <c r="U7" s="63"/>
      <c r="V7" s="63"/>
      <c r="W7" s="63"/>
      <c r="X7" s="63"/>
      <c r="Y7" s="63"/>
    </row>
    <row r="8" spans="1:52">
      <c r="A8" s="40" t="s">
        <v>557</v>
      </c>
      <c r="B8" s="39">
        <v>-29079</v>
      </c>
      <c r="C8" s="54">
        <v>-29007</v>
      </c>
      <c r="D8" s="89">
        <v>-29007</v>
      </c>
      <c r="E8" s="86">
        <v>0</v>
      </c>
      <c r="F8" s="72">
        <v>0</v>
      </c>
      <c r="G8" s="54">
        <v>0</v>
      </c>
      <c r="H8" s="89">
        <v>0</v>
      </c>
      <c r="I8" s="86">
        <v>0</v>
      </c>
      <c r="J8" s="72">
        <v>-4834.2849900000001</v>
      </c>
      <c r="K8" s="54">
        <v>-14503</v>
      </c>
      <c r="L8" s="89">
        <v>0</v>
      </c>
      <c r="M8" s="86">
        <v>0</v>
      </c>
      <c r="N8" s="72">
        <v>-4834.6183200000005</v>
      </c>
      <c r="O8" s="54">
        <v>-14504</v>
      </c>
      <c r="P8" s="89">
        <v>0</v>
      </c>
      <c r="Q8" s="86">
        <v>0</v>
      </c>
      <c r="R8" s="72">
        <v>0</v>
      </c>
      <c r="S8" s="22">
        <v>0</v>
      </c>
      <c r="T8" s="82">
        <v>0</v>
      </c>
      <c r="U8" s="78">
        <v>0</v>
      </c>
      <c r="V8" s="39">
        <v>-9668.9033099999997</v>
      </c>
      <c r="W8" s="22">
        <f t="shared" ref="W8:Y11" si="0">SUM(G8,K8,O8,S8)</f>
        <v>-29007</v>
      </c>
      <c r="X8" s="82">
        <f t="shared" si="0"/>
        <v>0</v>
      </c>
      <c r="Y8" s="78">
        <f t="shared" si="0"/>
        <v>0</v>
      </c>
    </row>
    <row r="9" spans="1:52">
      <c r="A9" s="41" t="s">
        <v>558</v>
      </c>
      <c r="B9" s="39">
        <v>0</v>
      </c>
      <c r="C9" s="55">
        <v>0</v>
      </c>
      <c r="D9" s="90">
        <v>0</v>
      </c>
      <c r="E9" s="87">
        <v>0</v>
      </c>
      <c r="F9" s="72">
        <v>0</v>
      </c>
      <c r="G9" s="55">
        <v>0</v>
      </c>
      <c r="H9" s="90">
        <v>0</v>
      </c>
      <c r="I9" s="87">
        <v>0</v>
      </c>
      <c r="J9" s="72">
        <v>-1082.6558400000001</v>
      </c>
      <c r="K9" s="55">
        <v>0</v>
      </c>
      <c r="L9" s="90">
        <v>-3248</v>
      </c>
      <c r="M9" s="87">
        <v>0</v>
      </c>
      <c r="N9" s="72">
        <v>-102.24897750000001</v>
      </c>
      <c r="O9" s="55">
        <v>-306.75</v>
      </c>
      <c r="P9" s="90">
        <v>0</v>
      </c>
      <c r="Q9" s="87">
        <v>0</v>
      </c>
      <c r="R9" s="72">
        <v>-1791.6487500000001</v>
      </c>
      <c r="S9" s="33">
        <v>0</v>
      </c>
      <c r="T9" s="83">
        <v>-5375</v>
      </c>
      <c r="U9" s="79">
        <v>0</v>
      </c>
      <c r="V9" s="39">
        <v>-2976.5535675000001</v>
      </c>
      <c r="W9" s="33">
        <f t="shared" si="0"/>
        <v>-306.75</v>
      </c>
      <c r="X9" s="83">
        <f t="shared" si="0"/>
        <v>-8623</v>
      </c>
      <c r="Y9" s="79">
        <f t="shared" si="0"/>
        <v>0</v>
      </c>
    </row>
    <row r="10" spans="1:52">
      <c r="A10" s="41" t="s">
        <v>212</v>
      </c>
      <c r="B10" s="39">
        <v>0</v>
      </c>
      <c r="C10" s="55">
        <v>0</v>
      </c>
      <c r="D10" s="90">
        <v>0</v>
      </c>
      <c r="E10" s="87">
        <v>0</v>
      </c>
      <c r="F10" s="72">
        <v>0</v>
      </c>
      <c r="G10" s="55">
        <v>0</v>
      </c>
      <c r="H10" s="90">
        <v>0</v>
      </c>
      <c r="I10" s="87">
        <v>0</v>
      </c>
      <c r="J10" s="72">
        <v>0</v>
      </c>
      <c r="K10" s="55">
        <v>0</v>
      </c>
      <c r="L10" s="90">
        <v>0</v>
      </c>
      <c r="M10" s="87">
        <v>0</v>
      </c>
      <c r="N10" s="72">
        <v>0</v>
      </c>
      <c r="O10" s="55">
        <v>0</v>
      </c>
      <c r="P10" s="90">
        <v>0</v>
      </c>
      <c r="Q10" s="87">
        <v>0</v>
      </c>
      <c r="R10" s="72">
        <v>0</v>
      </c>
      <c r="S10" s="33">
        <v>0</v>
      </c>
      <c r="T10" s="83">
        <v>0</v>
      </c>
      <c r="U10" s="79">
        <v>0</v>
      </c>
      <c r="V10" s="39">
        <v>0</v>
      </c>
      <c r="W10" s="33">
        <f t="shared" si="0"/>
        <v>0</v>
      </c>
      <c r="X10" s="83">
        <f t="shared" si="0"/>
        <v>0</v>
      </c>
      <c r="Y10" s="79">
        <f t="shared" si="0"/>
        <v>0</v>
      </c>
    </row>
    <row r="11" spans="1:52">
      <c r="A11" s="42" t="s">
        <v>210</v>
      </c>
      <c r="B11" s="64">
        <v>0</v>
      </c>
      <c r="C11" s="55">
        <v>0</v>
      </c>
      <c r="D11" s="90">
        <v>0</v>
      </c>
      <c r="E11" s="87">
        <v>0</v>
      </c>
      <c r="F11" s="73">
        <v>0</v>
      </c>
      <c r="G11" s="55">
        <v>0</v>
      </c>
      <c r="H11" s="90">
        <v>0</v>
      </c>
      <c r="I11" s="87">
        <v>0</v>
      </c>
      <c r="J11" s="73">
        <v>0</v>
      </c>
      <c r="K11" s="55">
        <v>0</v>
      </c>
      <c r="L11" s="90">
        <v>0</v>
      </c>
      <c r="M11" s="87">
        <v>0</v>
      </c>
      <c r="N11" s="73">
        <v>0</v>
      </c>
      <c r="O11" s="55">
        <v>0</v>
      </c>
      <c r="P11" s="90">
        <v>0</v>
      </c>
      <c r="Q11" s="87">
        <v>0</v>
      </c>
      <c r="R11" s="73">
        <v>-7877.5445571</v>
      </c>
      <c r="S11" s="33">
        <v>0</v>
      </c>
      <c r="T11" s="83">
        <v>-23632.87</v>
      </c>
      <c r="U11" s="79">
        <v>0</v>
      </c>
      <c r="V11" s="64">
        <v>-7877.5445571</v>
      </c>
      <c r="W11" s="33">
        <f t="shared" si="0"/>
        <v>0</v>
      </c>
      <c r="X11" s="83">
        <f t="shared" si="0"/>
        <v>-23632.87</v>
      </c>
      <c r="Y11" s="79">
        <f t="shared" si="0"/>
        <v>0</v>
      </c>
    </row>
    <row r="12" spans="1:52" ht="16.2" thickBot="1">
      <c r="A12" s="43" t="s">
        <v>559</v>
      </c>
      <c r="B12" s="34">
        <f>SUM(B8:B11)</f>
        <v>-29079</v>
      </c>
      <c r="C12" s="52">
        <f t="shared" ref="C12:U12" si="1">SUM(C8:C11)</f>
        <v>-29007</v>
      </c>
      <c r="D12" s="52">
        <f t="shared" si="1"/>
        <v>-29007</v>
      </c>
      <c r="E12" s="52">
        <f t="shared" si="1"/>
        <v>0</v>
      </c>
      <c r="F12" s="34">
        <f t="shared" si="1"/>
        <v>0</v>
      </c>
      <c r="G12" s="52">
        <f t="shared" si="1"/>
        <v>0</v>
      </c>
      <c r="H12" s="52">
        <f t="shared" si="1"/>
        <v>0</v>
      </c>
      <c r="I12" s="52">
        <f t="shared" si="1"/>
        <v>0</v>
      </c>
      <c r="J12" s="34">
        <f t="shared" si="1"/>
        <v>-5916.9408300000005</v>
      </c>
      <c r="K12" s="52">
        <f t="shared" si="1"/>
        <v>-14503</v>
      </c>
      <c r="L12" s="52">
        <f t="shared" si="1"/>
        <v>-3248</v>
      </c>
      <c r="M12" s="52">
        <f t="shared" si="1"/>
        <v>0</v>
      </c>
      <c r="N12" s="34">
        <f t="shared" si="1"/>
        <v>-4936.8672975000009</v>
      </c>
      <c r="O12" s="52">
        <f t="shared" si="1"/>
        <v>-14810.75</v>
      </c>
      <c r="P12" s="52">
        <f t="shared" si="1"/>
        <v>0</v>
      </c>
      <c r="Q12" s="52">
        <f t="shared" si="1"/>
        <v>0</v>
      </c>
      <c r="R12" s="34">
        <f t="shared" si="1"/>
        <v>-9669.1933071000003</v>
      </c>
      <c r="S12" s="34">
        <f t="shared" si="1"/>
        <v>0</v>
      </c>
      <c r="T12" s="34">
        <f t="shared" si="1"/>
        <v>-29007.87</v>
      </c>
      <c r="U12" s="34">
        <f t="shared" si="1"/>
        <v>0</v>
      </c>
      <c r="V12" s="34">
        <f>SUM(V8:V11)</f>
        <v>-20523.001434600003</v>
      </c>
      <c r="W12" s="34">
        <f t="shared" ref="W12:Y12" si="2">SUM(W8:W11)</f>
        <v>-29313.75</v>
      </c>
      <c r="X12" s="34">
        <f t="shared" si="2"/>
        <v>-32255.87</v>
      </c>
      <c r="Y12" s="34">
        <f t="shared" si="2"/>
        <v>0</v>
      </c>
    </row>
    <row r="13" spans="1:52" ht="15" thickTop="1">
      <c r="A13" s="67"/>
      <c r="B13" s="67"/>
      <c r="C13" s="67"/>
      <c r="D13" s="67"/>
      <c r="E13" s="67"/>
      <c r="F13" s="67"/>
      <c r="G13" s="67"/>
      <c r="H13" s="67"/>
      <c r="I13" s="67"/>
      <c r="J13" s="67"/>
      <c r="K13" s="67"/>
      <c r="L13" s="67"/>
      <c r="M13" s="67"/>
      <c r="N13" s="67"/>
      <c r="O13" s="67"/>
      <c r="P13" s="67"/>
      <c r="Q13" s="67"/>
      <c r="R13" s="67"/>
      <c r="S13" s="67"/>
      <c r="T13" s="67"/>
      <c r="U13" s="67"/>
      <c r="V13" s="67"/>
      <c r="W13" s="67"/>
      <c r="X13" s="67"/>
      <c r="Y13" s="67"/>
    </row>
    <row r="14" spans="1:52">
      <c r="A14" s="18" t="s">
        <v>560</v>
      </c>
      <c r="B14" s="20"/>
      <c r="C14" s="20"/>
      <c r="D14" s="20"/>
      <c r="E14" s="20"/>
      <c r="F14" s="20"/>
      <c r="G14" s="20"/>
      <c r="H14" s="20"/>
      <c r="I14" s="20"/>
      <c r="J14" s="20"/>
      <c r="K14" s="20"/>
      <c r="L14" s="20"/>
      <c r="M14" s="20"/>
      <c r="N14" s="20"/>
      <c r="O14" s="20"/>
      <c r="P14" s="20"/>
      <c r="Q14" s="20"/>
      <c r="R14" s="20"/>
      <c r="S14" s="20"/>
      <c r="T14" s="20"/>
      <c r="U14" s="20"/>
      <c r="V14" s="20"/>
      <c r="W14" s="20"/>
      <c r="X14" s="20"/>
      <c r="Y14" s="20"/>
    </row>
    <row r="15" spans="1:52">
      <c r="A15" s="40" t="s">
        <v>188</v>
      </c>
      <c r="B15" s="65">
        <v>0</v>
      </c>
      <c r="C15" s="54">
        <v>0</v>
      </c>
      <c r="D15" s="89">
        <v>0</v>
      </c>
      <c r="E15" s="86">
        <v>0</v>
      </c>
      <c r="F15" s="72">
        <v>0</v>
      </c>
      <c r="G15" s="54">
        <v>0</v>
      </c>
      <c r="H15" s="89">
        <v>0</v>
      </c>
      <c r="I15" s="86">
        <v>0</v>
      </c>
      <c r="J15" s="72">
        <v>0</v>
      </c>
      <c r="K15" s="54">
        <v>0</v>
      </c>
      <c r="L15" s="89">
        <v>0</v>
      </c>
      <c r="M15" s="86">
        <v>0</v>
      </c>
      <c r="N15" s="72">
        <v>0</v>
      </c>
      <c r="O15" s="54">
        <v>0</v>
      </c>
      <c r="P15" s="89">
        <v>0</v>
      </c>
      <c r="Q15" s="86">
        <v>0</v>
      </c>
      <c r="R15" s="72">
        <v>0</v>
      </c>
      <c r="S15" s="32">
        <v>0</v>
      </c>
      <c r="T15" s="84">
        <v>0</v>
      </c>
      <c r="U15" s="80">
        <v>0</v>
      </c>
      <c r="V15" s="65">
        <v>0</v>
      </c>
      <c r="W15" s="32">
        <f t="shared" ref="W15:Y20" si="3">SUM(G15,K15,O15,S15)</f>
        <v>0</v>
      </c>
      <c r="X15" s="84">
        <f t="shared" si="3"/>
        <v>0</v>
      </c>
      <c r="Y15" s="80">
        <f t="shared" si="3"/>
        <v>0</v>
      </c>
    </row>
    <row r="16" spans="1:52">
      <c r="A16" s="41" t="s">
        <v>181</v>
      </c>
      <c r="B16" s="39">
        <v>0</v>
      </c>
      <c r="C16" s="54">
        <v>0</v>
      </c>
      <c r="D16" s="89">
        <v>0</v>
      </c>
      <c r="E16" s="86">
        <v>0</v>
      </c>
      <c r="F16" s="72">
        <v>0</v>
      </c>
      <c r="G16" s="54">
        <v>0</v>
      </c>
      <c r="H16" s="89">
        <v>0</v>
      </c>
      <c r="I16" s="86">
        <v>0</v>
      </c>
      <c r="J16" s="72">
        <v>0</v>
      </c>
      <c r="K16" s="54">
        <v>0</v>
      </c>
      <c r="L16" s="89">
        <v>0</v>
      </c>
      <c r="M16" s="86">
        <v>0</v>
      </c>
      <c r="N16" s="72">
        <v>0</v>
      </c>
      <c r="O16" s="54">
        <v>0</v>
      </c>
      <c r="P16" s="89">
        <v>0</v>
      </c>
      <c r="Q16" s="86">
        <v>0</v>
      </c>
      <c r="R16" s="72">
        <v>0</v>
      </c>
      <c r="S16" s="22">
        <v>0</v>
      </c>
      <c r="T16" s="82">
        <v>0</v>
      </c>
      <c r="U16" s="78">
        <v>0</v>
      </c>
      <c r="V16" s="39">
        <v>0</v>
      </c>
      <c r="W16" s="22">
        <f t="shared" si="3"/>
        <v>0</v>
      </c>
      <c r="X16" s="82">
        <f t="shared" si="3"/>
        <v>0</v>
      </c>
      <c r="Y16" s="78">
        <f t="shared" si="3"/>
        <v>0</v>
      </c>
    </row>
    <row r="17" spans="1:25">
      <c r="A17" s="92" t="s">
        <v>174</v>
      </c>
      <c r="B17" s="93">
        <v>0</v>
      </c>
      <c r="C17" s="94">
        <v>0</v>
      </c>
      <c r="D17" s="100">
        <v>0</v>
      </c>
      <c r="E17" s="99">
        <v>0</v>
      </c>
      <c r="F17" s="95">
        <v>0</v>
      </c>
      <c r="G17" s="94">
        <v>0</v>
      </c>
      <c r="H17" s="100">
        <v>0</v>
      </c>
      <c r="I17" s="99">
        <v>0</v>
      </c>
      <c r="J17" s="95">
        <v>0</v>
      </c>
      <c r="K17" s="94">
        <v>0</v>
      </c>
      <c r="L17" s="100">
        <v>0</v>
      </c>
      <c r="M17" s="99">
        <v>0</v>
      </c>
      <c r="N17" s="95">
        <v>0</v>
      </c>
      <c r="O17" s="94">
        <v>0</v>
      </c>
      <c r="P17" s="100">
        <v>0</v>
      </c>
      <c r="Q17" s="99">
        <v>0</v>
      </c>
      <c r="R17" s="95">
        <v>0</v>
      </c>
      <c r="S17" s="96">
        <v>0</v>
      </c>
      <c r="T17" s="98">
        <v>0</v>
      </c>
      <c r="U17" s="97">
        <v>0</v>
      </c>
      <c r="V17" s="93">
        <v>0</v>
      </c>
      <c r="W17" s="96">
        <f t="shared" si="3"/>
        <v>0</v>
      </c>
      <c r="X17" s="98">
        <f t="shared" si="3"/>
        <v>0</v>
      </c>
      <c r="Y17" s="97">
        <f t="shared" si="3"/>
        <v>0</v>
      </c>
    </row>
    <row r="18" spans="1:25">
      <c r="A18" s="41" t="s">
        <v>146</v>
      </c>
      <c r="B18" s="39">
        <v>0</v>
      </c>
      <c r="C18" s="54">
        <v>0</v>
      </c>
      <c r="D18" s="89">
        <v>0</v>
      </c>
      <c r="E18" s="86">
        <v>0</v>
      </c>
      <c r="F18" s="72">
        <v>0</v>
      </c>
      <c r="G18" s="54">
        <v>0</v>
      </c>
      <c r="H18" s="89">
        <v>0</v>
      </c>
      <c r="I18" s="86">
        <v>0</v>
      </c>
      <c r="J18" s="72">
        <v>0</v>
      </c>
      <c r="K18" s="54">
        <v>0</v>
      </c>
      <c r="L18" s="89">
        <v>0</v>
      </c>
      <c r="M18" s="86">
        <v>0</v>
      </c>
      <c r="N18" s="72">
        <v>0</v>
      </c>
      <c r="O18" s="54">
        <v>0</v>
      </c>
      <c r="P18" s="89">
        <v>0</v>
      </c>
      <c r="Q18" s="86">
        <v>0</v>
      </c>
      <c r="R18" s="72">
        <v>0</v>
      </c>
      <c r="S18" s="22">
        <v>0</v>
      </c>
      <c r="T18" s="82">
        <v>0</v>
      </c>
      <c r="U18" s="78">
        <v>0</v>
      </c>
      <c r="V18" s="39">
        <v>0</v>
      </c>
      <c r="W18" s="22">
        <f t="shared" si="3"/>
        <v>0</v>
      </c>
      <c r="X18" s="82">
        <f t="shared" si="3"/>
        <v>0</v>
      </c>
      <c r="Y18" s="78">
        <f t="shared" si="3"/>
        <v>0</v>
      </c>
    </row>
    <row r="19" spans="1:25">
      <c r="A19" s="41" t="s">
        <v>139</v>
      </c>
      <c r="B19" s="39">
        <v>0</v>
      </c>
      <c r="C19" s="54">
        <v>0</v>
      </c>
      <c r="D19" s="89">
        <v>0</v>
      </c>
      <c r="E19" s="86">
        <v>0</v>
      </c>
      <c r="F19" s="72">
        <v>0</v>
      </c>
      <c r="G19" s="54">
        <v>0</v>
      </c>
      <c r="H19" s="89">
        <v>0</v>
      </c>
      <c r="I19" s="86">
        <v>0</v>
      </c>
      <c r="J19" s="72">
        <v>0</v>
      </c>
      <c r="K19" s="54">
        <v>0</v>
      </c>
      <c r="L19" s="89">
        <v>0</v>
      </c>
      <c r="M19" s="86">
        <v>0</v>
      </c>
      <c r="N19" s="72">
        <v>0</v>
      </c>
      <c r="O19" s="54">
        <v>0</v>
      </c>
      <c r="P19" s="89">
        <v>0</v>
      </c>
      <c r="Q19" s="86">
        <v>0</v>
      </c>
      <c r="R19" s="72">
        <v>0</v>
      </c>
      <c r="S19" s="22">
        <v>0</v>
      </c>
      <c r="T19" s="82">
        <v>0</v>
      </c>
      <c r="U19" s="78">
        <v>0</v>
      </c>
      <c r="V19" s="39">
        <v>0</v>
      </c>
      <c r="W19" s="22">
        <f t="shared" si="3"/>
        <v>0</v>
      </c>
      <c r="X19" s="82">
        <f t="shared" si="3"/>
        <v>0</v>
      </c>
      <c r="Y19" s="78">
        <f t="shared" si="3"/>
        <v>0</v>
      </c>
    </row>
    <row r="20" spans="1:25">
      <c r="A20" s="42" t="s">
        <v>129</v>
      </c>
      <c r="B20" s="64">
        <v>0</v>
      </c>
      <c r="C20" s="59">
        <v>0</v>
      </c>
      <c r="D20" s="91">
        <v>0</v>
      </c>
      <c r="E20" s="88">
        <v>0</v>
      </c>
      <c r="F20" s="73">
        <v>0</v>
      </c>
      <c r="G20" s="59">
        <v>0</v>
      </c>
      <c r="H20" s="91">
        <v>0</v>
      </c>
      <c r="I20" s="88">
        <v>0</v>
      </c>
      <c r="J20" s="73">
        <v>0</v>
      </c>
      <c r="K20" s="59">
        <v>0</v>
      </c>
      <c r="L20" s="91">
        <v>0</v>
      </c>
      <c r="M20" s="88">
        <v>0</v>
      </c>
      <c r="N20" s="73">
        <v>0</v>
      </c>
      <c r="O20" s="59">
        <v>0</v>
      </c>
      <c r="P20" s="91">
        <v>0</v>
      </c>
      <c r="Q20" s="88">
        <v>0</v>
      </c>
      <c r="R20" s="73">
        <v>0</v>
      </c>
      <c r="S20" s="35">
        <v>0</v>
      </c>
      <c r="T20" s="85">
        <v>0</v>
      </c>
      <c r="U20" s="81">
        <v>0</v>
      </c>
      <c r="V20" s="64">
        <v>0</v>
      </c>
      <c r="W20" s="35">
        <f t="shared" si="3"/>
        <v>0</v>
      </c>
      <c r="X20" s="85">
        <f t="shared" si="3"/>
        <v>0</v>
      </c>
      <c r="Y20" s="81">
        <f t="shared" si="3"/>
        <v>0</v>
      </c>
    </row>
    <row r="21" spans="1:25">
      <c r="A21" s="23" t="s">
        <v>561</v>
      </c>
      <c r="B21" s="27">
        <f t="shared" ref="B21:Y21" si="4">SUM(B15:B20)</f>
        <v>0</v>
      </c>
      <c r="C21" s="60">
        <f t="shared" si="4"/>
        <v>0</v>
      </c>
      <c r="D21" s="60">
        <f t="shared" si="4"/>
        <v>0</v>
      </c>
      <c r="E21" s="60">
        <f t="shared" si="4"/>
        <v>0</v>
      </c>
      <c r="F21" s="27">
        <f t="shared" si="4"/>
        <v>0</v>
      </c>
      <c r="G21" s="56">
        <f t="shared" si="4"/>
        <v>0</v>
      </c>
      <c r="H21" s="56">
        <f t="shared" si="4"/>
        <v>0</v>
      </c>
      <c r="I21" s="56">
        <f t="shared" si="4"/>
        <v>0</v>
      </c>
      <c r="J21" s="27">
        <f t="shared" si="4"/>
        <v>0</v>
      </c>
      <c r="K21" s="60">
        <f t="shared" si="4"/>
        <v>0</v>
      </c>
      <c r="L21" s="60">
        <f t="shared" si="4"/>
        <v>0</v>
      </c>
      <c r="M21" s="60">
        <f t="shared" si="4"/>
        <v>0</v>
      </c>
      <c r="N21" s="27">
        <f t="shared" si="4"/>
        <v>0</v>
      </c>
      <c r="O21" s="60">
        <f t="shared" si="4"/>
        <v>0</v>
      </c>
      <c r="P21" s="60">
        <f t="shared" si="4"/>
        <v>0</v>
      </c>
      <c r="Q21" s="60">
        <f t="shared" si="4"/>
        <v>0</v>
      </c>
      <c r="R21" s="27">
        <f t="shared" si="4"/>
        <v>0</v>
      </c>
      <c r="S21" s="36">
        <f t="shared" si="4"/>
        <v>0</v>
      </c>
      <c r="T21" s="36">
        <f t="shared" si="4"/>
        <v>0</v>
      </c>
      <c r="U21" s="36">
        <f t="shared" si="4"/>
        <v>0</v>
      </c>
      <c r="V21" s="27">
        <f t="shared" si="4"/>
        <v>0</v>
      </c>
      <c r="W21" s="36">
        <f t="shared" si="4"/>
        <v>0</v>
      </c>
      <c r="X21" s="36">
        <f t="shared" si="4"/>
        <v>0</v>
      </c>
      <c r="Y21" s="36">
        <f t="shared" si="4"/>
        <v>0</v>
      </c>
    </row>
    <row r="22" spans="1:25">
      <c r="A22" s="24" t="s">
        <v>562</v>
      </c>
      <c r="B22" s="25"/>
      <c r="C22" s="25"/>
      <c r="D22" s="25"/>
      <c r="E22" s="25"/>
      <c r="F22" s="25"/>
      <c r="G22" s="25"/>
      <c r="H22" s="25"/>
      <c r="I22" s="25"/>
      <c r="J22" s="25"/>
      <c r="K22" s="25"/>
      <c r="L22" s="25"/>
      <c r="M22" s="25"/>
      <c r="N22" s="25"/>
      <c r="O22" s="25"/>
      <c r="P22" s="25"/>
      <c r="Q22" s="25"/>
      <c r="R22" s="25"/>
      <c r="S22" s="25"/>
      <c r="T22" s="25"/>
      <c r="U22" s="25"/>
      <c r="V22" s="25"/>
      <c r="W22" s="25"/>
      <c r="X22" s="25"/>
      <c r="Y22" s="25"/>
    </row>
    <row r="23" spans="1:25">
      <c r="A23" s="40" t="s">
        <v>127</v>
      </c>
      <c r="B23" s="65">
        <v>27227</v>
      </c>
      <c r="C23" s="54">
        <v>27227</v>
      </c>
      <c r="D23" s="89">
        <v>27226</v>
      </c>
      <c r="E23" s="86">
        <v>0</v>
      </c>
      <c r="F23" s="72">
        <v>0</v>
      </c>
      <c r="G23" s="54">
        <v>0</v>
      </c>
      <c r="H23" s="89">
        <v>0</v>
      </c>
      <c r="I23" s="86">
        <v>0</v>
      </c>
      <c r="J23" s="72">
        <v>0</v>
      </c>
      <c r="K23" s="54">
        <v>0</v>
      </c>
      <c r="L23" s="89">
        <v>0</v>
      </c>
      <c r="M23" s="86">
        <v>0</v>
      </c>
      <c r="N23" s="72">
        <v>0</v>
      </c>
      <c r="O23" s="54">
        <v>0</v>
      </c>
      <c r="P23" s="89">
        <v>0</v>
      </c>
      <c r="Q23" s="86">
        <v>0</v>
      </c>
      <c r="R23" s="72">
        <v>0</v>
      </c>
      <c r="S23" s="32">
        <v>0</v>
      </c>
      <c r="T23" s="84">
        <v>0</v>
      </c>
      <c r="U23" s="80">
        <v>0</v>
      </c>
      <c r="V23" s="65">
        <v>0</v>
      </c>
      <c r="W23" s="32">
        <f t="shared" ref="W23:Y29" si="5">SUM(G23,K23,O23,S23)</f>
        <v>0</v>
      </c>
      <c r="X23" s="84">
        <f t="shared" si="5"/>
        <v>0</v>
      </c>
      <c r="Y23" s="80">
        <f t="shared" si="5"/>
        <v>0</v>
      </c>
    </row>
    <row r="24" spans="1:25">
      <c r="A24" s="41" t="s">
        <v>120</v>
      </c>
      <c r="B24" s="39">
        <v>0</v>
      </c>
      <c r="C24" s="54">
        <v>0</v>
      </c>
      <c r="D24" s="89">
        <v>0</v>
      </c>
      <c r="E24" s="86">
        <v>0</v>
      </c>
      <c r="F24" s="72">
        <v>0</v>
      </c>
      <c r="G24" s="54">
        <v>0</v>
      </c>
      <c r="H24" s="89">
        <v>0</v>
      </c>
      <c r="I24" s="86">
        <v>0</v>
      </c>
      <c r="J24" s="72">
        <v>0</v>
      </c>
      <c r="K24" s="54">
        <v>0</v>
      </c>
      <c r="L24" s="89">
        <v>0</v>
      </c>
      <c r="M24" s="86">
        <v>0</v>
      </c>
      <c r="N24" s="72">
        <v>0</v>
      </c>
      <c r="O24" s="54">
        <v>0</v>
      </c>
      <c r="P24" s="89">
        <v>0</v>
      </c>
      <c r="Q24" s="86">
        <v>0</v>
      </c>
      <c r="R24" s="72">
        <v>0</v>
      </c>
      <c r="S24" s="22">
        <v>0</v>
      </c>
      <c r="T24" s="82">
        <v>0</v>
      </c>
      <c r="U24" s="78">
        <v>0</v>
      </c>
      <c r="V24" s="39">
        <v>0</v>
      </c>
      <c r="W24" s="22">
        <f t="shared" si="5"/>
        <v>0</v>
      </c>
      <c r="X24" s="82">
        <f t="shared" si="5"/>
        <v>0</v>
      </c>
      <c r="Y24" s="78">
        <f t="shared" si="5"/>
        <v>0</v>
      </c>
    </row>
    <row r="25" spans="1:25">
      <c r="A25" s="41" t="s">
        <v>107</v>
      </c>
      <c r="B25" s="39">
        <v>0</v>
      </c>
      <c r="C25" s="54">
        <v>0</v>
      </c>
      <c r="D25" s="89">
        <v>0</v>
      </c>
      <c r="E25" s="86">
        <v>0</v>
      </c>
      <c r="F25" s="72">
        <v>0</v>
      </c>
      <c r="G25" s="54">
        <v>0</v>
      </c>
      <c r="H25" s="89">
        <v>0</v>
      </c>
      <c r="I25" s="86">
        <v>0</v>
      </c>
      <c r="J25" s="72">
        <v>0</v>
      </c>
      <c r="K25" s="54">
        <v>0</v>
      </c>
      <c r="L25" s="89">
        <v>0</v>
      </c>
      <c r="M25" s="86">
        <v>0</v>
      </c>
      <c r="N25" s="72">
        <v>828.1750515</v>
      </c>
      <c r="O25" s="54">
        <v>77.989999999999995</v>
      </c>
      <c r="P25" s="89">
        <v>2406.56</v>
      </c>
      <c r="Q25" s="86">
        <v>0</v>
      </c>
      <c r="R25" s="72">
        <v>58.749412500000005</v>
      </c>
      <c r="S25" s="22">
        <v>158.25</v>
      </c>
      <c r="T25" s="82">
        <v>18</v>
      </c>
      <c r="U25" s="78">
        <v>0</v>
      </c>
      <c r="V25" s="39">
        <v>886.92446400000006</v>
      </c>
      <c r="W25" s="22">
        <f t="shared" si="5"/>
        <v>236.24</v>
      </c>
      <c r="X25" s="82">
        <f t="shared" si="5"/>
        <v>2424.56</v>
      </c>
      <c r="Y25" s="78">
        <f t="shared" si="5"/>
        <v>0</v>
      </c>
    </row>
    <row r="26" spans="1:25">
      <c r="A26" s="41" t="s">
        <v>104</v>
      </c>
      <c r="B26" s="39">
        <v>0</v>
      </c>
      <c r="C26" s="54">
        <v>0</v>
      </c>
      <c r="D26" s="89">
        <v>0</v>
      </c>
      <c r="E26" s="86">
        <v>0</v>
      </c>
      <c r="F26" s="72">
        <v>389.77943549999998</v>
      </c>
      <c r="G26" s="54">
        <v>0</v>
      </c>
      <c r="H26" s="89">
        <v>1169.3499999999999</v>
      </c>
      <c r="I26" s="86">
        <v>0</v>
      </c>
      <c r="J26" s="72">
        <v>4263.2707001999997</v>
      </c>
      <c r="K26" s="54">
        <v>7140</v>
      </c>
      <c r="L26" s="89">
        <v>5649.94</v>
      </c>
      <c r="M26" s="86">
        <v>0</v>
      </c>
      <c r="N26" s="72">
        <v>1608.5405811000001</v>
      </c>
      <c r="O26" s="54">
        <v>2398.41</v>
      </c>
      <c r="P26" s="89">
        <v>2427.2600000000002</v>
      </c>
      <c r="Q26" s="86">
        <v>0</v>
      </c>
      <c r="R26" s="72">
        <v>2009.1999077999999</v>
      </c>
      <c r="S26" s="22">
        <v>4320.78</v>
      </c>
      <c r="T26" s="82">
        <v>1706.88</v>
      </c>
      <c r="U26" s="78">
        <v>0</v>
      </c>
      <c r="V26" s="39">
        <v>8270.7906246000002</v>
      </c>
      <c r="W26" s="22">
        <f t="shared" si="5"/>
        <v>13859.189999999999</v>
      </c>
      <c r="X26" s="82">
        <f t="shared" si="5"/>
        <v>10953.43</v>
      </c>
      <c r="Y26" s="78">
        <f t="shared" si="5"/>
        <v>0</v>
      </c>
    </row>
    <row r="27" spans="1:25">
      <c r="A27" s="41" t="s">
        <v>102</v>
      </c>
      <c r="B27" s="39">
        <v>0</v>
      </c>
      <c r="C27" s="54">
        <v>0</v>
      </c>
      <c r="D27" s="89">
        <v>0</v>
      </c>
      <c r="E27" s="86">
        <v>0</v>
      </c>
      <c r="F27" s="72">
        <v>0</v>
      </c>
      <c r="G27" s="54">
        <v>0</v>
      </c>
      <c r="H27" s="89">
        <v>0</v>
      </c>
      <c r="I27" s="86">
        <v>0</v>
      </c>
      <c r="J27" s="72">
        <v>195.03138300000001</v>
      </c>
      <c r="K27" s="54">
        <v>0</v>
      </c>
      <c r="L27" s="89">
        <v>585.1</v>
      </c>
      <c r="M27" s="86">
        <v>0</v>
      </c>
      <c r="N27" s="72">
        <v>41.066256000000003</v>
      </c>
      <c r="O27" s="54">
        <v>36</v>
      </c>
      <c r="P27" s="89">
        <v>87.2</v>
      </c>
      <c r="Q27" s="86">
        <v>0</v>
      </c>
      <c r="R27" s="72">
        <v>9.9999000000000002</v>
      </c>
      <c r="S27" s="22">
        <v>30</v>
      </c>
      <c r="T27" s="82">
        <v>0</v>
      </c>
      <c r="U27" s="78">
        <v>0</v>
      </c>
      <c r="V27" s="39">
        <v>246.09753900000004</v>
      </c>
      <c r="W27" s="22">
        <f t="shared" si="5"/>
        <v>66</v>
      </c>
      <c r="X27" s="82">
        <f t="shared" si="5"/>
        <v>672.30000000000007</v>
      </c>
      <c r="Y27" s="78">
        <f t="shared" si="5"/>
        <v>0</v>
      </c>
    </row>
    <row r="28" spans="1:25">
      <c r="A28" s="41" t="s">
        <v>98</v>
      </c>
      <c r="B28" s="39">
        <v>0</v>
      </c>
      <c r="C28" s="54">
        <v>0</v>
      </c>
      <c r="D28" s="89">
        <v>0</v>
      </c>
      <c r="E28" s="86">
        <v>0</v>
      </c>
      <c r="F28" s="72">
        <v>0</v>
      </c>
      <c r="G28" s="54">
        <v>0</v>
      </c>
      <c r="H28" s="89">
        <v>0</v>
      </c>
      <c r="I28" s="86">
        <v>0</v>
      </c>
      <c r="J28" s="72">
        <v>903.65763000000004</v>
      </c>
      <c r="K28" s="54">
        <v>2640</v>
      </c>
      <c r="L28" s="89">
        <v>71</v>
      </c>
      <c r="M28" s="86">
        <v>0</v>
      </c>
      <c r="N28" s="72">
        <v>264.99734999999998</v>
      </c>
      <c r="O28" s="54">
        <v>157.15</v>
      </c>
      <c r="P28" s="89">
        <v>637.85</v>
      </c>
      <c r="Q28" s="86">
        <v>0</v>
      </c>
      <c r="R28" s="72">
        <v>493.78839540000001</v>
      </c>
      <c r="S28" s="22">
        <v>301.38</v>
      </c>
      <c r="T28" s="82">
        <v>1180</v>
      </c>
      <c r="U28" s="78">
        <v>0</v>
      </c>
      <c r="V28" s="39">
        <v>1662.4433754000001</v>
      </c>
      <c r="W28" s="22">
        <f t="shared" si="5"/>
        <v>3098.53</v>
      </c>
      <c r="X28" s="82">
        <f t="shared" si="5"/>
        <v>1888.85</v>
      </c>
      <c r="Y28" s="78">
        <f t="shared" si="5"/>
        <v>0</v>
      </c>
    </row>
    <row r="29" spans="1:25">
      <c r="A29" s="42" t="s">
        <v>84</v>
      </c>
      <c r="B29" s="64">
        <v>0</v>
      </c>
      <c r="C29" s="59">
        <v>0</v>
      </c>
      <c r="D29" s="91">
        <v>0</v>
      </c>
      <c r="E29" s="88">
        <v>0</v>
      </c>
      <c r="F29" s="73">
        <v>12.6598734</v>
      </c>
      <c r="G29" s="59">
        <v>0</v>
      </c>
      <c r="H29" s="91">
        <v>37.979999999999997</v>
      </c>
      <c r="I29" s="88">
        <v>0</v>
      </c>
      <c r="J29" s="73">
        <v>3487.0051296000006</v>
      </c>
      <c r="K29" s="59">
        <v>386.83</v>
      </c>
      <c r="L29" s="91">
        <v>10074.290000000001</v>
      </c>
      <c r="M29" s="88">
        <v>0</v>
      </c>
      <c r="N29" s="73">
        <v>109.99890000000001</v>
      </c>
      <c r="O29" s="59">
        <v>0</v>
      </c>
      <c r="P29" s="91">
        <v>330</v>
      </c>
      <c r="Q29" s="88">
        <v>0</v>
      </c>
      <c r="R29" s="73">
        <v>41.319586799999996</v>
      </c>
      <c r="S29" s="35">
        <v>-350</v>
      </c>
      <c r="T29" s="85">
        <v>473.96</v>
      </c>
      <c r="U29" s="81">
        <v>0</v>
      </c>
      <c r="V29" s="64">
        <v>3650.9834897999999</v>
      </c>
      <c r="W29" s="35">
        <f t="shared" si="5"/>
        <v>36.829999999999984</v>
      </c>
      <c r="X29" s="85">
        <f t="shared" si="5"/>
        <v>10916.23</v>
      </c>
      <c r="Y29" s="81">
        <f t="shared" si="5"/>
        <v>0</v>
      </c>
    </row>
    <row r="30" spans="1:25">
      <c r="A30" s="23" t="s">
        <v>563</v>
      </c>
      <c r="B30" s="27">
        <f t="shared" ref="B30:Y30" si="6">SUM(B23:B29)</f>
        <v>27227</v>
      </c>
      <c r="C30" s="60">
        <f t="shared" si="6"/>
        <v>27227</v>
      </c>
      <c r="D30" s="60">
        <f t="shared" si="6"/>
        <v>27226</v>
      </c>
      <c r="E30" s="60">
        <f t="shared" si="6"/>
        <v>0</v>
      </c>
      <c r="F30" s="27">
        <f t="shared" si="6"/>
        <v>402.43930889999996</v>
      </c>
      <c r="G30" s="60">
        <f t="shared" si="6"/>
        <v>0</v>
      </c>
      <c r="H30" s="60">
        <f t="shared" si="6"/>
        <v>1207.33</v>
      </c>
      <c r="I30" s="60">
        <f t="shared" si="6"/>
        <v>0</v>
      </c>
      <c r="J30" s="27">
        <f t="shared" si="6"/>
        <v>8848.9648428</v>
      </c>
      <c r="K30" s="60">
        <f t="shared" si="6"/>
        <v>10166.83</v>
      </c>
      <c r="L30" s="60">
        <f t="shared" si="6"/>
        <v>16380.330000000002</v>
      </c>
      <c r="M30" s="60">
        <f t="shared" si="6"/>
        <v>0</v>
      </c>
      <c r="N30" s="27">
        <f t="shared" si="6"/>
        <v>2852.7781386000001</v>
      </c>
      <c r="O30" s="60">
        <f t="shared" si="6"/>
        <v>2669.5499999999997</v>
      </c>
      <c r="P30" s="60">
        <f t="shared" si="6"/>
        <v>5888.87</v>
      </c>
      <c r="Q30" s="60">
        <f t="shared" si="6"/>
        <v>0</v>
      </c>
      <c r="R30" s="27">
        <f t="shared" si="6"/>
        <v>2613.0572024999992</v>
      </c>
      <c r="S30" s="36">
        <f t="shared" si="6"/>
        <v>4460.41</v>
      </c>
      <c r="T30" s="36">
        <f t="shared" si="6"/>
        <v>3378.84</v>
      </c>
      <c r="U30" s="36">
        <f t="shared" si="6"/>
        <v>0</v>
      </c>
      <c r="V30" s="27">
        <f t="shared" si="6"/>
        <v>14717.239492799999</v>
      </c>
      <c r="W30" s="36">
        <f t="shared" si="6"/>
        <v>17296.79</v>
      </c>
      <c r="X30" s="36">
        <f t="shared" si="6"/>
        <v>26855.37</v>
      </c>
      <c r="Y30" s="36">
        <f t="shared" si="6"/>
        <v>0</v>
      </c>
    </row>
    <row r="31" spans="1:25">
      <c r="A31" s="24" t="s">
        <v>429</v>
      </c>
      <c r="B31" s="21"/>
      <c r="C31" s="26"/>
      <c r="D31" s="26"/>
      <c r="E31" s="26"/>
      <c r="F31" s="26"/>
      <c r="G31" s="26"/>
      <c r="H31" s="26"/>
      <c r="I31" s="26"/>
      <c r="J31" s="26"/>
      <c r="K31" s="26"/>
      <c r="L31" s="26"/>
      <c r="M31" s="26"/>
      <c r="N31" s="26"/>
      <c r="O31" s="26"/>
      <c r="P31" s="26"/>
      <c r="Q31" s="26"/>
      <c r="R31" s="26"/>
      <c r="S31" s="26"/>
      <c r="T31" s="26"/>
      <c r="U31" s="26"/>
      <c r="V31" s="21"/>
      <c r="W31" s="26"/>
      <c r="X31" s="26"/>
      <c r="Y31" s="26"/>
    </row>
    <row r="32" spans="1:25">
      <c r="A32" s="40" t="s">
        <v>81</v>
      </c>
      <c r="B32" s="65">
        <v>0</v>
      </c>
      <c r="C32" s="54">
        <v>0</v>
      </c>
      <c r="D32" s="89">
        <v>0</v>
      </c>
      <c r="E32" s="86">
        <v>0</v>
      </c>
      <c r="F32" s="72">
        <v>0</v>
      </c>
      <c r="G32" s="54">
        <v>0</v>
      </c>
      <c r="H32" s="89">
        <v>0</v>
      </c>
      <c r="I32" s="86">
        <v>0</v>
      </c>
      <c r="J32" s="72">
        <v>0</v>
      </c>
      <c r="K32" s="54">
        <v>0</v>
      </c>
      <c r="L32" s="89">
        <v>0</v>
      </c>
      <c r="M32" s="86">
        <v>0</v>
      </c>
      <c r="N32" s="72">
        <v>0</v>
      </c>
      <c r="O32" s="54">
        <v>0</v>
      </c>
      <c r="P32" s="89">
        <v>0</v>
      </c>
      <c r="Q32" s="86">
        <v>0</v>
      </c>
      <c r="R32" s="72">
        <v>0</v>
      </c>
      <c r="S32" s="32">
        <v>0</v>
      </c>
      <c r="T32" s="84">
        <v>0</v>
      </c>
      <c r="U32" s="80">
        <v>0</v>
      </c>
      <c r="V32" s="65">
        <v>0</v>
      </c>
      <c r="W32" s="32">
        <f t="shared" ref="W32:Y33" si="7">SUM(G32,K32,O32,S32)</f>
        <v>0</v>
      </c>
      <c r="X32" s="84">
        <f t="shared" si="7"/>
        <v>0</v>
      </c>
      <c r="Y32" s="80">
        <f t="shared" si="7"/>
        <v>0</v>
      </c>
    </row>
    <row r="33" spans="1:25">
      <c r="A33" s="42" t="s">
        <v>79</v>
      </c>
      <c r="B33" s="64">
        <v>0</v>
      </c>
      <c r="C33" s="59">
        <v>0</v>
      </c>
      <c r="D33" s="91">
        <v>0</v>
      </c>
      <c r="E33" s="88">
        <v>0</v>
      </c>
      <c r="F33" s="73">
        <v>0</v>
      </c>
      <c r="G33" s="59">
        <v>0</v>
      </c>
      <c r="H33" s="91">
        <v>0</v>
      </c>
      <c r="I33" s="88">
        <v>0</v>
      </c>
      <c r="J33" s="73">
        <v>920.19079799999997</v>
      </c>
      <c r="K33" s="59">
        <v>0</v>
      </c>
      <c r="L33" s="91">
        <v>2760.6</v>
      </c>
      <c r="M33" s="88">
        <v>0</v>
      </c>
      <c r="N33" s="73">
        <v>0</v>
      </c>
      <c r="O33" s="59">
        <v>0</v>
      </c>
      <c r="P33" s="91">
        <v>0</v>
      </c>
      <c r="Q33" s="88">
        <v>0</v>
      </c>
      <c r="R33" s="73">
        <v>0</v>
      </c>
      <c r="S33" s="35">
        <v>0</v>
      </c>
      <c r="T33" s="85">
        <v>0</v>
      </c>
      <c r="U33" s="81">
        <v>0</v>
      </c>
      <c r="V33" s="64">
        <v>920.19079799999997</v>
      </c>
      <c r="W33" s="35">
        <f t="shared" si="7"/>
        <v>0</v>
      </c>
      <c r="X33" s="85">
        <f t="shared" si="7"/>
        <v>2760.6</v>
      </c>
      <c r="Y33" s="81">
        <f t="shared" si="7"/>
        <v>0</v>
      </c>
    </row>
    <row r="34" spans="1:25">
      <c r="A34" s="23" t="s">
        <v>564</v>
      </c>
      <c r="B34" s="27">
        <f t="shared" ref="B34:Y34" si="8">SUM(B32:B33)</f>
        <v>0</v>
      </c>
      <c r="C34" s="60">
        <f t="shared" si="8"/>
        <v>0</v>
      </c>
      <c r="D34" s="60">
        <f t="shared" si="8"/>
        <v>0</v>
      </c>
      <c r="E34" s="60">
        <f t="shared" si="8"/>
        <v>0</v>
      </c>
      <c r="F34" s="27">
        <f t="shared" si="8"/>
        <v>0</v>
      </c>
      <c r="G34" s="60">
        <f t="shared" si="8"/>
        <v>0</v>
      </c>
      <c r="H34" s="60">
        <f t="shared" si="8"/>
        <v>0</v>
      </c>
      <c r="I34" s="60">
        <f t="shared" si="8"/>
        <v>0</v>
      </c>
      <c r="J34" s="27">
        <f t="shared" si="8"/>
        <v>920.19079799999997</v>
      </c>
      <c r="K34" s="60">
        <f t="shared" si="8"/>
        <v>0</v>
      </c>
      <c r="L34" s="60">
        <f t="shared" si="8"/>
        <v>2760.6</v>
      </c>
      <c r="M34" s="60">
        <f t="shared" si="8"/>
        <v>0</v>
      </c>
      <c r="N34" s="27">
        <f t="shared" si="8"/>
        <v>0</v>
      </c>
      <c r="O34" s="60">
        <f t="shared" si="8"/>
        <v>0</v>
      </c>
      <c r="P34" s="60">
        <f t="shared" si="8"/>
        <v>0</v>
      </c>
      <c r="Q34" s="60">
        <f t="shared" si="8"/>
        <v>0</v>
      </c>
      <c r="R34" s="27">
        <f t="shared" si="8"/>
        <v>0</v>
      </c>
      <c r="S34" s="36">
        <f t="shared" si="8"/>
        <v>0</v>
      </c>
      <c r="T34" s="36">
        <f t="shared" si="8"/>
        <v>0</v>
      </c>
      <c r="U34" s="36">
        <f t="shared" si="8"/>
        <v>0</v>
      </c>
      <c r="V34" s="27">
        <f t="shared" si="8"/>
        <v>920.19079799999997</v>
      </c>
      <c r="W34" s="36">
        <f t="shared" si="8"/>
        <v>0</v>
      </c>
      <c r="X34" s="36">
        <f t="shared" si="8"/>
        <v>2760.6</v>
      </c>
      <c r="Y34" s="36">
        <f t="shared" si="8"/>
        <v>0</v>
      </c>
    </row>
    <row r="35" spans="1:25">
      <c r="A35" s="24" t="s">
        <v>565</v>
      </c>
      <c r="B35" s="26"/>
      <c r="C35" s="26"/>
      <c r="D35" s="26"/>
      <c r="E35" s="26"/>
      <c r="F35" s="26"/>
      <c r="G35" s="26"/>
      <c r="H35" s="26"/>
      <c r="I35" s="26"/>
      <c r="J35" s="26"/>
      <c r="K35" s="26"/>
      <c r="L35" s="26"/>
      <c r="M35" s="26"/>
      <c r="N35" s="26"/>
      <c r="O35" s="26"/>
      <c r="P35" s="26"/>
      <c r="Q35" s="26"/>
      <c r="R35" s="26"/>
      <c r="S35" s="26"/>
      <c r="T35" s="26"/>
      <c r="U35" s="26"/>
      <c r="V35" s="26"/>
      <c r="W35" s="26"/>
      <c r="X35" s="26"/>
      <c r="Y35" s="26"/>
    </row>
    <row r="36" spans="1:25">
      <c r="A36" s="40" t="s">
        <v>77</v>
      </c>
      <c r="B36" s="65">
        <v>0</v>
      </c>
      <c r="C36" s="54">
        <v>0</v>
      </c>
      <c r="D36" s="89">
        <v>0</v>
      </c>
      <c r="E36" s="86">
        <v>0</v>
      </c>
      <c r="F36" s="72">
        <v>0</v>
      </c>
      <c r="G36" s="54">
        <v>0</v>
      </c>
      <c r="H36" s="89">
        <v>0</v>
      </c>
      <c r="I36" s="86">
        <v>0</v>
      </c>
      <c r="J36" s="72">
        <v>0</v>
      </c>
      <c r="K36" s="54">
        <v>0</v>
      </c>
      <c r="L36" s="89">
        <v>0</v>
      </c>
      <c r="M36" s="86">
        <v>0</v>
      </c>
      <c r="N36" s="72">
        <v>0</v>
      </c>
      <c r="O36" s="54">
        <v>0</v>
      </c>
      <c r="P36" s="89">
        <v>0</v>
      </c>
      <c r="Q36" s="86">
        <v>0</v>
      </c>
      <c r="R36" s="72">
        <v>0</v>
      </c>
      <c r="S36" s="32">
        <v>0</v>
      </c>
      <c r="T36" s="84">
        <v>0</v>
      </c>
      <c r="U36" s="80">
        <v>0</v>
      </c>
      <c r="V36" s="65">
        <v>0</v>
      </c>
      <c r="W36" s="32">
        <f t="shared" ref="W36:Y41" si="9">SUM(G36,K36,O36,S36)</f>
        <v>0</v>
      </c>
      <c r="X36" s="84">
        <f t="shared" si="9"/>
        <v>0</v>
      </c>
      <c r="Y36" s="80">
        <f t="shared" si="9"/>
        <v>0</v>
      </c>
    </row>
    <row r="37" spans="1:25">
      <c r="A37" s="41" t="s">
        <v>59</v>
      </c>
      <c r="B37" s="39">
        <v>0</v>
      </c>
      <c r="C37" s="54">
        <v>0</v>
      </c>
      <c r="D37" s="89">
        <v>0</v>
      </c>
      <c r="E37" s="86">
        <v>0</v>
      </c>
      <c r="F37" s="72">
        <v>0</v>
      </c>
      <c r="G37" s="54">
        <v>0</v>
      </c>
      <c r="H37" s="89">
        <v>0</v>
      </c>
      <c r="I37" s="86">
        <v>0</v>
      </c>
      <c r="J37" s="72">
        <v>0</v>
      </c>
      <c r="K37" s="54">
        <v>0</v>
      </c>
      <c r="L37" s="89">
        <v>0</v>
      </c>
      <c r="M37" s="86">
        <v>0</v>
      </c>
      <c r="N37" s="72">
        <v>0</v>
      </c>
      <c r="O37" s="54">
        <v>0</v>
      </c>
      <c r="P37" s="89">
        <v>0</v>
      </c>
      <c r="Q37" s="86">
        <v>0</v>
      </c>
      <c r="R37" s="72">
        <v>0</v>
      </c>
      <c r="S37" s="22">
        <v>0</v>
      </c>
      <c r="T37" s="82">
        <v>0</v>
      </c>
      <c r="U37" s="78">
        <v>0</v>
      </c>
      <c r="V37" s="39">
        <v>0</v>
      </c>
      <c r="W37" s="22">
        <f t="shared" si="9"/>
        <v>0</v>
      </c>
      <c r="X37" s="82">
        <f t="shared" si="9"/>
        <v>0</v>
      </c>
      <c r="Y37" s="78">
        <f t="shared" si="9"/>
        <v>0</v>
      </c>
    </row>
    <row r="38" spans="1:25">
      <c r="A38" s="41" t="s">
        <v>39</v>
      </c>
      <c r="B38" s="39">
        <v>0</v>
      </c>
      <c r="C38" s="54">
        <v>0</v>
      </c>
      <c r="D38" s="89">
        <v>0</v>
      </c>
      <c r="E38" s="86">
        <v>0</v>
      </c>
      <c r="F38" s="72">
        <v>0</v>
      </c>
      <c r="G38" s="54">
        <v>0</v>
      </c>
      <c r="H38" s="89">
        <v>0</v>
      </c>
      <c r="I38" s="86">
        <v>0</v>
      </c>
      <c r="J38" s="72">
        <v>0</v>
      </c>
      <c r="K38" s="54">
        <v>0</v>
      </c>
      <c r="L38" s="89">
        <v>0</v>
      </c>
      <c r="M38" s="86">
        <v>0</v>
      </c>
      <c r="N38" s="72">
        <v>0</v>
      </c>
      <c r="O38" s="54">
        <v>0</v>
      </c>
      <c r="P38" s="89">
        <v>0</v>
      </c>
      <c r="Q38" s="86">
        <v>0</v>
      </c>
      <c r="R38" s="72">
        <v>0</v>
      </c>
      <c r="S38" s="22">
        <v>0</v>
      </c>
      <c r="T38" s="82">
        <v>0</v>
      </c>
      <c r="U38" s="78">
        <v>0</v>
      </c>
      <c r="V38" s="39">
        <v>0</v>
      </c>
      <c r="W38" s="22">
        <f t="shared" si="9"/>
        <v>0</v>
      </c>
      <c r="X38" s="82">
        <f t="shared" si="9"/>
        <v>0</v>
      </c>
      <c r="Y38" s="78">
        <f t="shared" si="9"/>
        <v>0</v>
      </c>
    </row>
    <row r="39" spans="1:25">
      <c r="A39" s="92" t="s">
        <v>31</v>
      </c>
      <c r="B39" s="93">
        <v>0</v>
      </c>
      <c r="C39" s="94">
        <v>0</v>
      </c>
      <c r="D39" s="100">
        <v>0</v>
      </c>
      <c r="E39" s="99">
        <v>0</v>
      </c>
      <c r="F39" s="95">
        <v>0</v>
      </c>
      <c r="G39" s="94">
        <v>0</v>
      </c>
      <c r="H39" s="100">
        <v>0</v>
      </c>
      <c r="I39" s="99">
        <v>0</v>
      </c>
      <c r="J39" s="95">
        <v>0</v>
      </c>
      <c r="K39" s="94">
        <v>0</v>
      </c>
      <c r="L39" s="100">
        <v>0</v>
      </c>
      <c r="M39" s="99">
        <v>0</v>
      </c>
      <c r="N39" s="95">
        <v>0</v>
      </c>
      <c r="O39" s="94">
        <v>0</v>
      </c>
      <c r="P39" s="100">
        <v>0</v>
      </c>
      <c r="Q39" s="99">
        <v>0</v>
      </c>
      <c r="R39" s="95">
        <v>0</v>
      </c>
      <c r="S39" s="96">
        <v>0</v>
      </c>
      <c r="T39" s="98">
        <v>0</v>
      </c>
      <c r="U39" s="97">
        <v>0</v>
      </c>
      <c r="V39" s="93">
        <v>0</v>
      </c>
      <c r="W39" s="96">
        <f t="shared" si="9"/>
        <v>0</v>
      </c>
      <c r="X39" s="98">
        <f t="shared" si="9"/>
        <v>0</v>
      </c>
      <c r="Y39" s="97">
        <f t="shared" si="9"/>
        <v>0</v>
      </c>
    </row>
    <row r="40" spans="1:25">
      <c r="A40" s="41" t="s">
        <v>27</v>
      </c>
      <c r="B40" s="39">
        <v>1713</v>
      </c>
      <c r="C40" s="54">
        <v>1644</v>
      </c>
      <c r="D40" s="89">
        <v>1645</v>
      </c>
      <c r="E40" s="86">
        <v>0</v>
      </c>
      <c r="F40" s="72">
        <v>24.306423600000002</v>
      </c>
      <c r="G40" s="54">
        <v>0</v>
      </c>
      <c r="H40" s="89">
        <v>72.92</v>
      </c>
      <c r="I40" s="86">
        <v>0</v>
      </c>
      <c r="J40" s="72">
        <v>598.53068129999997</v>
      </c>
      <c r="K40" s="54">
        <v>639.49</v>
      </c>
      <c r="L40" s="89">
        <v>1156.1199999999999</v>
      </c>
      <c r="M40" s="86">
        <v>0</v>
      </c>
      <c r="N40" s="72">
        <v>174.53492130000001</v>
      </c>
      <c r="O40" s="54">
        <v>167.92</v>
      </c>
      <c r="P40" s="89">
        <v>355.69</v>
      </c>
      <c r="Q40" s="86">
        <v>0</v>
      </c>
      <c r="R40" s="72">
        <v>161.54171790000001</v>
      </c>
      <c r="S40" s="22">
        <v>280.55</v>
      </c>
      <c r="T40" s="82">
        <v>204.08</v>
      </c>
      <c r="U40" s="78">
        <v>0</v>
      </c>
      <c r="V40" s="39">
        <v>958.91374410000003</v>
      </c>
      <c r="W40" s="22">
        <f t="shared" si="9"/>
        <v>1087.96</v>
      </c>
      <c r="X40" s="82">
        <f t="shared" si="9"/>
        <v>1788.81</v>
      </c>
      <c r="Y40" s="78">
        <f t="shared" si="9"/>
        <v>0</v>
      </c>
    </row>
    <row r="41" spans="1:25">
      <c r="A41" s="42" t="s">
        <v>25</v>
      </c>
      <c r="B41" s="64">
        <v>139</v>
      </c>
      <c r="C41" s="59">
        <v>136</v>
      </c>
      <c r="D41" s="91">
        <v>136</v>
      </c>
      <c r="E41" s="88">
        <v>0</v>
      </c>
      <c r="F41" s="73">
        <v>2.0133132000000002</v>
      </c>
      <c r="G41" s="59">
        <v>0</v>
      </c>
      <c r="H41" s="91">
        <v>6.04</v>
      </c>
      <c r="I41" s="88">
        <v>0</v>
      </c>
      <c r="J41" s="73">
        <v>49.186174800000003</v>
      </c>
      <c r="K41" s="59">
        <v>51.85</v>
      </c>
      <c r="L41" s="91">
        <v>95.71</v>
      </c>
      <c r="M41" s="88">
        <v>0</v>
      </c>
      <c r="N41" s="73">
        <v>14.3565231</v>
      </c>
      <c r="O41" s="59">
        <v>13.62</v>
      </c>
      <c r="P41" s="91">
        <v>29.45</v>
      </c>
      <c r="Q41" s="88">
        <v>0</v>
      </c>
      <c r="R41" s="73">
        <v>13.2132012</v>
      </c>
      <c r="S41" s="35">
        <v>22.75</v>
      </c>
      <c r="T41" s="85">
        <v>16.89</v>
      </c>
      <c r="U41" s="81">
        <v>0</v>
      </c>
      <c r="V41" s="64">
        <v>78.769212299999992</v>
      </c>
      <c r="W41" s="35">
        <f t="shared" si="9"/>
        <v>88.22</v>
      </c>
      <c r="X41" s="85">
        <f t="shared" si="9"/>
        <v>148.08999999999997</v>
      </c>
      <c r="Y41" s="81">
        <f t="shared" si="9"/>
        <v>0</v>
      </c>
    </row>
    <row r="42" spans="1:25">
      <c r="A42" s="23" t="s">
        <v>566</v>
      </c>
      <c r="B42" s="27">
        <f t="shared" ref="B42:Y42" si="10">SUM(B36:B41)</f>
        <v>1852</v>
      </c>
      <c r="C42" s="56">
        <f t="shared" si="10"/>
        <v>1780</v>
      </c>
      <c r="D42" s="56">
        <f t="shared" si="10"/>
        <v>1781</v>
      </c>
      <c r="E42" s="56">
        <f t="shared" si="10"/>
        <v>0</v>
      </c>
      <c r="F42" s="66">
        <f t="shared" si="10"/>
        <v>26.319736800000001</v>
      </c>
      <c r="G42" s="56">
        <f t="shared" si="10"/>
        <v>0</v>
      </c>
      <c r="H42" s="56">
        <f t="shared" si="10"/>
        <v>78.960000000000008</v>
      </c>
      <c r="I42" s="56">
        <f t="shared" si="10"/>
        <v>0</v>
      </c>
      <c r="J42" s="66">
        <f t="shared" si="10"/>
        <v>647.71685609999997</v>
      </c>
      <c r="K42" s="56">
        <f t="shared" si="10"/>
        <v>691.34</v>
      </c>
      <c r="L42" s="56">
        <f t="shared" si="10"/>
        <v>1251.83</v>
      </c>
      <c r="M42" s="56">
        <f t="shared" si="10"/>
        <v>0</v>
      </c>
      <c r="N42" s="66">
        <f t="shared" si="10"/>
        <v>188.89144440000001</v>
      </c>
      <c r="O42" s="56">
        <f t="shared" si="10"/>
        <v>181.54</v>
      </c>
      <c r="P42" s="56">
        <f t="shared" si="10"/>
        <v>385.14</v>
      </c>
      <c r="Q42" s="56">
        <f t="shared" si="10"/>
        <v>0</v>
      </c>
      <c r="R42" s="66">
        <f t="shared" si="10"/>
        <v>174.7549191</v>
      </c>
      <c r="S42" s="37">
        <f t="shared" si="10"/>
        <v>303.3</v>
      </c>
      <c r="T42" s="37">
        <f t="shared" si="10"/>
        <v>220.97000000000003</v>
      </c>
      <c r="U42" s="37">
        <f t="shared" si="10"/>
        <v>0</v>
      </c>
      <c r="V42" s="27">
        <f t="shared" si="10"/>
        <v>1037.6829564</v>
      </c>
      <c r="W42" s="37">
        <f t="shared" si="10"/>
        <v>1176.18</v>
      </c>
      <c r="X42" s="37">
        <f t="shared" si="10"/>
        <v>1936.8999999999999</v>
      </c>
      <c r="Y42" s="37">
        <f t="shared" si="10"/>
        <v>0</v>
      </c>
    </row>
    <row r="43" spans="1:25" ht="16.2" thickBot="1">
      <c r="A43" s="43" t="s">
        <v>567</v>
      </c>
      <c r="B43" s="34">
        <f>SUM(B21,B30,B34,B42)</f>
        <v>29079</v>
      </c>
      <c r="C43" s="52">
        <f t="shared" ref="C43:U43" si="11">SUM(C21,C30,C34,C42)</f>
        <v>29007</v>
      </c>
      <c r="D43" s="52">
        <f t="shared" si="11"/>
        <v>29007</v>
      </c>
      <c r="E43" s="52">
        <f t="shared" si="11"/>
        <v>0</v>
      </c>
      <c r="F43" s="34">
        <f t="shared" si="11"/>
        <v>428.75904569999994</v>
      </c>
      <c r="G43" s="52">
        <f t="shared" si="11"/>
        <v>0</v>
      </c>
      <c r="H43" s="52">
        <f t="shared" si="11"/>
        <v>1286.29</v>
      </c>
      <c r="I43" s="52">
        <f t="shared" si="11"/>
        <v>0</v>
      </c>
      <c r="J43" s="34">
        <f t="shared" si="11"/>
        <v>10416.8724969</v>
      </c>
      <c r="K43" s="52">
        <f t="shared" si="11"/>
        <v>10858.17</v>
      </c>
      <c r="L43" s="52">
        <f t="shared" si="11"/>
        <v>20392.760000000002</v>
      </c>
      <c r="M43" s="52">
        <f t="shared" si="11"/>
        <v>0</v>
      </c>
      <c r="N43" s="34">
        <f t="shared" si="11"/>
        <v>3041.6695830000003</v>
      </c>
      <c r="O43" s="52">
        <f t="shared" si="11"/>
        <v>2851.0899999999997</v>
      </c>
      <c r="P43" s="52">
        <f t="shared" si="11"/>
        <v>6274.01</v>
      </c>
      <c r="Q43" s="52">
        <f t="shared" si="11"/>
        <v>0</v>
      </c>
      <c r="R43" s="34">
        <f t="shared" si="11"/>
        <v>2787.812121599999</v>
      </c>
      <c r="S43" s="34">
        <f t="shared" si="11"/>
        <v>4763.71</v>
      </c>
      <c r="T43" s="34">
        <f t="shared" si="11"/>
        <v>3599.8100000000004</v>
      </c>
      <c r="U43" s="34">
        <f t="shared" si="11"/>
        <v>0</v>
      </c>
      <c r="V43" s="34">
        <f>SUM(V21,V30,V34,V42)</f>
        <v>16675.113247199999</v>
      </c>
      <c r="W43" s="34">
        <f t="shared" ref="W43:Y43" si="12">SUM(W21,W30,W34,W42)</f>
        <v>18472.97</v>
      </c>
      <c r="X43" s="34">
        <f t="shared" si="12"/>
        <v>31552.87</v>
      </c>
      <c r="Y43" s="34">
        <f t="shared" si="12"/>
        <v>0</v>
      </c>
    </row>
    <row r="44" spans="1:25" ht="15" thickTop="1">
      <c r="A44" s="44" t="s">
        <v>568</v>
      </c>
      <c r="B44" s="28"/>
      <c r="C44" s="20"/>
      <c r="D44" s="20"/>
      <c r="E44" s="20"/>
      <c r="F44" s="28"/>
      <c r="G44" s="20"/>
      <c r="H44" s="20"/>
      <c r="I44" s="20"/>
      <c r="J44" s="28"/>
      <c r="K44" s="20"/>
      <c r="L44" s="20"/>
      <c r="M44" s="20"/>
      <c r="N44" s="28"/>
      <c r="O44" s="20"/>
      <c r="P44" s="20"/>
      <c r="Q44" s="20"/>
      <c r="R44" s="28"/>
      <c r="S44" s="20"/>
      <c r="T44" s="20"/>
      <c r="U44" s="20"/>
      <c r="V44" s="28"/>
      <c r="W44" s="20"/>
      <c r="X44" s="20"/>
      <c r="Y44" s="20"/>
    </row>
    <row r="45" spans="1:25">
      <c r="A45" s="40" t="s">
        <v>23</v>
      </c>
      <c r="B45" s="65">
        <v>0</v>
      </c>
      <c r="C45" s="54">
        <v>0</v>
      </c>
      <c r="D45" s="89">
        <v>0</v>
      </c>
      <c r="E45" s="86">
        <v>0</v>
      </c>
      <c r="F45" s="72">
        <v>0</v>
      </c>
      <c r="G45" s="54">
        <v>0</v>
      </c>
      <c r="H45" s="89">
        <v>0</v>
      </c>
      <c r="I45" s="86">
        <v>0</v>
      </c>
      <c r="J45" s="72">
        <v>0</v>
      </c>
      <c r="K45" s="54">
        <v>0</v>
      </c>
      <c r="L45" s="89">
        <v>0</v>
      </c>
      <c r="M45" s="86">
        <v>0</v>
      </c>
      <c r="N45" s="72">
        <v>0</v>
      </c>
      <c r="O45" s="54">
        <v>0</v>
      </c>
      <c r="P45" s="89">
        <v>0</v>
      </c>
      <c r="Q45" s="86">
        <v>0</v>
      </c>
      <c r="R45" s="72">
        <v>3847.8881874000003</v>
      </c>
      <c r="S45" s="32">
        <v>10840.78</v>
      </c>
      <c r="T45" s="84">
        <v>703</v>
      </c>
      <c r="U45" s="80">
        <v>0</v>
      </c>
      <c r="V45" s="65">
        <v>3847.8881874000003</v>
      </c>
      <c r="W45" s="32">
        <f t="shared" ref="W45:Y46" si="13">SUM(G45,K45,O45,S45)</f>
        <v>10840.78</v>
      </c>
      <c r="X45" s="84">
        <f t="shared" si="13"/>
        <v>703</v>
      </c>
      <c r="Y45" s="80">
        <f t="shared" si="13"/>
        <v>0</v>
      </c>
    </row>
    <row r="46" spans="1:25">
      <c r="A46" s="42" t="s">
        <v>7</v>
      </c>
      <c r="B46" s="64">
        <v>0</v>
      </c>
      <c r="C46" s="59">
        <v>0</v>
      </c>
      <c r="D46" s="91">
        <v>0</v>
      </c>
      <c r="E46" s="88">
        <v>0</v>
      </c>
      <c r="F46" s="73">
        <v>0</v>
      </c>
      <c r="G46" s="59">
        <v>0</v>
      </c>
      <c r="H46" s="91">
        <v>0</v>
      </c>
      <c r="I46" s="88">
        <v>0</v>
      </c>
      <c r="J46" s="73">
        <v>0</v>
      </c>
      <c r="K46" s="59">
        <v>0</v>
      </c>
      <c r="L46" s="91">
        <v>0</v>
      </c>
      <c r="M46" s="88">
        <v>0</v>
      </c>
      <c r="N46" s="73">
        <v>0</v>
      </c>
      <c r="O46" s="59">
        <v>0</v>
      </c>
      <c r="P46" s="91">
        <v>0</v>
      </c>
      <c r="Q46" s="88">
        <v>0</v>
      </c>
      <c r="R46" s="73">
        <v>0</v>
      </c>
      <c r="S46" s="35">
        <v>0</v>
      </c>
      <c r="T46" s="85">
        <v>0</v>
      </c>
      <c r="U46" s="81">
        <v>0</v>
      </c>
      <c r="V46" s="64">
        <v>0</v>
      </c>
      <c r="W46" s="35">
        <f t="shared" si="13"/>
        <v>0</v>
      </c>
      <c r="X46" s="85">
        <f t="shared" si="13"/>
        <v>0</v>
      </c>
      <c r="Y46" s="81">
        <f t="shared" si="13"/>
        <v>0</v>
      </c>
    </row>
    <row r="47" spans="1:25">
      <c r="A47" s="45" t="s">
        <v>569</v>
      </c>
      <c r="B47" s="49">
        <f t="shared" ref="B47:Y47" si="14">SUM(B45:B46)</f>
        <v>0</v>
      </c>
      <c r="C47" s="60">
        <f t="shared" si="14"/>
        <v>0</v>
      </c>
      <c r="D47" s="60">
        <f t="shared" si="14"/>
        <v>0</v>
      </c>
      <c r="E47" s="60">
        <f t="shared" si="14"/>
        <v>0</v>
      </c>
      <c r="F47" s="27">
        <f t="shared" si="14"/>
        <v>0</v>
      </c>
      <c r="G47" s="60">
        <f t="shared" si="14"/>
        <v>0</v>
      </c>
      <c r="H47" s="60">
        <f t="shared" si="14"/>
        <v>0</v>
      </c>
      <c r="I47" s="60">
        <f t="shared" si="14"/>
        <v>0</v>
      </c>
      <c r="J47" s="27">
        <f t="shared" si="14"/>
        <v>0</v>
      </c>
      <c r="K47" s="60">
        <f t="shared" si="14"/>
        <v>0</v>
      </c>
      <c r="L47" s="60">
        <f t="shared" si="14"/>
        <v>0</v>
      </c>
      <c r="M47" s="60">
        <f t="shared" si="14"/>
        <v>0</v>
      </c>
      <c r="N47" s="27">
        <f t="shared" si="14"/>
        <v>0</v>
      </c>
      <c r="O47" s="60">
        <f t="shared" si="14"/>
        <v>0</v>
      </c>
      <c r="P47" s="60">
        <f t="shared" si="14"/>
        <v>0</v>
      </c>
      <c r="Q47" s="60">
        <f t="shared" si="14"/>
        <v>0</v>
      </c>
      <c r="R47" s="27">
        <f t="shared" si="14"/>
        <v>3847.8881874000003</v>
      </c>
      <c r="S47" s="36">
        <f t="shared" si="14"/>
        <v>10840.78</v>
      </c>
      <c r="T47" s="36">
        <f t="shared" si="14"/>
        <v>703</v>
      </c>
      <c r="U47" s="36">
        <f t="shared" si="14"/>
        <v>0</v>
      </c>
      <c r="V47" s="49">
        <f t="shared" si="14"/>
        <v>3847.8881874000003</v>
      </c>
      <c r="W47" s="36">
        <f t="shared" si="14"/>
        <v>10840.78</v>
      </c>
      <c r="X47" s="36">
        <f t="shared" si="14"/>
        <v>703</v>
      </c>
      <c r="Y47" s="36">
        <f t="shared" si="14"/>
        <v>0</v>
      </c>
    </row>
    <row r="48" spans="1:25" ht="16.2" thickBot="1">
      <c r="A48" s="43" t="s">
        <v>570</v>
      </c>
      <c r="B48" s="34">
        <f>SUM(B12,B43,B47)</f>
        <v>0</v>
      </c>
      <c r="C48" s="52">
        <f t="shared" ref="C48:U48" si="15">SUM(C12,C43,C47)</f>
        <v>0</v>
      </c>
      <c r="D48" s="52">
        <f t="shared" si="15"/>
        <v>0</v>
      </c>
      <c r="E48" s="52">
        <f t="shared" si="15"/>
        <v>0</v>
      </c>
      <c r="F48" s="34">
        <f t="shared" si="15"/>
        <v>428.75904569999994</v>
      </c>
      <c r="G48" s="52">
        <f t="shared" si="15"/>
        <v>0</v>
      </c>
      <c r="H48" s="52">
        <f t="shared" si="15"/>
        <v>1286.29</v>
      </c>
      <c r="I48" s="52">
        <f t="shared" si="15"/>
        <v>0</v>
      </c>
      <c r="J48" s="34">
        <f t="shared" si="15"/>
        <v>4499.9316668999991</v>
      </c>
      <c r="K48" s="52">
        <f t="shared" si="15"/>
        <v>-3644.83</v>
      </c>
      <c r="L48" s="52">
        <f t="shared" si="15"/>
        <v>17144.760000000002</v>
      </c>
      <c r="M48" s="52">
        <f t="shared" si="15"/>
        <v>0</v>
      </c>
      <c r="N48" s="34">
        <f t="shared" si="15"/>
        <v>-1895.1977145000005</v>
      </c>
      <c r="O48" s="52">
        <f t="shared" si="15"/>
        <v>-11959.66</v>
      </c>
      <c r="P48" s="52">
        <f t="shared" si="15"/>
        <v>6274.01</v>
      </c>
      <c r="Q48" s="52">
        <f t="shared" si="15"/>
        <v>0</v>
      </c>
      <c r="R48" s="34">
        <f t="shared" si="15"/>
        <v>-3033.4929981000009</v>
      </c>
      <c r="S48" s="34">
        <f t="shared" si="15"/>
        <v>15604.490000000002</v>
      </c>
      <c r="T48" s="34">
        <f t="shared" si="15"/>
        <v>-24705.059999999998</v>
      </c>
      <c r="U48" s="34">
        <f t="shared" si="15"/>
        <v>0</v>
      </c>
      <c r="V48" s="34">
        <f>SUM(V12,V43,V47)</f>
        <v>0</v>
      </c>
      <c r="W48" s="34">
        <f t="shared" ref="W48:Y48" si="16">SUM(W12,W43,W47)</f>
        <v>0</v>
      </c>
      <c r="X48" s="34">
        <f t="shared" si="16"/>
        <v>0</v>
      </c>
      <c r="Y48" s="34">
        <f t="shared" si="16"/>
        <v>0</v>
      </c>
    </row>
    <row r="49" spans="1:25" ht="15" thickTop="1">
      <c r="A49" s="29"/>
      <c r="B49" s="19"/>
      <c r="C49" s="48"/>
      <c r="D49" s="48"/>
      <c r="E49" s="48"/>
      <c r="F49" s="19"/>
      <c r="G49" s="48"/>
      <c r="H49" s="48"/>
      <c r="I49" s="48"/>
      <c r="J49" s="19"/>
      <c r="K49" s="48"/>
      <c r="L49" s="48"/>
      <c r="M49" s="48"/>
      <c r="N49" s="19"/>
      <c r="O49" s="48"/>
      <c r="P49" s="48"/>
      <c r="Q49" s="48"/>
      <c r="R49" s="19"/>
      <c r="S49" s="48"/>
      <c r="T49" s="48"/>
      <c r="U49" s="48"/>
      <c r="V49" s="19"/>
      <c r="W49" s="48"/>
      <c r="X49" s="48"/>
      <c r="Y49" s="48"/>
    </row>
  </sheetData>
  <conditionalFormatting sqref="B15:C21 B23:C30 B32:C34 B36:C43 V36:W43 V32:W34 V23:W30 V15:W21 R36:S43 R32:S34 R23:S30 R15:S21 N36:O43 N32:O34 N23:O30 N15:O21 J36:K43 J32:K34 J23:K30 J15:K21 F36:G43 F32:G34 F23:G30 F15:G21">
    <cfRule type="cellIs" dxfId="64" priority="13" operator="lessThan">
      <formula>-0.01</formula>
    </cfRule>
  </conditionalFormatting>
  <conditionalFormatting sqref="Y15:Y21 Y23:Y30 Y32:Y34 Y36:Y43">
    <cfRule type="cellIs" dxfId="63" priority="12" operator="lessThan">
      <formula>-0.01</formula>
    </cfRule>
  </conditionalFormatting>
  <conditionalFormatting sqref="X15:X21 X23:X30 X32:X34 X36:X43">
    <cfRule type="cellIs" dxfId="62" priority="11" operator="lessThan">
      <formula>-0.01</formula>
    </cfRule>
  </conditionalFormatting>
  <conditionalFormatting sqref="U15:U21 U23:U30 U32:U34 U36:U43">
    <cfRule type="cellIs" dxfId="61" priority="10" operator="lessThan">
      <formula>-0.01</formula>
    </cfRule>
  </conditionalFormatting>
  <conditionalFormatting sqref="T15:T21 T23:T30 T32:T34 T36:T43">
    <cfRule type="cellIs" dxfId="60" priority="9" operator="lessThan">
      <formula>-0.01</formula>
    </cfRule>
  </conditionalFormatting>
  <conditionalFormatting sqref="Q15:Q21 Q23:Q30 Q32:Q34 Q36:Q43">
    <cfRule type="cellIs" dxfId="59" priority="8" operator="lessThan">
      <formula>-0.01</formula>
    </cfRule>
  </conditionalFormatting>
  <conditionalFormatting sqref="P15:P21 P23:P30 P32:P34 P36:P43">
    <cfRule type="cellIs" dxfId="58" priority="7" operator="lessThan">
      <formula>-0.01</formula>
    </cfRule>
  </conditionalFormatting>
  <conditionalFormatting sqref="M15:M21 M23:M30 M32:M34 M36:M43">
    <cfRule type="cellIs" dxfId="57" priority="6" operator="lessThan">
      <formula>-0.01</formula>
    </cfRule>
  </conditionalFormatting>
  <conditionalFormatting sqref="L15:L21 L23:L30 L32:L34 L36:L43">
    <cfRule type="cellIs" dxfId="56" priority="5" operator="lessThan">
      <formula>-0.01</formula>
    </cfRule>
  </conditionalFormatting>
  <conditionalFormatting sqref="I15:I21 I23:I30 I32:I34 I36:I43">
    <cfRule type="cellIs" dxfId="55" priority="4" operator="lessThan">
      <formula>-0.01</formula>
    </cfRule>
  </conditionalFormatting>
  <conditionalFormatting sqref="H15:H21 H23:H30 H32:H34 H36:H43">
    <cfRule type="cellIs" dxfId="54" priority="3" operator="lessThan">
      <formula>-0.01</formula>
    </cfRule>
  </conditionalFormatting>
  <conditionalFormatting sqref="E15:E21 E23:E30 E32:E34 E36:E43">
    <cfRule type="cellIs" dxfId="53" priority="2" operator="lessThan">
      <formula>-0.01</formula>
    </cfRule>
  </conditionalFormatting>
  <conditionalFormatting sqref="D15:D21 D23:D30 D32:D34 D36:D43">
    <cfRule type="cellIs" dxfId="52" priority="1" operator="lessThan">
      <formula>-0.01</formula>
    </cfRule>
  </conditionalFormatting>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EAFF0E-BC67-4742-B6CE-4FEABE6A4A9C}">
  <sheetPr codeName="Sheet20"/>
  <dimension ref="A1:AZ49"/>
  <sheetViews>
    <sheetView showGridLines="0" workbookViewId="0">
      <pane xSplit="1" ySplit="6" topLeftCell="B7" activePane="bottomRight" state="frozen"/>
      <selection pane="topRight" activeCell="B1" sqref="B1"/>
      <selection pane="bottomLeft" activeCell="A7" sqref="A7"/>
      <selection pane="bottomRight"/>
    </sheetView>
  </sheetViews>
  <sheetFormatPr defaultRowHeight="14.4" outlineLevelCol="1"/>
  <cols>
    <col min="1" max="1" width="32.44140625" bestFit="1" customWidth="1"/>
    <col min="2" max="2" width="16.77734375" customWidth="1"/>
    <col min="3" max="5" width="13.44140625" style="57" hidden="1" customWidth="1" outlineLevel="1"/>
    <col min="6" max="6" width="16.77734375" customWidth="1" collapsed="1"/>
    <col min="7" max="9" width="13.44140625" style="57" hidden="1" customWidth="1" outlineLevel="1"/>
    <col min="10" max="10" width="16.77734375" customWidth="1" collapsed="1"/>
    <col min="11" max="13" width="13.44140625" style="57" hidden="1" customWidth="1" outlineLevel="1"/>
    <col min="14" max="14" width="16.77734375" customWidth="1" collapsed="1"/>
    <col min="15" max="17" width="13.44140625" style="57" hidden="1" customWidth="1" outlineLevel="1"/>
    <col min="18" max="18" width="16.77734375" customWidth="1" collapsed="1"/>
    <col min="19" max="21" width="13.44140625" style="57" hidden="1" customWidth="1" outlineLevel="1"/>
    <col min="22" max="22" width="16.77734375" customWidth="1" collapsed="1"/>
    <col min="23" max="25" width="13.44140625" style="57" hidden="1" customWidth="1" outlineLevel="1"/>
    <col min="26" max="26" width="8.88671875" collapsed="1"/>
  </cols>
  <sheetData>
    <row r="1" spans="1:52" ht="15.6">
      <c r="A1" s="68" t="s">
        <v>790</v>
      </c>
      <c r="B1" s="46"/>
      <c r="C1" s="46"/>
      <c r="D1" s="46"/>
      <c r="E1" s="46"/>
      <c r="F1" s="46"/>
      <c r="G1" s="46"/>
      <c r="H1" s="46"/>
      <c r="I1" s="46"/>
      <c r="J1" s="46"/>
      <c r="K1" s="46"/>
      <c r="L1" s="46"/>
      <c r="M1" s="46"/>
      <c r="N1" s="46"/>
      <c r="O1" s="46"/>
      <c r="P1" s="46"/>
      <c r="Q1" s="46"/>
      <c r="R1" s="46"/>
      <c r="V1" s="46"/>
      <c r="W1" s="46"/>
      <c r="X1" s="46"/>
      <c r="Y1" s="46"/>
    </row>
    <row r="2" spans="1:52" ht="15.6">
      <c r="A2" s="69" t="s">
        <v>421</v>
      </c>
      <c r="B2" s="47"/>
      <c r="C2" s="47"/>
      <c r="D2" s="47"/>
      <c r="E2" s="47"/>
      <c r="F2" s="47"/>
      <c r="G2" s="47"/>
      <c r="H2" s="47"/>
      <c r="I2" s="47"/>
      <c r="J2" s="47"/>
      <c r="K2" s="47"/>
      <c r="L2" s="47"/>
      <c r="M2" s="47"/>
      <c r="N2" s="47"/>
      <c r="O2" s="47"/>
      <c r="P2" s="47"/>
      <c r="Q2" s="47"/>
      <c r="R2" s="47"/>
      <c r="V2" s="47"/>
      <c r="W2" s="47"/>
      <c r="X2" s="47"/>
      <c r="Y2" s="47"/>
    </row>
    <row r="3" spans="1:52">
      <c r="A3" s="136"/>
      <c r="B3" s="61" t="s">
        <v>589</v>
      </c>
      <c r="C3" s="50" t="s">
        <v>572</v>
      </c>
      <c r="D3" s="50" t="s">
        <v>572</v>
      </c>
      <c r="E3" s="50" t="s">
        <v>572</v>
      </c>
      <c r="F3" s="61" t="s">
        <v>573</v>
      </c>
      <c r="G3" s="50" t="s">
        <v>573</v>
      </c>
      <c r="H3" s="50" t="s">
        <v>573</v>
      </c>
      <c r="I3" s="50" t="s">
        <v>573</v>
      </c>
      <c r="J3" s="61" t="s">
        <v>575</v>
      </c>
      <c r="K3" s="50" t="s">
        <v>575</v>
      </c>
      <c r="L3" s="50" t="s">
        <v>575</v>
      </c>
      <c r="M3" s="50" t="s">
        <v>575</v>
      </c>
      <c r="N3" s="61" t="s">
        <v>576</v>
      </c>
      <c r="O3" s="50" t="s">
        <v>576</v>
      </c>
      <c r="P3" s="50" t="s">
        <v>576</v>
      </c>
      <c r="Q3" s="50" t="s">
        <v>576</v>
      </c>
      <c r="R3" s="61" t="s">
        <v>577</v>
      </c>
      <c r="S3" s="38" t="s">
        <v>577</v>
      </c>
      <c r="T3" s="38" t="s">
        <v>577</v>
      </c>
      <c r="U3" s="38" t="s">
        <v>577</v>
      </c>
      <c r="V3" s="61" t="s">
        <v>585</v>
      </c>
      <c r="W3" s="38" t="s">
        <v>585</v>
      </c>
      <c r="X3" s="38" t="s">
        <v>585</v>
      </c>
      <c r="Y3" s="38" t="s">
        <v>585</v>
      </c>
      <c r="Z3" s="136"/>
      <c r="AA3" s="136"/>
      <c r="AB3" s="136"/>
      <c r="AC3" s="136"/>
      <c r="AD3" s="136"/>
      <c r="AE3" s="136"/>
      <c r="AF3" s="136"/>
      <c r="AG3" s="136"/>
      <c r="AH3" s="136"/>
      <c r="AI3" s="136"/>
      <c r="AJ3" s="136"/>
      <c r="AK3" s="136"/>
      <c r="AL3" s="136"/>
      <c r="AM3" s="136"/>
      <c r="AN3" s="136"/>
      <c r="AO3" s="136"/>
      <c r="AP3" s="136"/>
      <c r="AQ3" s="136"/>
      <c r="AR3" s="136"/>
      <c r="AS3" s="136"/>
      <c r="AT3" s="136"/>
      <c r="AU3" s="136"/>
      <c r="AV3" s="136"/>
      <c r="AW3" s="136"/>
      <c r="AX3" s="136"/>
      <c r="AY3" s="136"/>
      <c r="AZ3" s="136"/>
    </row>
    <row r="4" spans="1:52">
      <c r="A4" s="16"/>
      <c r="B4" s="31" t="str">
        <f>_xlfn.CONCAT("FY ",rngFY+rngYRS)</f>
        <v>FY 19</v>
      </c>
      <c r="C4" s="51" t="s">
        <v>555</v>
      </c>
      <c r="D4" s="51" t="s">
        <v>555</v>
      </c>
      <c r="E4" s="51" t="s">
        <v>555</v>
      </c>
      <c r="F4" s="31" t="s">
        <v>788</v>
      </c>
      <c r="G4" s="31" t="s">
        <v>789</v>
      </c>
      <c r="H4" s="31" t="s">
        <v>789</v>
      </c>
      <c r="I4" s="31" t="s">
        <v>789</v>
      </c>
      <c r="J4" s="31" t="s">
        <v>788</v>
      </c>
      <c r="K4" s="31" t="s">
        <v>789</v>
      </c>
      <c r="L4" s="31" t="s">
        <v>789</v>
      </c>
      <c r="M4" s="31" t="s">
        <v>789</v>
      </c>
      <c r="N4" s="31" t="s">
        <v>788</v>
      </c>
      <c r="O4" s="31" t="s">
        <v>789</v>
      </c>
      <c r="P4" s="31" t="s">
        <v>789</v>
      </c>
      <c r="Q4" s="31" t="s">
        <v>789</v>
      </c>
      <c r="R4" s="31" t="s">
        <v>788</v>
      </c>
      <c r="S4" s="31" t="s">
        <v>789</v>
      </c>
      <c r="T4" s="31" t="s">
        <v>789</v>
      </c>
      <c r="U4" s="31" t="s">
        <v>789</v>
      </c>
      <c r="V4" s="31" t="s">
        <v>574</v>
      </c>
      <c r="W4" s="31" t="s">
        <v>584</v>
      </c>
      <c r="X4" s="31" t="s">
        <v>584</v>
      </c>
      <c r="Y4" s="31" t="s">
        <v>584</v>
      </c>
    </row>
    <row r="5" spans="1:52">
      <c r="A5" s="17"/>
      <c r="B5" s="31"/>
      <c r="C5" s="51" t="s">
        <v>587</v>
      </c>
      <c r="D5" s="51" t="s">
        <v>586</v>
      </c>
      <c r="E5" s="51" t="s">
        <v>590</v>
      </c>
      <c r="F5" s="31"/>
      <c r="G5" s="51" t="s">
        <v>587</v>
      </c>
      <c r="H5" s="51" t="s">
        <v>586</v>
      </c>
      <c r="I5" s="51" t="s">
        <v>590</v>
      </c>
      <c r="J5" s="31"/>
      <c r="K5" s="51" t="s">
        <v>587</v>
      </c>
      <c r="L5" s="51" t="s">
        <v>586</v>
      </c>
      <c r="M5" s="51" t="s">
        <v>590</v>
      </c>
      <c r="N5" s="31"/>
      <c r="O5" s="51" t="s">
        <v>587</v>
      </c>
      <c r="P5" s="51" t="s">
        <v>586</v>
      </c>
      <c r="Q5" s="51" t="s">
        <v>590</v>
      </c>
      <c r="R5" s="31"/>
      <c r="S5" s="31" t="s">
        <v>587</v>
      </c>
      <c r="T5" s="31" t="s">
        <v>586</v>
      </c>
      <c r="U5" s="31" t="s">
        <v>590</v>
      </c>
      <c r="V5" s="31"/>
      <c r="W5" s="31" t="s">
        <v>587</v>
      </c>
      <c r="X5" s="31" t="s">
        <v>586</v>
      </c>
      <c r="Y5" s="31" t="s">
        <v>590</v>
      </c>
    </row>
    <row r="6" spans="1:52">
      <c r="A6" s="70"/>
      <c r="B6" s="62"/>
      <c r="C6" s="53"/>
      <c r="D6" s="53"/>
      <c r="E6" s="53"/>
      <c r="F6" s="62"/>
      <c r="G6" s="53"/>
      <c r="H6" s="53"/>
      <c r="I6" s="53"/>
      <c r="J6" s="62"/>
      <c r="K6" s="53"/>
      <c r="L6" s="53"/>
      <c r="M6" s="53"/>
      <c r="N6" s="62"/>
      <c r="O6" s="53"/>
      <c r="P6" s="53"/>
      <c r="Q6" s="53"/>
      <c r="R6" s="62"/>
      <c r="S6" s="62"/>
      <c r="T6" s="62"/>
      <c r="U6" s="62"/>
      <c r="V6" s="62"/>
      <c r="W6" s="62"/>
      <c r="X6" s="62"/>
      <c r="Y6" s="62"/>
    </row>
    <row r="7" spans="1:52">
      <c r="A7" s="18" t="s">
        <v>556</v>
      </c>
      <c r="B7" s="63"/>
      <c r="C7" s="58"/>
      <c r="D7" s="58"/>
      <c r="E7" s="58"/>
      <c r="F7" s="63"/>
      <c r="G7" s="58"/>
      <c r="H7" s="58"/>
      <c r="I7" s="58"/>
      <c r="J7" s="63"/>
      <c r="K7" s="58"/>
      <c r="L7" s="58"/>
      <c r="M7" s="58"/>
      <c r="N7" s="63"/>
      <c r="O7" s="58"/>
      <c r="P7" s="58"/>
      <c r="Q7" s="58"/>
      <c r="R7" s="63"/>
      <c r="S7" s="63"/>
      <c r="T7" s="63"/>
      <c r="U7" s="63"/>
      <c r="V7" s="63"/>
      <c r="W7" s="63"/>
      <c r="X7" s="63"/>
      <c r="Y7" s="63"/>
    </row>
    <row r="8" spans="1:52">
      <c r="A8" s="40" t="s">
        <v>557</v>
      </c>
      <c r="B8" s="39">
        <v>-3704</v>
      </c>
      <c r="C8" s="54">
        <v>-3694</v>
      </c>
      <c r="D8" s="89">
        <v>-3694</v>
      </c>
      <c r="E8" s="86">
        <v>-3691</v>
      </c>
      <c r="F8" s="72">
        <v>-1846.6482000000001</v>
      </c>
      <c r="G8" s="54">
        <v>-1847</v>
      </c>
      <c r="H8" s="89">
        <v>-1847</v>
      </c>
      <c r="I8" s="86">
        <v>-1846</v>
      </c>
      <c r="J8" s="72">
        <v>0</v>
      </c>
      <c r="K8" s="54">
        <v>0</v>
      </c>
      <c r="L8" s="89">
        <v>0</v>
      </c>
      <c r="M8" s="86">
        <v>0</v>
      </c>
      <c r="N8" s="72">
        <v>-1846.3148700000002</v>
      </c>
      <c r="O8" s="54">
        <v>-1847</v>
      </c>
      <c r="P8" s="89">
        <v>-1847</v>
      </c>
      <c r="Q8" s="86">
        <v>-1845</v>
      </c>
      <c r="R8" s="72">
        <v>0</v>
      </c>
      <c r="S8" s="22">
        <v>0</v>
      </c>
      <c r="T8" s="82">
        <v>0</v>
      </c>
      <c r="U8" s="78">
        <v>0</v>
      </c>
      <c r="V8" s="39">
        <v>-3692.9630700000002</v>
      </c>
      <c r="W8" s="22">
        <f t="shared" ref="W8:Y11" si="0">SUM(G8,K8,O8,S8)</f>
        <v>-3694</v>
      </c>
      <c r="X8" s="82">
        <f t="shared" si="0"/>
        <v>-3694</v>
      </c>
      <c r="Y8" s="78">
        <f t="shared" si="0"/>
        <v>-3691</v>
      </c>
    </row>
    <row r="9" spans="1:52">
      <c r="A9" s="41" t="s">
        <v>558</v>
      </c>
      <c r="B9" s="39">
        <v>0</v>
      </c>
      <c r="C9" s="55">
        <v>0</v>
      </c>
      <c r="D9" s="90">
        <v>0</v>
      </c>
      <c r="E9" s="87">
        <v>0</v>
      </c>
      <c r="F9" s="72">
        <v>0</v>
      </c>
      <c r="G9" s="55">
        <v>0</v>
      </c>
      <c r="H9" s="90">
        <v>0</v>
      </c>
      <c r="I9" s="87">
        <v>0</v>
      </c>
      <c r="J9" s="72">
        <v>0</v>
      </c>
      <c r="K9" s="55">
        <v>0</v>
      </c>
      <c r="L9" s="90">
        <v>0</v>
      </c>
      <c r="M9" s="87">
        <v>0</v>
      </c>
      <c r="N9" s="72">
        <v>0</v>
      </c>
      <c r="O9" s="55">
        <v>0</v>
      </c>
      <c r="P9" s="90">
        <v>0</v>
      </c>
      <c r="Q9" s="87">
        <v>0</v>
      </c>
      <c r="R9" s="72">
        <v>0</v>
      </c>
      <c r="S9" s="33">
        <v>0</v>
      </c>
      <c r="T9" s="83">
        <v>0</v>
      </c>
      <c r="U9" s="79">
        <v>0</v>
      </c>
      <c r="V9" s="39">
        <v>0</v>
      </c>
      <c r="W9" s="33">
        <f t="shared" si="0"/>
        <v>0</v>
      </c>
      <c r="X9" s="83">
        <f t="shared" si="0"/>
        <v>0</v>
      </c>
      <c r="Y9" s="79">
        <f t="shared" si="0"/>
        <v>0</v>
      </c>
    </row>
    <row r="10" spans="1:52">
      <c r="A10" s="41" t="s">
        <v>212</v>
      </c>
      <c r="B10" s="39">
        <v>0</v>
      </c>
      <c r="C10" s="55">
        <v>0</v>
      </c>
      <c r="D10" s="90">
        <v>0</v>
      </c>
      <c r="E10" s="87">
        <v>0</v>
      </c>
      <c r="F10" s="72">
        <v>0</v>
      </c>
      <c r="G10" s="55">
        <v>0</v>
      </c>
      <c r="H10" s="90">
        <v>0</v>
      </c>
      <c r="I10" s="87">
        <v>0</v>
      </c>
      <c r="J10" s="72">
        <v>0</v>
      </c>
      <c r="K10" s="55">
        <v>0</v>
      </c>
      <c r="L10" s="90">
        <v>0</v>
      </c>
      <c r="M10" s="87">
        <v>0</v>
      </c>
      <c r="N10" s="72">
        <v>0</v>
      </c>
      <c r="O10" s="55">
        <v>0</v>
      </c>
      <c r="P10" s="90">
        <v>0</v>
      </c>
      <c r="Q10" s="87">
        <v>0</v>
      </c>
      <c r="R10" s="72">
        <v>0</v>
      </c>
      <c r="S10" s="33">
        <v>0</v>
      </c>
      <c r="T10" s="83">
        <v>0</v>
      </c>
      <c r="U10" s="79">
        <v>0</v>
      </c>
      <c r="V10" s="39">
        <v>0</v>
      </c>
      <c r="W10" s="33">
        <f t="shared" si="0"/>
        <v>0</v>
      </c>
      <c r="X10" s="83">
        <f t="shared" si="0"/>
        <v>0</v>
      </c>
      <c r="Y10" s="79">
        <f t="shared" si="0"/>
        <v>0</v>
      </c>
    </row>
    <row r="11" spans="1:52">
      <c r="A11" s="42" t="s">
        <v>210</v>
      </c>
      <c r="B11" s="64">
        <v>0</v>
      </c>
      <c r="C11" s="55">
        <v>0</v>
      </c>
      <c r="D11" s="90">
        <v>0</v>
      </c>
      <c r="E11" s="87">
        <v>0</v>
      </c>
      <c r="F11" s="73">
        <v>0</v>
      </c>
      <c r="G11" s="55">
        <v>0</v>
      </c>
      <c r="H11" s="90">
        <v>0</v>
      </c>
      <c r="I11" s="87">
        <v>0</v>
      </c>
      <c r="J11" s="73">
        <v>0</v>
      </c>
      <c r="K11" s="55">
        <v>0</v>
      </c>
      <c r="L11" s="90">
        <v>0</v>
      </c>
      <c r="M11" s="87">
        <v>0</v>
      </c>
      <c r="N11" s="73">
        <v>0</v>
      </c>
      <c r="O11" s="55">
        <v>0</v>
      </c>
      <c r="P11" s="90">
        <v>0</v>
      </c>
      <c r="Q11" s="87">
        <v>0</v>
      </c>
      <c r="R11" s="73">
        <v>-1370.4662951999999</v>
      </c>
      <c r="S11" s="33">
        <v>-866.88</v>
      </c>
      <c r="T11" s="83">
        <v>-3244.56</v>
      </c>
      <c r="U11" s="79">
        <v>0</v>
      </c>
      <c r="V11" s="64">
        <v>-1370.4662951999999</v>
      </c>
      <c r="W11" s="33">
        <f t="shared" si="0"/>
        <v>-866.88</v>
      </c>
      <c r="X11" s="83">
        <f t="shared" si="0"/>
        <v>-3244.56</v>
      </c>
      <c r="Y11" s="79">
        <f t="shared" si="0"/>
        <v>0</v>
      </c>
    </row>
    <row r="12" spans="1:52" ht="16.2" thickBot="1">
      <c r="A12" s="43" t="s">
        <v>559</v>
      </c>
      <c r="B12" s="34">
        <f>SUM(B8:B11)</f>
        <v>-3704</v>
      </c>
      <c r="C12" s="52">
        <f t="shared" ref="C12:U12" si="1">SUM(C8:C11)</f>
        <v>-3694</v>
      </c>
      <c r="D12" s="52">
        <f t="shared" si="1"/>
        <v>-3694</v>
      </c>
      <c r="E12" s="52">
        <f t="shared" si="1"/>
        <v>-3691</v>
      </c>
      <c r="F12" s="34">
        <f t="shared" si="1"/>
        <v>-1846.6482000000001</v>
      </c>
      <c r="G12" s="52">
        <f t="shared" si="1"/>
        <v>-1847</v>
      </c>
      <c r="H12" s="52">
        <f t="shared" si="1"/>
        <v>-1847</v>
      </c>
      <c r="I12" s="52">
        <f t="shared" si="1"/>
        <v>-1846</v>
      </c>
      <c r="J12" s="34">
        <f t="shared" si="1"/>
        <v>0</v>
      </c>
      <c r="K12" s="52">
        <f t="shared" si="1"/>
        <v>0</v>
      </c>
      <c r="L12" s="52">
        <f t="shared" si="1"/>
        <v>0</v>
      </c>
      <c r="M12" s="52">
        <f t="shared" si="1"/>
        <v>0</v>
      </c>
      <c r="N12" s="34">
        <f t="shared" si="1"/>
        <v>-1846.3148700000002</v>
      </c>
      <c r="O12" s="52">
        <f t="shared" si="1"/>
        <v>-1847</v>
      </c>
      <c r="P12" s="52">
        <f t="shared" si="1"/>
        <v>-1847</v>
      </c>
      <c r="Q12" s="52">
        <f t="shared" si="1"/>
        <v>-1845</v>
      </c>
      <c r="R12" s="34">
        <f t="shared" si="1"/>
        <v>-1370.4662951999999</v>
      </c>
      <c r="S12" s="34">
        <f t="shared" si="1"/>
        <v>-866.88</v>
      </c>
      <c r="T12" s="34">
        <f t="shared" si="1"/>
        <v>-3244.56</v>
      </c>
      <c r="U12" s="34">
        <f t="shared" si="1"/>
        <v>0</v>
      </c>
      <c r="V12" s="34">
        <f>SUM(V8:V11)</f>
        <v>-5063.4293651999997</v>
      </c>
      <c r="W12" s="34">
        <f t="shared" ref="W12:Y12" si="2">SUM(W8:W11)</f>
        <v>-4560.88</v>
      </c>
      <c r="X12" s="34">
        <f t="shared" si="2"/>
        <v>-6938.5599999999995</v>
      </c>
      <c r="Y12" s="34">
        <f t="shared" si="2"/>
        <v>-3691</v>
      </c>
    </row>
    <row r="13" spans="1:52" ht="15" thickTop="1">
      <c r="A13" s="67"/>
      <c r="B13" s="67"/>
      <c r="C13" s="67"/>
      <c r="D13" s="67"/>
      <c r="E13" s="67"/>
      <c r="F13" s="67"/>
      <c r="G13" s="67"/>
      <c r="H13" s="67"/>
      <c r="I13" s="67"/>
      <c r="J13" s="67"/>
      <c r="K13" s="67"/>
      <c r="L13" s="67"/>
      <c r="M13" s="67"/>
      <c r="N13" s="67"/>
      <c r="O13" s="67"/>
      <c r="P13" s="67"/>
      <c r="Q13" s="67"/>
      <c r="R13" s="67"/>
      <c r="S13" s="67"/>
      <c r="T13" s="67"/>
      <c r="U13" s="67"/>
      <c r="V13" s="67"/>
      <c r="W13" s="67"/>
      <c r="X13" s="67"/>
      <c r="Y13" s="67"/>
    </row>
    <row r="14" spans="1:52">
      <c r="A14" s="18" t="s">
        <v>560</v>
      </c>
      <c r="B14" s="20"/>
      <c r="C14" s="20"/>
      <c r="D14" s="20"/>
      <c r="E14" s="20"/>
      <c r="F14" s="20"/>
      <c r="G14" s="20"/>
      <c r="H14" s="20"/>
      <c r="I14" s="20"/>
      <c r="J14" s="20"/>
      <c r="K14" s="20"/>
      <c r="L14" s="20"/>
      <c r="M14" s="20"/>
      <c r="N14" s="20"/>
      <c r="O14" s="20"/>
      <c r="P14" s="20"/>
      <c r="Q14" s="20"/>
      <c r="R14" s="20"/>
      <c r="S14" s="20"/>
      <c r="T14" s="20"/>
      <c r="U14" s="20"/>
      <c r="V14" s="20"/>
      <c r="W14" s="20"/>
      <c r="X14" s="20"/>
      <c r="Y14" s="20"/>
    </row>
    <row r="15" spans="1:52">
      <c r="A15" s="40" t="s">
        <v>188</v>
      </c>
      <c r="B15" s="65">
        <v>0</v>
      </c>
      <c r="C15" s="54">
        <v>0</v>
      </c>
      <c r="D15" s="89">
        <v>0</v>
      </c>
      <c r="E15" s="86">
        <v>0</v>
      </c>
      <c r="F15" s="72">
        <v>0</v>
      </c>
      <c r="G15" s="54">
        <v>0</v>
      </c>
      <c r="H15" s="89">
        <v>0</v>
      </c>
      <c r="I15" s="86">
        <v>0</v>
      </c>
      <c r="J15" s="72">
        <v>0</v>
      </c>
      <c r="K15" s="54">
        <v>0</v>
      </c>
      <c r="L15" s="89">
        <v>0</v>
      </c>
      <c r="M15" s="86">
        <v>0</v>
      </c>
      <c r="N15" s="72">
        <v>0</v>
      </c>
      <c r="O15" s="54">
        <v>0</v>
      </c>
      <c r="P15" s="89">
        <v>0</v>
      </c>
      <c r="Q15" s="86">
        <v>0</v>
      </c>
      <c r="R15" s="72">
        <v>0</v>
      </c>
      <c r="S15" s="32">
        <v>0</v>
      </c>
      <c r="T15" s="84">
        <v>0</v>
      </c>
      <c r="U15" s="80">
        <v>0</v>
      </c>
      <c r="V15" s="65">
        <v>0</v>
      </c>
      <c r="W15" s="32">
        <f t="shared" ref="W15:Y20" si="3">SUM(G15,K15,O15,S15)</f>
        <v>0</v>
      </c>
      <c r="X15" s="84">
        <f t="shared" si="3"/>
        <v>0</v>
      </c>
      <c r="Y15" s="80">
        <f t="shared" si="3"/>
        <v>0</v>
      </c>
    </row>
    <row r="16" spans="1:52">
      <c r="A16" s="41" t="s">
        <v>181</v>
      </c>
      <c r="B16" s="39">
        <v>0</v>
      </c>
      <c r="C16" s="54">
        <v>0</v>
      </c>
      <c r="D16" s="89">
        <v>0</v>
      </c>
      <c r="E16" s="86">
        <v>0</v>
      </c>
      <c r="F16" s="72">
        <v>0</v>
      </c>
      <c r="G16" s="54">
        <v>0</v>
      </c>
      <c r="H16" s="89">
        <v>0</v>
      </c>
      <c r="I16" s="86">
        <v>0</v>
      </c>
      <c r="J16" s="72">
        <v>0</v>
      </c>
      <c r="K16" s="54">
        <v>0</v>
      </c>
      <c r="L16" s="89">
        <v>0</v>
      </c>
      <c r="M16" s="86">
        <v>0</v>
      </c>
      <c r="N16" s="72">
        <v>0</v>
      </c>
      <c r="O16" s="54">
        <v>0</v>
      </c>
      <c r="P16" s="89">
        <v>0</v>
      </c>
      <c r="Q16" s="86">
        <v>0</v>
      </c>
      <c r="R16" s="72">
        <v>0</v>
      </c>
      <c r="S16" s="22">
        <v>0</v>
      </c>
      <c r="T16" s="82">
        <v>0</v>
      </c>
      <c r="U16" s="78">
        <v>0</v>
      </c>
      <c r="V16" s="39">
        <v>0</v>
      </c>
      <c r="W16" s="22">
        <f t="shared" si="3"/>
        <v>0</v>
      </c>
      <c r="X16" s="82">
        <f t="shared" si="3"/>
        <v>0</v>
      </c>
      <c r="Y16" s="78">
        <f t="shared" si="3"/>
        <v>0</v>
      </c>
    </row>
    <row r="17" spans="1:25">
      <c r="A17" s="92" t="s">
        <v>174</v>
      </c>
      <c r="B17" s="93">
        <v>0</v>
      </c>
      <c r="C17" s="94">
        <v>0</v>
      </c>
      <c r="D17" s="100">
        <v>0</v>
      </c>
      <c r="E17" s="99">
        <v>0</v>
      </c>
      <c r="F17" s="95">
        <v>0</v>
      </c>
      <c r="G17" s="94">
        <v>0</v>
      </c>
      <c r="H17" s="100">
        <v>0</v>
      </c>
      <c r="I17" s="99">
        <v>0</v>
      </c>
      <c r="J17" s="95">
        <v>0</v>
      </c>
      <c r="K17" s="94">
        <v>0</v>
      </c>
      <c r="L17" s="100">
        <v>0</v>
      </c>
      <c r="M17" s="99">
        <v>0</v>
      </c>
      <c r="N17" s="95">
        <v>0</v>
      </c>
      <c r="O17" s="94">
        <v>0</v>
      </c>
      <c r="P17" s="100">
        <v>0</v>
      </c>
      <c r="Q17" s="99">
        <v>0</v>
      </c>
      <c r="R17" s="95">
        <v>0</v>
      </c>
      <c r="S17" s="96">
        <v>0</v>
      </c>
      <c r="T17" s="98">
        <v>0</v>
      </c>
      <c r="U17" s="97">
        <v>0</v>
      </c>
      <c r="V17" s="93">
        <v>0</v>
      </c>
      <c r="W17" s="96">
        <f t="shared" si="3"/>
        <v>0</v>
      </c>
      <c r="X17" s="98">
        <f t="shared" si="3"/>
        <v>0</v>
      </c>
      <c r="Y17" s="97">
        <f t="shared" si="3"/>
        <v>0</v>
      </c>
    </row>
    <row r="18" spans="1:25">
      <c r="A18" s="41" t="s">
        <v>146</v>
      </c>
      <c r="B18" s="39">
        <v>0</v>
      </c>
      <c r="C18" s="54">
        <v>0</v>
      </c>
      <c r="D18" s="89">
        <v>0</v>
      </c>
      <c r="E18" s="86">
        <v>0</v>
      </c>
      <c r="F18" s="72">
        <v>0</v>
      </c>
      <c r="G18" s="54">
        <v>0</v>
      </c>
      <c r="H18" s="89">
        <v>0</v>
      </c>
      <c r="I18" s="86">
        <v>0</v>
      </c>
      <c r="J18" s="72">
        <v>0</v>
      </c>
      <c r="K18" s="54">
        <v>0</v>
      </c>
      <c r="L18" s="89">
        <v>0</v>
      </c>
      <c r="M18" s="86">
        <v>0</v>
      </c>
      <c r="N18" s="72">
        <v>0</v>
      </c>
      <c r="O18" s="54">
        <v>0</v>
      </c>
      <c r="P18" s="89">
        <v>0</v>
      </c>
      <c r="Q18" s="86">
        <v>0</v>
      </c>
      <c r="R18" s="72">
        <v>0</v>
      </c>
      <c r="S18" s="22">
        <v>0</v>
      </c>
      <c r="T18" s="82">
        <v>0</v>
      </c>
      <c r="U18" s="78">
        <v>0</v>
      </c>
      <c r="V18" s="39">
        <v>0</v>
      </c>
      <c r="W18" s="22">
        <f t="shared" si="3"/>
        <v>0</v>
      </c>
      <c r="X18" s="82">
        <f t="shared" si="3"/>
        <v>0</v>
      </c>
      <c r="Y18" s="78">
        <f t="shared" si="3"/>
        <v>0</v>
      </c>
    </row>
    <row r="19" spans="1:25">
      <c r="A19" s="41" t="s">
        <v>139</v>
      </c>
      <c r="B19" s="39">
        <v>0</v>
      </c>
      <c r="C19" s="54">
        <v>0</v>
      </c>
      <c r="D19" s="89">
        <v>0</v>
      </c>
      <c r="E19" s="86">
        <v>0</v>
      </c>
      <c r="F19" s="72">
        <v>0</v>
      </c>
      <c r="G19" s="54">
        <v>0</v>
      </c>
      <c r="H19" s="89">
        <v>0</v>
      </c>
      <c r="I19" s="86">
        <v>0</v>
      </c>
      <c r="J19" s="72">
        <v>0</v>
      </c>
      <c r="K19" s="54">
        <v>0</v>
      </c>
      <c r="L19" s="89">
        <v>0</v>
      </c>
      <c r="M19" s="86">
        <v>0</v>
      </c>
      <c r="N19" s="72">
        <v>0</v>
      </c>
      <c r="O19" s="54">
        <v>0</v>
      </c>
      <c r="P19" s="89">
        <v>0</v>
      </c>
      <c r="Q19" s="86">
        <v>0</v>
      </c>
      <c r="R19" s="72">
        <v>0</v>
      </c>
      <c r="S19" s="22">
        <v>0</v>
      </c>
      <c r="T19" s="82">
        <v>0</v>
      </c>
      <c r="U19" s="78">
        <v>0</v>
      </c>
      <c r="V19" s="39">
        <v>0</v>
      </c>
      <c r="W19" s="22">
        <f t="shared" si="3"/>
        <v>0</v>
      </c>
      <c r="X19" s="82">
        <f t="shared" si="3"/>
        <v>0</v>
      </c>
      <c r="Y19" s="78">
        <f t="shared" si="3"/>
        <v>0</v>
      </c>
    </row>
    <row r="20" spans="1:25">
      <c r="A20" s="42" t="s">
        <v>129</v>
      </c>
      <c r="B20" s="64">
        <v>0</v>
      </c>
      <c r="C20" s="59">
        <v>0</v>
      </c>
      <c r="D20" s="91">
        <v>0</v>
      </c>
      <c r="E20" s="88">
        <v>0</v>
      </c>
      <c r="F20" s="73">
        <v>0</v>
      </c>
      <c r="G20" s="59">
        <v>0</v>
      </c>
      <c r="H20" s="91">
        <v>0</v>
      </c>
      <c r="I20" s="88">
        <v>0</v>
      </c>
      <c r="J20" s="73">
        <v>0</v>
      </c>
      <c r="K20" s="59">
        <v>0</v>
      </c>
      <c r="L20" s="91">
        <v>0</v>
      </c>
      <c r="M20" s="88">
        <v>0</v>
      </c>
      <c r="N20" s="73">
        <v>0</v>
      </c>
      <c r="O20" s="59">
        <v>0</v>
      </c>
      <c r="P20" s="91">
        <v>0</v>
      </c>
      <c r="Q20" s="88">
        <v>0</v>
      </c>
      <c r="R20" s="73">
        <v>0</v>
      </c>
      <c r="S20" s="35">
        <v>0</v>
      </c>
      <c r="T20" s="85">
        <v>0</v>
      </c>
      <c r="U20" s="81">
        <v>0</v>
      </c>
      <c r="V20" s="64">
        <v>0</v>
      </c>
      <c r="W20" s="35">
        <f t="shared" si="3"/>
        <v>0</v>
      </c>
      <c r="X20" s="85">
        <f t="shared" si="3"/>
        <v>0</v>
      </c>
      <c r="Y20" s="81">
        <f t="shared" si="3"/>
        <v>0</v>
      </c>
    </row>
    <row r="21" spans="1:25">
      <c r="A21" s="23" t="s">
        <v>561</v>
      </c>
      <c r="B21" s="27">
        <f t="shared" ref="B21:Y21" si="4">SUM(B15:B20)</f>
        <v>0</v>
      </c>
      <c r="C21" s="60">
        <f t="shared" si="4"/>
        <v>0</v>
      </c>
      <c r="D21" s="60">
        <f t="shared" si="4"/>
        <v>0</v>
      </c>
      <c r="E21" s="60">
        <f t="shared" si="4"/>
        <v>0</v>
      </c>
      <c r="F21" s="27">
        <f t="shared" si="4"/>
        <v>0</v>
      </c>
      <c r="G21" s="56">
        <f t="shared" si="4"/>
        <v>0</v>
      </c>
      <c r="H21" s="56">
        <f t="shared" si="4"/>
        <v>0</v>
      </c>
      <c r="I21" s="56">
        <f t="shared" si="4"/>
        <v>0</v>
      </c>
      <c r="J21" s="27">
        <f t="shared" si="4"/>
        <v>0</v>
      </c>
      <c r="K21" s="60">
        <f t="shared" si="4"/>
        <v>0</v>
      </c>
      <c r="L21" s="60">
        <f t="shared" si="4"/>
        <v>0</v>
      </c>
      <c r="M21" s="60">
        <f t="shared" si="4"/>
        <v>0</v>
      </c>
      <c r="N21" s="27">
        <f t="shared" si="4"/>
        <v>0</v>
      </c>
      <c r="O21" s="60">
        <f t="shared" si="4"/>
        <v>0</v>
      </c>
      <c r="P21" s="60">
        <f t="shared" si="4"/>
        <v>0</v>
      </c>
      <c r="Q21" s="60">
        <f t="shared" si="4"/>
        <v>0</v>
      </c>
      <c r="R21" s="27">
        <f t="shared" si="4"/>
        <v>0</v>
      </c>
      <c r="S21" s="36">
        <f t="shared" si="4"/>
        <v>0</v>
      </c>
      <c r="T21" s="36">
        <f t="shared" si="4"/>
        <v>0</v>
      </c>
      <c r="U21" s="36">
        <f t="shared" si="4"/>
        <v>0</v>
      </c>
      <c r="V21" s="27">
        <f t="shared" si="4"/>
        <v>0</v>
      </c>
      <c r="W21" s="36">
        <f t="shared" si="4"/>
        <v>0</v>
      </c>
      <c r="X21" s="36">
        <f t="shared" si="4"/>
        <v>0</v>
      </c>
      <c r="Y21" s="36">
        <f t="shared" si="4"/>
        <v>0</v>
      </c>
    </row>
    <row r="22" spans="1:25">
      <c r="A22" s="24" t="s">
        <v>562</v>
      </c>
      <c r="B22" s="25"/>
      <c r="C22" s="25"/>
      <c r="D22" s="25"/>
      <c r="E22" s="25"/>
      <c r="F22" s="25"/>
      <c r="G22" s="25"/>
      <c r="H22" s="25"/>
      <c r="I22" s="25"/>
      <c r="J22" s="25"/>
      <c r="K22" s="25"/>
      <c r="L22" s="25"/>
      <c r="M22" s="25"/>
      <c r="N22" s="25"/>
      <c r="O22" s="25"/>
      <c r="P22" s="25"/>
      <c r="Q22" s="25"/>
      <c r="R22" s="25"/>
      <c r="S22" s="25"/>
      <c r="T22" s="25"/>
      <c r="U22" s="25"/>
      <c r="V22" s="25"/>
      <c r="W22" s="25"/>
      <c r="X22" s="25"/>
      <c r="Y22" s="25"/>
    </row>
    <row r="23" spans="1:25">
      <c r="A23" s="40" t="s">
        <v>127</v>
      </c>
      <c r="B23" s="65">
        <v>3468</v>
      </c>
      <c r="C23" s="54">
        <v>3468</v>
      </c>
      <c r="D23" s="89">
        <v>3468</v>
      </c>
      <c r="E23" s="86">
        <v>3468</v>
      </c>
      <c r="F23" s="72">
        <v>0</v>
      </c>
      <c r="G23" s="54">
        <v>0</v>
      </c>
      <c r="H23" s="89">
        <v>0</v>
      </c>
      <c r="I23" s="86">
        <v>0</v>
      </c>
      <c r="J23" s="72">
        <v>0</v>
      </c>
      <c r="K23" s="54">
        <v>0</v>
      </c>
      <c r="L23" s="89">
        <v>0</v>
      </c>
      <c r="M23" s="86">
        <v>0</v>
      </c>
      <c r="N23" s="72">
        <v>0</v>
      </c>
      <c r="O23" s="54">
        <v>0</v>
      </c>
      <c r="P23" s="89">
        <v>0</v>
      </c>
      <c r="Q23" s="86">
        <v>0</v>
      </c>
      <c r="R23" s="72">
        <v>0</v>
      </c>
      <c r="S23" s="32">
        <v>0</v>
      </c>
      <c r="T23" s="84">
        <v>0</v>
      </c>
      <c r="U23" s="80">
        <v>0</v>
      </c>
      <c r="V23" s="65">
        <v>0</v>
      </c>
      <c r="W23" s="32">
        <f t="shared" ref="W23:Y29" si="5">SUM(G23,K23,O23,S23)</f>
        <v>0</v>
      </c>
      <c r="X23" s="84">
        <f t="shared" si="5"/>
        <v>0</v>
      </c>
      <c r="Y23" s="80">
        <f t="shared" si="5"/>
        <v>0</v>
      </c>
    </row>
    <row r="24" spans="1:25">
      <c r="A24" s="41" t="s">
        <v>120</v>
      </c>
      <c r="B24" s="39">
        <v>0</v>
      </c>
      <c r="C24" s="54">
        <v>0</v>
      </c>
      <c r="D24" s="89">
        <v>0</v>
      </c>
      <c r="E24" s="86">
        <v>0</v>
      </c>
      <c r="F24" s="72">
        <v>0</v>
      </c>
      <c r="G24" s="54">
        <v>0</v>
      </c>
      <c r="H24" s="89">
        <v>0</v>
      </c>
      <c r="I24" s="86">
        <v>0</v>
      </c>
      <c r="J24" s="72">
        <v>0</v>
      </c>
      <c r="K24" s="54">
        <v>0</v>
      </c>
      <c r="L24" s="89">
        <v>0</v>
      </c>
      <c r="M24" s="86">
        <v>0</v>
      </c>
      <c r="N24" s="72">
        <v>0</v>
      </c>
      <c r="O24" s="54">
        <v>0</v>
      </c>
      <c r="P24" s="89">
        <v>0</v>
      </c>
      <c r="Q24" s="86">
        <v>0</v>
      </c>
      <c r="R24" s="72">
        <v>0</v>
      </c>
      <c r="S24" s="22">
        <v>0</v>
      </c>
      <c r="T24" s="82">
        <v>0</v>
      </c>
      <c r="U24" s="78">
        <v>0</v>
      </c>
      <c r="V24" s="39">
        <v>0</v>
      </c>
      <c r="W24" s="22">
        <f t="shared" si="5"/>
        <v>0</v>
      </c>
      <c r="X24" s="82">
        <f t="shared" si="5"/>
        <v>0</v>
      </c>
      <c r="Y24" s="78">
        <f t="shared" si="5"/>
        <v>0</v>
      </c>
    </row>
    <row r="25" spans="1:25">
      <c r="A25" s="41" t="s">
        <v>107</v>
      </c>
      <c r="B25" s="39">
        <v>0</v>
      </c>
      <c r="C25" s="54">
        <v>0</v>
      </c>
      <c r="D25" s="89">
        <v>0</v>
      </c>
      <c r="E25" s="86">
        <v>0</v>
      </c>
      <c r="F25" s="72">
        <v>416.66250000000002</v>
      </c>
      <c r="G25" s="54">
        <v>0</v>
      </c>
      <c r="H25" s="89">
        <v>0</v>
      </c>
      <c r="I25" s="86">
        <v>1250</v>
      </c>
      <c r="J25" s="72">
        <v>0</v>
      </c>
      <c r="K25" s="54">
        <v>0</v>
      </c>
      <c r="L25" s="89">
        <v>0</v>
      </c>
      <c r="M25" s="86">
        <v>0</v>
      </c>
      <c r="N25" s="72">
        <v>0</v>
      </c>
      <c r="O25" s="54">
        <v>0</v>
      </c>
      <c r="P25" s="89">
        <v>0</v>
      </c>
      <c r="Q25" s="86">
        <v>0</v>
      </c>
      <c r="R25" s="72">
        <v>-416.66250000000002</v>
      </c>
      <c r="S25" s="22">
        <v>0</v>
      </c>
      <c r="T25" s="82">
        <v>0</v>
      </c>
      <c r="U25" s="78">
        <v>-1250</v>
      </c>
      <c r="V25" s="39">
        <v>0</v>
      </c>
      <c r="W25" s="22">
        <f t="shared" si="5"/>
        <v>0</v>
      </c>
      <c r="X25" s="82">
        <f t="shared" si="5"/>
        <v>0</v>
      </c>
      <c r="Y25" s="78">
        <f t="shared" si="5"/>
        <v>0</v>
      </c>
    </row>
    <row r="26" spans="1:25">
      <c r="A26" s="41" t="s">
        <v>104</v>
      </c>
      <c r="B26" s="39">
        <v>0</v>
      </c>
      <c r="C26" s="54">
        <v>0</v>
      </c>
      <c r="D26" s="89">
        <v>0</v>
      </c>
      <c r="E26" s="86">
        <v>0</v>
      </c>
      <c r="F26" s="72">
        <v>0</v>
      </c>
      <c r="G26" s="54">
        <v>0</v>
      </c>
      <c r="H26" s="89">
        <v>0</v>
      </c>
      <c r="I26" s="86">
        <v>0</v>
      </c>
      <c r="J26" s="72">
        <v>23.7597624</v>
      </c>
      <c r="K26" s="54">
        <v>25.28</v>
      </c>
      <c r="L26" s="89">
        <v>0</v>
      </c>
      <c r="M26" s="86">
        <v>46</v>
      </c>
      <c r="N26" s="72">
        <v>61.696049700000003</v>
      </c>
      <c r="O26" s="54">
        <v>0</v>
      </c>
      <c r="P26" s="89">
        <v>85.09</v>
      </c>
      <c r="Q26" s="86">
        <v>100</v>
      </c>
      <c r="R26" s="72">
        <v>11.866548000000002</v>
      </c>
      <c r="S26" s="22">
        <v>0</v>
      </c>
      <c r="T26" s="82">
        <v>-68.81</v>
      </c>
      <c r="U26" s="78">
        <v>104.41</v>
      </c>
      <c r="V26" s="39">
        <v>97.322360099999997</v>
      </c>
      <c r="W26" s="22">
        <f t="shared" si="5"/>
        <v>25.28</v>
      </c>
      <c r="X26" s="82">
        <f t="shared" si="5"/>
        <v>16.28</v>
      </c>
      <c r="Y26" s="78">
        <f t="shared" si="5"/>
        <v>250.41</v>
      </c>
    </row>
    <row r="27" spans="1:25">
      <c r="A27" s="41" t="s">
        <v>102</v>
      </c>
      <c r="B27" s="39">
        <v>0</v>
      </c>
      <c r="C27" s="54">
        <v>0</v>
      </c>
      <c r="D27" s="89">
        <v>0</v>
      </c>
      <c r="E27" s="86">
        <v>0</v>
      </c>
      <c r="F27" s="72">
        <v>149.99850000000001</v>
      </c>
      <c r="G27" s="54">
        <v>0</v>
      </c>
      <c r="H27" s="89">
        <v>0</v>
      </c>
      <c r="I27" s="86">
        <v>450</v>
      </c>
      <c r="J27" s="72">
        <v>0</v>
      </c>
      <c r="K27" s="54">
        <v>0</v>
      </c>
      <c r="L27" s="89">
        <v>0</v>
      </c>
      <c r="M27" s="86">
        <v>0</v>
      </c>
      <c r="N27" s="72">
        <v>0</v>
      </c>
      <c r="O27" s="54">
        <v>0</v>
      </c>
      <c r="P27" s="89">
        <v>0</v>
      </c>
      <c r="Q27" s="86">
        <v>0</v>
      </c>
      <c r="R27" s="72">
        <v>0</v>
      </c>
      <c r="S27" s="22">
        <v>0</v>
      </c>
      <c r="T27" s="82">
        <v>0</v>
      </c>
      <c r="U27" s="78">
        <v>0</v>
      </c>
      <c r="V27" s="39">
        <v>149.99850000000001</v>
      </c>
      <c r="W27" s="22">
        <f t="shared" si="5"/>
        <v>0</v>
      </c>
      <c r="X27" s="82">
        <f t="shared" si="5"/>
        <v>0</v>
      </c>
      <c r="Y27" s="78">
        <f t="shared" si="5"/>
        <v>450</v>
      </c>
    </row>
    <row r="28" spans="1:25">
      <c r="A28" s="41" t="s">
        <v>98</v>
      </c>
      <c r="B28" s="39">
        <v>0</v>
      </c>
      <c r="C28" s="54">
        <v>0</v>
      </c>
      <c r="D28" s="89">
        <v>0</v>
      </c>
      <c r="E28" s="86">
        <v>0</v>
      </c>
      <c r="F28" s="72">
        <v>10.416562500000001</v>
      </c>
      <c r="G28" s="54">
        <v>31.25</v>
      </c>
      <c r="H28" s="89">
        <v>0</v>
      </c>
      <c r="I28" s="86">
        <v>0</v>
      </c>
      <c r="J28" s="72">
        <v>471.32862</v>
      </c>
      <c r="K28" s="54">
        <v>1078</v>
      </c>
      <c r="L28" s="89">
        <v>336</v>
      </c>
      <c r="M28" s="86">
        <v>0</v>
      </c>
      <c r="N28" s="72">
        <v>888.63444690000006</v>
      </c>
      <c r="O28" s="54">
        <v>2635.93</v>
      </c>
      <c r="P28" s="89">
        <v>30</v>
      </c>
      <c r="Q28" s="86">
        <v>0</v>
      </c>
      <c r="R28" s="72">
        <v>2629.4803716000001</v>
      </c>
      <c r="S28" s="22">
        <v>180.04</v>
      </c>
      <c r="T28" s="82">
        <v>5207.5200000000004</v>
      </c>
      <c r="U28" s="78">
        <v>2500.96</v>
      </c>
      <c r="V28" s="39">
        <v>3999.8600010000005</v>
      </c>
      <c r="W28" s="22">
        <f t="shared" si="5"/>
        <v>3925.22</v>
      </c>
      <c r="X28" s="82">
        <f t="shared" si="5"/>
        <v>5573.52</v>
      </c>
      <c r="Y28" s="78">
        <f t="shared" si="5"/>
        <v>2500.96</v>
      </c>
    </row>
    <row r="29" spans="1:25">
      <c r="A29" s="42" t="s">
        <v>84</v>
      </c>
      <c r="B29" s="64">
        <v>0</v>
      </c>
      <c r="C29" s="59">
        <v>0</v>
      </c>
      <c r="D29" s="91">
        <v>0</v>
      </c>
      <c r="E29" s="88">
        <v>0</v>
      </c>
      <c r="F29" s="73">
        <v>0</v>
      </c>
      <c r="G29" s="59">
        <v>0</v>
      </c>
      <c r="H29" s="91">
        <v>0</v>
      </c>
      <c r="I29" s="88">
        <v>0</v>
      </c>
      <c r="J29" s="73">
        <v>106.65893340000001</v>
      </c>
      <c r="K29" s="59">
        <v>319.98</v>
      </c>
      <c r="L29" s="91">
        <v>0</v>
      </c>
      <c r="M29" s="88">
        <v>0</v>
      </c>
      <c r="N29" s="73">
        <v>0</v>
      </c>
      <c r="O29" s="59">
        <v>0</v>
      </c>
      <c r="P29" s="91">
        <v>0</v>
      </c>
      <c r="Q29" s="88">
        <v>0</v>
      </c>
      <c r="R29" s="73">
        <v>307.60692390000003</v>
      </c>
      <c r="S29" s="35">
        <v>0</v>
      </c>
      <c r="T29" s="85">
        <v>922.83</v>
      </c>
      <c r="U29" s="81">
        <v>0</v>
      </c>
      <c r="V29" s="64">
        <v>414.26585730000005</v>
      </c>
      <c r="W29" s="35">
        <f t="shared" si="5"/>
        <v>319.98</v>
      </c>
      <c r="X29" s="85">
        <f t="shared" si="5"/>
        <v>922.83</v>
      </c>
      <c r="Y29" s="81">
        <f t="shared" si="5"/>
        <v>0</v>
      </c>
    </row>
    <row r="30" spans="1:25">
      <c r="A30" s="23" t="s">
        <v>563</v>
      </c>
      <c r="B30" s="27">
        <f t="shared" ref="B30:Y30" si="6">SUM(B23:B29)</f>
        <v>3468</v>
      </c>
      <c r="C30" s="60">
        <f t="shared" si="6"/>
        <v>3468</v>
      </c>
      <c r="D30" s="60">
        <f t="shared" si="6"/>
        <v>3468</v>
      </c>
      <c r="E30" s="60">
        <f t="shared" si="6"/>
        <v>3468</v>
      </c>
      <c r="F30" s="27">
        <f t="shared" si="6"/>
        <v>577.07756250000011</v>
      </c>
      <c r="G30" s="60">
        <f t="shared" si="6"/>
        <v>31.25</v>
      </c>
      <c r="H30" s="60">
        <f t="shared" si="6"/>
        <v>0</v>
      </c>
      <c r="I30" s="60">
        <f t="shared" si="6"/>
        <v>1700</v>
      </c>
      <c r="J30" s="27">
        <f t="shared" si="6"/>
        <v>601.74731580000002</v>
      </c>
      <c r="K30" s="60">
        <f t="shared" si="6"/>
        <v>1423.26</v>
      </c>
      <c r="L30" s="60">
        <f t="shared" si="6"/>
        <v>336</v>
      </c>
      <c r="M30" s="60">
        <f t="shared" si="6"/>
        <v>46</v>
      </c>
      <c r="N30" s="27">
        <f t="shared" si="6"/>
        <v>950.33049660000006</v>
      </c>
      <c r="O30" s="60">
        <f t="shared" si="6"/>
        <v>2635.93</v>
      </c>
      <c r="P30" s="60">
        <f t="shared" si="6"/>
        <v>115.09</v>
      </c>
      <c r="Q30" s="60">
        <f t="shared" si="6"/>
        <v>100</v>
      </c>
      <c r="R30" s="27">
        <f t="shared" si="6"/>
        <v>2532.2913435</v>
      </c>
      <c r="S30" s="36">
        <f t="shared" si="6"/>
        <v>180.04</v>
      </c>
      <c r="T30" s="36">
        <f t="shared" si="6"/>
        <v>6061.54</v>
      </c>
      <c r="U30" s="36">
        <f t="shared" si="6"/>
        <v>1355.3700000000001</v>
      </c>
      <c r="V30" s="27">
        <f t="shared" si="6"/>
        <v>4661.4467184000005</v>
      </c>
      <c r="W30" s="36">
        <f t="shared" si="6"/>
        <v>4270.4799999999996</v>
      </c>
      <c r="X30" s="36">
        <f t="shared" si="6"/>
        <v>6512.63</v>
      </c>
      <c r="Y30" s="36">
        <f t="shared" si="6"/>
        <v>3201.37</v>
      </c>
    </row>
    <row r="31" spans="1:25">
      <c r="A31" s="24" t="s">
        <v>429</v>
      </c>
      <c r="B31" s="21"/>
      <c r="C31" s="26"/>
      <c r="D31" s="26"/>
      <c r="E31" s="26"/>
      <c r="F31" s="26"/>
      <c r="G31" s="26"/>
      <c r="H31" s="26"/>
      <c r="I31" s="26"/>
      <c r="J31" s="26"/>
      <c r="K31" s="26"/>
      <c r="L31" s="26"/>
      <c r="M31" s="26"/>
      <c r="N31" s="26"/>
      <c r="O31" s="26"/>
      <c r="P31" s="26"/>
      <c r="Q31" s="26"/>
      <c r="R31" s="26"/>
      <c r="S31" s="26"/>
      <c r="T31" s="26"/>
      <c r="U31" s="26"/>
      <c r="V31" s="21"/>
      <c r="W31" s="26"/>
      <c r="X31" s="26"/>
      <c r="Y31" s="26"/>
    </row>
    <row r="32" spans="1:25">
      <c r="A32" s="40" t="s">
        <v>81</v>
      </c>
      <c r="B32" s="65">
        <v>0</v>
      </c>
      <c r="C32" s="54">
        <v>0</v>
      </c>
      <c r="D32" s="89">
        <v>0</v>
      </c>
      <c r="E32" s="86">
        <v>0</v>
      </c>
      <c r="F32" s="72">
        <v>0</v>
      </c>
      <c r="G32" s="54">
        <v>0</v>
      </c>
      <c r="H32" s="89">
        <v>0</v>
      </c>
      <c r="I32" s="86">
        <v>0</v>
      </c>
      <c r="J32" s="72">
        <v>0</v>
      </c>
      <c r="K32" s="54">
        <v>0</v>
      </c>
      <c r="L32" s="89">
        <v>0</v>
      </c>
      <c r="M32" s="86">
        <v>0</v>
      </c>
      <c r="N32" s="72">
        <v>0</v>
      </c>
      <c r="O32" s="54">
        <v>0</v>
      </c>
      <c r="P32" s="89">
        <v>0</v>
      </c>
      <c r="Q32" s="86">
        <v>0</v>
      </c>
      <c r="R32" s="72">
        <v>0</v>
      </c>
      <c r="S32" s="32">
        <v>0</v>
      </c>
      <c r="T32" s="84">
        <v>0</v>
      </c>
      <c r="U32" s="80">
        <v>0</v>
      </c>
      <c r="V32" s="65">
        <v>0</v>
      </c>
      <c r="W32" s="32">
        <f t="shared" ref="W32:Y33" si="7">SUM(G32,K32,O32,S32)</f>
        <v>0</v>
      </c>
      <c r="X32" s="84">
        <f t="shared" si="7"/>
        <v>0</v>
      </c>
      <c r="Y32" s="80">
        <f t="shared" si="7"/>
        <v>0</v>
      </c>
    </row>
    <row r="33" spans="1:25">
      <c r="A33" s="42" t="s">
        <v>79</v>
      </c>
      <c r="B33" s="64">
        <v>0</v>
      </c>
      <c r="C33" s="59">
        <v>0</v>
      </c>
      <c r="D33" s="91">
        <v>0</v>
      </c>
      <c r="E33" s="88">
        <v>0</v>
      </c>
      <c r="F33" s="73">
        <v>0</v>
      </c>
      <c r="G33" s="59">
        <v>0</v>
      </c>
      <c r="H33" s="91">
        <v>0</v>
      </c>
      <c r="I33" s="88">
        <v>0</v>
      </c>
      <c r="J33" s="73">
        <v>0</v>
      </c>
      <c r="K33" s="59">
        <v>0</v>
      </c>
      <c r="L33" s="91">
        <v>0</v>
      </c>
      <c r="M33" s="88">
        <v>0</v>
      </c>
      <c r="N33" s="73">
        <v>0</v>
      </c>
      <c r="O33" s="59">
        <v>0</v>
      </c>
      <c r="P33" s="91">
        <v>0</v>
      </c>
      <c r="Q33" s="88">
        <v>0</v>
      </c>
      <c r="R33" s="73">
        <v>0</v>
      </c>
      <c r="S33" s="35">
        <v>0</v>
      </c>
      <c r="T33" s="85">
        <v>0</v>
      </c>
      <c r="U33" s="81">
        <v>0</v>
      </c>
      <c r="V33" s="64">
        <v>0</v>
      </c>
      <c r="W33" s="35">
        <f t="shared" si="7"/>
        <v>0</v>
      </c>
      <c r="X33" s="85">
        <f t="shared" si="7"/>
        <v>0</v>
      </c>
      <c r="Y33" s="81">
        <f t="shared" si="7"/>
        <v>0</v>
      </c>
    </row>
    <row r="34" spans="1:25">
      <c r="A34" s="23" t="s">
        <v>564</v>
      </c>
      <c r="B34" s="27">
        <f t="shared" ref="B34:Y34" si="8">SUM(B32:B33)</f>
        <v>0</v>
      </c>
      <c r="C34" s="60">
        <f t="shared" si="8"/>
        <v>0</v>
      </c>
      <c r="D34" s="60">
        <f t="shared" si="8"/>
        <v>0</v>
      </c>
      <c r="E34" s="60">
        <f t="shared" si="8"/>
        <v>0</v>
      </c>
      <c r="F34" s="27">
        <f t="shared" si="8"/>
        <v>0</v>
      </c>
      <c r="G34" s="60">
        <f t="shared" si="8"/>
        <v>0</v>
      </c>
      <c r="H34" s="60">
        <f t="shared" si="8"/>
        <v>0</v>
      </c>
      <c r="I34" s="60">
        <f t="shared" si="8"/>
        <v>0</v>
      </c>
      <c r="J34" s="27">
        <f t="shared" si="8"/>
        <v>0</v>
      </c>
      <c r="K34" s="60">
        <f t="shared" si="8"/>
        <v>0</v>
      </c>
      <c r="L34" s="60">
        <f t="shared" si="8"/>
        <v>0</v>
      </c>
      <c r="M34" s="60">
        <f t="shared" si="8"/>
        <v>0</v>
      </c>
      <c r="N34" s="27">
        <f t="shared" si="8"/>
        <v>0</v>
      </c>
      <c r="O34" s="60">
        <f t="shared" si="8"/>
        <v>0</v>
      </c>
      <c r="P34" s="60">
        <f t="shared" si="8"/>
        <v>0</v>
      </c>
      <c r="Q34" s="60">
        <f t="shared" si="8"/>
        <v>0</v>
      </c>
      <c r="R34" s="27">
        <f t="shared" si="8"/>
        <v>0</v>
      </c>
      <c r="S34" s="36">
        <f t="shared" si="8"/>
        <v>0</v>
      </c>
      <c r="T34" s="36">
        <f t="shared" si="8"/>
        <v>0</v>
      </c>
      <c r="U34" s="36">
        <f t="shared" si="8"/>
        <v>0</v>
      </c>
      <c r="V34" s="27">
        <f t="shared" si="8"/>
        <v>0</v>
      </c>
      <c r="W34" s="36">
        <f t="shared" si="8"/>
        <v>0</v>
      </c>
      <c r="X34" s="36">
        <f t="shared" si="8"/>
        <v>0</v>
      </c>
      <c r="Y34" s="36">
        <f t="shared" si="8"/>
        <v>0</v>
      </c>
    </row>
    <row r="35" spans="1:25">
      <c r="A35" s="24" t="s">
        <v>565</v>
      </c>
      <c r="B35" s="26"/>
      <c r="C35" s="26"/>
      <c r="D35" s="26"/>
      <c r="E35" s="26"/>
      <c r="F35" s="26"/>
      <c r="G35" s="26"/>
      <c r="H35" s="26"/>
      <c r="I35" s="26"/>
      <c r="J35" s="26"/>
      <c r="K35" s="26"/>
      <c r="L35" s="26"/>
      <c r="M35" s="26"/>
      <c r="N35" s="26"/>
      <c r="O35" s="26"/>
      <c r="P35" s="26"/>
      <c r="Q35" s="26"/>
      <c r="R35" s="26"/>
      <c r="S35" s="26"/>
      <c r="T35" s="26"/>
      <c r="U35" s="26"/>
      <c r="V35" s="26"/>
      <c r="W35" s="26"/>
      <c r="X35" s="26"/>
      <c r="Y35" s="26"/>
    </row>
    <row r="36" spans="1:25">
      <c r="A36" s="40" t="s">
        <v>77</v>
      </c>
      <c r="B36" s="65">
        <v>0</v>
      </c>
      <c r="C36" s="54">
        <v>0</v>
      </c>
      <c r="D36" s="89">
        <v>0</v>
      </c>
      <c r="E36" s="86">
        <v>0</v>
      </c>
      <c r="F36" s="72">
        <v>0</v>
      </c>
      <c r="G36" s="54">
        <v>0</v>
      </c>
      <c r="H36" s="89">
        <v>0</v>
      </c>
      <c r="I36" s="86">
        <v>0</v>
      </c>
      <c r="J36" s="72">
        <v>0</v>
      </c>
      <c r="K36" s="54">
        <v>0</v>
      </c>
      <c r="L36" s="89">
        <v>0</v>
      </c>
      <c r="M36" s="86">
        <v>0</v>
      </c>
      <c r="N36" s="72">
        <v>0</v>
      </c>
      <c r="O36" s="54">
        <v>0</v>
      </c>
      <c r="P36" s="89">
        <v>0</v>
      </c>
      <c r="Q36" s="86">
        <v>0</v>
      </c>
      <c r="R36" s="72">
        <v>0</v>
      </c>
      <c r="S36" s="32">
        <v>0</v>
      </c>
      <c r="T36" s="84">
        <v>0</v>
      </c>
      <c r="U36" s="80">
        <v>0</v>
      </c>
      <c r="V36" s="65">
        <v>0</v>
      </c>
      <c r="W36" s="32">
        <f t="shared" ref="W36:Y41" si="9">SUM(G36,K36,O36,S36)</f>
        <v>0</v>
      </c>
      <c r="X36" s="84">
        <f t="shared" si="9"/>
        <v>0</v>
      </c>
      <c r="Y36" s="80">
        <f t="shared" si="9"/>
        <v>0</v>
      </c>
    </row>
    <row r="37" spans="1:25">
      <c r="A37" s="41" t="s">
        <v>59</v>
      </c>
      <c r="B37" s="39">
        <v>0</v>
      </c>
      <c r="C37" s="54">
        <v>0</v>
      </c>
      <c r="D37" s="89">
        <v>0</v>
      </c>
      <c r="E37" s="86">
        <v>0</v>
      </c>
      <c r="F37" s="72">
        <v>0</v>
      </c>
      <c r="G37" s="54">
        <v>0</v>
      </c>
      <c r="H37" s="89">
        <v>0</v>
      </c>
      <c r="I37" s="86">
        <v>0</v>
      </c>
      <c r="J37" s="72">
        <v>0</v>
      </c>
      <c r="K37" s="54">
        <v>0</v>
      </c>
      <c r="L37" s="89">
        <v>0</v>
      </c>
      <c r="M37" s="86">
        <v>0</v>
      </c>
      <c r="N37" s="72">
        <v>0</v>
      </c>
      <c r="O37" s="54">
        <v>0</v>
      </c>
      <c r="P37" s="89">
        <v>0</v>
      </c>
      <c r="Q37" s="86">
        <v>0</v>
      </c>
      <c r="R37" s="72">
        <v>0</v>
      </c>
      <c r="S37" s="22">
        <v>0</v>
      </c>
      <c r="T37" s="82">
        <v>0</v>
      </c>
      <c r="U37" s="78">
        <v>0</v>
      </c>
      <c r="V37" s="39">
        <v>0</v>
      </c>
      <c r="W37" s="22">
        <f t="shared" si="9"/>
        <v>0</v>
      </c>
      <c r="X37" s="82">
        <f t="shared" si="9"/>
        <v>0</v>
      </c>
      <c r="Y37" s="78">
        <f t="shared" si="9"/>
        <v>0</v>
      </c>
    </row>
    <row r="38" spans="1:25">
      <c r="A38" s="41" t="s">
        <v>39</v>
      </c>
      <c r="B38" s="39">
        <v>0</v>
      </c>
      <c r="C38" s="54">
        <v>0</v>
      </c>
      <c r="D38" s="89">
        <v>0</v>
      </c>
      <c r="E38" s="86">
        <v>0</v>
      </c>
      <c r="F38" s="72">
        <v>0</v>
      </c>
      <c r="G38" s="54">
        <v>0</v>
      </c>
      <c r="H38" s="89">
        <v>0</v>
      </c>
      <c r="I38" s="86">
        <v>0</v>
      </c>
      <c r="J38" s="72">
        <v>0</v>
      </c>
      <c r="K38" s="54">
        <v>0</v>
      </c>
      <c r="L38" s="89">
        <v>0</v>
      </c>
      <c r="M38" s="86">
        <v>0</v>
      </c>
      <c r="N38" s="72">
        <v>0</v>
      </c>
      <c r="O38" s="54">
        <v>0</v>
      </c>
      <c r="P38" s="89">
        <v>0</v>
      </c>
      <c r="Q38" s="86">
        <v>0</v>
      </c>
      <c r="R38" s="72">
        <v>0</v>
      </c>
      <c r="S38" s="22">
        <v>0</v>
      </c>
      <c r="T38" s="82">
        <v>0</v>
      </c>
      <c r="U38" s="78">
        <v>0</v>
      </c>
      <c r="V38" s="39">
        <v>0</v>
      </c>
      <c r="W38" s="22">
        <f t="shared" si="9"/>
        <v>0</v>
      </c>
      <c r="X38" s="82">
        <f t="shared" si="9"/>
        <v>0</v>
      </c>
      <c r="Y38" s="78">
        <f t="shared" si="9"/>
        <v>0</v>
      </c>
    </row>
    <row r="39" spans="1:25">
      <c r="A39" s="92" t="s">
        <v>31</v>
      </c>
      <c r="B39" s="93">
        <v>0</v>
      </c>
      <c r="C39" s="94">
        <v>0</v>
      </c>
      <c r="D39" s="100">
        <v>0</v>
      </c>
      <c r="E39" s="99">
        <v>0</v>
      </c>
      <c r="F39" s="95">
        <v>0</v>
      </c>
      <c r="G39" s="94">
        <v>0</v>
      </c>
      <c r="H39" s="100">
        <v>0</v>
      </c>
      <c r="I39" s="99">
        <v>0</v>
      </c>
      <c r="J39" s="95">
        <v>0</v>
      </c>
      <c r="K39" s="94">
        <v>0</v>
      </c>
      <c r="L39" s="100">
        <v>0</v>
      </c>
      <c r="M39" s="99">
        <v>0</v>
      </c>
      <c r="N39" s="95">
        <v>0</v>
      </c>
      <c r="O39" s="94">
        <v>0</v>
      </c>
      <c r="P39" s="100">
        <v>0</v>
      </c>
      <c r="Q39" s="99">
        <v>0</v>
      </c>
      <c r="R39" s="95">
        <v>0</v>
      </c>
      <c r="S39" s="96">
        <v>0</v>
      </c>
      <c r="T39" s="98">
        <v>0</v>
      </c>
      <c r="U39" s="97">
        <v>0</v>
      </c>
      <c r="V39" s="93">
        <v>0</v>
      </c>
      <c r="W39" s="96">
        <f t="shared" si="9"/>
        <v>0</v>
      </c>
      <c r="X39" s="98">
        <f t="shared" si="9"/>
        <v>0</v>
      </c>
      <c r="Y39" s="97">
        <f t="shared" si="9"/>
        <v>0</v>
      </c>
    </row>
    <row r="40" spans="1:25">
      <c r="A40" s="41" t="s">
        <v>27</v>
      </c>
      <c r="B40" s="39">
        <v>218</v>
      </c>
      <c r="C40" s="54">
        <v>209</v>
      </c>
      <c r="D40" s="89">
        <v>209</v>
      </c>
      <c r="E40" s="86">
        <v>199</v>
      </c>
      <c r="F40" s="72">
        <v>33.243000900000006</v>
      </c>
      <c r="G40" s="54">
        <v>1.97</v>
      </c>
      <c r="H40" s="89">
        <v>0</v>
      </c>
      <c r="I40" s="86">
        <v>97.76</v>
      </c>
      <c r="J40" s="72">
        <v>37.486291800000004</v>
      </c>
      <c r="K40" s="54">
        <v>89.52</v>
      </c>
      <c r="L40" s="89">
        <v>20.29</v>
      </c>
      <c r="M40" s="86">
        <v>2.65</v>
      </c>
      <c r="N40" s="72">
        <v>59.49940500000001</v>
      </c>
      <c r="O40" s="54">
        <v>165.8</v>
      </c>
      <c r="P40" s="89">
        <v>6.95</v>
      </c>
      <c r="Q40" s="86">
        <v>5.75</v>
      </c>
      <c r="R40" s="72">
        <v>151.79181540000002</v>
      </c>
      <c r="S40" s="22">
        <v>11.33</v>
      </c>
      <c r="T40" s="82">
        <v>366.11</v>
      </c>
      <c r="U40" s="78">
        <v>77.94</v>
      </c>
      <c r="V40" s="39">
        <v>282.02051310000002</v>
      </c>
      <c r="W40" s="22">
        <f t="shared" si="9"/>
        <v>268.62</v>
      </c>
      <c r="X40" s="82">
        <f t="shared" si="9"/>
        <v>393.35</v>
      </c>
      <c r="Y40" s="78">
        <f t="shared" si="9"/>
        <v>184.10000000000002</v>
      </c>
    </row>
    <row r="41" spans="1:25">
      <c r="A41" s="42" t="s">
        <v>25</v>
      </c>
      <c r="B41" s="64">
        <v>18</v>
      </c>
      <c r="C41" s="59">
        <v>17</v>
      </c>
      <c r="D41" s="91">
        <v>17</v>
      </c>
      <c r="E41" s="88">
        <v>24</v>
      </c>
      <c r="F41" s="73">
        <v>3.9666270000000003</v>
      </c>
      <c r="G41" s="59">
        <v>0.16</v>
      </c>
      <c r="H41" s="91">
        <v>0</v>
      </c>
      <c r="I41" s="88">
        <v>11.74</v>
      </c>
      <c r="J41" s="73">
        <v>3.0899690999999998</v>
      </c>
      <c r="K41" s="59">
        <v>7.26</v>
      </c>
      <c r="L41" s="91">
        <v>1.69</v>
      </c>
      <c r="M41" s="88">
        <v>0.32</v>
      </c>
      <c r="N41" s="73">
        <v>4.9032843000000002</v>
      </c>
      <c r="O41" s="59">
        <v>13.44</v>
      </c>
      <c r="P41" s="91">
        <v>0.57999999999999996</v>
      </c>
      <c r="Q41" s="88">
        <v>0.69</v>
      </c>
      <c r="R41" s="73">
        <v>13.5265314</v>
      </c>
      <c r="S41" s="35">
        <v>0.92</v>
      </c>
      <c r="T41" s="85">
        <v>30.31</v>
      </c>
      <c r="U41" s="81">
        <v>9.35</v>
      </c>
      <c r="V41" s="64">
        <v>25.486411800000003</v>
      </c>
      <c r="W41" s="35">
        <f t="shared" si="9"/>
        <v>21.78</v>
      </c>
      <c r="X41" s="85">
        <f t="shared" si="9"/>
        <v>32.58</v>
      </c>
      <c r="Y41" s="81">
        <f t="shared" si="9"/>
        <v>22.1</v>
      </c>
    </row>
    <row r="42" spans="1:25">
      <c r="A42" s="23" t="s">
        <v>566</v>
      </c>
      <c r="B42" s="27">
        <f t="shared" ref="B42:Y42" si="10">SUM(B36:B41)</f>
        <v>236</v>
      </c>
      <c r="C42" s="56">
        <f t="shared" si="10"/>
        <v>226</v>
      </c>
      <c r="D42" s="56">
        <f t="shared" si="10"/>
        <v>226</v>
      </c>
      <c r="E42" s="56">
        <f t="shared" si="10"/>
        <v>223</v>
      </c>
      <c r="F42" s="66">
        <f t="shared" si="10"/>
        <v>37.209627900000008</v>
      </c>
      <c r="G42" s="56">
        <f t="shared" si="10"/>
        <v>2.13</v>
      </c>
      <c r="H42" s="56">
        <f t="shared" si="10"/>
        <v>0</v>
      </c>
      <c r="I42" s="56">
        <f t="shared" si="10"/>
        <v>109.5</v>
      </c>
      <c r="J42" s="66">
        <f t="shared" si="10"/>
        <v>40.576260900000001</v>
      </c>
      <c r="K42" s="56">
        <f t="shared" si="10"/>
        <v>96.78</v>
      </c>
      <c r="L42" s="56">
        <f t="shared" si="10"/>
        <v>21.98</v>
      </c>
      <c r="M42" s="56">
        <f t="shared" si="10"/>
        <v>2.9699999999999998</v>
      </c>
      <c r="N42" s="66">
        <f t="shared" si="10"/>
        <v>64.402689300000006</v>
      </c>
      <c r="O42" s="56">
        <f t="shared" si="10"/>
        <v>179.24</v>
      </c>
      <c r="P42" s="56">
        <f t="shared" si="10"/>
        <v>7.53</v>
      </c>
      <c r="Q42" s="56">
        <f t="shared" si="10"/>
        <v>6.4399999999999995</v>
      </c>
      <c r="R42" s="66">
        <f t="shared" si="10"/>
        <v>165.31834680000003</v>
      </c>
      <c r="S42" s="37">
        <f t="shared" si="10"/>
        <v>12.25</v>
      </c>
      <c r="T42" s="37">
        <f t="shared" si="10"/>
        <v>396.42</v>
      </c>
      <c r="U42" s="37">
        <f t="shared" si="10"/>
        <v>87.289999999999992</v>
      </c>
      <c r="V42" s="27">
        <f t="shared" si="10"/>
        <v>307.5069249</v>
      </c>
      <c r="W42" s="37">
        <f t="shared" si="10"/>
        <v>290.39999999999998</v>
      </c>
      <c r="X42" s="37">
        <f t="shared" si="10"/>
        <v>425.93</v>
      </c>
      <c r="Y42" s="37">
        <f t="shared" si="10"/>
        <v>206.20000000000002</v>
      </c>
    </row>
    <row r="43" spans="1:25" ht="16.2" thickBot="1">
      <c r="A43" s="43" t="s">
        <v>567</v>
      </c>
      <c r="B43" s="34">
        <f>SUM(B21,B30,B34,B42)</f>
        <v>3704</v>
      </c>
      <c r="C43" s="52">
        <f t="shared" ref="C43:U43" si="11">SUM(C21,C30,C34,C42)</f>
        <v>3694</v>
      </c>
      <c r="D43" s="52">
        <f t="shared" si="11"/>
        <v>3694</v>
      </c>
      <c r="E43" s="52">
        <f t="shared" si="11"/>
        <v>3691</v>
      </c>
      <c r="F43" s="34">
        <f t="shared" si="11"/>
        <v>614.2871904000001</v>
      </c>
      <c r="G43" s="52">
        <f t="shared" si="11"/>
        <v>33.380000000000003</v>
      </c>
      <c r="H43" s="52">
        <f t="shared" si="11"/>
        <v>0</v>
      </c>
      <c r="I43" s="52">
        <f t="shared" si="11"/>
        <v>1809.5</v>
      </c>
      <c r="J43" s="34">
        <f t="shared" si="11"/>
        <v>642.32357669999999</v>
      </c>
      <c r="K43" s="52">
        <f t="shared" si="11"/>
        <v>1520.04</v>
      </c>
      <c r="L43" s="52">
        <f t="shared" si="11"/>
        <v>357.98</v>
      </c>
      <c r="M43" s="52">
        <f t="shared" si="11"/>
        <v>48.97</v>
      </c>
      <c r="N43" s="34">
        <f t="shared" si="11"/>
        <v>1014.7331859000001</v>
      </c>
      <c r="O43" s="52">
        <f t="shared" si="11"/>
        <v>2815.17</v>
      </c>
      <c r="P43" s="52">
        <f t="shared" si="11"/>
        <v>122.62</v>
      </c>
      <c r="Q43" s="52">
        <f t="shared" si="11"/>
        <v>106.44</v>
      </c>
      <c r="R43" s="34">
        <f t="shared" si="11"/>
        <v>2697.6096903000002</v>
      </c>
      <c r="S43" s="34">
        <f t="shared" si="11"/>
        <v>192.29</v>
      </c>
      <c r="T43" s="34">
        <f t="shared" si="11"/>
        <v>6457.96</v>
      </c>
      <c r="U43" s="34">
        <f t="shared" si="11"/>
        <v>1442.66</v>
      </c>
      <c r="V43" s="34">
        <f>SUM(V21,V30,V34,V42)</f>
        <v>4968.9536433000003</v>
      </c>
      <c r="W43" s="34">
        <f t="shared" ref="W43:Y43" si="12">SUM(W21,W30,W34,W42)</f>
        <v>4560.8799999999992</v>
      </c>
      <c r="X43" s="34">
        <f t="shared" si="12"/>
        <v>6938.56</v>
      </c>
      <c r="Y43" s="34">
        <f t="shared" si="12"/>
        <v>3407.5699999999997</v>
      </c>
    </row>
    <row r="44" spans="1:25" ht="15" thickTop="1">
      <c r="A44" s="44" t="s">
        <v>568</v>
      </c>
      <c r="B44" s="28"/>
      <c r="C44" s="20"/>
      <c r="D44" s="20"/>
      <c r="E44" s="20"/>
      <c r="F44" s="28"/>
      <c r="G44" s="20"/>
      <c r="H44" s="20"/>
      <c r="I44" s="20"/>
      <c r="J44" s="28"/>
      <c r="K44" s="20"/>
      <c r="L44" s="20"/>
      <c r="M44" s="20"/>
      <c r="N44" s="28"/>
      <c r="O44" s="20"/>
      <c r="P44" s="20"/>
      <c r="Q44" s="20"/>
      <c r="R44" s="28"/>
      <c r="S44" s="20"/>
      <c r="T44" s="20"/>
      <c r="U44" s="20"/>
      <c r="V44" s="28"/>
      <c r="W44" s="20"/>
      <c r="X44" s="20"/>
      <c r="Y44" s="20"/>
    </row>
    <row r="45" spans="1:25">
      <c r="A45" s="40" t="s">
        <v>23</v>
      </c>
      <c r="B45" s="65">
        <v>0</v>
      </c>
      <c r="C45" s="54">
        <v>0</v>
      </c>
      <c r="D45" s="89">
        <v>0</v>
      </c>
      <c r="E45" s="86">
        <v>0</v>
      </c>
      <c r="F45" s="72">
        <v>0</v>
      </c>
      <c r="G45" s="54">
        <v>0</v>
      </c>
      <c r="H45" s="89">
        <v>0</v>
      </c>
      <c r="I45" s="86">
        <v>0</v>
      </c>
      <c r="J45" s="72">
        <v>0</v>
      </c>
      <c r="K45" s="54">
        <v>0</v>
      </c>
      <c r="L45" s="89">
        <v>0</v>
      </c>
      <c r="M45" s="86">
        <v>0</v>
      </c>
      <c r="N45" s="72">
        <v>0</v>
      </c>
      <c r="O45" s="54">
        <v>0</v>
      </c>
      <c r="P45" s="89">
        <v>0</v>
      </c>
      <c r="Q45" s="86">
        <v>0</v>
      </c>
      <c r="R45" s="72">
        <v>982.91683740000008</v>
      </c>
      <c r="S45" s="32">
        <v>0</v>
      </c>
      <c r="T45" s="84">
        <v>0</v>
      </c>
      <c r="U45" s="80">
        <v>2948.78</v>
      </c>
      <c r="V45" s="65">
        <v>982.91683740000008</v>
      </c>
      <c r="W45" s="32">
        <f t="shared" ref="W45:Y46" si="13">SUM(G45,K45,O45,S45)</f>
        <v>0</v>
      </c>
      <c r="X45" s="84">
        <f t="shared" si="13"/>
        <v>0</v>
      </c>
      <c r="Y45" s="80">
        <f t="shared" si="13"/>
        <v>2948.78</v>
      </c>
    </row>
    <row r="46" spans="1:25">
      <c r="A46" s="42" t="s">
        <v>7</v>
      </c>
      <c r="B46" s="64">
        <v>0</v>
      </c>
      <c r="C46" s="59">
        <v>0</v>
      </c>
      <c r="D46" s="91">
        <v>0</v>
      </c>
      <c r="E46" s="88">
        <v>0</v>
      </c>
      <c r="F46" s="73">
        <v>0</v>
      </c>
      <c r="G46" s="59">
        <v>0</v>
      </c>
      <c r="H46" s="91">
        <v>0</v>
      </c>
      <c r="I46" s="88">
        <v>0</v>
      </c>
      <c r="J46" s="73">
        <v>0</v>
      </c>
      <c r="K46" s="59">
        <v>0</v>
      </c>
      <c r="L46" s="91">
        <v>0</v>
      </c>
      <c r="M46" s="88">
        <v>0</v>
      </c>
      <c r="N46" s="73">
        <v>0</v>
      </c>
      <c r="O46" s="59">
        <v>0</v>
      </c>
      <c r="P46" s="91">
        <v>0</v>
      </c>
      <c r="Q46" s="88">
        <v>0</v>
      </c>
      <c r="R46" s="73">
        <v>0</v>
      </c>
      <c r="S46" s="35">
        <v>0</v>
      </c>
      <c r="T46" s="85">
        <v>0</v>
      </c>
      <c r="U46" s="81">
        <v>0</v>
      </c>
      <c r="V46" s="64">
        <v>0</v>
      </c>
      <c r="W46" s="35">
        <f t="shared" si="13"/>
        <v>0</v>
      </c>
      <c r="X46" s="85">
        <f t="shared" si="13"/>
        <v>0</v>
      </c>
      <c r="Y46" s="81">
        <f t="shared" si="13"/>
        <v>0</v>
      </c>
    </row>
    <row r="47" spans="1:25">
      <c r="A47" s="45" t="s">
        <v>569</v>
      </c>
      <c r="B47" s="49">
        <f t="shared" ref="B47:Y47" si="14">SUM(B45:B46)</f>
        <v>0</v>
      </c>
      <c r="C47" s="60">
        <f t="shared" si="14"/>
        <v>0</v>
      </c>
      <c r="D47" s="60">
        <f t="shared" si="14"/>
        <v>0</v>
      </c>
      <c r="E47" s="60">
        <f t="shared" si="14"/>
        <v>0</v>
      </c>
      <c r="F47" s="27">
        <f t="shared" si="14"/>
        <v>0</v>
      </c>
      <c r="G47" s="60">
        <f t="shared" si="14"/>
        <v>0</v>
      </c>
      <c r="H47" s="60">
        <f t="shared" si="14"/>
        <v>0</v>
      </c>
      <c r="I47" s="60">
        <f t="shared" si="14"/>
        <v>0</v>
      </c>
      <c r="J47" s="27">
        <f t="shared" si="14"/>
        <v>0</v>
      </c>
      <c r="K47" s="60">
        <f t="shared" si="14"/>
        <v>0</v>
      </c>
      <c r="L47" s="60">
        <f t="shared" si="14"/>
        <v>0</v>
      </c>
      <c r="M47" s="60">
        <f t="shared" si="14"/>
        <v>0</v>
      </c>
      <c r="N47" s="27">
        <f t="shared" si="14"/>
        <v>0</v>
      </c>
      <c r="O47" s="60">
        <f t="shared" si="14"/>
        <v>0</v>
      </c>
      <c r="P47" s="60">
        <f t="shared" si="14"/>
        <v>0</v>
      </c>
      <c r="Q47" s="60">
        <f t="shared" si="14"/>
        <v>0</v>
      </c>
      <c r="R47" s="27">
        <f t="shared" si="14"/>
        <v>982.91683740000008</v>
      </c>
      <c r="S47" s="36">
        <f t="shared" si="14"/>
        <v>0</v>
      </c>
      <c r="T47" s="36">
        <f t="shared" si="14"/>
        <v>0</v>
      </c>
      <c r="U47" s="36">
        <f t="shared" si="14"/>
        <v>2948.78</v>
      </c>
      <c r="V47" s="49">
        <f t="shared" si="14"/>
        <v>982.91683740000008</v>
      </c>
      <c r="W47" s="36">
        <f t="shared" si="14"/>
        <v>0</v>
      </c>
      <c r="X47" s="36">
        <f t="shared" si="14"/>
        <v>0</v>
      </c>
      <c r="Y47" s="36">
        <f t="shared" si="14"/>
        <v>2948.78</v>
      </c>
    </row>
    <row r="48" spans="1:25" ht="16.2" thickBot="1">
      <c r="A48" s="43" t="s">
        <v>570</v>
      </c>
      <c r="B48" s="34">
        <f>SUM(B12,B43,B47)</f>
        <v>0</v>
      </c>
      <c r="C48" s="52">
        <f t="shared" ref="C48:U48" si="15">SUM(C12,C43,C47)</f>
        <v>0</v>
      </c>
      <c r="D48" s="52">
        <f t="shared" si="15"/>
        <v>0</v>
      </c>
      <c r="E48" s="52">
        <f t="shared" si="15"/>
        <v>0</v>
      </c>
      <c r="F48" s="34">
        <f t="shared" si="15"/>
        <v>-1232.3610096</v>
      </c>
      <c r="G48" s="52">
        <f t="shared" si="15"/>
        <v>-1813.62</v>
      </c>
      <c r="H48" s="52">
        <f t="shared" si="15"/>
        <v>-1847</v>
      </c>
      <c r="I48" s="52">
        <f t="shared" si="15"/>
        <v>-36.5</v>
      </c>
      <c r="J48" s="34">
        <f t="shared" si="15"/>
        <v>642.32357669999999</v>
      </c>
      <c r="K48" s="52">
        <f t="shared" si="15"/>
        <v>1520.04</v>
      </c>
      <c r="L48" s="52">
        <f t="shared" si="15"/>
        <v>357.98</v>
      </c>
      <c r="M48" s="52">
        <f t="shared" si="15"/>
        <v>48.97</v>
      </c>
      <c r="N48" s="34">
        <f t="shared" si="15"/>
        <v>-831.58168410000007</v>
      </c>
      <c r="O48" s="52">
        <f t="shared" si="15"/>
        <v>968.17000000000007</v>
      </c>
      <c r="P48" s="52">
        <f t="shared" si="15"/>
        <v>-1724.38</v>
      </c>
      <c r="Q48" s="52">
        <f t="shared" si="15"/>
        <v>-1738.56</v>
      </c>
      <c r="R48" s="34">
        <f t="shared" si="15"/>
        <v>2310.0602325000004</v>
      </c>
      <c r="S48" s="34">
        <f t="shared" si="15"/>
        <v>-674.59</v>
      </c>
      <c r="T48" s="34">
        <f t="shared" si="15"/>
        <v>3213.4</v>
      </c>
      <c r="U48" s="34">
        <f t="shared" si="15"/>
        <v>4391.4400000000005</v>
      </c>
      <c r="V48" s="34">
        <f>SUM(V12,V43,V47)</f>
        <v>888.44111550000071</v>
      </c>
      <c r="W48" s="34">
        <f t="shared" ref="W48:Y48" si="16">SUM(W12,W43,W47)</f>
        <v>-9.0949470177292824E-13</v>
      </c>
      <c r="X48" s="34">
        <f t="shared" si="16"/>
        <v>9.0949470177292824E-13</v>
      </c>
      <c r="Y48" s="34">
        <f t="shared" si="16"/>
        <v>2665.35</v>
      </c>
    </row>
    <row r="49" spans="1:25" ht="15" thickTop="1">
      <c r="A49" s="29"/>
      <c r="B49" s="19"/>
      <c r="C49" s="48"/>
      <c r="D49" s="48"/>
      <c r="E49" s="48"/>
      <c r="F49" s="19"/>
      <c r="G49" s="48"/>
      <c r="H49" s="48"/>
      <c r="I49" s="48"/>
      <c r="J49" s="19"/>
      <c r="K49" s="48"/>
      <c r="L49" s="48"/>
      <c r="M49" s="48"/>
      <c r="N49" s="19"/>
      <c r="O49" s="48"/>
      <c r="P49" s="48"/>
      <c r="Q49" s="48"/>
      <c r="R49" s="19"/>
      <c r="S49" s="48"/>
      <c r="T49" s="48"/>
      <c r="U49" s="48"/>
      <c r="V49" s="19"/>
      <c r="W49" s="48"/>
      <c r="X49" s="48"/>
      <c r="Y49" s="48"/>
    </row>
  </sheetData>
  <conditionalFormatting sqref="B15:C21 B23:C30 B32:C34 B36:C43 V36:W43 V32:W34 V23:W30 V15:W21 R36:S43 R32:S34 R23:S30 R15:S21 N36:O43 N32:O34 N23:O30 N15:O21 J36:K43 J32:K34 J23:K30 J15:K21 F36:G43 F32:G34 F23:G30 F15:G21">
    <cfRule type="cellIs" dxfId="51" priority="13" operator="lessThan">
      <formula>-0.01</formula>
    </cfRule>
  </conditionalFormatting>
  <conditionalFormatting sqref="Y15:Y21 Y23:Y30 Y32:Y34 Y36:Y43">
    <cfRule type="cellIs" dxfId="50" priority="12" operator="lessThan">
      <formula>-0.01</formula>
    </cfRule>
  </conditionalFormatting>
  <conditionalFormatting sqref="X15:X21 X23:X30 X32:X34 X36:X43">
    <cfRule type="cellIs" dxfId="49" priority="11" operator="lessThan">
      <formula>-0.01</formula>
    </cfRule>
  </conditionalFormatting>
  <conditionalFormatting sqref="U15:U21 U23:U30 U32:U34 U36:U43">
    <cfRule type="cellIs" dxfId="48" priority="10" operator="lessThan">
      <formula>-0.01</formula>
    </cfRule>
  </conditionalFormatting>
  <conditionalFormatting sqref="T15:T21 T23:T30 T32:T34 T36:T43">
    <cfRule type="cellIs" dxfId="47" priority="9" operator="lessThan">
      <formula>-0.01</formula>
    </cfRule>
  </conditionalFormatting>
  <conditionalFormatting sqref="Q15:Q21 Q23:Q30 Q32:Q34 Q36:Q43">
    <cfRule type="cellIs" dxfId="46" priority="8" operator="lessThan">
      <formula>-0.01</formula>
    </cfRule>
  </conditionalFormatting>
  <conditionalFormatting sqref="P15:P21 P23:P30 P32:P34 P36:P43">
    <cfRule type="cellIs" dxfId="45" priority="7" operator="lessThan">
      <formula>-0.01</formula>
    </cfRule>
  </conditionalFormatting>
  <conditionalFormatting sqref="M15:M21 M23:M30 M32:M34 M36:M43">
    <cfRule type="cellIs" dxfId="44" priority="6" operator="lessThan">
      <formula>-0.01</formula>
    </cfRule>
  </conditionalFormatting>
  <conditionalFormatting sqref="L15:L21 L23:L30 L32:L34 L36:L43">
    <cfRule type="cellIs" dxfId="43" priority="5" operator="lessThan">
      <formula>-0.01</formula>
    </cfRule>
  </conditionalFormatting>
  <conditionalFormatting sqref="I15:I21 I23:I30 I32:I34 I36:I43">
    <cfRule type="cellIs" dxfId="42" priority="4" operator="lessThan">
      <formula>-0.01</formula>
    </cfRule>
  </conditionalFormatting>
  <conditionalFormatting sqref="H15:H21 H23:H30 H32:H34 H36:H43">
    <cfRule type="cellIs" dxfId="41" priority="3" operator="lessThan">
      <formula>-0.01</formula>
    </cfRule>
  </conditionalFormatting>
  <conditionalFormatting sqref="E15:E21 E23:E30 E32:E34 E36:E43">
    <cfRule type="cellIs" dxfId="40" priority="2" operator="lessThan">
      <formula>-0.01</formula>
    </cfRule>
  </conditionalFormatting>
  <conditionalFormatting sqref="D15:D21 D23:D30 D32:D34 D36:D43">
    <cfRule type="cellIs" dxfId="39" priority="1" operator="lessThan">
      <formula>-0.01</formula>
    </cfRule>
  </conditionalFormatting>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04D495-7898-4BBB-BB14-D0E8500D91B6}">
  <sheetPr codeName="Sheet21"/>
  <dimension ref="A1:AZ49"/>
  <sheetViews>
    <sheetView showGridLines="0" workbookViewId="0">
      <pane xSplit="1" ySplit="6" topLeftCell="B7" activePane="bottomRight" state="frozen"/>
      <selection pane="topRight" activeCell="B1" sqref="B1"/>
      <selection pane="bottomLeft" activeCell="A7" sqref="A7"/>
      <selection pane="bottomRight"/>
    </sheetView>
  </sheetViews>
  <sheetFormatPr defaultRowHeight="14.4" outlineLevelCol="1"/>
  <cols>
    <col min="1" max="1" width="32.44140625" bestFit="1" customWidth="1"/>
    <col min="2" max="2" width="16.77734375" customWidth="1"/>
    <col min="3" max="5" width="13.44140625" style="57" hidden="1" customWidth="1" outlineLevel="1"/>
    <col min="6" max="6" width="16.77734375" customWidth="1" collapsed="1"/>
    <col min="7" max="9" width="13.44140625" style="57" hidden="1" customWidth="1" outlineLevel="1"/>
    <col min="10" max="10" width="16.77734375" customWidth="1" collapsed="1"/>
    <col min="11" max="13" width="13.44140625" style="57" hidden="1" customWidth="1" outlineLevel="1"/>
    <col min="14" max="14" width="16.77734375" customWidth="1" collapsed="1"/>
    <col min="15" max="17" width="13.44140625" style="57" hidden="1" customWidth="1" outlineLevel="1"/>
    <col min="18" max="18" width="16.77734375" customWidth="1" collapsed="1"/>
    <col min="19" max="21" width="13.44140625" style="57" hidden="1" customWidth="1" outlineLevel="1"/>
    <col min="22" max="22" width="16.77734375" customWidth="1" collapsed="1"/>
    <col min="23" max="25" width="13.44140625" style="57" hidden="1" customWidth="1" outlineLevel="1"/>
    <col min="26" max="26" width="8.88671875" collapsed="1"/>
  </cols>
  <sheetData>
    <row r="1" spans="1:52" ht="15.6">
      <c r="A1" s="68" t="s">
        <v>790</v>
      </c>
      <c r="B1" s="46"/>
      <c r="C1" s="46"/>
      <c r="D1" s="46"/>
      <c r="E1" s="46"/>
      <c r="F1" s="46"/>
      <c r="G1" s="46"/>
      <c r="H1" s="46"/>
      <c r="I1" s="46"/>
      <c r="J1" s="46"/>
      <c r="K1" s="46"/>
      <c r="L1" s="46"/>
      <c r="M1" s="46"/>
      <c r="N1" s="46"/>
      <c r="O1" s="46"/>
      <c r="P1" s="46"/>
      <c r="Q1" s="46"/>
      <c r="R1" s="46"/>
      <c r="V1" s="46"/>
      <c r="W1" s="46"/>
      <c r="X1" s="46"/>
      <c r="Y1" s="46"/>
    </row>
    <row r="2" spans="1:52" ht="15.6">
      <c r="A2" s="69" t="s">
        <v>423</v>
      </c>
      <c r="B2" s="47"/>
      <c r="C2" s="47"/>
      <c r="D2" s="47"/>
      <c r="E2" s="47"/>
      <c r="F2" s="47"/>
      <c r="G2" s="47"/>
      <c r="H2" s="47"/>
      <c r="I2" s="47"/>
      <c r="J2" s="47"/>
      <c r="K2" s="47"/>
      <c r="L2" s="47"/>
      <c r="M2" s="47"/>
      <c r="N2" s="47"/>
      <c r="O2" s="47"/>
      <c r="P2" s="47"/>
      <c r="Q2" s="47"/>
      <c r="R2" s="47"/>
      <c r="V2" s="47"/>
      <c r="W2" s="47"/>
      <c r="X2" s="47"/>
      <c r="Y2" s="47"/>
    </row>
    <row r="3" spans="1:52">
      <c r="A3" s="136"/>
      <c r="B3" s="61" t="s">
        <v>589</v>
      </c>
      <c r="C3" s="50" t="s">
        <v>572</v>
      </c>
      <c r="D3" s="50" t="s">
        <v>572</v>
      </c>
      <c r="E3" s="50" t="s">
        <v>572</v>
      </c>
      <c r="F3" s="61" t="s">
        <v>573</v>
      </c>
      <c r="G3" s="50" t="s">
        <v>573</v>
      </c>
      <c r="H3" s="50" t="s">
        <v>573</v>
      </c>
      <c r="I3" s="50" t="s">
        <v>573</v>
      </c>
      <c r="J3" s="61" t="s">
        <v>575</v>
      </c>
      <c r="K3" s="50" t="s">
        <v>575</v>
      </c>
      <c r="L3" s="50" t="s">
        <v>575</v>
      </c>
      <c r="M3" s="50" t="s">
        <v>575</v>
      </c>
      <c r="N3" s="61" t="s">
        <v>576</v>
      </c>
      <c r="O3" s="50" t="s">
        <v>576</v>
      </c>
      <c r="P3" s="50" t="s">
        <v>576</v>
      </c>
      <c r="Q3" s="50" t="s">
        <v>576</v>
      </c>
      <c r="R3" s="61" t="s">
        <v>577</v>
      </c>
      <c r="S3" s="38" t="s">
        <v>577</v>
      </c>
      <c r="T3" s="38" t="s">
        <v>577</v>
      </c>
      <c r="U3" s="38" t="s">
        <v>577</v>
      </c>
      <c r="V3" s="61" t="s">
        <v>585</v>
      </c>
      <c r="W3" s="38" t="s">
        <v>585</v>
      </c>
      <c r="X3" s="38" t="s">
        <v>585</v>
      </c>
      <c r="Y3" s="38" t="s">
        <v>585</v>
      </c>
      <c r="Z3" s="136"/>
      <c r="AA3" s="136"/>
      <c r="AB3" s="136"/>
      <c r="AC3" s="136"/>
      <c r="AD3" s="136"/>
      <c r="AE3" s="136"/>
      <c r="AF3" s="136"/>
      <c r="AG3" s="136"/>
      <c r="AH3" s="136"/>
      <c r="AI3" s="136"/>
      <c r="AJ3" s="136"/>
      <c r="AK3" s="136"/>
      <c r="AL3" s="136"/>
      <c r="AM3" s="136"/>
      <c r="AN3" s="136"/>
      <c r="AO3" s="136"/>
      <c r="AP3" s="136"/>
      <c r="AQ3" s="136"/>
      <c r="AR3" s="136"/>
      <c r="AS3" s="136"/>
      <c r="AT3" s="136"/>
      <c r="AU3" s="136"/>
      <c r="AV3" s="136"/>
      <c r="AW3" s="136"/>
      <c r="AX3" s="136"/>
      <c r="AY3" s="136"/>
      <c r="AZ3" s="136"/>
    </row>
    <row r="4" spans="1:52">
      <c r="A4" s="16"/>
      <c r="B4" s="31" t="str">
        <f>_xlfn.CONCAT("FY ",rngFY+rngYRS)</f>
        <v>FY 19</v>
      </c>
      <c r="C4" s="51" t="s">
        <v>555</v>
      </c>
      <c r="D4" s="51" t="s">
        <v>555</v>
      </c>
      <c r="E4" s="51" t="s">
        <v>555</v>
      </c>
      <c r="F4" s="31" t="s">
        <v>788</v>
      </c>
      <c r="G4" s="31" t="s">
        <v>789</v>
      </c>
      <c r="H4" s="31" t="s">
        <v>789</v>
      </c>
      <c r="I4" s="31" t="s">
        <v>789</v>
      </c>
      <c r="J4" s="31" t="s">
        <v>788</v>
      </c>
      <c r="K4" s="31" t="s">
        <v>789</v>
      </c>
      <c r="L4" s="31" t="s">
        <v>789</v>
      </c>
      <c r="M4" s="31" t="s">
        <v>789</v>
      </c>
      <c r="N4" s="31" t="s">
        <v>788</v>
      </c>
      <c r="O4" s="31" t="s">
        <v>789</v>
      </c>
      <c r="P4" s="31" t="s">
        <v>789</v>
      </c>
      <c r="Q4" s="31" t="s">
        <v>789</v>
      </c>
      <c r="R4" s="31" t="s">
        <v>788</v>
      </c>
      <c r="S4" s="31" t="s">
        <v>789</v>
      </c>
      <c r="T4" s="31" t="s">
        <v>789</v>
      </c>
      <c r="U4" s="31" t="s">
        <v>789</v>
      </c>
      <c r="V4" s="31" t="s">
        <v>574</v>
      </c>
      <c r="W4" s="31" t="s">
        <v>584</v>
      </c>
      <c r="X4" s="31" t="s">
        <v>584</v>
      </c>
      <c r="Y4" s="31" t="s">
        <v>584</v>
      </c>
    </row>
    <row r="5" spans="1:52">
      <c r="A5" s="17"/>
      <c r="B5" s="31"/>
      <c r="C5" s="51" t="s">
        <v>587</v>
      </c>
      <c r="D5" s="51" t="s">
        <v>586</v>
      </c>
      <c r="E5" s="51" t="s">
        <v>590</v>
      </c>
      <c r="F5" s="31"/>
      <c r="G5" s="51" t="s">
        <v>587</v>
      </c>
      <c r="H5" s="51" t="s">
        <v>586</v>
      </c>
      <c r="I5" s="51" t="s">
        <v>590</v>
      </c>
      <c r="J5" s="31"/>
      <c r="K5" s="51" t="s">
        <v>587</v>
      </c>
      <c r="L5" s="51" t="s">
        <v>586</v>
      </c>
      <c r="M5" s="51" t="s">
        <v>590</v>
      </c>
      <c r="N5" s="31"/>
      <c r="O5" s="51" t="s">
        <v>587</v>
      </c>
      <c r="P5" s="51" t="s">
        <v>586</v>
      </c>
      <c r="Q5" s="51" t="s">
        <v>590</v>
      </c>
      <c r="R5" s="31"/>
      <c r="S5" s="31" t="s">
        <v>587</v>
      </c>
      <c r="T5" s="31" t="s">
        <v>586</v>
      </c>
      <c r="U5" s="31" t="s">
        <v>590</v>
      </c>
      <c r="V5" s="31"/>
      <c r="W5" s="31" t="s">
        <v>587</v>
      </c>
      <c r="X5" s="31" t="s">
        <v>586</v>
      </c>
      <c r="Y5" s="31" t="s">
        <v>590</v>
      </c>
    </row>
    <row r="6" spans="1:52">
      <c r="A6" s="70"/>
      <c r="B6" s="62"/>
      <c r="C6" s="53"/>
      <c r="D6" s="53"/>
      <c r="E6" s="53"/>
      <c r="F6" s="62"/>
      <c r="G6" s="53"/>
      <c r="H6" s="53"/>
      <c r="I6" s="53"/>
      <c r="J6" s="62"/>
      <c r="K6" s="53"/>
      <c r="L6" s="53"/>
      <c r="M6" s="53"/>
      <c r="N6" s="62"/>
      <c r="O6" s="53"/>
      <c r="P6" s="53"/>
      <c r="Q6" s="53"/>
      <c r="R6" s="62"/>
      <c r="S6" s="62"/>
      <c r="T6" s="62"/>
      <c r="U6" s="62"/>
      <c r="V6" s="62"/>
      <c r="W6" s="62"/>
      <c r="X6" s="62"/>
      <c r="Y6" s="62"/>
    </row>
    <row r="7" spans="1:52">
      <c r="A7" s="18" t="s">
        <v>556</v>
      </c>
      <c r="B7" s="63"/>
      <c r="C7" s="58"/>
      <c r="D7" s="58"/>
      <c r="E7" s="58"/>
      <c r="F7" s="63"/>
      <c r="G7" s="58"/>
      <c r="H7" s="58"/>
      <c r="I7" s="58"/>
      <c r="J7" s="63"/>
      <c r="K7" s="58"/>
      <c r="L7" s="58"/>
      <c r="M7" s="58"/>
      <c r="N7" s="63"/>
      <c r="O7" s="58"/>
      <c r="P7" s="58"/>
      <c r="Q7" s="58"/>
      <c r="R7" s="63"/>
      <c r="S7" s="63"/>
      <c r="T7" s="63"/>
      <c r="U7" s="63"/>
      <c r="V7" s="63"/>
      <c r="W7" s="63"/>
      <c r="X7" s="63"/>
      <c r="Y7" s="63"/>
    </row>
    <row r="8" spans="1:52">
      <c r="A8" s="40" t="s">
        <v>557</v>
      </c>
      <c r="B8" s="39">
        <v>-26700</v>
      </c>
      <c r="C8" s="54">
        <v>-26635</v>
      </c>
      <c r="D8" s="89">
        <v>-26635</v>
      </c>
      <c r="E8" s="86">
        <v>-26611</v>
      </c>
      <c r="F8" s="72">
        <v>-11179.1082078</v>
      </c>
      <c r="G8" s="54">
        <v>-13317</v>
      </c>
      <c r="H8" s="89">
        <v>-12637.99</v>
      </c>
      <c r="I8" s="86">
        <v>-7582.67</v>
      </c>
      <c r="J8" s="72">
        <v>3556.8510977999999</v>
      </c>
      <c r="K8" s="54">
        <v>0</v>
      </c>
      <c r="L8" s="89">
        <v>9818.3799999999992</v>
      </c>
      <c r="M8" s="86">
        <v>852.28</v>
      </c>
      <c r="N8" s="72">
        <v>-7696.6130331000004</v>
      </c>
      <c r="O8" s="54">
        <v>-13318</v>
      </c>
      <c r="P8" s="89">
        <v>3532.93</v>
      </c>
      <c r="Q8" s="86">
        <v>-13305</v>
      </c>
      <c r="R8" s="72">
        <v>2905.0276161000002</v>
      </c>
      <c r="S8" s="22">
        <v>0</v>
      </c>
      <c r="T8" s="82">
        <v>1569.92</v>
      </c>
      <c r="U8" s="78">
        <v>7145.25</v>
      </c>
      <c r="V8" s="39">
        <v>-12413.842527000001</v>
      </c>
      <c r="W8" s="22">
        <f t="shared" ref="W8:Y11" si="0">SUM(G8,K8,O8,S8)</f>
        <v>-26635</v>
      </c>
      <c r="X8" s="82">
        <f t="shared" si="0"/>
        <v>2283.2399999999993</v>
      </c>
      <c r="Y8" s="78">
        <f t="shared" si="0"/>
        <v>-12890.14</v>
      </c>
    </row>
    <row r="9" spans="1:52">
      <c r="A9" s="41" t="s">
        <v>558</v>
      </c>
      <c r="B9" s="39">
        <v>0</v>
      </c>
      <c r="C9" s="55">
        <v>0</v>
      </c>
      <c r="D9" s="90">
        <v>0</v>
      </c>
      <c r="E9" s="87">
        <v>0</v>
      </c>
      <c r="F9" s="72">
        <v>0</v>
      </c>
      <c r="G9" s="55">
        <v>0</v>
      </c>
      <c r="H9" s="90">
        <v>0</v>
      </c>
      <c r="I9" s="87">
        <v>0</v>
      </c>
      <c r="J9" s="72">
        <v>0</v>
      </c>
      <c r="K9" s="55">
        <v>0</v>
      </c>
      <c r="L9" s="90">
        <v>0</v>
      </c>
      <c r="M9" s="87">
        <v>0</v>
      </c>
      <c r="N9" s="72">
        <v>0</v>
      </c>
      <c r="O9" s="55">
        <v>0</v>
      </c>
      <c r="P9" s="90">
        <v>0</v>
      </c>
      <c r="Q9" s="87">
        <v>0</v>
      </c>
      <c r="R9" s="72">
        <v>0</v>
      </c>
      <c r="S9" s="33">
        <v>0</v>
      </c>
      <c r="T9" s="83">
        <v>0</v>
      </c>
      <c r="U9" s="79">
        <v>0</v>
      </c>
      <c r="V9" s="39">
        <v>0</v>
      </c>
      <c r="W9" s="33">
        <f t="shared" si="0"/>
        <v>0</v>
      </c>
      <c r="X9" s="83">
        <f t="shared" si="0"/>
        <v>0</v>
      </c>
      <c r="Y9" s="79">
        <f t="shared" si="0"/>
        <v>0</v>
      </c>
    </row>
    <row r="10" spans="1:52">
      <c r="A10" s="41" t="s">
        <v>212</v>
      </c>
      <c r="B10" s="39">
        <v>0</v>
      </c>
      <c r="C10" s="55">
        <v>0</v>
      </c>
      <c r="D10" s="90">
        <v>0</v>
      </c>
      <c r="E10" s="87">
        <v>0</v>
      </c>
      <c r="F10" s="72">
        <v>0</v>
      </c>
      <c r="G10" s="55">
        <v>0</v>
      </c>
      <c r="H10" s="90">
        <v>0</v>
      </c>
      <c r="I10" s="87">
        <v>0</v>
      </c>
      <c r="J10" s="72">
        <v>0</v>
      </c>
      <c r="K10" s="55">
        <v>0</v>
      </c>
      <c r="L10" s="90">
        <v>0</v>
      </c>
      <c r="M10" s="87">
        <v>0</v>
      </c>
      <c r="N10" s="72">
        <v>0</v>
      </c>
      <c r="O10" s="55">
        <v>0</v>
      </c>
      <c r="P10" s="90">
        <v>0</v>
      </c>
      <c r="Q10" s="87">
        <v>0</v>
      </c>
      <c r="R10" s="72">
        <v>0</v>
      </c>
      <c r="S10" s="33">
        <v>0</v>
      </c>
      <c r="T10" s="83">
        <v>0</v>
      </c>
      <c r="U10" s="79">
        <v>0</v>
      </c>
      <c r="V10" s="39">
        <v>0</v>
      </c>
      <c r="W10" s="33">
        <f t="shared" si="0"/>
        <v>0</v>
      </c>
      <c r="X10" s="83">
        <f t="shared" si="0"/>
        <v>0</v>
      </c>
      <c r="Y10" s="79">
        <f t="shared" si="0"/>
        <v>0</v>
      </c>
    </row>
    <row r="11" spans="1:52">
      <c r="A11" s="42" t="s">
        <v>210</v>
      </c>
      <c r="B11" s="64">
        <v>0</v>
      </c>
      <c r="C11" s="55">
        <v>0</v>
      </c>
      <c r="D11" s="90">
        <v>0</v>
      </c>
      <c r="E11" s="87">
        <v>0</v>
      </c>
      <c r="F11" s="73">
        <v>0</v>
      </c>
      <c r="G11" s="55">
        <v>0</v>
      </c>
      <c r="H11" s="90">
        <v>0</v>
      </c>
      <c r="I11" s="87">
        <v>0</v>
      </c>
      <c r="J11" s="73">
        <v>-156.05177280000001</v>
      </c>
      <c r="K11" s="55">
        <v>-468.16</v>
      </c>
      <c r="L11" s="90">
        <v>0</v>
      </c>
      <c r="M11" s="87">
        <v>0</v>
      </c>
      <c r="N11" s="73">
        <v>0</v>
      </c>
      <c r="O11" s="55">
        <v>0</v>
      </c>
      <c r="P11" s="90">
        <v>0</v>
      </c>
      <c r="Q11" s="87">
        <v>0</v>
      </c>
      <c r="R11" s="73">
        <v>-36417.009159599998</v>
      </c>
      <c r="S11" s="33">
        <v>-40938.78</v>
      </c>
      <c r="T11" s="83">
        <v>-34156.67</v>
      </c>
      <c r="U11" s="79">
        <v>-34156.67</v>
      </c>
      <c r="V11" s="64">
        <v>-36573.060932400003</v>
      </c>
      <c r="W11" s="33">
        <f t="shared" si="0"/>
        <v>-41406.94</v>
      </c>
      <c r="X11" s="83">
        <f t="shared" si="0"/>
        <v>-34156.67</v>
      </c>
      <c r="Y11" s="79">
        <f t="shared" si="0"/>
        <v>-34156.67</v>
      </c>
    </row>
    <row r="12" spans="1:52" ht="16.2" thickBot="1">
      <c r="A12" s="43" t="s">
        <v>559</v>
      </c>
      <c r="B12" s="34">
        <f>SUM(B8:B11)</f>
        <v>-26700</v>
      </c>
      <c r="C12" s="52">
        <f t="shared" ref="C12:U12" si="1">SUM(C8:C11)</f>
        <v>-26635</v>
      </c>
      <c r="D12" s="52">
        <f t="shared" si="1"/>
        <v>-26635</v>
      </c>
      <c r="E12" s="52">
        <f t="shared" si="1"/>
        <v>-26611</v>
      </c>
      <c r="F12" s="34">
        <f t="shared" si="1"/>
        <v>-11179.1082078</v>
      </c>
      <c r="G12" s="52">
        <f t="shared" si="1"/>
        <v>-13317</v>
      </c>
      <c r="H12" s="52">
        <f t="shared" si="1"/>
        <v>-12637.99</v>
      </c>
      <c r="I12" s="52">
        <f t="shared" si="1"/>
        <v>-7582.67</v>
      </c>
      <c r="J12" s="34">
        <f t="shared" si="1"/>
        <v>3400.799325</v>
      </c>
      <c r="K12" s="52">
        <f t="shared" si="1"/>
        <v>-468.16</v>
      </c>
      <c r="L12" s="52">
        <f t="shared" si="1"/>
        <v>9818.3799999999992</v>
      </c>
      <c r="M12" s="52">
        <f t="shared" si="1"/>
        <v>852.28</v>
      </c>
      <c r="N12" s="34">
        <f t="shared" si="1"/>
        <v>-7696.6130331000004</v>
      </c>
      <c r="O12" s="52">
        <f t="shared" si="1"/>
        <v>-13318</v>
      </c>
      <c r="P12" s="52">
        <f t="shared" si="1"/>
        <v>3532.93</v>
      </c>
      <c r="Q12" s="52">
        <f t="shared" si="1"/>
        <v>-13305</v>
      </c>
      <c r="R12" s="34">
        <f t="shared" si="1"/>
        <v>-33511.981543499998</v>
      </c>
      <c r="S12" s="34">
        <f t="shared" si="1"/>
        <v>-40938.78</v>
      </c>
      <c r="T12" s="34">
        <f t="shared" si="1"/>
        <v>-32586.75</v>
      </c>
      <c r="U12" s="34">
        <f t="shared" si="1"/>
        <v>-27011.42</v>
      </c>
      <c r="V12" s="34">
        <f>SUM(V8:V11)</f>
        <v>-48986.903459400004</v>
      </c>
      <c r="W12" s="34">
        <f t="shared" ref="W12:Y12" si="2">SUM(W8:W11)</f>
        <v>-68041.94</v>
      </c>
      <c r="X12" s="34">
        <f t="shared" si="2"/>
        <v>-31873.43</v>
      </c>
      <c r="Y12" s="34">
        <f t="shared" si="2"/>
        <v>-47046.81</v>
      </c>
    </row>
    <row r="13" spans="1:52" ht="15" thickTop="1">
      <c r="A13" s="67"/>
      <c r="B13" s="67"/>
      <c r="C13" s="67"/>
      <c r="D13" s="67"/>
      <c r="E13" s="67"/>
      <c r="F13" s="67"/>
      <c r="G13" s="67"/>
      <c r="H13" s="67"/>
      <c r="I13" s="67"/>
      <c r="J13" s="67"/>
      <c r="K13" s="67"/>
      <c r="L13" s="67"/>
      <c r="M13" s="67"/>
      <c r="N13" s="67"/>
      <c r="O13" s="67"/>
      <c r="P13" s="67"/>
      <c r="Q13" s="67"/>
      <c r="R13" s="67"/>
      <c r="S13" s="67"/>
      <c r="T13" s="67"/>
      <c r="U13" s="67"/>
      <c r="V13" s="67"/>
      <c r="W13" s="67"/>
      <c r="X13" s="67"/>
      <c r="Y13" s="67"/>
    </row>
    <row r="14" spans="1:52">
      <c r="A14" s="18" t="s">
        <v>560</v>
      </c>
      <c r="B14" s="20"/>
      <c r="C14" s="20"/>
      <c r="D14" s="20"/>
      <c r="E14" s="20"/>
      <c r="F14" s="20"/>
      <c r="G14" s="20"/>
      <c r="H14" s="20"/>
      <c r="I14" s="20"/>
      <c r="J14" s="20"/>
      <c r="K14" s="20"/>
      <c r="L14" s="20"/>
      <c r="M14" s="20"/>
      <c r="N14" s="20"/>
      <c r="O14" s="20"/>
      <c r="P14" s="20"/>
      <c r="Q14" s="20"/>
      <c r="R14" s="20"/>
      <c r="S14" s="20"/>
      <c r="T14" s="20"/>
      <c r="U14" s="20"/>
      <c r="V14" s="20"/>
      <c r="W14" s="20"/>
      <c r="X14" s="20"/>
      <c r="Y14" s="20"/>
    </row>
    <row r="15" spans="1:52">
      <c r="A15" s="40" t="s">
        <v>188</v>
      </c>
      <c r="B15" s="65">
        <v>0</v>
      </c>
      <c r="C15" s="54">
        <v>0</v>
      </c>
      <c r="D15" s="89">
        <v>0</v>
      </c>
      <c r="E15" s="86">
        <v>0</v>
      </c>
      <c r="F15" s="72">
        <v>0</v>
      </c>
      <c r="G15" s="54">
        <v>0</v>
      </c>
      <c r="H15" s="89">
        <v>0</v>
      </c>
      <c r="I15" s="86">
        <v>0</v>
      </c>
      <c r="J15" s="72">
        <v>0</v>
      </c>
      <c r="K15" s="54">
        <v>0</v>
      </c>
      <c r="L15" s="89">
        <v>0</v>
      </c>
      <c r="M15" s="86">
        <v>0</v>
      </c>
      <c r="N15" s="72">
        <v>0</v>
      </c>
      <c r="O15" s="54">
        <v>0</v>
      </c>
      <c r="P15" s="89">
        <v>0</v>
      </c>
      <c r="Q15" s="86">
        <v>0</v>
      </c>
      <c r="R15" s="72">
        <v>0</v>
      </c>
      <c r="S15" s="32">
        <v>0</v>
      </c>
      <c r="T15" s="84">
        <v>0</v>
      </c>
      <c r="U15" s="80">
        <v>0</v>
      </c>
      <c r="V15" s="65">
        <v>0</v>
      </c>
      <c r="W15" s="32">
        <f t="shared" ref="W15:Y20" si="3">SUM(G15,K15,O15,S15)</f>
        <v>0</v>
      </c>
      <c r="X15" s="84">
        <f t="shared" si="3"/>
        <v>0</v>
      </c>
      <c r="Y15" s="80">
        <f t="shared" si="3"/>
        <v>0</v>
      </c>
    </row>
    <row r="16" spans="1:52">
      <c r="A16" s="41" t="s">
        <v>181</v>
      </c>
      <c r="B16" s="39">
        <v>0</v>
      </c>
      <c r="C16" s="54">
        <v>0</v>
      </c>
      <c r="D16" s="89">
        <v>0</v>
      </c>
      <c r="E16" s="86">
        <v>0</v>
      </c>
      <c r="F16" s="72">
        <v>0</v>
      </c>
      <c r="G16" s="54">
        <v>0</v>
      </c>
      <c r="H16" s="89">
        <v>0</v>
      </c>
      <c r="I16" s="86">
        <v>0</v>
      </c>
      <c r="J16" s="72">
        <v>0</v>
      </c>
      <c r="K16" s="54">
        <v>0</v>
      </c>
      <c r="L16" s="89">
        <v>0</v>
      </c>
      <c r="M16" s="86">
        <v>0</v>
      </c>
      <c r="N16" s="72">
        <v>0</v>
      </c>
      <c r="O16" s="54">
        <v>0</v>
      </c>
      <c r="P16" s="89">
        <v>0</v>
      </c>
      <c r="Q16" s="86">
        <v>0</v>
      </c>
      <c r="R16" s="72">
        <v>0</v>
      </c>
      <c r="S16" s="22">
        <v>0</v>
      </c>
      <c r="T16" s="82">
        <v>0</v>
      </c>
      <c r="U16" s="78">
        <v>0</v>
      </c>
      <c r="V16" s="39">
        <v>0</v>
      </c>
      <c r="W16" s="22">
        <f t="shared" si="3"/>
        <v>0</v>
      </c>
      <c r="X16" s="82">
        <f t="shared" si="3"/>
        <v>0</v>
      </c>
      <c r="Y16" s="78">
        <f t="shared" si="3"/>
        <v>0</v>
      </c>
    </row>
    <row r="17" spans="1:25">
      <c r="A17" s="92" t="s">
        <v>174</v>
      </c>
      <c r="B17" s="93">
        <v>0</v>
      </c>
      <c r="C17" s="94">
        <v>0</v>
      </c>
      <c r="D17" s="100">
        <v>0</v>
      </c>
      <c r="E17" s="99">
        <v>0</v>
      </c>
      <c r="F17" s="95">
        <v>0</v>
      </c>
      <c r="G17" s="94">
        <v>0</v>
      </c>
      <c r="H17" s="100">
        <v>0</v>
      </c>
      <c r="I17" s="99">
        <v>0</v>
      </c>
      <c r="J17" s="95">
        <v>0</v>
      </c>
      <c r="K17" s="94">
        <v>0</v>
      </c>
      <c r="L17" s="100">
        <v>0</v>
      </c>
      <c r="M17" s="99">
        <v>0</v>
      </c>
      <c r="N17" s="95">
        <v>0</v>
      </c>
      <c r="O17" s="94">
        <v>0</v>
      </c>
      <c r="P17" s="100">
        <v>0</v>
      </c>
      <c r="Q17" s="99">
        <v>0</v>
      </c>
      <c r="R17" s="95">
        <v>0</v>
      </c>
      <c r="S17" s="96">
        <v>0</v>
      </c>
      <c r="T17" s="98">
        <v>0</v>
      </c>
      <c r="U17" s="97">
        <v>0</v>
      </c>
      <c r="V17" s="93">
        <v>0</v>
      </c>
      <c r="W17" s="96">
        <f t="shared" si="3"/>
        <v>0</v>
      </c>
      <c r="X17" s="98">
        <f t="shared" si="3"/>
        <v>0</v>
      </c>
      <c r="Y17" s="97">
        <f t="shared" si="3"/>
        <v>0</v>
      </c>
    </row>
    <row r="18" spans="1:25">
      <c r="A18" s="41" t="s">
        <v>146</v>
      </c>
      <c r="B18" s="39">
        <v>0</v>
      </c>
      <c r="C18" s="54">
        <v>0</v>
      </c>
      <c r="D18" s="89">
        <v>0</v>
      </c>
      <c r="E18" s="86">
        <v>0</v>
      </c>
      <c r="F18" s="72">
        <v>0</v>
      </c>
      <c r="G18" s="54">
        <v>0</v>
      </c>
      <c r="H18" s="89">
        <v>0</v>
      </c>
      <c r="I18" s="86">
        <v>0</v>
      </c>
      <c r="J18" s="72">
        <v>0</v>
      </c>
      <c r="K18" s="54">
        <v>0</v>
      </c>
      <c r="L18" s="89">
        <v>0</v>
      </c>
      <c r="M18" s="86">
        <v>0</v>
      </c>
      <c r="N18" s="72">
        <v>0</v>
      </c>
      <c r="O18" s="54">
        <v>0</v>
      </c>
      <c r="P18" s="89">
        <v>0</v>
      </c>
      <c r="Q18" s="86">
        <v>0</v>
      </c>
      <c r="R18" s="72">
        <v>0</v>
      </c>
      <c r="S18" s="22">
        <v>0</v>
      </c>
      <c r="T18" s="82">
        <v>0</v>
      </c>
      <c r="U18" s="78">
        <v>0</v>
      </c>
      <c r="V18" s="39">
        <v>0</v>
      </c>
      <c r="W18" s="22">
        <f t="shared" si="3"/>
        <v>0</v>
      </c>
      <c r="X18" s="82">
        <f t="shared" si="3"/>
        <v>0</v>
      </c>
      <c r="Y18" s="78">
        <f t="shared" si="3"/>
        <v>0</v>
      </c>
    </row>
    <row r="19" spans="1:25">
      <c r="A19" s="41" t="s">
        <v>139</v>
      </c>
      <c r="B19" s="39">
        <v>0</v>
      </c>
      <c r="C19" s="54">
        <v>0</v>
      </c>
      <c r="D19" s="89">
        <v>0</v>
      </c>
      <c r="E19" s="86">
        <v>0</v>
      </c>
      <c r="F19" s="72">
        <v>0</v>
      </c>
      <c r="G19" s="54">
        <v>0</v>
      </c>
      <c r="H19" s="89">
        <v>0</v>
      </c>
      <c r="I19" s="86">
        <v>0</v>
      </c>
      <c r="J19" s="72">
        <v>0</v>
      </c>
      <c r="K19" s="54">
        <v>0</v>
      </c>
      <c r="L19" s="89">
        <v>0</v>
      </c>
      <c r="M19" s="86">
        <v>0</v>
      </c>
      <c r="N19" s="72">
        <v>0</v>
      </c>
      <c r="O19" s="54">
        <v>0</v>
      </c>
      <c r="P19" s="89">
        <v>0</v>
      </c>
      <c r="Q19" s="86">
        <v>0</v>
      </c>
      <c r="R19" s="72">
        <v>0</v>
      </c>
      <c r="S19" s="22">
        <v>0</v>
      </c>
      <c r="T19" s="82">
        <v>0</v>
      </c>
      <c r="U19" s="78">
        <v>0</v>
      </c>
      <c r="V19" s="39">
        <v>0</v>
      </c>
      <c r="W19" s="22">
        <f t="shared" si="3"/>
        <v>0</v>
      </c>
      <c r="X19" s="82">
        <f t="shared" si="3"/>
        <v>0</v>
      </c>
      <c r="Y19" s="78">
        <f t="shared" si="3"/>
        <v>0</v>
      </c>
    </row>
    <row r="20" spans="1:25">
      <c r="A20" s="42" t="s">
        <v>129</v>
      </c>
      <c r="B20" s="64">
        <v>0</v>
      </c>
      <c r="C20" s="59">
        <v>0</v>
      </c>
      <c r="D20" s="91">
        <v>0</v>
      </c>
      <c r="E20" s="88">
        <v>0</v>
      </c>
      <c r="F20" s="73">
        <v>0</v>
      </c>
      <c r="G20" s="59">
        <v>0</v>
      </c>
      <c r="H20" s="91">
        <v>0</v>
      </c>
      <c r="I20" s="88">
        <v>0</v>
      </c>
      <c r="J20" s="73">
        <v>0</v>
      </c>
      <c r="K20" s="59">
        <v>0</v>
      </c>
      <c r="L20" s="91">
        <v>0</v>
      </c>
      <c r="M20" s="88">
        <v>0</v>
      </c>
      <c r="N20" s="73">
        <v>0</v>
      </c>
      <c r="O20" s="59">
        <v>0</v>
      </c>
      <c r="P20" s="91">
        <v>0</v>
      </c>
      <c r="Q20" s="88">
        <v>0</v>
      </c>
      <c r="R20" s="73">
        <v>0</v>
      </c>
      <c r="S20" s="35">
        <v>0</v>
      </c>
      <c r="T20" s="85">
        <v>0</v>
      </c>
      <c r="U20" s="81">
        <v>0</v>
      </c>
      <c r="V20" s="64">
        <v>0</v>
      </c>
      <c r="W20" s="35">
        <f t="shared" si="3"/>
        <v>0</v>
      </c>
      <c r="X20" s="85">
        <f t="shared" si="3"/>
        <v>0</v>
      </c>
      <c r="Y20" s="81">
        <f t="shared" si="3"/>
        <v>0</v>
      </c>
    </row>
    <row r="21" spans="1:25">
      <c r="A21" s="23" t="s">
        <v>561</v>
      </c>
      <c r="B21" s="27">
        <f t="shared" ref="B21:Y21" si="4">SUM(B15:B20)</f>
        <v>0</v>
      </c>
      <c r="C21" s="60">
        <f t="shared" si="4"/>
        <v>0</v>
      </c>
      <c r="D21" s="60">
        <f t="shared" si="4"/>
        <v>0</v>
      </c>
      <c r="E21" s="60">
        <f t="shared" si="4"/>
        <v>0</v>
      </c>
      <c r="F21" s="27">
        <f t="shared" si="4"/>
        <v>0</v>
      </c>
      <c r="G21" s="56">
        <f t="shared" si="4"/>
        <v>0</v>
      </c>
      <c r="H21" s="56">
        <f t="shared" si="4"/>
        <v>0</v>
      </c>
      <c r="I21" s="56">
        <f t="shared" si="4"/>
        <v>0</v>
      </c>
      <c r="J21" s="27">
        <f t="shared" si="4"/>
        <v>0</v>
      </c>
      <c r="K21" s="60">
        <f t="shared" si="4"/>
        <v>0</v>
      </c>
      <c r="L21" s="60">
        <f t="shared" si="4"/>
        <v>0</v>
      </c>
      <c r="M21" s="60">
        <f t="shared" si="4"/>
        <v>0</v>
      </c>
      <c r="N21" s="27">
        <f t="shared" si="4"/>
        <v>0</v>
      </c>
      <c r="O21" s="60">
        <f t="shared" si="4"/>
        <v>0</v>
      </c>
      <c r="P21" s="60">
        <f t="shared" si="4"/>
        <v>0</v>
      </c>
      <c r="Q21" s="60">
        <f t="shared" si="4"/>
        <v>0</v>
      </c>
      <c r="R21" s="27">
        <f t="shared" si="4"/>
        <v>0</v>
      </c>
      <c r="S21" s="36">
        <f t="shared" si="4"/>
        <v>0</v>
      </c>
      <c r="T21" s="36">
        <f t="shared" si="4"/>
        <v>0</v>
      </c>
      <c r="U21" s="36">
        <f t="shared" si="4"/>
        <v>0</v>
      </c>
      <c r="V21" s="27">
        <f t="shared" si="4"/>
        <v>0</v>
      </c>
      <c r="W21" s="36">
        <f t="shared" si="4"/>
        <v>0</v>
      </c>
      <c r="X21" s="36">
        <f t="shared" si="4"/>
        <v>0</v>
      </c>
      <c r="Y21" s="36">
        <f t="shared" si="4"/>
        <v>0</v>
      </c>
    </row>
    <row r="22" spans="1:25">
      <c r="A22" s="24" t="s">
        <v>562</v>
      </c>
      <c r="B22" s="25"/>
      <c r="C22" s="25"/>
      <c r="D22" s="25"/>
      <c r="E22" s="25"/>
      <c r="F22" s="25"/>
      <c r="G22" s="25"/>
      <c r="H22" s="25"/>
      <c r="I22" s="25"/>
      <c r="J22" s="25"/>
      <c r="K22" s="25"/>
      <c r="L22" s="25"/>
      <c r="M22" s="25"/>
      <c r="N22" s="25"/>
      <c r="O22" s="25"/>
      <c r="P22" s="25"/>
      <c r="Q22" s="25"/>
      <c r="R22" s="25"/>
      <c r="S22" s="25"/>
      <c r="T22" s="25"/>
      <c r="U22" s="25"/>
      <c r="V22" s="25"/>
      <c r="W22" s="25"/>
      <c r="X22" s="25"/>
      <c r="Y22" s="25"/>
    </row>
    <row r="23" spans="1:25">
      <c r="A23" s="40" t="s">
        <v>127</v>
      </c>
      <c r="B23" s="65">
        <v>0</v>
      </c>
      <c r="C23" s="54">
        <v>25000</v>
      </c>
      <c r="D23" s="89">
        <v>25000</v>
      </c>
      <c r="E23" s="86">
        <v>25000</v>
      </c>
      <c r="F23" s="72">
        <v>0</v>
      </c>
      <c r="G23" s="54">
        <v>0</v>
      </c>
      <c r="H23" s="89">
        <v>0</v>
      </c>
      <c r="I23" s="86">
        <v>0</v>
      </c>
      <c r="J23" s="72">
        <v>0</v>
      </c>
      <c r="K23" s="54">
        <v>0</v>
      </c>
      <c r="L23" s="89">
        <v>0</v>
      </c>
      <c r="M23" s="86">
        <v>0</v>
      </c>
      <c r="N23" s="72">
        <v>0</v>
      </c>
      <c r="O23" s="54">
        <v>0</v>
      </c>
      <c r="P23" s="89">
        <v>0</v>
      </c>
      <c r="Q23" s="86">
        <v>0</v>
      </c>
      <c r="R23" s="72">
        <v>0</v>
      </c>
      <c r="S23" s="32">
        <v>0</v>
      </c>
      <c r="T23" s="84">
        <v>0</v>
      </c>
      <c r="U23" s="80">
        <v>0</v>
      </c>
      <c r="V23" s="65">
        <v>0</v>
      </c>
      <c r="W23" s="32">
        <f t="shared" ref="W23:Y29" si="5">SUM(G23,K23,O23,S23)</f>
        <v>0</v>
      </c>
      <c r="X23" s="84">
        <f t="shared" si="5"/>
        <v>0</v>
      </c>
      <c r="Y23" s="80">
        <f t="shared" si="5"/>
        <v>0</v>
      </c>
    </row>
    <row r="24" spans="1:25">
      <c r="A24" s="41" t="s">
        <v>120</v>
      </c>
      <c r="B24" s="39">
        <v>0</v>
      </c>
      <c r="C24" s="54">
        <v>0</v>
      </c>
      <c r="D24" s="89">
        <v>0</v>
      </c>
      <c r="E24" s="86">
        <v>0</v>
      </c>
      <c r="F24" s="72">
        <v>0</v>
      </c>
      <c r="G24" s="54">
        <v>0</v>
      </c>
      <c r="H24" s="89">
        <v>0</v>
      </c>
      <c r="I24" s="86">
        <v>0</v>
      </c>
      <c r="J24" s="72">
        <v>0</v>
      </c>
      <c r="K24" s="54">
        <v>0</v>
      </c>
      <c r="L24" s="89">
        <v>0</v>
      </c>
      <c r="M24" s="86">
        <v>0</v>
      </c>
      <c r="N24" s="72">
        <v>0</v>
      </c>
      <c r="O24" s="54">
        <v>0</v>
      </c>
      <c r="P24" s="89">
        <v>0</v>
      </c>
      <c r="Q24" s="86">
        <v>0</v>
      </c>
      <c r="R24" s="72">
        <v>0</v>
      </c>
      <c r="S24" s="22">
        <v>0</v>
      </c>
      <c r="T24" s="82">
        <v>0</v>
      </c>
      <c r="U24" s="78">
        <v>0</v>
      </c>
      <c r="V24" s="39">
        <v>0</v>
      </c>
      <c r="W24" s="22">
        <f t="shared" si="5"/>
        <v>0</v>
      </c>
      <c r="X24" s="82">
        <f t="shared" si="5"/>
        <v>0</v>
      </c>
      <c r="Y24" s="78">
        <f t="shared" si="5"/>
        <v>0</v>
      </c>
    </row>
    <row r="25" spans="1:25">
      <c r="A25" s="41" t="s">
        <v>107</v>
      </c>
      <c r="B25" s="39">
        <v>0</v>
      </c>
      <c r="C25" s="54">
        <v>0</v>
      </c>
      <c r="D25" s="89">
        <v>0</v>
      </c>
      <c r="E25" s="86">
        <v>0</v>
      </c>
      <c r="F25" s="72">
        <v>0</v>
      </c>
      <c r="G25" s="54">
        <v>0</v>
      </c>
      <c r="H25" s="89">
        <v>0</v>
      </c>
      <c r="I25" s="86">
        <v>0</v>
      </c>
      <c r="J25" s="72">
        <v>0</v>
      </c>
      <c r="K25" s="54">
        <v>0</v>
      </c>
      <c r="L25" s="89">
        <v>0</v>
      </c>
      <c r="M25" s="86">
        <v>0</v>
      </c>
      <c r="N25" s="72">
        <v>0</v>
      </c>
      <c r="O25" s="54">
        <v>0</v>
      </c>
      <c r="P25" s="89">
        <v>0</v>
      </c>
      <c r="Q25" s="86">
        <v>0</v>
      </c>
      <c r="R25" s="72">
        <v>0</v>
      </c>
      <c r="S25" s="22">
        <v>0</v>
      </c>
      <c r="T25" s="82">
        <v>0</v>
      </c>
      <c r="U25" s="78">
        <v>0</v>
      </c>
      <c r="V25" s="39">
        <v>0</v>
      </c>
      <c r="W25" s="22">
        <f t="shared" si="5"/>
        <v>0</v>
      </c>
      <c r="X25" s="82">
        <f t="shared" si="5"/>
        <v>0</v>
      </c>
      <c r="Y25" s="78">
        <f t="shared" si="5"/>
        <v>0</v>
      </c>
    </row>
    <row r="26" spans="1:25">
      <c r="A26" s="41" t="s">
        <v>104</v>
      </c>
      <c r="B26" s="39">
        <v>0</v>
      </c>
      <c r="C26" s="54">
        <v>0</v>
      </c>
      <c r="D26" s="89">
        <v>0</v>
      </c>
      <c r="E26" s="86">
        <v>0</v>
      </c>
      <c r="F26" s="72">
        <v>0</v>
      </c>
      <c r="G26" s="54">
        <v>0</v>
      </c>
      <c r="H26" s="89">
        <v>0</v>
      </c>
      <c r="I26" s="86">
        <v>0</v>
      </c>
      <c r="J26" s="72">
        <v>0</v>
      </c>
      <c r="K26" s="54">
        <v>0</v>
      </c>
      <c r="L26" s="89">
        <v>0</v>
      </c>
      <c r="M26" s="86">
        <v>0</v>
      </c>
      <c r="N26" s="72">
        <v>0</v>
      </c>
      <c r="O26" s="54">
        <v>0</v>
      </c>
      <c r="P26" s="89">
        <v>0</v>
      </c>
      <c r="Q26" s="86">
        <v>0</v>
      </c>
      <c r="R26" s="72">
        <v>105.99894</v>
      </c>
      <c r="S26" s="22">
        <v>0</v>
      </c>
      <c r="T26" s="82">
        <v>318</v>
      </c>
      <c r="U26" s="78">
        <v>0</v>
      </c>
      <c r="V26" s="39">
        <v>105.99894</v>
      </c>
      <c r="W26" s="22">
        <f t="shared" si="5"/>
        <v>0</v>
      </c>
      <c r="X26" s="82">
        <f t="shared" si="5"/>
        <v>318</v>
      </c>
      <c r="Y26" s="78">
        <f t="shared" si="5"/>
        <v>0</v>
      </c>
    </row>
    <row r="27" spans="1:25">
      <c r="A27" s="41" t="s">
        <v>102</v>
      </c>
      <c r="B27" s="39">
        <v>0</v>
      </c>
      <c r="C27" s="54">
        <v>0</v>
      </c>
      <c r="D27" s="89">
        <v>0</v>
      </c>
      <c r="E27" s="86">
        <v>0</v>
      </c>
      <c r="F27" s="72">
        <v>0</v>
      </c>
      <c r="G27" s="54">
        <v>0</v>
      </c>
      <c r="H27" s="89">
        <v>0</v>
      </c>
      <c r="I27" s="86">
        <v>0</v>
      </c>
      <c r="J27" s="72">
        <v>0</v>
      </c>
      <c r="K27" s="54">
        <v>0</v>
      </c>
      <c r="L27" s="89">
        <v>0</v>
      </c>
      <c r="M27" s="86">
        <v>0</v>
      </c>
      <c r="N27" s="72">
        <v>0</v>
      </c>
      <c r="O27" s="54">
        <v>0</v>
      </c>
      <c r="P27" s="89">
        <v>0</v>
      </c>
      <c r="Q27" s="86">
        <v>0</v>
      </c>
      <c r="R27" s="72">
        <v>0</v>
      </c>
      <c r="S27" s="22">
        <v>0</v>
      </c>
      <c r="T27" s="82">
        <v>0</v>
      </c>
      <c r="U27" s="78">
        <v>0</v>
      </c>
      <c r="V27" s="39">
        <v>0</v>
      </c>
      <c r="W27" s="22">
        <f t="shared" si="5"/>
        <v>0</v>
      </c>
      <c r="X27" s="82">
        <f t="shared" si="5"/>
        <v>0</v>
      </c>
      <c r="Y27" s="78">
        <f t="shared" si="5"/>
        <v>0</v>
      </c>
    </row>
    <row r="28" spans="1:25">
      <c r="A28" s="41" t="s">
        <v>98</v>
      </c>
      <c r="B28" s="39">
        <v>0</v>
      </c>
      <c r="C28" s="54">
        <v>0</v>
      </c>
      <c r="D28" s="89">
        <v>0</v>
      </c>
      <c r="E28" s="86">
        <v>0</v>
      </c>
      <c r="F28" s="72">
        <v>0</v>
      </c>
      <c r="G28" s="54">
        <v>0</v>
      </c>
      <c r="H28" s="89">
        <v>0</v>
      </c>
      <c r="I28" s="86">
        <v>0</v>
      </c>
      <c r="J28" s="72">
        <v>0</v>
      </c>
      <c r="K28" s="54">
        <v>0</v>
      </c>
      <c r="L28" s="89">
        <v>0</v>
      </c>
      <c r="M28" s="86">
        <v>0</v>
      </c>
      <c r="N28" s="72">
        <v>0</v>
      </c>
      <c r="O28" s="54">
        <v>0</v>
      </c>
      <c r="P28" s="89">
        <v>0</v>
      </c>
      <c r="Q28" s="86">
        <v>0</v>
      </c>
      <c r="R28" s="72">
        <v>0</v>
      </c>
      <c r="S28" s="22">
        <v>0</v>
      </c>
      <c r="T28" s="82">
        <v>0</v>
      </c>
      <c r="U28" s="78">
        <v>0</v>
      </c>
      <c r="V28" s="39">
        <v>0</v>
      </c>
      <c r="W28" s="22">
        <f t="shared" si="5"/>
        <v>0</v>
      </c>
      <c r="X28" s="82">
        <f t="shared" si="5"/>
        <v>0</v>
      </c>
      <c r="Y28" s="78">
        <f t="shared" si="5"/>
        <v>0</v>
      </c>
    </row>
    <row r="29" spans="1:25">
      <c r="A29" s="42" t="s">
        <v>84</v>
      </c>
      <c r="B29" s="64">
        <v>0</v>
      </c>
      <c r="C29" s="59">
        <v>0</v>
      </c>
      <c r="D29" s="91">
        <v>0</v>
      </c>
      <c r="E29" s="88">
        <v>0</v>
      </c>
      <c r="F29" s="73">
        <v>0</v>
      </c>
      <c r="G29" s="59">
        <v>0</v>
      </c>
      <c r="H29" s="91">
        <v>0</v>
      </c>
      <c r="I29" s="88">
        <v>0</v>
      </c>
      <c r="J29" s="73">
        <v>0</v>
      </c>
      <c r="K29" s="59">
        <v>0</v>
      </c>
      <c r="L29" s="91">
        <v>0</v>
      </c>
      <c r="M29" s="88">
        <v>0</v>
      </c>
      <c r="N29" s="73">
        <v>79.185874800000008</v>
      </c>
      <c r="O29" s="59">
        <v>0</v>
      </c>
      <c r="P29" s="91">
        <v>0</v>
      </c>
      <c r="Q29" s="88">
        <v>237.56</v>
      </c>
      <c r="R29" s="73">
        <v>0</v>
      </c>
      <c r="S29" s="35">
        <v>0</v>
      </c>
      <c r="T29" s="85">
        <v>0</v>
      </c>
      <c r="U29" s="81">
        <v>0</v>
      </c>
      <c r="V29" s="64">
        <v>79.185874800000008</v>
      </c>
      <c r="W29" s="35">
        <f t="shared" si="5"/>
        <v>0</v>
      </c>
      <c r="X29" s="85">
        <f t="shared" si="5"/>
        <v>0</v>
      </c>
      <c r="Y29" s="81">
        <f t="shared" si="5"/>
        <v>237.56</v>
      </c>
    </row>
    <row r="30" spans="1:25">
      <c r="A30" s="23" t="s">
        <v>563</v>
      </c>
      <c r="B30" s="27">
        <f t="shared" ref="B30:Y30" si="6">SUM(B23:B29)</f>
        <v>0</v>
      </c>
      <c r="C30" s="60">
        <f t="shared" si="6"/>
        <v>25000</v>
      </c>
      <c r="D30" s="60">
        <f t="shared" si="6"/>
        <v>25000</v>
      </c>
      <c r="E30" s="60">
        <f t="shared" si="6"/>
        <v>25000</v>
      </c>
      <c r="F30" s="27">
        <f t="shared" si="6"/>
        <v>0</v>
      </c>
      <c r="G30" s="60">
        <f t="shared" si="6"/>
        <v>0</v>
      </c>
      <c r="H30" s="60">
        <f t="shared" si="6"/>
        <v>0</v>
      </c>
      <c r="I30" s="60">
        <f t="shared" si="6"/>
        <v>0</v>
      </c>
      <c r="J30" s="27">
        <f t="shared" si="6"/>
        <v>0</v>
      </c>
      <c r="K30" s="60">
        <f t="shared" si="6"/>
        <v>0</v>
      </c>
      <c r="L30" s="60">
        <f t="shared" si="6"/>
        <v>0</v>
      </c>
      <c r="M30" s="60">
        <f t="shared" si="6"/>
        <v>0</v>
      </c>
      <c r="N30" s="27">
        <f t="shared" si="6"/>
        <v>79.185874800000008</v>
      </c>
      <c r="O30" s="60">
        <f t="shared" si="6"/>
        <v>0</v>
      </c>
      <c r="P30" s="60">
        <f t="shared" si="6"/>
        <v>0</v>
      </c>
      <c r="Q30" s="60">
        <f t="shared" si="6"/>
        <v>237.56</v>
      </c>
      <c r="R30" s="27">
        <f t="shared" si="6"/>
        <v>105.99894</v>
      </c>
      <c r="S30" s="36">
        <f t="shared" si="6"/>
        <v>0</v>
      </c>
      <c r="T30" s="36">
        <f t="shared" si="6"/>
        <v>318</v>
      </c>
      <c r="U30" s="36">
        <f t="shared" si="6"/>
        <v>0</v>
      </c>
      <c r="V30" s="27">
        <f t="shared" si="6"/>
        <v>185.18481480000003</v>
      </c>
      <c r="W30" s="36">
        <f t="shared" si="6"/>
        <v>0</v>
      </c>
      <c r="X30" s="36">
        <f t="shared" si="6"/>
        <v>318</v>
      </c>
      <c r="Y30" s="36">
        <f t="shared" si="6"/>
        <v>237.56</v>
      </c>
    </row>
    <row r="31" spans="1:25">
      <c r="A31" s="24" t="s">
        <v>429</v>
      </c>
      <c r="B31" s="21"/>
      <c r="C31" s="26"/>
      <c r="D31" s="26"/>
      <c r="E31" s="26"/>
      <c r="F31" s="26"/>
      <c r="G31" s="26"/>
      <c r="H31" s="26"/>
      <c r="I31" s="26"/>
      <c r="J31" s="26"/>
      <c r="K31" s="26"/>
      <c r="L31" s="26"/>
      <c r="M31" s="26"/>
      <c r="N31" s="26"/>
      <c r="O31" s="26"/>
      <c r="P31" s="26"/>
      <c r="Q31" s="26"/>
      <c r="R31" s="26"/>
      <c r="S31" s="26"/>
      <c r="T31" s="26"/>
      <c r="U31" s="26"/>
      <c r="V31" s="21"/>
      <c r="W31" s="26"/>
      <c r="X31" s="26"/>
      <c r="Y31" s="26"/>
    </row>
    <row r="32" spans="1:25">
      <c r="A32" s="40" t="s">
        <v>81</v>
      </c>
      <c r="B32" s="65">
        <v>0</v>
      </c>
      <c r="C32" s="54">
        <v>0</v>
      </c>
      <c r="D32" s="89">
        <v>0</v>
      </c>
      <c r="E32" s="86">
        <v>0</v>
      </c>
      <c r="F32" s="72">
        <v>0</v>
      </c>
      <c r="G32" s="54">
        <v>0</v>
      </c>
      <c r="H32" s="89">
        <v>0</v>
      </c>
      <c r="I32" s="86">
        <v>0</v>
      </c>
      <c r="J32" s="72">
        <v>0</v>
      </c>
      <c r="K32" s="54">
        <v>0</v>
      </c>
      <c r="L32" s="89">
        <v>0</v>
      </c>
      <c r="M32" s="86">
        <v>0</v>
      </c>
      <c r="N32" s="72">
        <v>0</v>
      </c>
      <c r="O32" s="54">
        <v>0</v>
      </c>
      <c r="P32" s="89">
        <v>0</v>
      </c>
      <c r="Q32" s="86">
        <v>0</v>
      </c>
      <c r="R32" s="72">
        <v>0</v>
      </c>
      <c r="S32" s="32">
        <v>0</v>
      </c>
      <c r="T32" s="84">
        <v>0</v>
      </c>
      <c r="U32" s="80">
        <v>0</v>
      </c>
      <c r="V32" s="65">
        <v>0</v>
      </c>
      <c r="W32" s="32">
        <f t="shared" ref="W32:Y33" si="7">SUM(G32,K32,O32,S32)</f>
        <v>0</v>
      </c>
      <c r="X32" s="84">
        <f t="shared" si="7"/>
        <v>0</v>
      </c>
      <c r="Y32" s="80">
        <f t="shared" si="7"/>
        <v>0</v>
      </c>
    </row>
    <row r="33" spans="1:25">
      <c r="A33" s="42" t="s">
        <v>79</v>
      </c>
      <c r="B33" s="64">
        <v>0</v>
      </c>
      <c r="C33" s="59">
        <v>0</v>
      </c>
      <c r="D33" s="91">
        <v>0</v>
      </c>
      <c r="E33" s="88">
        <v>0</v>
      </c>
      <c r="F33" s="73">
        <v>0</v>
      </c>
      <c r="G33" s="59">
        <v>0</v>
      </c>
      <c r="H33" s="91">
        <v>0</v>
      </c>
      <c r="I33" s="88">
        <v>0</v>
      </c>
      <c r="J33" s="73">
        <v>0</v>
      </c>
      <c r="K33" s="59">
        <v>0</v>
      </c>
      <c r="L33" s="91">
        <v>0</v>
      </c>
      <c r="M33" s="88">
        <v>0</v>
      </c>
      <c r="N33" s="73">
        <v>0</v>
      </c>
      <c r="O33" s="59">
        <v>0</v>
      </c>
      <c r="P33" s="91">
        <v>0</v>
      </c>
      <c r="Q33" s="88">
        <v>0</v>
      </c>
      <c r="R33" s="73">
        <v>0</v>
      </c>
      <c r="S33" s="35">
        <v>0</v>
      </c>
      <c r="T33" s="85">
        <v>0</v>
      </c>
      <c r="U33" s="81">
        <v>0</v>
      </c>
      <c r="V33" s="64">
        <v>0</v>
      </c>
      <c r="W33" s="35">
        <f t="shared" si="7"/>
        <v>0</v>
      </c>
      <c r="X33" s="85">
        <f t="shared" si="7"/>
        <v>0</v>
      </c>
      <c r="Y33" s="81">
        <f t="shared" si="7"/>
        <v>0</v>
      </c>
    </row>
    <row r="34" spans="1:25">
      <c r="A34" s="23" t="s">
        <v>564</v>
      </c>
      <c r="B34" s="27">
        <f t="shared" ref="B34:Y34" si="8">SUM(B32:B33)</f>
        <v>0</v>
      </c>
      <c r="C34" s="60">
        <f t="shared" si="8"/>
        <v>0</v>
      </c>
      <c r="D34" s="60">
        <f t="shared" si="8"/>
        <v>0</v>
      </c>
      <c r="E34" s="60">
        <f t="shared" si="8"/>
        <v>0</v>
      </c>
      <c r="F34" s="27">
        <f t="shared" si="8"/>
        <v>0</v>
      </c>
      <c r="G34" s="60">
        <f t="shared" si="8"/>
        <v>0</v>
      </c>
      <c r="H34" s="60">
        <f t="shared" si="8"/>
        <v>0</v>
      </c>
      <c r="I34" s="60">
        <f t="shared" si="8"/>
        <v>0</v>
      </c>
      <c r="J34" s="27">
        <f t="shared" si="8"/>
        <v>0</v>
      </c>
      <c r="K34" s="60">
        <f t="shared" si="8"/>
        <v>0</v>
      </c>
      <c r="L34" s="60">
        <f t="shared" si="8"/>
        <v>0</v>
      </c>
      <c r="M34" s="60">
        <f t="shared" si="8"/>
        <v>0</v>
      </c>
      <c r="N34" s="27">
        <f t="shared" si="8"/>
        <v>0</v>
      </c>
      <c r="O34" s="60">
        <f t="shared" si="8"/>
        <v>0</v>
      </c>
      <c r="P34" s="60">
        <f t="shared" si="8"/>
        <v>0</v>
      </c>
      <c r="Q34" s="60">
        <f t="shared" si="8"/>
        <v>0</v>
      </c>
      <c r="R34" s="27">
        <f t="shared" si="8"/>
        <v>0</v>
      </c>
      <c r="S34" s="36">
        <f t="shared" si="8"/>
        <v>0</v>
      </c>
      <c r="T34" s="36">
        <f t="shared" si="8"/>
        <v>0</v>
      </c>
      <c r="U34" s="36">
        <f t="shared" si="8"/>
        <v>0</v>
      </c>
      <c r="V34" s="27">
        <f t="shared" si="8"/>
        <v>0</v>
      </c>
      <c r="W34" s="36">
        <f t="shared" si="8"/>
        <v>0</v>
      </c>
      <c r="X34" s="36">
        <f t="shared" si="8"/>
        <v>0</v>
      </c>
      <c r="Y34" s="36">
        <f t="shared" si="8"/>
        <v>0</v>
      </c>
    </row>
    <row r="35" spans="1:25">
      <c r="A35" s="24" t="s">
        <v>565</v>
      </c>
      <c r="B35" s="26"/>
      <c r="C35" s="26"/>
      <c r="D35" s="26"/>
      <c r="E35" s="26"/>
      <c r="F35" s="26"/>
      <c r="G35" s="26"/>
      <c r="H35" s="26"/>
      <c r="I35" s="26"/>
      <c r="J35" s="26"/>
      <c r="K35" s="26"/>
      <c r="L35" s="26"/>
      <c r="M35" s="26"/>
      <c r="N35" s="26"/>
      <c r="O35" s="26"/>
      <c r="P35" s="26"/>
      <c r="Q35" s="26"/>
      <c r="R35" s="26"/>
      <c r="S35" s="26"/>
      <c r="T35" s="26"/>
      <c r="U35" s="26"/>
      <c r="V35" s="26"/>
      <c r="W35" s="26"/>
      <c r="X35" s="26"/>
      <c r="Y35" s="26"/>
    </row>
    <row r="36" spans="1:25">
      <c r="A36" s="40" t="s">
        <v>77</v>
      </c>
      <c r="B36" s="65">
        <v>0</v>
      </c>
      <c r="C36" s="54">
        <v>0</v>
      </c>
      <c r="D36" s="89">
        <v>0</v>
      </c>
      <c r="E36" s="86">
        <v>0</v>
      </c>
      <c r="F36" s="72">
        <v>0</v>
      </c>
      <c r="G36" s="54">
        <v>0</v>
      </c>
      <c r="H36" s="89">
        <v>0</v>
      </c>
      <c r="I36" s="86">
        <v>0</v>
      </c>
      <c r="J36" s="72">
        <v>0</v>
      </c>
      <c r="K36" s="54">
        <v>0</v>
      </c>
      <c r="L36" s="89">
        <v>0</v>
      </c>
      <c r="M36" s="86">
        <v>0</v>
      </c>
      <c r="N36" s="72">
        <v>0</v>
      </c>
      <c r="O36" s="54">
        <v>0</v>
      </c>
      <c r="P36" s="89">
        <v>0</v>
      </c>
      <c r="Q36" s="86">
        <v>0</v>
      </c>
      <c r="R36" s="72">
        <v>0</v>
      </c>
      <c r="S36" s="32">
        <v>0</v>
      </c>
      <c r="T36" s="84">
        <v>0</v>
      </c>
      <c r="U36" s="80">
        <v>0</v>
      </c>
      <c r="V36" s="65">
        <v>0</v>
      </c>
      <c r="W36" s="32">
        <f t="shared" ref="W36:Y41" si="9">SUM(G36,K36,O36,S36)</f>
        <v>0</v>
      </c>
      <c r="X36" s="84">
        <f t="shared" si="9"/>
        <v>0</v>
      </c>
      <c r="Y36" s="80">
        <f t="shared" si="9"/>
        <v>0</v>
      </c>
    </row>
    <row r="37" spans="1:25">
      <c r="A37" s="41" t="s">
        <v>59</v>
      </c>
      <c r="B37" s="39">
        <v>0</v>
      </c>
      <c r="C37" s="54">
        <v>0</v>
      </c>
      <c r="D37" s="89">
        <v>0</v>
      </c>
      <c r="E37" s="86">
        <v>0</v>
      </c>
      <c r="F37" s="72">
        <v>0</v>
      </c>
      <c r="G37" s="54">
        <v>0</v>
      </c>
      <c r="H37" s="89">
        <v>0</v>
      </c>
      <c r="I37" s="86">
        <v>0</v>
      </c>
      <c r="J37" s="72">
        <v>0</v>
      </c>
      <c r="K37" s="54">
        <v>0</v>
      </c>
      <c r="L37" s="89">
        <v>0</v>
      </c>
      <c r="M37" s="86">
        <v>0</v>
      </c>
      <c r="N37" s="72">
        <v>0</v>
      </c>
      <c r="O37" s="54">
        <v>0</v>
      </c>
      <c r="P37" s="89">
        <v>0</v>
      </c>
      <c r="Q37" s="86">
        <v>0</v>
      </c>
      <c r="R37" s="72">
        <v>0</v>
      </c>
      <c r="S37" s="22">
        <v>0</v>
      </c>
      <c r="T37" s="82">
        <v>0</v>
      </c>
      <c r="U37" s="78">
        <v>0</v>
      </c>
      <c r="V37" s="39">
        <v>0</v>
      </c>
      <c r="W37" s="22">
        <f t="shared" si="9"/>
        <v>0</v>
      </c>
      <c r="X37" s="82">
        <f t="shared" si="9"/>
        <v>0</v>
      </c>
      <c r="Y37" s="78">
        <f t="shared" si="9"/>
        <v>0</v>
      </c>
    </row>
    <row r="38" spans="1:25">
      <c r="A38" s="41" t="s">
        <v>39</v>
      </c>
      <c r="B38" s="39">
        <v>0</v>
      </c>
      <c r="C38" s="54">
        <v>0</v>
      </c>
      <c r="D38" s="89">
        <v>0</v>
      </c>
      <c r="E38" s="86">
        <v>0</v>
      </c>
      <c r="F38" s="72">
        <v>0</v>
      </c>
      <c r="G38" s="54">
        <v>0</v>
      </c>
      <c r="H38" s="89">
        <v>0</v>
      </c>
      <c r="I38" s="86">
        <v>0</v>
      </c>
      <c r="J38" s="72">
        <v>0</v>
      </c>
      <c r="K38" s="54">
        <v>0</v>
      </c>
      <c r="L38" s="89">
        <v>0</v>
      </c>
      <c r="M38" s="86">
        <v>0</v>
      </c>
      <c r="N38" s="72">
        <v>0</v>
      </c>
      <c r="O38" s="54">
        <v>0</v>
      </c>
      <c r="P38" s="89">
        <v>0</v>
      </c>
      <c r="Q38" s="86">
        <v>0</v>
      </c>
      <c r="R38" s="72">
        <v>0</v>
      </c>
      <c r="S38" s="22">
        <v>0</v>
      </c>
      <c r="T38" s="82">
        <v>0</v>
      </c>
      <c r="U38" s="78">
        <v>0</v>
      </c>
      <c r="V38" s="39">
        <v>0</v>
      </c>
      <c r="W38" s="22">
        <f t="shared" si="9"/>
        <v>0</v>
      </c>
      <c r="X38" s="82">
        <f t="shared" si="9"/>
        <v>0</v>
      </c>
      <c r="Y38" s="78">
        <f t="shared" si="9"/>
        <v>0</v>
      </c>
    </row>
    <row r="39" spans="1:25">
      <c r="A39" s="92" t="s">
        <v>31</v>
      </c>
      <c r="B39" s="93">
        <v>0</v>
      </c>
      <c r="C39" s="94">
        <v>0</v>
      </c>
      <c r="D39" s="100">
        <v>0</v>
      </c>
      <c r="E39" s="99">
        <v>0</v>
      </c>
      <c r="F39" s="95">
        <v>0</v>
      </c>
      <c r="G39" s="94">
        <v>0</v>
      </c>
      <c r="H39" s="100">
        <v>0</v>
      </c>
      <c r="I39" s="99">
        <v>0</v>
      </c>
      <c r="J39" s="95">
        <v>0</v>
      </c>
      <c r="K39" s="94">
        <v>0</v>
      </c>
      <c r="L39" s="100">
        <v>0</v>
      </c>
      <c r="M39" s="99">
        <v>0</v>
      </c>
      <c r="N39" s="95">
        <v>0</v>
      </c>
      <c r="O39" s="94">
        <v>0</v>
      </c>
      <c r="P39" s="100">
        <v>0</v>
      </c>
      <c r="Q39" s="99">
        <v>0</v>
      </c>
      <c r="R39" s="95">
        <v>0</v>
      </c>
      <c r="S39" s="96">
        <v>0</v>
      </c>
      <c r="T39" s="98">
        <v>0</v>
      </c>
      <c r="U39" s="97">
        <v>0</v>
      </c>
      <c r="V39" s="93">
        <v>0</v>
      </c>
      <c r="W39" s="96">
        <f t="shared" si="9"/>
        <v>0</v>
      </c>
      <c r="X39" s="98">
        <f t="shared" si="9"/>
        <v>0</v>
      </c>
      <c r="Y39" s="97">
        <f t="shared" si="9"/>
        <v>0</v>
      </c>
    </row>
    <row r="40" spans="1:25">
      <c r="A40" s="41" t="s">
        <v>27</v>
      </c>
      <c r="B40" s="39">
        <v>0</v>
      </c>
      <c r="C40" s="54">
        <v>1510</v>
      </c>
      <c r="D40" s="89">
        <v>1510</v>
      </c>
      <c r="E40" s="86">
        <v>1438</v>
      </c>
      <c r="F40" s="72">
        <v>0</v>
      </c>
      <c r="G40" s="54">
        <v>0</v>
      </c>
      <c r="H40" s="89">
        <v>0</v>
      </c>
      <c r="I40" s="86">
        <v>0</v>
      </c>
      <c r="J40" s="72">
        <v>0</v>
      </c>
      <c r="K40" s="54">
        <v>0</v>
      </c>
      <c r="L40" s="89">
        <v>0</v>
      </c>
      <c r="M40" s="86">
        <v>0</v>
      </c>
      <c r="N40" s="72">
        <v>4.5532878000000006</v>
      </c>
      <c r="O40" s="54">
        <v>0</v>
      </c>
      <c r="P40" s="89">
        <v>0</v>
      </c>
      <c r="Q40" s="86">
        <v>13.66</v>
      </c>
      <c r="R40" s="72">
        <v>6.4032693000000007</v>
      </c>
      <c r="S40" s="22">
        <v>0</v>
      </c>
      <c r="T40" s="82">
        <v>19.21</v>
      </c>
      <c r="U40" s="78">
        <v>0</v>
      </c>
      <c r="V40" s="39">
        <v>10.956557100000001</v>
      </c>
      <c r="W40" s="22">
        <f t="shared" si="9"/>
        <v>0</v>
      </c>
      <c r="X40" s="82">
        <f t="shared" si="9"/>
        <v>19.21</v>
      </c>
      <c r="Y40" s="78">
        <f t="shared" si="9"/>
        <v>13.66</v>
      </c>
    </row>
    <row r="41" spans="1:25">
      <c r="A41" s="42" t="s">
        <v>25</v>
      </c>
      <c r="B41" s="64">
        <v>0</v>
      </c>
      <c r="C41" s="59">
        <v>125</v>
      </c>
      <c r="D41" s="91">
        <v>125</v>
      </c>
      <c r="E41" s="88">
        <v>173</v>
      </c>
      <c r="F41" s="73">
        <v>0</v>
      </c>
      <c r="G41" s="59">
        <v>0</v>
      </c>
      <c r="H41" s="91">
        <v>0</v>
      </c>
      <c r="I41" s="88">
        <v>0</v>
      </c>
      <c r="J41" s="73">
        <v>0</v>
      </c>
      <c r="K41" s="59">
        <v>0</v>
      </c>
      <c r="L41" s="91">
        <v>0</v>
      </c>
      <c r="M41" s="88">
        <v>0</v>
      </c>
      <c r="N41" s="73">
        <v>0.54666119999999996</v>
      </c>
      <c r="O41" s="59">
        <v>0</v>
      </c>
      <c r="P41" s="91">
        <v>0</v>
      </c>
      <c r="Q41" s="88">
        <v>1.64</v>
      </c>
      <c r="R41" s="73">
        <v>0.52999470000000004</v>
      </c>
      <c r="S41" s="35">
        <v>0</v>
      </c>
      <c r="T41" s="85">
        <v>1.59</v>
      </c>
      <c r="U41" s="81">
        <v>0</v>
      </c>
      <c r="V41" s="64">
        <v>1.0766559</v>
      </c>
      <c r="W41" s="35">
        <f t="shared" si="9"/>
        <v>0</v>
      </c>
      <c r="X41" s="85">
        <f t="shared" si="9"/>
        <v>1.59</v>
      </c>
      <c r="Y41" s="81">
        <f t="shared" si="9"/>
        <v>1.64</v>
      </c>
    </row>
    <row r="42" spans="1:25">
      <c r="A42" s="23" t="s">
        <v>566</v>
      </c>
      <c r="B42" s="27">
        <f t="shared" ref="B42:Y42" si="10">SUM(B36:B41)</f>
        <v>0</v>
      </c>
      <c r="C42" s="56">
        <f t="shared" si="10"/>
        <v>1635</v>
      </c>
      <c r="D42" s="56">
        <f t="shared" si="10"/>
        <v>1635</v>
      </c>
      <c r="E42" s="56">
        <f t="shared" si="10"/>
        <v>1611</v>
      </c>
      <c r="F42" s="66">
        <f t="shared" si="10"/>
        <v>0</v>
      </c>
      <c r="G42" s="56">
        <f t="shared" si="10"/>
        <v>0</v>
      </c>
      <c r="H42" s="56">
        <f t="shared" si="10"/>
        <v>0</v>
      </c>
      <c r="I42" s="56">
        <f t="shared" si="10"/>
        <v>0</v>
      </c>
      <c r="J42" s="66">
        <f t="shared" si="10"/>
        <v>0</v>
      </c>
      <c r="K42" s="56">
        <f t="shared" si="10"/>
        <v>0</v>
      </c>
      <c r="L42" s="56">
        <f t="shared" si="10"/>
        <v>0</v>
      </c>
      <c r="M42" s="56">
        <f t="shared" si="10"/>
        <v>0</v>
      </c>
      <c r="N42" s="66">
        <f t="shared" si="10"/>
        <v>5.0999490000000005</v>
      </c>
      <c r="O42" s="56">
        <f t="shared" si="10"/>
        <v>0</v>
      </c>
      <c r="P42" s="56">
        <f t="shared" si="10"/>
        <v>0</v>
      </c>
      <c r="Q42" s="56">
        <f t="shared" si="10"/>
        <v>15.3</v>
      </c>
      <c r="R42" s="66">
        <f t="shared" si="10"/>
        <v>6.9332640000000012</v>
      </c>
      <c r="S42" s="37">
        <f t="shared" si="10"/>
        <v>0</v>
      </c>
      <c r="T42" s="37">
        <f t="shared" si="10"/>
        <v>20.8</v>
      </c>
      <c r="U42" s="37">
        <f t="shared" si="10"/>
        <v>0</v>
      </c>
      <c r="V42" s="27">
        <f t="shared" si="10"/>
        <v>12.033213000000002</v>
      </c>
      <c r="W42" s="37">
        <f t="shared" si="10"/>
        <v>0</v>
      </c>
      <c r="X42" s="37">
        <f t="shared" si="10"/>
        <v>20.8</v>
      </c>
      <c r="Y42" s="37">
        <f t="shared" si="10"/>
        <v>15.3</v>
      </c>
    </row>
    <row r="43" spans="1:25" ht="16.2" thickBot="1">
      <c r="A43" s="43" t="s">
        <v>567</v>
      </c>
      <c r="B43" s="34">
        <f>SUM(B21,B30,B34,B42)</f>
        <v>0</v>
      </c>
      <c r="C43" s="52">
        <f t="shared" ref="C43:U43" si="11">SUM(C21,C30,C34,C42)</f>
        <v>26635</v>
      </c>
      <c r="D43" s="52">
        <f t="shared" si="11"/>
        <v>26635</v>
      </c>
      <c r="E43" s="52">
        <f t="shared" si="11"/>
        <v>26611</v>
      </c>
      <c r="F43" s="34">
        <f t="shared" si="11"/>
        <v>0</v>
      </c>
      <c r="G43" s="52">
        <f t="shared" si="11"/>
        <v>0</v>
      </c>
      <c r="H43" s="52">
        <f t="shared" si="11"/>
        <v>0</v>
      </c>
      <c r="I43" s="52">
        <f t="shared" si="11"/>
        <v>0</v>
      </c>
      <c r="J43" s="34">
        <f t="shared" si="11"/>
        <v>0</v>
      </c>
      <c r="K43" s="52">
        <f t="shared" si="11"/>
        <v>0</v>
      </c>
      <c r="L43" s="52">
        <f t="shared" si="11"/>
        <v>0</v>
      </c>
      <c r="M43" s="52">
        <f t="shared" si="11"/>
        <v>0</v>
      </c>
      <c r="N43" s="34">
        <f t="shared" si="11"/>
        <v>84.285823800000003</v>
      </c>
      <c r="O43" s="52">
        <f t="shared" si="11"/>
        <v>0</v>
      </c>
      <c r="P43" s="52">
        <f t="shared" si="11"/>
        <v>0</v>
      </c>
      <c r="Q43" s="52">
        <f t="shared" si="11"/>
        <v>252.86</v>
      </c>
      <c r="R43" s="34">
        <f t="shared" si="11"/>
        <v>112.93220400000001</v>
      </c>
      <c r="S43" s="34">
        <f t="shared" si="11"/>
        <v>0</v>
      </c>
      <c r="T43" s="34">
        <f t="shared" si="11"/>
        <v>338.8</v>
      </c>
      <c r="U43" s="34">
        <f t="shared" si="11"/>
        <v>0</v>
      </c>
      <c r="V43" s="34">
        <f>SUM(V21,V30,V34,V42)</f>
        <v>197.21802780000002</v>
      </c>
      <c r="W43" s="34">
        <f t="shared" ref="W43:Y43" si="12">SUM(W21,W30,W34,W42)</f>
        <v>0</v>
      </c>
      <c r="X43" s="34">
        <f t="shared" si="12"/>
        <v>338.8</v>
      </c>
      <c r="Y43" s="34">
        <f t="shared" si="12"/>
        <v>252.86</v>
      </c>
    </row>
    <row r="44" spans="1:25" ht="15" thickTop="1">
      <c r="A44" s="44" t="s">
        <v>568</v>
      </c>
      <c r="B44" s="28"/>
      <c r="C44" s="20"/>
      <c r="D44" s="20"/>
      <c r="E44" s="20"/>
      <c r="F44" s="28"/>
      <c r="G44" s="20"/>
      <c r="H44" s="20"/>
      <c r="I44" s="20"/>
      <c r="J44" s="28"/>
      <c r="K44" s="20"/>
      <c r="L44" s="20"/>
      <c r="M44" s="20"/>
      <c r="N44" s="28"/>
      <c r="O44" s="20"/>
      <c r="P44" s="20"/>
      <c r="Q44" s="20"/>
      <c r="R44" s="28"/>
      <c r="S44" s="20"/>
      <c r="T44" s="20"/>
      <c r="U44" s="20"/>
      <c r="V44" s="28"/>
      <c r="W44" s="20"/>
      <c r="X44" s="20"/>
      <c r="Y44" s="20"/>
    </row>
    <row r="45" spans="1:25">
      <c r="A45" s="40" t="s">
        <v>23</v>
      </c>
      <c r="B45" s="65">
        <v>26700</v>
      </c>
      <c r="C45" s="54">
        <v>0</v>
      </c>
      <c r="D45" s="89">
        <v>0</v>
      </c>
      <c r="E45" s="86">
        <v>0</v>
      </c>
      <c r="F45" s="72">
        <v>0</v>
      </c>
      <c r="G45" s="54">
        <v>0</v>
      </c>
      <c r="H45" s="89">
        <v>0</v>
      </c>
      <c r="I45" s="86">
        <v>0</v>
      </c>
      <c r="J45" s="72">
        <v>3590.3307630000004</v>
      </c>
      <c r="K45" s="54">
        <v>10771.1</v>
      </c>
      <c r="L45" s="89">
        <v>0</v>
      </c>
      <c r="M45" s="86">
        <v>0</v>
      </c>
      <c r="N45" s="72">
        <v>4299.3670058999996</v>
      </c>
      <c r="O45" s="54">
        <v>12898.23</v>
      </c>
      <c r="P45" s="89">
        <v>0</v>
      </c>
      <c r="Q45" s="86">
        <v>0</v>
      </c>
      <c r="R45" s="72">
        <v>37088.529111000003</v>
      </c>
      <c r="S45" s="32">
        <v>42953.36</v>
      </c>
      <c r="T45" s="84">
        <v>34156.67</v>
      </c>
      <c r="U45" s="80">
        <v>34156.67</v>
      </c>
      <c r="V45" s="65">
        <v>44978.226879900001</v>
      </c>
      <c r="W45" s="32">
        <f t="shared" ref="W45:Y46" si="13">SUM(G45,K45,O45,S45)</f>
        <v>66622.69</v>
      </c>
      <c r="X45" s="84">
        <f t="shared" si="13"/>
        <v>34156.67</v>
      </c>
      <c r="Y45" s="80">
        <f t="shared" si="13"/>
        <v>34156.67</v>
      </c>
    </row>
    <row r="46" spans="1:25">
      <c r="A46" s="42" t="s">
        <v>7</v>
      </c>
      <c r="B46" s="64">
        <v>0</v>
      </c>
      <c r="C46" s="59">
        <v>0</v>
      </c>
      <c r="D46" s="91">
        <v>0</v>
      </c>
      <c r="E46" s="88">
        <v>0</v>
      </c>
      <c r="F46" s="73">
        <v>0</v>
      </c>
      <c r="G46" s="59">
        <v>0</v>
      </c>
      <c r="H46" s="91">
        <v>0</v>
      </c>
      <c r="I46" s="88">
        <v>0</v>
      </c>
      <c r="J46" s="73">
        <v>0</v>
      </c>
      <c r="K46" s="59">
        <v>0</v>
      </c>
      <c r="L46" s="91">
        <v>0</v>
      </c>
      <c r="M46" s="88">
        <v>0</v>
      </c>
      <c r="N46" s="73">
        <v>0</v>
      </c>
      <c r="O46" s="59">
        <v>0</v>
      </c>
      <c r="P46" s="91">
        <v>0</v>
      </c>
      <c r="Q46" s="88">
        <v>0</v>
      </c>
      <c r="R46" s="73">
        <v>0</v>
      </c>
      <c r="S46" s="35">
        <v>0</v>
      </c>
      <c r="T46" s="85">
        <v>0</v>
      </c>
      <c r="U46" s="81">
        <v>0</v>
      </c>
      <c r="V46" s="64">
        <v>0</v>
      </c>
      <c r="W46" s="35">
        <f t="shared" si="13"/>
        <v>0</v>
      </c>
      <c r="X46" s="85">
        <f t="shared" si="13"/>
        <v>0</v>
      </c>
      <c r="Y46" s="81">
        <f t="shared" si="13"/>
        <v>0</v>
      </c>
    </row>
    <row r="47" spans="1:25">
      <c r="A47" s="45" t="s">
        <v>569</v>
      </c>
      <c r="B47" s="49">
        <f t="shared" ref="B47:Y47" si="14">SUM(B45:B46)</f>
        <v>26700</v>
      </c>
      <c r="C47" s="60">
        <f t="shared" si="14"/>
        <v>0</v>
      </c>
      <c r="D47" s="60">
        <f t="shared" si="14"/>
        <v>0</v>
      </c>
      <c r="E47" s="60">
        <f t="shared" si="14"/>
        <v>0</v>
      </c>
      <c r="F47" s="27">
        <f t="shared" si="14"/>
        <v>0</v>
      </c>
      <c r="G47" s="60">
        <f t="shared" si="14"/>
        <v>0</v>
      </c>
      <c r="H47" s="60">
        <f t="shared" si="14"/>
        <v>0</v>
      </c>
      <c r="I47" s="60">
        <f t="shared" si="14"/>
        <v>0</v>
      </c>
      <c r="J47" s="27">
        <f t="shared" si="14"/>
        <v>3590.3307630000004</v>
      </c>
      <c r="K47" s="60">
        <f t="shared" si="14"/>
        <v>10771.1</v>
      </c>
      <c r="L47" s="60">
        <f t="shared" si="14"/>
        <v>0</v>
      </c>
      <c r="M47" s="60">
        <f t="shared" si="14"/>
        <v>0</v>
      </c>
      <c r="N47" s="27">
        <f t="shared" si="14"/>
        <v>4299.3670058999996</v>
      </c>
      <c r="O47" s="60">
        <f t="shared" si="14"/>
        <v>12898.23</v>
      </c>
      <c r="P47" s="60">
        <f t="shared" si="14"/>
        <v>0</v>
      </c>
      <c r="Q47" s="60">
        <f t="shared" si="14"/>
        <v>0</v>
      </c>
      <c r="R47" s="27">
        <f t="shared" si="14"/>
        <v>37088.529111000003</v>
      </c>
      <c r="S47" s="36">
        <f t="shared" si="14"/>
        <v>42953.36</v>
      </c>
      <c r="T47" s="36">
        <f t="shared" si="14"/>
        <v>34156.67</v>
      </c>
      <c r="U47" s="36">
        <f t="shared" si="14"/>
        <v>34156.67</v>
      </c>
      <c r="V47" s="49">
        <f t="shared" si="14"/>
        <v>44978.226879900001</v>
      </c>
      <c r="W47" s="36">
        <f t="shared" si="14"/>
        <v>66622.69</v>
      </c>
      <c r="X47" s="36">
        <f t="shared" si="14"/>
        <v>34156.67</v>
      </c>
      <c r="Y47" s="36">
        <f t="shared" si="14"/>
        <v>34156.67</v>
      </c>
    </row>
    <row r="48" spans="1:25" ht="16.2" thickBot="1">
      <c r="A48" s="43" t="s">
        <v>570</v>
      </c>
      <c r="B48" s="34">
        <f>SUM(B12,B43,B47)</f>
        <v>0</v>
      </c>
      <c r="C48" s="52">
        <f t="shared" ref="C48:U48" si="15">SUM(C12,C43,C47)</f>
        <v>0</v>
      </c>
      <c r="D48" s="52">
        <f t="shared" si="15"/>
        <v>0</v>
      </c>
      <c r="E48" s="52">
        <f t="shared" si="15"/>
        <v>0</v>
      </c>
      <c r="F48" s="34">
        <f t="shared" si="15"/>
        <v>-11179.1082078</v>
      </c>
      <c r="G48" s="52">
        <f t="shared" si="15"/>
        <v>-13317</v>
      </c>
      <c r="H48" s="52">
        <f t="shared" si="15"/>
        <v>-12637.99</v>
      </c>
      <c r="I48" s="52">
        <f t="shared" si="15"/>
        <v>-7582.67</v>
      </c>
      <c r="J48" s="34">
        <f t="shared" si="15"/>
        <v>6991.1300879999999</v>
      </c>
      <c r="K48" s="52">
        <f t="shared" si="15"/>
        <v>10302.94</v>
      </c>
      <c r="L48" s="52">
        <f t="shared" si="15"/>
        <v>9818.3799999999992</v>
      </c>
      <c r="M48" s="52">
        <f t="shared" si="15"/>
        <v>852.28</v>
      </c>
      <c r="N48" s="34">
        <f t="shared" si="15"/>
        <v>-3312.9602034000009</v>
      </c>
      <c r="O48" s="52">
        <f t="shared" si="15"/>
        <v>-419.77000000000044</v>
      </c>
      <c r="P48" s="52">
        <f t="shared" si="15"/>
        <v>3532.93</v>
      </c>
      <c r="Q48" s="52">
        <f t="shared" si="15"/>
        <v>-13052.14</v>
      </c>
      <c r="R48" s="34">
        <f t="shared" si="15"/>
        <v>3689.4797715000022</v>
      </c>
      <c r="S48" s="34">
        <f t="shared" si="15"/>
        <v>2014.5800000000017</v>
      </c>
      <c r="T48" s="34">
        <f t="shared" si="15"/>
        <v>1908.7199999999975</v>
      </c>
      <c r="U48" s="34">
        <f t="shared" si="15"/>
        <v>7145.25</v>
      </c>
      <c r="V48" s="34">
        <f>SUM(V12,V43,V47)</f>
        <v>-3811.4585517000014</v>
      </c>
      <c r="W48" s="34">
        <f t="shared" ref="W48:Y48" si="16">SUM(W12,W43,W47)</f>
        <v>-1419.25</v>
      </c>
      <c r="X48" s="34">
        <f t="shared" si="16"/>
        <v>2622.0399999999972</v>
      </c>
      <c r="Y48" s="34">
        <f t="shared" si="16"/>
        <v>-12637.279999999999</v>
      </c>
    </row>
    <row r="49" spans="1:25" ht="15" thickTop="1">
      <c r="A49" s="29"/>
      <c r="B49" s="19"/>
      <c r="C49" s="48"/>
      <c r="D49" s="48"/>
      <c r="E49" s="48"/>
      <c r="F49" s="19"/>
      <c r="G49" s="48"/>
      <c r="H49" s="48"/>
      <c r="I49" s="48"/>
      <c r="J49" s="19"/>
      <c r="K49" s="48"/>
      <c r="L49" s="48"/>
      <c r="M49" s="48"/>
      <c r="N49" s="19"/>
      <c r="O49" s="48"/>
      <c r="P49" s="48"/>
      <c r="Q49" s="48"/>
      <c r="R49" s="19"/>
      <c r="S49" s="48"/>
      <c r="T49" s="48"/>
      <c r="U49" s="48"/>
      <c r="V49" s="19"/>
      <c r="W49" s="48"/>
      <c r="X49" s="48"/>
      <c r="Y49" s="48"/>
    </row>
  </sheetData>
  <conditionalFormatting sqref="B15:C21 B23:C30 B32:C34 B36:C43 V36:W43 V32:W34 V23:W30 V15:W21 R36:S43 R32:S34 R23:S30 R15:S21 N36:O43 N32:O34 N23:O30 N15:O21 J36:K43 J32:K34 J23:K30 J15:K21 F36:G43 F32:G34 F23:G30 F15:G21">
    <cfRule type="cellIs" dxfId="38" priority="13" operator="lessThan">
      <formula>-0.01</formula>
    </cfRule>
  </conditionalFormatting>
  <conditionalFormatting sqref="Y15:Y21 Y23:Y30 Y32:Y34 Y36:Y43">
    <cfRule type="cellIs" dxfId="37" priority="12" operator="lessThan">
      <formula>-0.01</formula>
    </cfRule>
  </conditionalFormatting>
  <conditionalFormatting sqref="X15:X21 X23:X30 X32:X34 X36:X43">
    <cfRule type="cellIs" dxfId="36" priority="11" operator="lessThan">
      <formula>-0.01</formula>
    </cfRule>
  </conditionalFormatting>
  <conditionalFormatting sqref="U15:U21 U23:U30 U32:U34 U36:U43">
    <cfRule type="cellIs" dxfId="35" priority="10" operator="lessThan">
      <formula>-0.01</formula>
    </cfRule>
  </conditionalFormatting>
  <conditionalFormatting sqref="T15:T21 T23:T30 T32:T34 T36:T43">
    <cfRule type="cellIs" dxfId="34" priority="9" operator="lessThan">
      <formula>-0.01</formula>
    </cfRule>
  </conditionalFormatting>
  <conditionalFormatting sqref="Q15:Q21 Q23:Q30 Q32:Q34 Q36:Q43">
    <cfRule type="cellIs" dxfId="33" priority="8" operator="lessThan">
      <formula>-0.01</formula>
    </cfRule>
  </conditionalFormatting>
  <conditionalFormatting sqref="P15:P21 P23:P30 P32:P34 P36:P43">
    <cfRule type="cellIs" dxfId="32" priority="7" operator="lessThan">
      <formula>-0.01</formula>
    </cfRule>
  </conditionalFormatting>
  <conditionalFormatting sqref="M15:M21 M23:M30 M32:M34 M36:M43">
    <cfRule type="cellIs" dxfId="31" priority="6" operator="lessThan">
      <formula>-0.01</formula>
    </cfRule>
  </conditionalFormatting>
  <conditionalFormatting sqref="L15:L21 L23:L30 L32:L34 L36:L43">
    <cfRule type="cellIs" dxfId="30" priority="5" operator="lessThan">
      <formula>-0.01</formula>
    </cfRule>
  </conditionalFormatting>
  <conditionalFormatting sqref="I15:I21 I23:I30 I32:I34 I36:I43">
    <cfRule type="cellIs" dxfId="29" priority="4" operator="lessThan">
      <formula>-0.01</formula>
    </cfRule>
  </conditionalFormatting>
  <conditionalFormatting sqref="H15:H21 H23:H30 H32:H34 H36:H43">
    <cfRule type="cellIs" dxfId="28" priority="3" operator="lessThan">
      <formula>-0.01</formula>
    </cfRule>
  </conditionalFormatting>
  <conditionalFormatting sqref="E15:E21 E23:E30 E32:E34 E36:E43">
    <cfRule type="cellIs" dxfId="27" priority="2" operator="lessThan">
      <formula>-0.01</formula>
    </cfRule>
  </conditionalFormatting>
  <conditionalFormatting sqref="D15:D21 D23:D30 D32:D34 D36:D43">
    <cfRule type="cellIs" dxfId="26" priority="1" operator="lessThan">
      <formula>-0.01</formula>
    </cfRule>
  </conditionalFormatting>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E62181-8BFB-40F7-9833-B6903CDA814B}">
  <sheetPr codeName="Sheet22"/>
  <dimension ref="A1:AZ49"/>
  <sheetViews>
    <sheetView showGridLines="0" workbookViewId="0">
      <pane xSplit="1" ySplit="6" topLeftCell="B7" activePane="bottomRight" state="frozen"/>
      <selection pane="topRight" activeCell="B1" sqref="B1"/>
      <selection pane="bottomLeft" activeCell="A7" sqref="A7"/>
      <selection pane="bottomRight"/>
    </sheetView>
  </sheetViews>
  <sheetFormatPr defaultRowHeight="14.4" outlineLevelCol="1"/>
  <cols>
    <col min="1" max="1" width="32.44140625" bestFit="1" customWidth="1"/>
    <col min="2" max="2" width="16.77734375" customWidth="1"/>
    <col min="3" max="5" width="13.44140625" style="57" hidden="1" customWidth="1" outlineLevel="1"/>
    <col min="6" max="6" width="16.77734375" customWidth="1" collapsed="1"/>
    <col min="7" max="9" width="13.44140625" style="57" hidden="1" customWidth="1" outlineLevel="1"/>
    <col min="10" max="10" width="16.77734375" customWidth="1" collapsed="1"/>
    <col min="11" max="13" width="13.44140625" style="57" hidden="1" customWidth="1" outlineLevel="1"/>
    <col min="14" max="14" width="16.77734375" customWidth="1" collapsed="1"/>
    <col min="15" max="17" width="13.44140625" style="57" hidden="1" customWidth="1" outlineLevel="1"/>
    <col min="18" max="18" width="16.77734375" customWidth="1" collapsed="1"/>
    <col min="19" max="21" width="13.44140625" style="57" hidden="1" customWidth="1" outlineLevel="1"/>
    <col min="22" max="22" width="16.77734375" customWidth="1" collapsed="1"/>
    <col min="23" max="25" width="13.44140625" style="57" hidden="1" customWidth="1" outlineLevel="1"/>
    <col min="26" max="26" width="8.88671875" collapsed="1"/>
  </cols>
  <sheetData>
    <row r="1" spans="1:52" ht="15.6">
      <c r="A1" s="68" t="s">
        <v>790</v>
      </c>
      <c r="B1" s="46"/>
      <c r="C1" s="46"/>
      <c r="D1" s="46"/>
      <c r="E1" s="46"/>
      <c r="F1" s="46"/>
      <c r="G1" s="46"/>
      <c r="H1" s="46"/>
      <c r="I1" s="46"/>
      <c r="J1" s="46"/>
      <c r="K1" s="46"/>
      <c r="L1" s="46"/>
      <c r="M1" s="46"/>
      <c r="N1" s="46"/>
      <c r="O1" s="46"/>
      <c r="P1" s="46"/>
      <c r="Q1" s="46"/>
      <c r="R1" s="46"/>
      <c r="V1" s="46"/>
      <c r="W1" s="46"/>
      <c r="X1" s="46"/>
      <c r="Y1" s="46"/>
    </row>
    <row r="2" spans="1:52" ht="15.6">
      <c r="A2" s="69" t="s">
        <v>427</v>
      </c>
      <c r="B2" s="47"/>
      <c r="C2" s="47"/>
      <c r="D2" s="47"/>
      <c r="E2" s="47"/>
      <c r="F2" s="47"/>
      <c r="G2" s="47"/>
      <c r="H2" s="47"/>
      <c r="I2" s="47"/>
      <c r="J2" s="47"/>
      <c r="K2" s="47"/>
      <c r="L2" s="47"/>
      <c r="M2" s="47"/>
      <c r="N2" s="47"/>
      <c r="O2" s="47"/>
      <c r="P2" s="47"/>
      <c r="Q2" s="47"/>
      <c r="R2" s="47"/>
      <c r="V2" s="47"/>
      <c r="W2" s="47"/>
      <c r="X2" s="47"/>
      <c r="Y2" s="47"/>
    </row>
    <row r="3" spans="1:52">
      <c r="A3" s="136"/>
      <c r="B3" s="61" t="s">
        <v>589</v>
      </c>
      <c r="C3" s="50" t="s">
        <v>572</v>
      </c>
      <c r="D3" s="50" t="s">
        <v>572</v>
      </c>
      <c r="E3" s="50" t="s">
        <v>572</v>
      </c>
      <c r="F3" s="61" t="s">
        <v>573</v>
      </c>
      <c r="G3" s="50" t="s">
        <v>573</v>
      </c>
      <c r="H3" s="50" t="s">
        <v>573</v>
      </c>
      <c r="I3" s="50" t="s">
        <v>573</v>
      </c>
      <c r="J3" s="61" t="s">
        <v>575</v>
      </c>
      <c r="K3" s="50" t="s">
        <v>575</v>
      </c>
      <c r="L3" s="50" t="s">
        <v>575</v>
      </c>
      <c r="M3" s="50" t="s">
        <v>575</v>
      </c>
      <c r="N3" s="61" t="s">
        <v>576</v>
      </c>
      <c r="O3" s="50" t="s">
        <v>576</v>
      </c>
      <c r="P3" s="50" t="s">
        <v>576</v>
      </c>
      <c r="Q3" s="50" t="s">
        <v>576</v>
      </c>
      <c r="R3" s="61" t="s">
        <v>577</v>
      </c>
      <c r="S3" s="38" t="s">
        <v>577</v>
      </c>
      <c r="T3" s="38" t="s">
        <v>577</v>
      </c>
      <c r="U3" s="38" t="s">
        <v>577</v>
      </c>
      <c r="V3" s="61" t="s">
        <v>585</v>
      </c>
      <c r="W3" s="38" t="s">
        <v>585</v>
      </c>
      <c r="X3" s="38" t="s">
        <v>585</v>
      </c>
      <c r="Y3" s="38" t="s">
        <v>585</v>
      </c>
      <c r="Z3" s="136"/>
      <c r="AA3" s="136"/>
      <c r="AB3" s="136"/>
      <c r="AC3" s="136"/>
      <c r="AD3" s="136"/>
      <c r="AE3" s="136"/>
      <c r="AF3" s="136"/>
      <c r="AG3" s="136"/>
      <c r="AH3" s="136"/>
      <c r="AI3" s="136"/>
      <c r="AJ3" s="136"/>
      <c r="AK3" s="136"/>
      <c r="AL3" s="136"/>
      <c r="AM3" s="136"/>
      <c r="AN3" s="136"/>
      <c r="AO3" s="136"/>
      <c r="AP3" s="136"/>
      <c r="AQ3" s="136"/>
      <c r="AR3" s="136"/>
      <c r="AS3" s="136"/>
      <c r="AT3" s="136"/>
      <c r="AU3" s="136"/>
      <c r="AV3" s="136"/>
      <c r="AW3" s="136"/>
      <c r="AX3" s="136"/>
      <c r="AY3" s="136"/>
      <c r="AZ3" s="136"/>
    </row>
    <row r="4" spans="1:52">
      <c r="A4" s="16"/>
      <c r="B4" s="31" t="str">
        <f>_xlfn.CONCAT("FY ",rngFY+rngYRS)</f>
        <v>FY 19</v>
      </c>
      <c r="C4" s="51" t="s">
        <v>555</v>
      </c>
      <c r="D4" s="51" t="s">
        <v>555</v>
      </c>
      <c r="E4" s="51" t="s">
        <v>555</v>
      </c>
      <c r="F4" s="31" t="s">
        <v>788</v>
      </c>
      <c r="G4" s="31" t="s">
        <v>789</v>
      </c>
      <c r="H4" s="31" t="s">
        <v>789</v>
      </c>
      <c r="I4" s="31" t="s">
        <v>789</v>
      </c>
      <c r="J4" s="31" t="s">
        <v>788</v>
      </c>
      <c r="K4" s="31" t="s">
        <v>789</v>
      </c>
      <c r="L4" s="31" t="s">
        <v>789</v>
      </c>
      <c r="M4" s="31" t="s">
        <v>789</v>
      </c>
      <c r="N4" s="31" t="s">
        <v>788</v>
      </c>
      <c r="O4" s="31" t="s">
        <v>789</v>
      </c>
      <c r="P4" s="31" t="s">
        <v>789</v>
      </c>
      <c r="Q4" s="31" t="s">
        <v>789</v>
      </c>
      <c r="R4" s="31" t="s">
        <v>788</v>
      </c>
      <c r="S4" s="31" t="s">
        <v>789</v>
      </c>
      <c r="T4" s="31" t="s">
        <v>789</v>
      </c>
      <c r="U4" s="31" t="s">
        <v>789</v>
      </c>
      <c r="V4" s="31" t="s">
        <v>574</v>
      </c>
      <c r="W4" s="31" t="s">
        <v>584</v>
      </c>
      <c r="X4" s="31" t="s">
        <v>584</v>
      </c>
      <c r="Y4" s="31" t="s">
        <v>584</v>
      </c>
    </row>
    <row r="5" spans="1:52">
      <c r="A5" s="17"/>
      <c r="B5" s="31"/>
      <c r="C5" s="51" t="s">
        <v>587</v>
      </c>
      <c r="D5" s="51" t="s">
        <v>586</v>
      </c>
      <c r="E5" s="51" t="s">
        <v>590</v>
      </c>
      <c r="F5" s="31"/>
      <c r="G5" s="51" t="s">
        <v>587</v>
      </c>
      <c r="H5" s="51" t="s">
        <v>586</v>
      </c>
      <c r="I5" s="51" t="s">
        <v>590</v>
      </c>
      <c r="J5" s="31"/>
      <c r="K5" s="51" t="s">
        <v>587</v>
      </c>
      <c r="L5" s="51" t="s">
        <v>586</v>
      </c>
      <c r="M5" s="51" t="s">
        <v>590</v>
      </c>
      <c r="N5" s="31"/>
      <c r="O5" s="51" t="s">
        <v>587</v>
      </c>
      <c r="P5" s="51" t="s">
        <v>586</v>
      </c>
      <c r="Q5" s="51" t="s">
        <v>590</v>
      </c>
      <c r="R5" s="31"/>
      <c r="S5" s="31" t="s">
        <v>587</v>
      </c>
      <c r="T5" s="31" t="s">
        <v>586</v>
      </c>
      <c r="U5" s="31" t="s">
        <v>590</v>
      </c>
      <c r="V5" s="31"/>
      <c r="W5" s="31" t="s">
        <v>587</v>
      </c>
      <c r="X5" s="31" t="s">
        <v>586</v>
      </c>
      <c r="Y5" s="31" t="s">
        <v>590</v>
      </c>
    </row>
    <row r="6" spans="1:52">
      <c r="A6" s="70"/>
      <c r="B6" s="62"/>
      <c r="C6" s="53"/>
      <c r="D6" s="53"/>
      <c r="E6" s="53"/>
      <c r="F6" s="62"/>
      <c r="G6" s="53"/>
      <c r="H6" s="53"/>
      <c r="I6" s="53"/>
      <c r="J6" s="62"/>
      <c r="K6" s="53"/>
      <c r="L6" s="53"/>
      <c r="M6" s="53"/>
      <c r="N6" s="62"/>
      <c r="O6" s="53"/>
      <c r="P6" s="53"/>
      <c r="Q6" s="53"/>
      <c r="R6" s="62"/>
      <c r="S6" s="62"/>
      <c r="T6" s="62"/>
      <c r="U6" s="62"/>
      <c r="V6" s="62"/>
      <c r="W6" s="62"/>
      <c r="X6" s="62"/>
      <c r="Y6" s="62"/>
    </row>
    <row r="7" spans="1:52">
      <c r="A7" s="18" t="s">
        <v>556</v>
      </c>
      <c r="B7" s="63"/>
      <c r="C7" s="58"/>
      <c r="D7" s="58"/>
      <c r="E7" s="58"/>
      <c r="F7" s="63"/>
      <c r="G7" s="58"/>
      <c r="H7" s="58"/>
      <c r="I7" s="58"/>
      <c r="J7" s="63"/>
      <c r="K7" s="58"/>
      <c r="L7" s="58"/>
      <c r="M7" s="58"/>
      <c r="N7" s="63"/>
      <c r="O7" s="58"/>
      <c r="P7" s="58"/>
      <c r="Q7" s="58"/>
      <c r="R7" s="63"/>
      <c r="S7" s="63"/>
      <c r="T7" s="63"/>
      <c r="U7" s="63"/>
      <c r="V7" s="63"/>
      <c r="W7" s="63"/>
      <c r="X7" s="63"/>
      <c r="Y7" s="63"/>
    </row>
    <row r="8" spans="1:52">
      <c r="A8" s="40" t="s">
        <v>557</v>
      </c>
      <c r="B8" s="39">
        <v>-217694</v>
      </c>
      <c r="C8" s="54">
        <v>-213902</v>
      </c>
      <c r="D8" s="89">
        <v>-208840</v>
      </c>
      <c r="E8" s="86">
        <v>-272877</v>
      </c>
      <c r="F8" s="72">
        <v>-115935.5073</v>
      </c>
      <c r="G8" s="54">
        <v>-106951</v>
      </c>
      <c r="H8" s="89">
        <v>-104420</v>
      </c>
      <c r="I8" s="86">
        <v>-136439</v>
      </c>
      <c r="J8" s="72">
        <v>0</v>
      </c>
      <c r="K8" s="54">
        <v>0</v>
      </c>
      <c r="L8" s="89">
        <v>0</v>
      </c>
      <c r="M8" s="86">
        <v>0</v>
      </c>
      <c r="N8" s="72">
        <v>-115935.17397</v>
      </c>
      <c r="O8" s="54">
        <v>-106951</v>
      </c>
      <c r="P8" s="89">
        <v>-104420</v>
      </c>
      <c r="Q8" s="86">
        <v>-136438</v>
      </c>
      <c r="R8" s="72">
        <v>0</v>
      </c>
      <c r="S8" s="22">
        <v>0</v>
      </c>
      <c r="T8" s="82">
        <v>0</v>
      </c>
      <c r="U8" s="78">
        <v>0</v>
      </c>
      <c r="V8" s="39">
        <v>-231870.68127</v>
      </c>
      <c r="W8" s="22">
        <f t="shared" ref="W8:Y11" si="0">SUM(G8,K8,O8,S8)</f>
        <v>-213902</v>
      </c>
      <c r="X8" s="82">
        <f t="shared" si="0"/>
        <v>-208840</v>
      </c>
      <c r="Y8" s="78">
        <f t="shared" si="0"/>
        <v>-272877</v>
      </c>
    </row>
    <row r="9" spans="1:52">
      <c r="A9" s="41" t="s">
        <v>558</v>
      </c>
      <c r="B9" s="39">
        <v>0</v>
      </c>
      <c r="C9" s="55">
        <v>0</v>
      </c>
      <c r="D9" s="90">
        <v>0</v>
      </c>
      <c r="E9" s="87">
        <v>0</v>
      </c>
      <c r="F9" s="72">
        <v>0</v>
      </c>
      <c r="G9" s="55">
        <v>0</v>
      </c>
      <c r="H9" s="90">
        <v>0</v>
      </c>
      <c r="I9" s="87">
        <v>0</v>
      </c>
      <c r="J9" s="72">
        <v>0</v>
      </c>
      <c r="K9" s="55">
        <v>0</v>
      </c>
      <c r="L9" s="90">
        <v>0</v>
      </c>
      <c r="M9" s="87">
        <v>0</v>
      </c>
      <c r="N9" s="72">
        <v>0</v>
      </c>
      <c r="O9" s="55">
        <v>0</v>
      </c>
      <c r="P9" s="90">
        <v>0</v>
      </c>
      <c r="Q9" s="87">
        <v>0</v>
      </c>
      <c r="R9" s="72">
        <v>0</v>
      </c>
      <c r="S9" s="33">
        <v>0</v>
      </c>
      <c r="T9" s="83">
        <v>0</v>
      </c>
      <c r="U9" s="79">
        <v>0</v>
      </c>
      <c r="V9" s="39">
        <v>0</v>
      </c>
      <c r="W9" s="33">
        <f t="shared" si="0"/>
        <v>0</v>
      </c>
      <c r="X9" s="83">
        <f t="shared" si="0"/>
        <v>0</v>
      </c>
      <c r="Y9" s="79">
        <f t="shared" si="0"/>
        <v>0</v>
      </c>
    </row>
    <row r="10" spans="1:52">
      <c r="A10" s="41" t="s">
        <v>212</v>
      </c>
      <c r="B10" s="39">
        <v>0</v>
      </c>
      <c r="C10" s="55">
        <v>0</v>
      </c>
      <c r="D10" s="90">
        <v>0</v>
      </c>
      <c r="E10" s="87">
        <v>0</v>
      </c>
      <c r="F10" s="72">
        <v>0</v>
      </c>
      <c r="G10" s="55">
        <v>0</v>
      </c>
      <c r="H10" s="90">
        <v>0</v>
      </c>
      <c r="I10" s="87">
        <v>0</v>
      </c>
      <c r="J10" s="72">
        <v>0</v>
      </c>
      <c r="K10" s="55">
        <v>0</v>
      </c>
      <c r="L10" s="90">
        <v>0</v>
      </c>
      <c r="M10" s="87">
        <v>0</v>
      </c>
      <c r="N10" s="72">
        <v>0</v>
      </c>
      <c r="O10" s="55">
        <v>0</v>
      </c>
      <c r="P10" s="90">
        <v>0</v>
      </c>
      <c r="Q10" s="87">
        <v>0</v>
      </c>
      <c r="R10" s="72">
        <v>0</v>
      </c>
      <c r="S10" s="33">
        <v>0</v>
      </c>
      <c r="T10" s="83">
        <v>0</v>
      </c>
      <c r="U10" s="79">
        <v>0</v>
      </c>
      <c r="V10" s="39">
        <v>0</v>
      </c>
      <c r="W10" s="33">
        <f t="shared" si="0"/>
        <v>0</v>
      </c>
      <c r="X10" s="83">
        <f t="shared" si="0"/>
        <v>0</v>
      </c>
      <c r="Y10" s="79">
        <f t="shared" si="0"/>
        <v>0</v>
      </c>
    </row>
    <row r="11" spans="1:52">
      <c r="A11" s="42" t="s">
        <v>210</v>
      </c>
      <c r="B11" s="64">
        <v>0</v>
      </c>
      <c r="C11" s="55">
        <v>0</v>
      </c>
      <c r="D11" s="90">
        <v>0</v>
      </c>
      <c r="E11" s="87">
        <v>0</v>
      </c>
      <c r="F11" s="73">
        <v>0</v>
      </c>
      <c r="G11" s="55">
        <v>0</v>
      </c>
      <c r="H11" s="90">
        <v>0</v>
      </c>
      <c r="I11" s="87">
        <v>0</v>
      </c>
      <c r="J11" s="73">
        <v>0</v>
      </c>
      <c r="K11" s="55">
        <v>0</v>
      </c>
      <c r="L11" s="90">
        <v>0</v>
      </c>
      <c r="M11" s="87">
        <v>0</v>
      </c>
      <c r="N11" s="73">
        <v>0</v>
      </c>
      <c r="O11" s="55">
        <v>0</v>
      </c>
      <c r="P11" s="90">
        <v>0</v>
      </c>
      <c r="Q11" s="87">
        <v>0</v>
      </c>
      <c r="R11" s="73">
        <v>0</v>
      </c>
      <c r="S11" s="33">
        <v>0</v>
      </c>
      <c r="T11" s="83">
        <v>0</v>
      </c>
      <c r="U11" s="79">
        <v>0</v>
      </c>
      <c r="V11" s="64">
        <v>0</v>
      </c>
      <c r="W11" s="33">
        <f t="shared" si="0"/>
        <v>0</v>
      </c>
      <c r="X11" s="83">
        <f t="shared" si="0"/>
        <v>0</v>
      </c>
      <c r="Y11" s="79">
        <f t="shared" si="0"/>
        <v>0</v>
      </c>
    </row>
    <row r="12" spans="1:52" ht="16.2" thickBot="1">
      <c r="A12" s="43" t="s">
        <v>559</v>
      </c>
      <c r="B12" s="34">
        <f>SUM(B8:B11)</f>
        <v>-217694</v>
      </c>
      <c r="C12" s="52">
        <f t="shared" ref="C12:U12" si="1">SUM(C8:C11)</f>
        <v>-213902</v>
      </c>
      <c r="D12" s="52">
        <f t="shared" si="1"/>
        <v>-208840</v>
      </c>
      <c r="E12" s="52">
        <f t="shared" si="1"/>
        <v>-272877</v>
      </c>
      <c r="F12" s="34">
        <f t="shared" si="1"/>
        <v>-115935.5073</v>
      </c>
      <c r="G12" s="52">
        <f t="shared" si="1"/>
        <v>-106951</v>
      </c>
      <c r="H12" s="52">
        <f t="shared" si="1"/>
        <v>-104420</v>
      </c>
      <c r="I12" s="52">
        <f t="shared" si="1"/>
        <v>-136439</v>
      </c>
      <c r="J12" s="34">
        <f t="shared" si="1"/>
        <v>0</v>
      </c>
      <c r="K12" s="52">
        <f t="shared" si="1"/>
        <v>0</v>
      </c>
      <c r="L12" s="52">
        <f t="shared" si="1"/>
        <v>0</v>
      </c>
      <c r="M12" s="52">
        <f t="shared" si="1"/>
        <v>0</v>
      </c>
      <c r="N12" s="34">
        <f t="shared" si="1"/>
        <v>-115935.17397</v>
      </c>
      <c r="O12" s="52">
        <f t="shared" si="1"/>
        <v>-106951</v>
      </c>
      <c r="P12" s="52">
        <f t="shared" si="1"/>
        <v>-104420</v>
      </c>
      <c r="Q12" s="52">
        <f t="shared" si="1"/>
        <v>-136438</v>
      </c>
      <c r="R12" s="34">
        <f t="shared" si="1"/>
        <v>0</v>
      </c>
      <c r="S12" s="34">
        <f t="shared" si="1"/>
        <v>0</v>
      </c>
      <c r="T12" s="34">
        <f t="shared" si="1"/>
        <v>0</v>
      </c>
      <c r="U12" s="34">
        <f t="shared" si="1"/>
        <v>0</v>
      </c>
      <c r="V12" s="34">
        <f>SUM(V8:V11)</f>
        <v>-231870.68127</v>
      </c>
      <c r="W12" s="34">
        <f t="shared" ref="W12:Y12" si="2">SUM(W8:W11)</f>
        <v>-213902</v>
      </c>
      <c r="X12" s="34">
        <f t="shared" si="2"/>
        <v>-208840</v>
      </c>
      <c r="Y12" s="34">
        <f t="shared" si="2"/>
        <v>-272877</v>
      </c>
    </row>
    <row r="13" spans="1:52" ht="15" thickTop="1">
      <c r="A13" s="67"/>
      <c r="B13" s="67"/>
      <c r="C13" s="67"/>
      <c r="D13" s="67"/>
      <c r="E13" s="67"/>
      <c r="F13" s="67"/>
      <c r="G13" s="67"/>
      <c r="H13" s="67"/>
      <c r="I13" s="67"/>
      <c r="J13" s="67"/>
      <c r="K13" s="67"/>
      <c r="L13" s="67"/>
      <c r="M13" s="67"/>
      <c r="N13" s="67"/>
      <c r="O13" s="67"/>
      <c r="P13" s="67"/>
      <c r="Q13" s="67"/>
      <c r="R13" s="67"/>
      <c r="S13" s="67"/>
      <c r="T13" s="67"/>
      <c r="U13" s="67"/>
      <c r="V13" s="67"/>
      <c r="W13" s="67"/>
      <c r="X13" s="67"/>
      <c r="Y13" s="67"/>
    </row>
    <row r="14" spans="1:52">
      <c r="A14" s="18" t="s">
        <v>560</v>
      </c>
      <c r="B14" s="20"/>
      <c r="C14" s="20"/>
      <c r="D14" s="20"/>
      <c r="E14" s="20"/>
      <c r="F14" s="20"/>
      <c r="G14" s="20"/>
      <c r="H14" s="20"/>
      <c r="I14" s="20"/>
      <c r="J14" s="20"/>
      <c r="K14" s="20"/>
      <c r="L14" s="20"/>
      <c r="M14" s="20"/>
      <c r="N14" s="20"/>
      <c r="O14" s="20"/>
      <c r="P14" s="20"/>
      <c r="Q14" s="20"/>
      <c r="R14" s="20"/>
      <c r="S14" s="20"/>
      <c r="T14" s="20"/>
      <c r="U14" s="20"/>
      <c r="V14" s="20"/>
      <c r="W14" s="20"/>
      <c r="X14" s="20"/>
      <c r="Y14" s="20"/>
    </row>
    <row r="15" spans="1:52">
      <c r="A15" s="40" t="s">
        <v>188</v>
      </c>
      <c r="B15" s="65">
        <v>0</v>
      </c>
      <c r="C15" s="54">
        <v>0</v>
      </c>
      <c r="D15" s="89">
        <v>0</v>
      </c>
      <c r="E15" s="86">
        <v>0</v>
      </c>
      <c r="F15" s="72">
        <v>0</v>
      </c>
      <c r="G15" s="54">
        <v>0</v>
      </c>
      <c r="H15" s="89">
        <v>0</v>
      </c>
      <c r="I15" s="86">
        <v>0</v>
      </c>
      <c r="J15" s="72">
        <v>3519.3981389999999</v>
      </c>
      <c r="K15" s="54">
        <v>8465</v>
      </c>
      <c r="L15" s="89">
        <v>0</v>
      </c>
      <c r="M15" s="86">
        <v>2093.3000000000002</v>
      </c>
      <c r="N15" s="72">
        <v>5852.6214732000008</v>
      </c>
      <c r="O15" s="54">
        <v>7200</v>
      </c>
      <c r="P15" s="89">
        <v>0</v>
      </c>
      <c r="Q15" s="86">
        <v>10358.040000000001</v>
      </c>
      <c r="R15" s="72">
        <v>6015.5398439999999</v>
      </c>
      <c r="S15" s="32">
        <v>7705</v>
      </c>
      <c r="T15" s="84">
        <v>0</v>
      </c>
      <c r="U15" s="80">
        <v>10341.799999999999</v>
      </c>
      <c r="V15" s="65">
        <v>15387.559456200001</v>
      </c>
      <c r="W15" s="32">
        <f t="shared" ref="W15:Y20" si="3">SUM(G15,K15,O15,S15)</f>
        <v>23370</v>
      </c>
      <c r="X15" s="84">
        <f t="shared" si="3"/>
        <v>0</v>
      </c>
      <c r="Y15" s="80">
        <f t="shared" si="3"/>
        <v>22793.14</v>
      </c>
    </row>
    <row r="16" spans="1:52">
      <c r="A16" s="41" t="s">
        <v>181</v>
      </c>
      <c r="B16" s="39">
        <v>143193</v>
      </c>
      <c r="C16" s="54">
        <v>141446</v>
      </c>
      <c r="D16" s="89">
        <v>137996</v>
      </c>
      <c r="E16" s="86">
        <v>182350</v>
      </c>
      <c r="F16" s="72">
        <v>28669.479969</v>
      </c>
      <c r="G16" s="54">
        <v>23180.68</v>
      </c>
      <c r="H16" s="89">
        <v>27664.5</v>
      </c>
      <c r="I16" s="86">
        <v>35164.120000000003</v>
      </c>
      <c r="J16" s="72">
        <v>22756.692430800002</v>
      </c>
      <c r="K16" s="54">
        <v>16538.009999999998</v>
      </c>
      <c r="L16" s="89">
        <v>26430.81</v>
      </c>
      <c r="M16" s="86">
        <v>25301.94</v>
      </c>
      <c r="N16" s="72">
        <v>21468.495312900002</v>
      </c>
      <c r="O16" s="54">
        <v>16235.03</v>
      </c>
      <c r="P16" s="89">
        <v>25647.15</v>
      </c>
      <c r="Q16" s="86">
        <v>22523.95</v>
      </c>
      <c r="R16" s="72">
        <v>24426.482399400003</v>
      </c>
      <c r="S16" s="22">
        <v>19645</v>
      </c>
      <c r="T16" s="82">
        <v>29310.54</v>
      </c>
      <c r="U16" s="78">
        <v>24324.639999999999</v>
      </c>
      <c r="V16" s="39">
        <v>97321.150112100004</v>
      </c>
      <c r="W16" s="22">
        <f t="shared" si="3"/>
        <v>75598.720000000001</v>
      </c>
      <c r="X16" s="82">
        <f t="shared" si="3"/>
        <v>109053</v>
      </c>
      <c r="Y16" s="78">
        <f t="shared" si="3"/>
        <v>107314.65</v>
      </c>
    </row>
    <row r="17" spans="1:25">
      <c r="A17" s="92" t="s">
        <v>174</v>
      </c>
      <c r="B17" s="93">
        <v>0</v>
      </c>
      <c r="C17" s="94">
        <v>0</v>
      </c>
      <c r="D17" s="100">
        <v>0</v>
      </c>
      <c r="E17" s="99">
        <v>0</v>
      </c>
      <c r="F17" s="95">
        <v>0</v>
      </c>
      <c r="G17" s="94">
        <v>0</v>
      </c>
      <c r="H17" s="100">
        <v>0</v>
      </c>
      <c r="I17" s="99">
        <v>0</v>
      </c>
      <c r="J17" s="95">
        <v>0</v>
      </c>
      <c r="K17" s="94">
        <v>0</v>
      </c>
      <c r="L17" s="100">
        <v>0</v>
      </c>
      <c r="M17" s="99">
        <v>0</v>
      </c>
      <c r="N17" s="95">
        <v>0</v>
      </c>
      <c r="O17" s="94">
        <v>0</v>
      </c>
      <c r="P17" s="100">
        <v>0</v>
      </c>
      <c r="Q17" s="99">
        <v>0</v>
      </c>
      <c r="R17" s="95">
        <v>0</v>
      </c>
      <c r="S17" s="96">
        <v>0</v>
      </c>
      <c r="T17" s="98">
        <v>0</v>
      </c>
      <c r="U17" s="97">
        <v>0</v>
      </c>
      <c r="V17" s="93">
        <v>0</v>
      </c>
      <c r="W17" s="96">
        <f t="shared" si="3"/>
        <v>0</v>
      </c>
      <c r="X17" s="98">
        <f t="shared" si="3"/>
        <v>0</v>
      </c>
      <c r="Y17" s="97">
        <f t="shared" si="3"/>
        <v>0</v>
      </c>
    </row>
    <row r="18" spans="1:25">
      <c r="A18" s="41" t="s">
        <v>146</v>
      </c>
      <c r="B18" s="39">
        <v>0</v>
      </c>
      <c r="C18" s="54">
        <v>0</v>
      </c>
      <c r="D18" s="89">
        <v>0</v>
      </c>
      <c r="E18" s="86">
        <v>0</v>
      </c>
      <c r="F18" s="72">
        <v>0</v>
      </c>
      <c r="G18" s="54">
        <v>0</v>
      </c>
      <c r="H18" s="89">
        <v>0</v>
      </c>
      <c r="I18" s="86">
        <v>0</v>
      </c>
      <c r="J18" s="72">
        <v>677.86655459999997</v>
      </c>
      <c r="K18" s="54">
        <v>1252.82</v>
      </c>
      <c r="L18" s="89">
        <v>0</v>
      </c>
      <c r="M18" s="86">
        <v>780.8</v>
      </c>
      <c r="N18" s="72">
        <v>1643.0335695000001</v>
      </c>
      <c r="O18" s="54">
        <v>1065.5999999999999</v>
      </c>
      <c r="P18" s="89">
        <v>0</v>
      </c>
      <c r="Q18" s="86">
        <v>3863.55</v>
      </c>
      <c r="R18" s="72">
        <v>1665.9300072000001</v>
      </c>
      <c r="S18" s="22">
        <v>1140.3399999999999</v>
      </c>
      <c r="T18" s="82">
        <v>0</v>
      </c>
      <c r="U18" s="78">
        <v>3857.5</v>
      </c>
      <c r="V18" s="39">
        <v>3986.8301313000002</v>
      </c>
      <c r="W18" s="22">
        <f t="shared" si="3"/>
        <v>3458.76</v>
      </c>
      <c r="X18" s="82">
        <f t="shared" si="3"/>
        <v>0</v>
      </c>
      <c r="Y18" s="78">
        <f t="shared" si="3"/>
        <v>8501.85</v>
      </c>
    </row>
    <row r="19" spans="1:25">
      <c r="A19" s="41" t="s">
        <v>139</v>
      </c>
      <c r="B19" s="39">
        <v>53841</v>
      </c>
      <c r="C19" s="54">
        <v>53325</v>
      </c>
      <c r="D19" s="89">
        <v>52024</v>
      </c>
      <c r="E19" s="86">
        <v>68017</v>
      </c>
      <c r="F19" s="72">
        <v>10300.570326600002</v>
      </c>
      <c r="G19" s="54">
        <v>7887.15</v>
      </c>
      <c r="H19" s="89">
        <v>9898.65</v>
      </c>
      <c r="I19" s="86">
        <v>13116.22</v>
      </c>
      <c r="J19" s="72">
        <v>8320.1867973000008</v>
      </c>
      <c r="K19" s="54">
        <v>5780.52</v>
      </c>
      <c r="L19" s="89">
        <v>9742.66</v>
      </c>
      <c r="M19" s="86">
        <v>9437.6299999999992</v>
      </c>
      <c r="N19" s="72">
        <v>7458.882077100001</v>
      </c>
      <c r="O19" s="54">
        <v>5773.99</v>
      </c>
      <c r="P19" s="89">
        <v>8925.2900000000009</v>
      </c>
      <c r="Q19" s="86">
        <v>7677.59</v>
      </c>
      <c r="R19" s="72">
        <v>7746.2658699000003</v>
      </c>
      <c r="S19" s="22">
        <v>6227.59</v>
      </c>
      <c r="T19" s="82">
        <v>9330.9</v>
      </c>
      <c r="U19" s="78">
        <v>7680.54</v>
      </c>
      <c r="V19" s="39">
        <v>33825.9050709</v>
      </c>
      <c r="W19" s="22">
        <f t="shared" si="3"/>
        <v>25669.25</v>
      </c>
      <c r="X19" s="82">
        <f t="shared" si="3"/>
        <v>37897.5</v>
      </c>
      <c r="Y19" s="78">
        <f t="shared" si="3"/>
        <v>37911.979999999996</v>
      </c>
    </row>
    <row r="20" spans="1:25">
      <c r="A20" s="42" t="s">
        <v>129</v>
      </c>
      <c r="B20" s="64">
        <v>0</v>
      </c>
      <c r="C20" s="59">
        <v>0</v>
      </c>
      <c r="D20" s="91">
        <v>0</v>
      </c>
      <c r="E20" s="88">
        <v>0</v>
      </c>
      <c r="F20" s="73">
        <v>0</v>
      </c>
      <c r="G20" s="59">
        <v>0</v>
      </c>
      <c r="H20" s="91">
        <v>0</v>
      </c>
      <c r="I20" s="88">
        <v>0</v>
      </c>
      <c r="J20" s="73">
        <v>0</v>
      </c>
      <c r="K20" s="59">
        <v>0</v>
      </c>
      <c r="L20" s="91">
        <v>0</v>
      </c>
      <c r="M20" s="88">
        <v>0</v>
      </c>
      <c r="N20" s="73">
        <v>0</v>
      </c>
      <c r="O20" s="59">
        <v>0</v>
      </c>
      <c r="P20" s="91">
        <v>0</v>
      </c>
      <c r="Q20" s="88">
        <v>0</v>
      </c>
      <c r="R20" s="73">
        <v>0</v>
      </c>
      <c r="S20" s="35">
        <v>0</v>
      </c>
      <c r="T20" s="85">
        <v>0</v>
      </c>
      <c r="U20" s="81">
        <v>0</v>
      </c>
      <c r="V20" s="64">
        <v>0</v>
      </c>
      <c r="W20" s="35">
        <f t="shared" si="3"/>
        <v>0</v>
      </c>
      <c r="X20" s="85">
        <f t="shared" si="3"/>
        <v>0</v>
      </c>
      <c r="Y20" s="81">
        <f t="shared" si="3"/>
        <v>0</v>
      </c>
    </row>
    <row r="21" spans="1:25">
      <c r="A21" s="23" t="s">
        <v>561</v>
      </c>
      <c r="B21" s="27">
        <f t="shared" ref="B21:Y21" si="4">SUM(B15:B20)</f>
        <v>197034</v>
      </c>
      <c r="C21" s="60">
        <f t="shared" si="4"/>
        <v>194771</v>
      </c>
      <c r="D21" s="60">
        <f t="shared" si="4"/>
        <v>190020</v>
      </c>
      <c r="E21" s="60">
        <f t="shared" si="4"/>
        <v>250367</v>
      </c>
      <c r="F21" s="27">
        <f t="shared" si="4"/>
        <v>38970.050295599998</v>
      </c>
      <c r="G21" s="56">
        <f t="shared" si="4"/>
        <v>31067.83</v>
      </c>
      <c r="H21" s="56">
        <f t="shared" si="4"/>
        <v>37563.15</v>
      </c>
      <c r="I21" s="56">
        <f t="shared" si="4"/>
        <v>48280.340000000004</v>
      </c>
      <c r="J21" s="27">
        <f t="shared" si="4"/>
        <v>35274.143921700001</v>
      </c>
      <c r="K21" s="60">
        <f t="shared" si="4"/>
        <v>32036.35</v>
      </c>
      <c r="L21" s="60">
        <f t="shared" si="4"/>
        <v>36173.47</v>
      </c>
      <c r="M21" s="60">
        <f t="shared" si="4"/>
        <v>37613.67</v>
      </c>
      <c r="N21" s="27">
        <f t="shared" si="4"/>
        <v>36423.032432700005</v>
      </c>
      <c r="O21" s="60">
        <f t="shared" si="4"/>
        <v>30274.619999999995</v>
      </c>
      <c r="P21" s="60">
        <f t="shared" si="4"/>
        <v>34572.44</v>
      </c>
      <c r="Q21" s="60">
        <f t="shared" si="4"/>
        <v>44423.130000000005</v>
      </c>
      <c r="R21" s="27">
        <f t="shared" si="4"/>
        <v>39854.218120500002</v>
      </c>
      <c r="S21" s="36">
        <f t="shared" si="4"/>
        <v>34717.93</v>
      </c>
      <c r="T21" s="36">
        <f t="shared" si="4"/>
        <v>38641.440000000002</v>
      </c>
      <c r="U21" s="36">
        <f t="shared" si="4"/>
        <v>46204.480000000003</v>
      </c>
      <c r="V21" s="27">
        <f t="shared" si="4"/>
        <v>150521.44477050001</v>
      </c>
      <c r="W21" s="36">
        <f t="shared" si="4"/>
        <v>128096.73</v>
      </c>
      <c r="X21" s="36">
        <f t="shared" si="4"/>
        <v>146950.5</v>
      </c>
      <c r="Y21" s="36">
        <f t="shared" si="4"/>
        <v>176521.62</v>
      </c>
    </row>
    <row r="22" spans="1:25">
      <c r="A22" s="24" t="s">
        <v>562</v>
      </c>
      <c r="B22" s="25"/>
      <c r="C22" s="25"/>
      <c r="D22" s="25"/>
      <c r="E22" s="25"/>
      <c r="F22" s="25"/>
      <c r="G22" s="25"/>
      <c r="H22" s="25"/>
      <c r="I22" s="25"/>
      <c r="J22" s="25"/>
      <c r="K22" s="25"/>
      <c r="L22" s="25"/>
      <c r="M22" s="25"/>
      <c r="N22" s="25"/>
      <c r="O22" s="25"/>
      <c r="P22" s="25"/>
      <c r="Q22" s="25"/>
      <c r="R22" s="25"/>
      <c r="S22" s="25"/>
      <c r="T22" s="25"/>
      <c r="U22" s="25"/>
      <c r="V22" s="25"/>
      <c r="W22" s="25"/>
      <c r="X22" s="25"/>
      <c r="Y22" s="25"/>
    </row>
    <row r="23" spans="1:25">
      <c r="A23" s="40" t="s">
        <v>127</v>
      </c>
      <c r="B23" s="65">
        <v>800</v>
      </c>
      <c r="C23" s="54">
        <v>0</v>
      </c>
      <c r="D23" s="89">
        <v>0</v>
      </c>
      <c r="E23" s="86">
        <v>6000</v>
      </c>
      <c r="F23" s="72">
        <v>0</v>
      </c>
      <c r="G23" s="54">
        <v>0</v>
      </c>
      <c r="H23" s="89">
        <v>0</v>
      </c>
      <c r="I23" s="86">
        <v>0</v>
      </c>
      <c r="J23" s="72">
        <v>0</v>
      </c>
      <c r="K23" s="54">
        <v>0</v>
      </c>
      <c r="L23" s="89">
        <v>0</v>
      </c>
      <c r="M23" s="86">
        <v>0</v>
      </c>
      <c r="N23" s="72">
        <v>0</v>
      </c>
      <c r="O23" s="54">
        <v>0</v>
      </c>
      <c r="P23" s="89">
        <v>0</v>
      </c>
      <c r="Q23" s="86">
        <v>0</v>
      </c>
      <c r="R23" s="72">
        <v>0</v>
      </c>
      <c r="S23" s="32">
        <v>0</v>
      </c>
      <c r="T23" s="84">
        <v>0</v>
      </c>
      <c r="U23" s="80">
        <v>0</v>
      </c>
      <c r="V23" s="65">
        <v>0</v>
      </c>
      <c r="W23" s="32">
        <f t="shared" ref="W23:Y29" si="5">SUM(G23,K23,O23,S23)</f>
        <v>0</v>
      </c>
      <c r="X23" s="84">
        <f t="shared" si="5"/>
        <v>0</v>
      </c>
      <c r="Y23" s="80">
        <f t="shared" si="5"/>
        <v>0</v>
      </c>
    </row>
    <row r="24" spans="1:25">
      <c r="A24" s="41" t="s">
        <v>120</v>
      </c>
      <c r="B24" s="39">
        <v>0</v>
      </c>
      <c r="C24" s="54">
        <v>0</v>
      </c>
      <c r="D24" s="89">
        <v>0</v>
      </c>
      <c r="E24" s="86">
        <v>0</v>
      </c>
      <c r="F24" s="72">
        <v>0</v>
      </c>
      <c r="G24" s="54">
        <v>0</v>
      </c>
      <c r="H24" s="89">
        <v>0</v>
      </c>
      <c r="I24" s="86">
        <v>0</v>
      </c>
      <c r="J24" s="72">
        <v>0</v>
      </c>
      <c r="K24" s="54">
        <v>0</v>
      </c>
      <c r="L24" s="89">
        <v>0</v>
      </c>
      <c r="M24" s="86">
        <v>0</v>
      </c>
      <c r="N24" s="72">
        <v>0</v>
      </c>
      <c r="O24" s="54">
        <v>0</v>
      </c>
      <c r="P24" s="89">
        <v>0</v>
      </c>
      <c r="Q24" s="86">
        <v>0</v>
      </c>
      <c r="R24" s="72">
        <v>0</v>
      </c>
      <c r="S24" s="22">
        <v>0</v>
      </c>
      <c r="T24" s="82">
        <v>0</v>
      </c>
      <c r="U24" s="78">
        <v>0</v>
      </c>
      <c r="V24" s="39">
        <v>0</v>
      </c>
      <c r="W24" s="22">
        <f t="shared" si="5"/>
        <v>0</v>
      </c>
      <c r="X24" s="82">
        <f t="shared" si="5"/>
        <v>0</v>
      </c>
      <c r="Y24" s="78">
        <f t="shared" si="5"/>
        <v>0</v>
      </c>
    </row>
    <row r="25" spans="1:25">
      <c r="A25" s="41" t="s">
        <v>107</v>
      </c>
      <c r="B25" s="39">
        <v>0</v>
      </c>
      <c r="C25" s="54">
        <v>0</v>
      </c>
      <c r="D25" s="89">
        <v>0</v>
      </c>
      <c r="E25" s="86">
        <v>0</v>
      </c>
      <c r="F25" s="72">
        <v>281.44718550000005</v>
      </c>
      <c r="G25" s="54">
        <v>251.46</v>
      </c>
      <c r="H25" s="89">
        <v>244.14</v>
      </c>
      <c r="I25" s="86">
        <v>348.75</v>
      </c>
      <c r="J25" s="72">
        <v>378.11288549999995</v>
      </c>
      <c r="K25" s="54">
        <v>341.46</v>
      </c>
      <c r="L25" s="89">
        <v>444.14</v>
      </c>
      <c r="M25" s="86">
        <v>348.75</v>
      </c>
      <c r="N25" s="72">
        <v>685.29648029999998</v>
      </c>
      <c r="O25" s="54">
        <v>281.45999999999998</v>
      </c>
      <c r="P25" s="89">
        <v>444.14</v>
      </c>
      <c r="Q25" s="86">
        <v>1330.31</v>
      </c>
      <c r="R25" s="72">
        <v>846.10487220000005</v>
      </c>
      <c r="S25" s="22">
        <v>491.46</v>
      </c>
      <c r="T25" s="82">
        <v>244.14</v>
      </c>
      <c r="U25" s="78">
        <v>1802.74</v>
      </c>
      <c r="V25" s="39">
        <v>2190.9614234999999</v>
      </c>
      <c r="W25" s="22">
        <f t="shared" si="5"/>
        <v>1365.84</v>
      </c>
      <c r="X25" s="82">
        <f t="shared" si="5"/>
        <v>1376.56</v>
      </c>
      <c r="Y25" s="78">
        <f t="shared" si="5"/>
        <v>3830.55</v>
      </c>
    </row>
    <row r="26" spans="1:25">
      <c r="A26" s="41" t="s">
        <v>104</v>
      </c>
      <c r="B26" s="39">
        <v>0</v>
      </c>
      <c r="C26" s="54">
        <v>0</v>
      </c>
      <c r="D26" s="89">
        <v>0</v>
      </c>
      <c r="E26" s="86">
        <v>0</v>
      </c>
      <c r="F26" s="72">
        <v>83.33250000000001</v>
      </c>
      <c r="G26" s="54">
        <v>250</v>
      </c>
      <c r="H26" s="89">
        <v>0</v>
      </c>
      <c r="I26" s="86">
        <v>0</v>
      </c>
      <c r="J26" s="72">
        <v>0</v>
      </c>
      <c r="K26" s="54">
        <v>0</v>
      </c>
      <c r="L26" s="89">
        <v>0</v>
      </c>
      <c r="M26" s="86">
        <v>0</v>
      </c>
      <c r="N26" s="72">
        <v>0</v>
      </c>
      <c r="O26" s="54">
        <v>0</v>
      </c>
      <c r="P26" s="89">
        <v>0</v>
      </c>
      <c r="Q26" s="86">
        <v>0</v>
      </c>
      <c r="R26" s="72">
        <v>0</v>
      </c>
      <c r="S26" s="22">
        <v>0</v>
      </c>
      <c r="T26" s="82">
        <v>0</v>
      </c>
      <c r="U26" s="78">
        <v>0</v>
      </c>
      <c r="V26" s="39">
        <v>83.33250000000001</v>
      </c>
      <c r="W26" s="22">
        <f t="shared" si="5"/>
        <v>250</v>
      </c>
      <c r="X26" s="82">
        <f t="shared" si="5"/>
        <v>0</v>
      </c>
      <c r="Y26" s="78">
        <f t="shared" si="5"/>
        <v>0</v>
      </c>
    </row>
    <row r="27" spans="1:25">
      <c r="A27" s="41" t="s">
        <v>102</v>
      </c>
      <c r="B27" s="39">
        <v>0</v>
      </c>
      <c r="C27" s="54">
        <v>0</v>
      </c>
      <c r="D27" s="89">
        <v>0</v>
      </c>
      <c r="E27" s="86">
        <v>0</v>
      </c>
      <c r="F27" s="72">
        <v>0</v>
      </c>
      <c r="G27" s="54">
        <v>0</v>
      </c>
      <c r="H27" s="89">
        <v>0</v>
      </c>
      <c r="I27" s="86">
        <v>0</v>
      </c>
      <c r="J27" s="72">
        <v>0</v>
      </c>
      <c r="K27" s="54">
        <v>0</v>
      </c>
      <c r="L27" s="89">
        <v>0</v>
      </c>
      <c r="M27" s="86">
        <v>0</v>
      </c>
      <c r="N27" s="72">
        <v>0</v>
      </c>
      <c r="O27" s="54">
        <v>0</v>
      </c>
      <c r="P27" s="89">
        <v>0</v>
      </c>
      <c r="Q27" s="86">
        <v>0</v>
      </c>
      <c r="R27" s="72">
        <v>0</v>
      </c>
      <c r="S27" s="22">
        <v>0</v>
      </c>
      <c r="T27" s="82">
        <v>0</v>
      </c>
      <c r="U27" s="78">
        <v>0</v>
      </c>
      <c r="V27" s="39">
        <v>0</v>
      </c>
      <c r="W27" s="22">
        <f t="shared" si="5"/>
        <v>0</v>
      </c>
      <c r="X27" s="82">
        <f t="shared" si="5"/>
        <v>0</v>
      </c>
      <c r="Y27" s="78">
        <f t="shared" si="5"/>
        <v>0</v>
      </c>
    </row>
    <row r="28" spans="1:25">
      <c r="A28" s="41" t="s">
        <v>98</v>
      </c>
      <c r="B28" s="39">
        <v>0</v>
      </c>
      <c r="C28" s="54">
        <v>0</v>
      </c>
      <c r="D28" s="89">
        <v>0</v>
      </c>
      <c r="E28" s="86">
        <v>0</v>
      </c>
      <c r="F28" s="72">
        <v>14.066526000000001</v>
      </c>
      <c r="G28" s="54">
        <v>0</v>
      </c>
      <c r="H28" s="89">
        <v>42.2</v>
      </c>
      <c r="I28" s="86">
        <v>0</v>
      </c>
      <c r="J28" s="72">
        <v>0</v>
      </c>
      <c r="K28" s="54">
        <v>0</v>
      </c>
      <c r="L28" s="89">
        <v>0</v>
      </c>
      <c r="M28" s="86">
        <v>0</v>
      </c>
      <c r="N28" s="72">
        <v>0</v>
      </c>
      <c r="O28" s="54">
        <v>0</v>
      </c>
      <c r="P28" s="89">
        <v>0</v>
      </c>
      <c r="Q28" s="86">
        <v>0</v>
      </c>
      <c r="R28" s="72">
        <v>0</v>
      </c>
      <c r="S28" s="22">
        <v>0</v>
      </c>
      <c r="T28" s="82">
        <v>0</v>
      </c>
      <c r="U28" s="78">
        <v>0</v>
      </c>
      <c r="V28" s="39">
        <v>14.066526000000001</v>
      </c>
      <c r="W28" s="22">
        <f t="shared" si="5"/>
        <v>0</v>
      </c>
      <c r="X28" s="82">
        <f t="shared" si="5"/>
        <v>42.2</v>
      </c>
      <c r="Y28" s="78">
        <f t="shared" si="5"/>
        <v>0</v>
      </c>
    </row>
    <row r="29" spans="1:25">
      <c r="A29" s="42" t="s">
        <v>84</v>
      </c>
      <c r="B29" s="64">
        <v>0</v>
      </c>
      <c r="C29" s="59">
        <v>0</v>
      </c>
      <c r="D29" s="91">
        <v>0</v>
      </c>
      <c r="E29" s="88">
        <v>0</v>
      </c>
      <c r="F29" s="73">
        <v>91.999080000000006</v>
      </c>
      <c r="G29" s="59">
        <v>0</v>
      </c>
      <c r="H29" s="91">
        <v>276</v>
      </c>
      <c r="I29" s="88">
        <v>0</v>
      </c>
      <c r="J29" s="73">
        <v>199.99800000000002</v>
      </c>
      <c r="K29" s="59">
        <v>0</v>
      </c>
      <c r="L29" s="91">
        <v>0</v>
      </c>
      <c r="M29" s="88">
        <v>600</v>
      </c>
      <c r="N29" s="73">
        <v>417.99581999999998</v>
      </c>
      <c r="O29" s="59">
        <v>0</v>
      </c>
      <c r="P29" s="91">
        <v>725</v>
      </c>
      <c r="Q29" s="88">
        <v>529</v>
      </c>
      <c r="R29" s="73">
        <v>342.31657680000001</v>
      </c>
      <c r="S29" s="35">
        <v>0</v>
      </c>
      <c r="T29" s="85">
        <v>0</v>
      </c>
      <c r="U29" s="81">
        <v>1026.96</v>
      </c>
      <c r="V29" s="64">
        <v>1052.3094768000001</v>
      </c>
      <c r="W29" s="35">
        <f t="shared" si="5"/>
        <v>0</v>
      </c>
      <c r="X29" s="85">
        <f t="shared" si="5"/>
        <v>1001</v>
      </c>
      <c r="Y29" s="81">
        <f t="shared" si="5"/>
        <v>2155.96</v>
      </c>
    </row>
    <row r="30" spans="1:25">
      <c r="A30" s="23" t="s">
        <v>563</v>
      </c>
      <c r="B30" s="27">
        <f t="shared" ref="B30:Y30" si="6">SUM(B23:B29)</f>
        <v>800</v>
      </c>
      <c r="C30" s="60">
        <f t="shared" si="6"/>
        <v>0</v>
      </c>
      <c r="D30" s="60">
        <f t="shared" si="6"/>
        <v>0</v>
      </c>
      <c r="E30" s="60">
        <f t="shared" si="6"/>
        <v>6000</v>
      </c>
      <c r="F30" s="27">
        <f t="shared" si="6"/>
        <v>470.84529150000003</v>
      </c>
      <c r="G30" s="60">
        <f t="shared" si="6"/>
        <v>501.46000000000004</v>
      </c>
      <c r="H30" s="60">
        <f t="shared" si="6"/>
        <v>562.33999999999992</v>
      </c>
      <c r="I30" s="60">
        <f t="shared" si="6"/>
        <v>348.75</v>
      </c>
      <c r="J30" s="27">
        <f t="shared" si="6"/>
        <v>578.11088549999999</v>
      </c>
      <c r="K30" s="60">
        <f t="shared" si="6"/>
        <v>341.46</v>
      </c>
      <c r="L30" s="60">
        <f t="shared" si="6"/>
        <v>444.14</v>
      </c>
      <c r="M30" s="60">
        <f t="shared" si="6"/>
        <v>948.75</v>
      </c>
      <c r="N30" s="27">
        <f t="shared" si="6"/>
        <v>1103.2923003000001</v>
      </c>
      <c r="O30" s="60">
        <f t="shared" si="6"/>
        <v>281.45999999999998</v>
      </c>
      <c r="P30" s="60">
        <f t="shared" si="6"/>
        <v>1169.1399999999999</v>
      </c>
      <c r="Q30" s="60">
        <f t="shared" si="6"/>
        <v>1859.31</v>
      </c>
      <c r="R30" s="27">
        <f t="shared" si="6"/>
        <v>1188.4214489999999</v>
      </c>
      <c r="S30" s="36">
        <f t="shared" si="6"/>
        <v>491.46</v>
      </c>
      <c r="T30" s="36">
        <f t="shared" si="6"/>
        <v>244.14</v>
      </c>
      <c r="U30" s="36">
        <f t="shared" si="6"/>
        <v>2829.7</v>
      </c>
      <c r="V30" s="27">
        <f t="shared" si="6"/>
        <v>3340.6699263</v>
      </c>
      <c r="W30" s="36">
        <f t="shared" si="6"/>
        <v>1615.84</v>
      </c>
      <c r="X30" s="36">
        <f t="shared" si="6"/>
        <v>2419.7600000000002</v>
      </c>
      <c r="Y30" s="36">
        <f t="shared" si="6"/>
        <v>5986.51</v>
      </c>
    </row>
    <row r="31" spans="1:25">
      <c r="A31" s="24" t="s">
        <v>429</v>
      </c>
      <c r="B31" s="21"/>
      <c r="C31" s="26"/>
      <c r="D31" s="26"/>
      <c r="E31" s="26"/>
      <c r="F31" s="26"/>
      <c r="G31" s="26"/>
      <c r="H31" s="26"/>
      <c r="I31" s="26"/>
      <c r="J31" s="26"/>
      <c r="K31" s="26"/>
      <c r="L31" s="26"/>
      <c r="M31" s="26"/>
      <c r="N31" s="26"/>
      <c r="O31" s="26"/>
      <c r="P31" s="26"/>
      <c r="Q31" s="26"/>
      <c r="R31" s="26"/>
      <c r="S31" s="26"/>
      <c r="T31" s="26"/>
      <c r="U31" s="26"/>
      <c r="V31" s="21"/>
      <c r="W31" s="26"/>
      <c r="X31" s="26"/>
      <c r="Y31" s="26"/>
    </row>
    <row r="32" spans="1:25">
      <c r="A32" s="40" t="s">
        <v>81</v>
      </c>
      <c r="B32" s="65">
        <v>6000</v>
      </c>
      <c r="C32" s="54">
        <v>6000</v>
      </c>
      <c r="D32" s="89">
        <v>6000</v>
      </c>
      <c r="E32" s="86">
        <v>0</v>
      </c>
      <c r="F32" s="72">
        <v>341.95991370000002</v>
      </c>
      <c r="G32" s="54">
        <v>533.49</v>
      </c>
      <c r="H32" s="89">
        <v>0</v>
      </c>
      <c r="I32" s="86">
        <v>492.4</v>
      </c>
      <c r="J32" s="72">
        <v>697.00636320000001</v>
      </c>
      <c r="K32" s="54">
        <v>2091.04</v>
      </c>
      <c r="L32" s="89">
        <v>0</v>
      </c>
      <c r="M32" s="86">
        <v>0</v>
      </c>
      <c r="N32" s="72">
        <v>406.11593880000004</v>
      </c>
      <c r="O32" s="54">
        <v>0</v>
      </c>
      <c r="P32" s="89">
        <v>702.61</v>
      </c>
      <c r="Q32" s="86">
        <v>515.75</v>
      </c>
      <c r="R32" s="72">
        <v>0</v>
      </c>
      <c r="S32" s="32">
        <v>0</v>
      </c>
      <c r="T32" s="84">
        <v>0</v>
      </c>
      <c r="U32" s="80">
        <v>0</v>
      </c>
      <c r="V32" s="65">
        <v>1445.0822157</v>
      </c>
      <c r="W32" s="32">
        <f t="shared" ref="W32:Y33" si="7">SUM(G32,K32,O32,S32)</f>
        <v>2624.5299999999997</v>
      </c>
      <c r="X32" s="84">
        <f t="shared" si="7"/>
        <v>702.61</v>
      </c>
      <c r="Y32" s="80">
        <f t="shared" si="7"/>
        <v>1008.15</v>
      </c>
    </row>
    <row r="33" spans="1:25">
      <c r="A33" s="42" t="s">
        <v>79</v>
      </c>
      <c r="B33" s="64">
        <v>0</v>
      </c>
      <c r="C33" s="59">
        <v>0</v>
      </c>
      <c r="D33" s="91">
        <v>0</v>
      </c>
      <c r="E33" s="88">
        <v>0</v>
      </c>
      <c r="F33" s="73">
        <v>0</v>
      </c>
      <c r="G33" s="59">
        <v>0</v>
      </c>
      <c r="H33" s="91">
        <v>0</v>
      </c>
      <c r="I33" s="88">
        <v>0</v>
      </c>
      <c r="J33" s="73">
        <v>0</v>
      </c>
      <c r="K33" s="59">
        <v>0</v>
      </c>
      <c r="L33" s="91">
        <v>0</v>
      </c>
      <c r="M33" s="88">
        <v>0</v>
      </c>
      <c r="N33" s="73">
        <v>0</v>
      </c>
      <c r="O33" s="59">
        <v>0</v>
      </c>
      <c r="P33" s="91">
        <v>0</v>
      </c>
      <c r="Q33" s="88">
        <v>0</v>
      </c>
      <c r="R33" s="73">
        <v>0</v>
      </c>
      <c r="S33" s="35">
        <v>0</v>
      </c>
      <c r="T33" s="85">
        <v>0</v>
      </c>
      <c r="U33" s="81">
        <v>0</v>
      </c>
      <c r="V33" s="64">
        <v>0</v>
      </c>
      <c r="W33" s="35">
        <f t="shared" si="7"/>
        <v>0</v>
      </c>
      <c r="X33" s="85">
        <f t="shared" si="7"/>
        <v>0</v>
      </c>
      <c r="Y33" s="81">
        <f t="shared" si="7"/>
        <v>0</v>
      </c>
    </row>
    <row r="34" spans="1:25">
      <c r="A34" s="23" t="s">
        <v>564</v>
      </c>
      <c r="B34" s="27">
        <f t="shared" ref="B34:Y34" si="8">SUM(B32:B33)</f>
        <v>6000</v>
      </c>
      <c r="C34" s="60">
        <f t="shared" si="8"/>
        <v>6000</v>
      </c>
      <c r="D34" s="60">
        <f t="shared" si="8"/>
        <v>6000</v>
      </c>
      <c r="E34" s="60">
        <f t="shared" si="8"/>
        <v>0</v>
      </c>
      <c r="F34" s="27">
        <f t="shared" si="8"/>
        <v>341.95991370000002</v>
      </c>
      <c r="G34" s="60">
        <f t="shared" si="8"/>
        <v>533.49</v>
      </c>
      <c r="H34" s="60">
        <f t="shared" si="8"/>
        <v>0</v>
      </c>
      <c r="I34" s="60">
        <f t="shared" si="8"/>
        <v>492.4</v>
      </c>
      <c r="J34" s="27">
        <f t="shared" si="8"/>
        <v>697.00636320000001</v>
      </c>
      <c r="K34" s="60">
        <f t="shared" si="8"/>
        <v>2091.04</v>
      </c>
      <c r="L34" s="60">
        <f t="shared" si="8"/>
        <v>0</v>
      </c>
      <c r="M34" s="60">
        <f t="shared" si="8"/>
        <v>0</v>
      </c>
      <c r="N34" s="27">
        <f t="shared" si="8"/>
        <v>406.11593880000004</v>
      </c>
      <c r="O34" s="60">
        <f t="shared" si="8"/>
        <v>0</v>
      </c>
      <c r="P34" s="60">
        <f t="shared" si="8"/>
        <v>702.61</v>
      </c>
      <c r="Q34" s="60">
        <f t="shared" si="8"/>
        <v>515.75</v>
      </c>
      <c r="R34" s="27">
        <f t="shared" si="8"/>
        <v>0</v>
      </c>
      <c r="S34" s="36">
        <f t="shared" si="8"/>
        <v>0</v>
      </c>
      <c r="T34" s="36">
        <f t="shared" si="8"/>
        <v>0</v>
      </c>
      <c r="U34" s="36">
        <f t="shared" si="8"/>
        <v>0</v>
      </c>
      <c r="V34" s="27">
        <f t="shared" si="8"/>
        <v>1445.0822157</v>
      </c>
      <c r="W34" s="36">
        <f t="shared" si="8"/>
        <v>2624.5299999999997</v>
      </c>
      <c r="X34" s="36">
        <f t="shared" si="8"/>
        <v>702.61</v>
      </c>
      <c r="Y34" s="36">
        <f t="shared" si="8"/>
        <v>1008.15</v>
      </c>
    </row>
    <row r="35" spans="1:25">
      <c r="A35" s="24" t="s">
        <v>565</v>
      </c>
      <c r="B35" s="26"/>
      <c r="C35" s="26"/>
      <c r="D35" s="26"/>
      <c r="E35" s="26"/>
      <c r="F35" s="26"/>
      <c r="G35" s="26"/>
      <c r="H35" s="26"/>
      <c r="I35" s="26"/>
      <c r="J35" s="26"/>
      <c r="K35" s="26"/>
      <c r="L35" s="26"/>
      <c r="M35" s="26"/>
      <c r="N35" s="26"/>
      <c r="O35" s="26"/>
      <c r="P35" s="26"/>
      <c r="Q35" s="26"/>
      <c r="R35" s="26"/>
      <c r="S35" s="26"/>
      <c r="T35" s="26"/>
      <c r="U35" s="26"/>
      <c r="V35" s="26"/>
      <c r="W35" s="26"/>
      <c r="X35" s="26"/>
      <c r="Y35" s="26"/>
    </row>
    <row r="36" spans="1:25">
      <c r="A36" s="40" t="s">
        <v>77</v>
      </c>
      <c r="B36" s="65">
        <v>0</v>
      </c>
      <c r="C36" s="54">
        <v>0</v>
      </c>
      <c r="D36" s="89">
        <v>0</v>
      </c>
      <c r="E36" s="86">
        <v>0</v>
      </c>
      <c r="F36" s="72">
        <v>0</v>
      </c>
      <c r="G36" s="54">
        <v>0</v>
      </c>
      <c r="H36" s="89">
        <v>0</v>
      </c>
      <c r="I36" s="86">
        <v>0</v>
      </c>
      <c r="J36" s="72">
        <v>0</v>
      </c>
      <c r="K36" s="54">
        <v>0</v>
      </c>
      <c r="L36" s="89">
        <v>0</v>
      </c>
      <c r="M36" s="86">
        <v>0</v>
      </c>
      <c r="N36" s="72">
        <v>0</v>
      </c>
      <c r="O36" s="54">
        <v>0</v>
      </c>
      <c r="P36" s="89">
        <v>0</v>
      </c>
      <c r="Q36" s="86">
        <v>0</v>
      </c>
      <c r="R36" s="72">
        <v>0</v>
      </c>
      <c r="S36" s="32">
        <v>0</v>
      </c>
      <c r="T36" s="84">
        <v>0</v>
      </c>
      <c r="U36" s="80">
        <v>0</v>
      </c>
      <c r="V36" s="65">
        <v>0</v>
      </c>
      <c r="W36" s="32">
        <f t="shared" ref="W36:Y41" si="9">SUM(G36,K36,O36,S36)</f>
        <v>0</v>
      </c>
      <c r="X36" s="84">
        <f t="shared" si="9"/>
        <v>0</v>
      </c>
      <c r="Y36" s="80">
        <f t="shared" si="9"/>
        <v>0</v>
      </c>
    </row>
    <row r="37" spans="1:25">
      <c r="A37" s="41" t="s">
        <v>59</v>
      </c>
      <c r="B37" s="39">
        <v>0</v>
      </c>
      <c r="C37" s="54">
        <v>0</v>
      </c>
      <c r="D37" s="89">
        <v>0</v>
      </c>
      <c r="E37" s="86">
        <v>0</v>
      </c>
      <c r="F37" s="72">
        <v>0</v>
      </c>
      <c r="G37" s="54">
        <v>0</v>
      </c>
      <c r="H37" s="89">
        <v>0</v>
      </c>
      <c r="I37" s="86">
        <v>0</v>
      </c>
      <c r="J37" s="72">
        <v>0</v>
      </c>
      <c r="K37" s="54">
        <v>0</v>
      </c>
      <c r="L37" s="89">
        <v>0</v>
      </c>
      <c r="M37" s="86">
        <v>0</v>
      </c>
      <c r="N37" s="72">
        <v>0</v>
      </c>
      <c r="O37" s="54">
        <v>0</v>
      </c>
      <c r="P37" s="89">
        <v>0</v>
      </c>
      <c r="Q37" s="86">
        <v>0</v>
      </c>
      <c r="R37" s="72">
        <v>0</v>
      </c>
      <c r="S37" s="22">
        <v>0</v>
      </c>
      <c r="T37" s="82">
        <v>0</v>
      </c>
      <c r="U37" s="78">
        <v>0</v>
      </c>
      <c r="V37" s="39">
        <v>0</v>
      </c>
      <c r="W37" s="22">
        <f t="shared" si="9"/>
        <v>0</v>
      </c>
      <c r="X37" s="82">
        <f t="shared" si="9"/>
        <v>0</v>
      </c>
      <c r="Y37" s="78">
        <f t="shared" si="9"/>
        <v>0</v>
      </c>
    </row>
    <row r="38" spans="1:25">
      <c r="A38" s="41" t="s">
        <v>39</v>
      </c>
      <c r="B38" s="39">
        <v>0</v>
      </c>
      <c r="C38" s="54">
        <v>0</v>
      </c>
      <c r="D38" s="89">
        <v>0</v>
      </c>
      <c r="E38" s="86">
        <v>0</v>
      </c>
      <c r="F38" s="72">
        <v>0</v>
      </c>
      <c r="G38" s="54">
        <v>0</v>
      </c>
      <c r="H38" s="89">
        <v>0</v>
      </c>
      <c r="I38" s="86">
        <v>0</v>
      </c>
      <c r="J38" s="72">
        <v>0</v>
      </c>
      <c r="K38" s="54">
        <v>0</v>
      </c>
      <c r="L38" s="89">
        <v>0</v>
      </c>
      <c r="M38" s="86">
        <v>0</v>
      </c>
      <c r="N38" s="72">
        <v>0</v>
      </c>
      <c r="O38" s="54">
        <v>0</v>
      </c>
      <c r="P38" s="89">
        <v>0</v>
      </c>
      <c r="Q38" s="86">
        <v>0</v>
      </c>
      <c r="R38" s="72">
        <v>0</v>
      </c>
      <c r="S38" s="22">
        <v>0</v>
      </c>
      <c r="T38" s="82">
        <v>0</v>
      </c>
      <c r="U38" s="78">
        <v>0</v>
      </c>
      <c r="V38" s="39">
        <v>0</v>
      </c>
      <c r="W38" s="22">
        <f t="shared" si="9"/>
        <v>0</v>
      </c>
      <c r="X38" s="82">
        <f t="shared" si="9"/>
        <v>0</v>
      </c>
      <c r="Y38" s="78">
        <f t="shared" si="9"/>
        <v>0</v>
      </c>
    </row>
    <row r="39" spans="1:25">
      <c r="A39" s="92" t="s">
        <v>31</v>
      </c>
      <c r="B39" s="93">
        <v>0</v>
      </c>
      <c r="C39" s="94">
        <v>0</v>
      </c>
      <c r="D39" s="100">
        <v>0</v>
      </c>
      <c r="E39" s="99">
        <v>0</v>
      </c>
      <c r="F39" s="95">
        <v>0</v>
      </c>
      <c r="G39" s="94">
        <v>0</v>
      </c>
      <c r="H39" s="100">
        <v>0</v>
      </c>
      <c r="I39" s="99">
        <v>0</v>
      </c>
      <c r="J39" s="95">
        <v>0</v>
      </c>
      <c r="K39" s="94">
        <v>0</v>
      </c>
      <c r="L39" s="100">
        <v>0</v>
      </c>
      <c r="M39" s="99">
        <v>0</v>
      </c>
      <c r="N39" s="95">
        <v>0</v>
      </c>
      <c r="O39" s="94">
        <v>0</v>
      </c>
      <c r="P39" s="100">
        <v>0</v>
      </c>
      <c r="Q39" s="99">
        <v>0</v>
      </c>
      <c r="R39" s="95">
        <v>0</v>
      </c>
      <c r="S39" s="96">
        <v>0</v>
      </c>
      <c r="T39" s="98">
        <v>0</v>
      </c>
      <c r="U39" s="97">
        <v>0</v>
      </c>
      <c r="V39" s="93">
        <v>0</v>
      </c>
      <c r="W39" s="96">
        <f t="shared" si="9"/>
        <v>0</v>
      </c>
      <c r="X39" s="98">
        <f t="shared" si="9"/>
        <v>0</v>
      </c>
      <c r="Y39" s="97">
        <f t="shared" si="9"/>
        <v>0</v>
      </c>
    </row>
    <row r="40" spans="1:25">
      <c r="A40" s="41" t="s">
        <v>27</v>
      </c>
      <c r="B40" s="39">
        <v>12820</v>
      </c>
      <c r="C40" s="54">
        <v>12127</v>
      </c>
      <c r="D40" s="89">
        <v>11840</v>
      </c>
      <c r="E40" s="86">
        <v>14741</v>
      </c>
      <c r="F40" s="72">
        <v>2382.1561781999999</v>
      </c>
      <c r="G40" s="54">
        <v>2019.26</v>
      </c>
      <c r="H40" s="89">
        <v>2302.79</v>
      </c>
      <c r="I40" s="86">
        <v>2824.49</v>
      </c>
      <c r="J40" s="72">
        <v>2124.2720904000003</v>
      </c>
      <c r="K40" s="54">
        <v>2168.09</v>
      </c>
      <c r="L40" s="89">
        <v>2211.71</v>
      </c>
      <c r="M40" s="86">
        <v>1993.08</v>
      </c>
      <c r="N40" s="72">
        <v>2346.0998721000001</v>
      </c>
      <c r="O40" s="54">
        <v>1921.98</v>
      </c>
      <c r="P40" s="89">
        <v>2201.23</v>
      </c>
      <c r="Q40" s="86">
        <v>2915.16</v>
      </c>
      <c r="R40" s="72">
        <v>2460.9187239000003</v>
      </c>
      <c r="S40" s="22">
        <v>2214.67</v>
      </c>
      <c r="T40" s="82">
        <v>2348.69</v>
      </c>
      <c r="U40" s="78">
        <v>2819.47</v>
      </c>
      <c r="V40" s="39">
        <v>9313.4468646000005</v>
      </c>
      <c r="W40" s="22">
        <f t="shared" si="9"/>
        <v>8324</v>
      </c>
      <c r="X40" s="82">
        <f t="shared" si="9"/>
        <v>9064.42</v>
      </c>
      <c r="Y40" s="78">
        <f t="shared" si="9"/>
        <v>10552.199999999999</v>
      </c>
    </row>
    <row r="41" spans="1:25">
      <c r="A41" s="42" t="s">
        <v>25</v>
      </c>
      <c r="B41" s="64">
        <v>1041</v>
      </c>
      <c r="C41" s="59">
        <v>1004</v>
      </c>
      <c r="D41" s="91">
        <v>980</v>
      </c>
      <c r="E41" s="88">
        <v>1769</v>
      </c>
      <c r="F41" s="73">
        <v>231.09435569999999</v>
      </c>
      <c r="G41" s="59">
        <v>163.72</v>
      </c>
      <c r="H41" s="91">
        <v>190.63</v>
      </c>
      <c r="I41" s="88">
        <v>338.94</v>
      </c>
      <c r="J41" s="73">
        <v>199.3480065</v>
      </c>
      <c r="K41" s="59">
        <v>175.79</v>
      </c>
      <c r="L41" s="91">
        <v>183.09</v>
      </c>
      <c r="M41" s="88">
        <v>239.17</v>
      </c>
      <c r="N41" s="73">
        <v>229.29104039999999</v>
      </c>
      <c r="O41" s="59">
        <v>155.83000000000001</v>
      </c>
      <c r="P41" s="91">
        <v>182.22</v>
      </c>
      <c r="Q41" s="88">
        <v>349.83</v>
      </c>
      <c r="R41" s="73">
        <v>237.4409589</v>
      </c>
      <c r="S41" s="35">
        <v>179.56</v>
      </c>
      <c r="T41" s="85">
        <v>194.43</v>
      </c>
      <c r="U41" s="81">
        <v>338.34</v>
      </c>
      <c r="V41" s="64">
        <v>897.17436150000015</v>
      </c>
      <c r="W41" s="35">
        <f t="shared" si="9"/>
        <v>674.90000000000009</v>
      </c>
      <c r="X41" s="85">
        <f t="shared" si="9"/>
        <v>750.37000000000012</v>
      </c>
      <c r="Y41" s="81">
        <f t="shared" si="9"/>
        <v>1266.28</v>
      </c>
    </row>
    <row r="42" spans="1:25">
      <c r="A42" s="23" t="s">
        <v>566</v>
      </c>
      <c r="B42" s="27">
        <f t="shared" ref="B42:Y42" si="10">SUM(B36:B41)</f>
        <v>13861</v>
      </c>
      <c r="C42" s="56">
        <f t="shared" si="10"/>
        <v>13131</v>
      </c>
      <c r="D42" s="56">
        <f t="shared" si="10"/>
        <v>12820</v>
      </c>
      <c r="E42" s="56">
        <f t="shared" si="10"/>
        <v>16510</v>
      </c>
      <c r="F42" s="66">
        <f t="shared" si="10"/>
        <v>2613.2505338999999</v>
      </c>
      <c r="G42" s="56">
        <f t="shared" si="10"/>
        <v>2182.98</v>
      </c>
      <c r="H42" s="56">
        <f t="shared" si="10"/>
        <v>2493.42</v>
      </c>
      <c r="I42" s="56">
        <f t="shared" si="10"/>
        <v>3163.43</v>
      </c>
      <c r="J42" s="66">
        <f t="shared" si="10"/>
        <v>2323.6200969000001</v>
      </c>
      <c r="K42" s="56">
        <f t="shared" si="10"/>
        <v>2343.88</v>
      </c>
      <c r="L42" s="56">
        <f t="shared" si="10"/>
        <v>2394.8000000000002</v>
      </c>
      <c r="M42" s="56">
        <f t="shared" si="10"/>
        <v>2232.25</v>
      </c>
      <c r="N42" s="66">
        <f t="shared" si="10"/>
        <v>2575.3909125</v>
      </c>
      <c r="O42" s="56">
        <f t="shared" si="10"/>
        <v>2077.81</v>
      </c>
      <c r="P42" s="56">
        <f t="shared" si="10"/>
        <v>2383.4499999999998</v>
      </c>
      <c r="Q42" s="56">
        <f t="shared" si="10"/>
        <v>3264.99</v>
      </c>
      <c r="R42" s="66">
        <f t="shared" si="10"/>
        <v>2698.3596828000004</v>
      </c>
      <c r="S42" s="37">
        <f t="shared" si="10"/>
        <v>2394.23</v>
      </c>
      <c r="T42" s="37">
        <f t="shared" si="10"/>
        <v>2543.12</v>
      </c>
      <c r="U42" s="37">
        <f t="shared" si="10"/>
        <v>3157.81</v>
      </c>
      <c r="V42" s="27">
        <f t="shared" si="10"/>
        <v>10210.6212261</v>
      </c>
      <c r="W42" s="37">
        <f t="shared" si="10"/>
        <v>8998.9</v>
      </c>
      <c r="X42" s="37">
        <f t="shared" si="10"/>
        <v>9814.7900000000009</v>
      </c>
      <c r="Y42" s="37">
        <f t="shared" si="10"/>
        <v>11818.48</v>
      </c>
    </row>
    <row r="43" spans="1:25" ht="16.2" thickBot="1">
      <c r="A43" s="43" t="s">
        <v>567</v>
      </c>
      <c r="B43" s="34">
        <f>SUM(B21,B30,B34,B42)</f>
        <v>217695</v>
      </c>
      <c r="C43" s="52">
        <f t="shared" ref="C43:U43" si="11">SUM(C21,C30,C34,C42)</f>
        <v>213902</v>
      </c>
      <c r="D43" s="52">
        <f t="shared" si="11"/>
        <v>208840</v>
      </c>
      <c r="E43" s="52">
        <f t="shared" si="11"/>
        <v>272877</v>
      </c>
      <c r="F43" s="34">
        <f t="shared" si="11"/>
        <v>42396.106034699995</v>
      </c>
      <c r="G43" s="52">
        <f t="shared" si="11"/>
        <v>34285.760000000002</v>
      </c>
      <c r="H43" s="52">
        <f t="shared" si="11"/>
        <v>40618.909999999996</v>
      </c>
      <c r="I43" s="52">
        <f t="shared" si="11"/>
        <v>52284.920000000006</v>
      </c>
      <c r="J43" s="34">
        <f t="shared" si="11"/>
        <v>38872.881267299999</v>
      </c>
      <c r="K43" s="52">
        <f t="shared" si="11"/>
        <v>36812.729999999996</v>
      </c>
      <c r="L43" s="52">
        <f t="shared" si="11"/>
        <v>39012.410000000003</v>
      </c>
      <c r="M43" s="52">
        <f t="shared" si="11"/>
        <v>40794.67</v>
      </c>
      <c r="N43" s="34">
        <f t="shared" si="11"/>
        <v>40507.831584300009</v>
      </c>
      <c r="O43" s="52">
        <f t="shared" si="11"/>
        <v>32633.889999999996</v>
      </c>
      <c r="P43" s="52">
        <f t="shared" si="11"/>
        <v>38827.64</v>
      </c>
      <c r="Q43" s="52">
        <f t="shared" si="11"/>
        <v>50063.18</v>
      </c>
      <c r="R43" s="34">
        <f t="shared" si="11"/>
        <v>43740.999252300004</v>
      </c>
      <c r="S43" s="34">
        <f t="shared" si="11"/>
        <v>37603.620000000003</v>
      </c>
      <c r="T43" s="34">
        <f t="shared" si="11"/>
        <v>41428.700000000004</v>
      </c>
      <c r="U43" s="34">
        <f t="shared" si="11"/>
        <v>52191.99</v>
      </c>
      <c r="V43" s="34">
        <f>SUM(V21,V30,V34,V42)</f>
        <v>165517.81813860001</v>
      </c>
      <c r="W43" s="34">
        <f t="shared" ref="W43:Y43" si="12">SUM(W21,W30,W34,W42)</f>
        <v>141336</v>
      </c>
      <c r="X43" s="34">
        <f t="shared" si="12"/>
        <v>159887.66</v>
      </c>
      <c r="Y43" s="34">
        <f t="shared" si="12"/>
        <v>195334.76</v>
      </c>
    </row>
    <row r="44" spans="1:25" ht="15" thickTop="1">
      <c r="A44" s="44" t="s">
        <v>568</v>
      </c>
      <c r="B44" s="28"/>
      <c r="C44" s="20"/>
      <c r="D44" s="20"/>
      <c r="E44" s="20"/>
      <c r="F44" s="28"/>
      <c r="G44" s="20"/>
      <c r="H44" s="20"/>
      <c r="I44" s="20"/>
      <c r="J44" s="28"/>
      <c r="K44" s="20"/>
      <c r="L44" s="20"/>
      <c r="M44" s="20"/>
      <c r="N44" s="28"/>
      <c r="O44" s="20"/>
      <c r="P44" s="20"/>
      <c r="Q44" s="20"/>
      <c r="R44" s="28"/>
      <c r="S44" s="20"/>
      <c r="T44" s="20"/>
      <c r="U44" s="20"/>
      <c r="V44" s="28"/>
      <c r="W44" s="20"/>
      <c r="X44" s="20"/>
      <c r="Y44" s="20"/>
    </row>
    <row r="45" spans="1:25">
      <c r="A45" s="40" t="s">
        <v>23</v>
      </c>
      <c r="B45" s="65">
        <v>0</v>
      </c>
      <c r="C45" s="54">
        <v>0</v>
      </c>
      <c r="D45" s="89">
        <v>0</v>
      </c>
      <c r="E45" s="86">
        <v>0</v>
      </c>
      <c r="F45" s="72">
        <v>0</v>
      </c>
      <c r="G45" s="54">
        <v>0</v>
      </c>
      <c r="H45" s="89">
        <v>0</v>
      </c>
      <c r="I45" s="86">
        <v>0</v>
      </c>
      <c r="J45" s="72">
        <v>0</v>
      </c>
      <c r="K45" s="54">
        <v>0</v>
      </c>
      <c r="L45" s="89">
        <v>0</v>
      </c>
      <c r="M45" s="86">
        <v>0</v>
      </c>
      <c r="N45" s="72">
        <v>0</v>
      </c>
      <c r="O45" s="54">
        <v>0</v>
      </c>
      <c r="P45" s="89">
        <v>0</v>
      </c>
      <c r="Q45" s="86">
        <v>0</v>
      </c>
      <c r="R45" s="72">
        <v>73963.880353800007</v>
      </c>
      <c r="S45" s="32">
        <v>72566</v>
      </c>
      <c r="T45" s="84">
        <v>48952.34</v>
      </c>
      <c r="U45" s="80">
        <v>100375.52</v>
      </c>
      <c r="V45" s="65">
        <v>73963.880353800007</v>
      </c>
      <c r="W45" s="32">
        <f t="shared" ref="W45:Y46" si="13">SUM(G45,K45,O45,S45)</f>
        <v>72566</v>
      </c>
      <c r="X45" s="84">
        <f t="shared" si="13"/>
        <v>48952.34</v>
      </c>
      <c r="Y45" s="80">
        <f t="shared" si="13"/>
        <v>100375.52</v>
      </c>
    </row>
    <row r="46" spans="1:25">
      <c r="A46" s="42" t="s">
        <v>7</v>
      </c>
      <c r="B46" s="64">
        <v>0</v>
      </c>
      <c r="C46" s="59">
        <v>0</v>
      </c>
      <c r="D46" s="91">
        <v>0</v>
      </c>
      <c r="E46" s="88">
        <v>0</v>
      </c>
      <c r="F46" s="73">
        <v>0</v>
      </c>
      <c r="G46" s="59">
        <v>0</v>
      </c>
      <c r="H46" s="91">
        <v>0</v>
      </c>
      <c r="I46" s="88">
        <v>0</v>
      </c>
      <c r="J46" s="73">
        <v>0</v>
      </c>
      <c r="K46" s="59">
        <v>0</v>
      </c>
      <c r="L46" s="91">
        <v>0</v>
      </c>
      <c r="M46" s="88">
        <v>0</v>
      </c>
      <c r="N46" s="73">
        <v>0</v>
      </c>
      <c r="O46" s="59">
        <v>0</v>
      </c>
      <c r="P46" s="91">
        <v>0</v>
      </c>
      <c r="Q46" s="88">
        <v>0</v>
      </c>
      <c r="R46" s="73">
        <v>0</v>
      </c>
      <c r="S46" s="35">
        <v>0</v>
      </c>
      <c r="T46" s="85">
        <v>0</v>
      </c>
      <c r="U46" s="81">
        <v>0</v>
      </c>
      <c r="V46" s="64">
        <v>0</v>
      </c>
      <c r="W46" s="35">
        <f t="shared" si="13"/>
        <v>0</v>
      </c>
      <c r="X46" s="85">
        <f t="shared" si="13"/>
        <v>0</v>
      </c>
      <c r="Y46" s="81">
        <f t="shared" si="13"/>
        <v>0</v>
      </c>
    </row>
    <row r="47" spans="1:25">
      <c r="A47" s="45" t="s">
        <v>569</v>
      </c>
      <c r="B47" s="49">
        <f t="shared" ref="B47:Y47" si="14">SUM(B45:B46)</f>
        <v>0</v>
      </c>
      <c r="C47" s="60">
        <f t="shared" si="14"/>
        <v>0</v>
      </c>
      <c r="D47" s="60">
        <f t="shared" si="14"/>
        <v>0</v>
      </c>
      <c r="E47" s="60">
        <f t="shared" si="14"/>
        <v>0</v>
      </c>
      <c r="F47" s="27">
        <f t="shared" si="14"/>
        <v>0</v>
      </c>
      <c r="G47" s="60">
        <f t="shared" si="14"/>
        <v>0</v>
      </c>
      <c r="H47" s="60">
        <f t="shared" si="14"/>
        <v>0</v>
      </c>
      <c r="I47" s="60">
        <f t="shared" si="14"/>
        <v>0</v>
      </c>
      <c r="J47" s="27">
        <f t="shared" si="14"/>
        <v>0</v>
      </c>
      <c r="K47" s="60">
        <f t="shared" si="14"/>
        <v>0</v>
      </c>
      <c r="L47" s="60">
        <f t="shared" si="14"/>
        <v>0</v>
      </c>
      <c r="M47" s="60">
        <f t="shared" si="14"/>
        <v>0</v>
      </c>
      <c r="N47" s="27">
        <f t="shared" si="14"/>
        <v>0</v>
      </c>
      <c r="O47" s="60">
        <f t="shared" si="14"/>
        <v>0</v>
      </c>
      <c r="P47" s="60">
        <f t="shared" si="14"/>
        <v>0</v>
      </c>
      <c r="Q47" s="60">
        <f t="shared" si="14"/>
        <v>0</v>
      </c>
      <c r="R47" s="27">
        <f t="shared" si="14"/>
        <v>73963.880353800007</v>
      </c>
      <c r="S47" s="36">
        <f t="shared" si="14"/>
        <v>72566</v>
      </c>
      <c r="T47" s="36">
        <f t="shared" si="14"/>
        <v>48952.34</v>
      </c>
      <c r="U47" s="36">
        <f t="shared" si="14"/>
        <v>100375.52</v>
      </c>
      <c r="V47" s="49">
        <f t="shared" si="14"/>
        <v>73963.880353800007</v>
      </c>
      <c r="W47" s="36">
        <f t="shared" si="14"/>
        <v>72566</v>
      </c>
      <c r="X47" s="36">
        <f t="shared" si="14"/>
        <v>48952.34</v>
      </c>
      <c r="Y47" s="36">
        <f t="shared" si="14"/>
        <v>100375.52</v>
      </c>
    </row>
    <row r="48" spans="1:25" ht="16.2" thickBot="1">
      <c r="A48" s="43" t="s">
        <v>570</v>
      </c>
      <c r="B48" s="34">
        <f>SUM(B12,B43,B47)</f>
        <v>1</v>
      </c>
      <c r="C48" s="52">
        <f t="shared" ref="C48:U48" si="15">SUM(C12,C43,C47)</f>
        <v>0</v>
      </c>
      <c r="D48" s="52">
        <f t="shared" si="15"/>
        <v>0</v>
      </c>
      <c r="E48" s="52">
        <f t="shared" si="15"/>
        <v>0</v>
      </c>
      <c r="F48" s="34">
        <f t="shared" si="15"/>
        <v>-73539.401265299995</v>
      </c>
      <c r="G48" s="52">
        <f t="shared" si="15"/>
        <v>-72665.239999999991</v>
      </c>
      <c r="H48" s="52">
        <f t="shared" si="15"/>
        <v>-63801.090000000004</v>
      </c>
      <c r="I48" s="52">
        <f t="shared" si="15"/>
        <v>-84154.079999999987</v>
      </c>
      <c r="J48" s="34">
        <f t="shared" si="15"/>
        <v>38872.881267299999</v>
      </c>
      <c r="K48" s="52">
        <f t="shared" si="15"/>
        <v>36812.729999999996</v>
      </c>
      <c r="L48" s="52">
        <f t="shared" si="15"/>
        <v>39012.410000000003</v>
      </c>
      <c r="M48" s="52">
        <f t="shared" si="15"/>
        <v>40794.67</v>
      </c>
      <c r="N48" s="34">
        <f t="shared" si="15"/>
        <v>-75427.342385700002</v>
      </c>
      <c r="O48" s="52">
        <f t="shared" si="15"/>
        <v>-74317.11</v>
      </c>
      <c r="P48" s="52">
        <f t="shared" si="15"/>
        <v>-65592.36</v>
      </c>
      <c r="Q48" s="52">
        <f t="shared" si="15"/>
        <v>-86374.82</v>
      </c>
      <c r="R48" s="34">
        <f t="shared" si="15"/>
        <v>117704.8796061</v>
      </c>
      <c r="S48" s="34">
        <f t="shared" si="15"/>
        <v>110169.62</v>
      </c>
      <c r="T48" s="34">
        <f t="shared" si="15"/>
        <v>90381.040000000008</v>
      </c>
      <c r="U48" s="34">
        <f t="shared" si="15"/>
        <v>152567.51</v>
      </c>
      <c r="V48" s="34">
        <f>SUM(V12,V43,V47)</f>
        <v>7611.0172224000125</v>
      </c>
      <c r="W48" s="34">
        <f t="shared" ref="W48:Y48" si="16">SUM(W12,W43,W47)</f>
        <v>0</v>
      </c>
      <c r="X48" s="34">
        <f t="shared" si="16"/>
        <v>0</v>
      </c>
      <c r="Y48" s="34">
        <f t="shared" si="16"/>
        <v>22833.280000000013</v>
      </c>
    </row>
    <row r="49" spans="1:25" ht="15" thickTop="1">
      <c r="A49" s="29"/>
      <c r="B49" s="19"/>
      <c r="C49" s="48"/>
      <c r="D49" s="48"/>
      <c r="E49" s="48"/>
      <c r="F49" s="19"/>
      <c r="G49" s="48"/>
      <c r="H49" s="48"/>
      <c r="I49" s="48"/>
      <c r="J49" s="19"/>
      <c r="K49" s="48"/>
      <c r="L49" s="48"/>
      <c r="M49" s="48"/>
      <c r="N49" s="19"/>
      <c r="O49" s="48"/>
      <c r="P49" s="48"/>
      <c r="Q49" s="48"/>
      <c r="R49" s="19"/>
      <c r="S49" s="48"/>
      <c r="T49" s="48"/>
      <c r="U49" s="48"/>
      <c r="V49" s="19"/>
      <c r="W49" s="48"/>
      <c r="X49" s="48"/>
      <c r="Y49" s="48"/>
    </row>
  </sheetData>
  <conditionalFormatting sqref="B15:C21 B23:C30 B32:C34 B36:C43 V36:W43 V32:W34 V23:W30 V15:W21 R36:S43 R32:S34 R23:S30 R15:S21 N36:O43 N32:O34 N23:O30 N15:O21 J36:K43 J32:K34 J23:K30 J15:K21 F36:G43 F32:G34 F23:G30 F15:G21">
    <cfRule type="cellIs" dxfId="25" priority="13" operator="lessThan">
      <formula>-0.01</formula>
    </cfRule>
  </conditionalFormatting>
  <conditionalFormatting sqref="Y15:Y21 Y23:Y30 Y32:Y34 Y36:Y43">
    <cfRule type="cellIs" dxfId="24" priority="12" operator="lessThan">
      <formula>-0.01</formula>
    </cfRule>
  </conditionalFormatting>
  <conditionalFormatting sqref="X15:X21 X23:X30 X32:X34 X36:X43">
    <cfRule type="cellIs" dxfId="23" priority="11" operator="lessThan">
      <formula>-0.01</formula>
    </cfRule>
  </conditionalFormatting>
  <conditionalFormatting sqref="U15:U21 U23:U30 U32:U34 U36:U43">
    <cfRule type="cellIs" dxfId="22" priority="10" operator="lessThan">
      <formula>-0.01</formula>
    </cfRule>
  </conditionalFormatting>
  <conditionalFormatting sqref="T15:T21 T23:T30 T32:T34 T36:T43">
    <cfRule type="cellIs" dxfId="21" priority="9" operator="lessThan">
      <formula>-0.01</formula>
    </cfRule>
  </conditionalFormatting>
  <conditionalFormatting sqref="Q15:Q21 Q23:Q30 Q32:Q34 Q36:Q43">
    <cfRule type="cellIs" dxfId="20" priority="8" operator="lessThan">
      <formula>-0.01</formula>
    </cfRule>
  </conditionalFormatting>
  <conditionalFormatting sqref="P15:P21 P23:P30 P32:P34 P36:P43">
    <cfRule type="cellIs" dxfId="19" priority="7" operator="lessThan">
      <formula>-0.01</formula>
    </cfRule>
  </conditionalFormatting>
  <conditionalFormatting sqref="M15:M21 M23:M30 M32:M34 M36:M43">
    <cfRule type="cellIs" dxfId="18" priority="6" operator="lessThan">
      <formula>-0.01</formula>
    </cfRule>
  </conditionalFormatting>
  <conditionalFormatting sqref="L15:L21 L23:L30 L32:L34 L36:L43">
    <cfRule type="cellIs" dxfId="17" priority="5" operator="lessThan">
      <formula>-0.01</formula>
    </cfRule>
  </conditionalFormatting>
  <conditionalFormatting sqref="I15:I21 I23:I30 I32:I34 I36:I43">
    <cfRule type="cellIs" dxfId="16" priority="4" operator="lessThan">
      <formula>-0.01</formula>
    </cfRule>
  </conditionalFormatting>
  <conditionalFormatting sqref="H15:H21 H23:H30 H32:H34 H36:H43">
    <cfRule type="cellIs" dxfId="15" priority="3" operator="lessThan">
      <formula>-0.01</formula>
    </cfRule>
  </conditionalFormatting>
  <conditionalFormatting sqref="E15:E21 E23:E30 E32:E34 E36:E43">
    <cfRule type="cellIs" dxfId="14" priority="2" operator="lessThan">
      <formula>-0.01</formula>
    </cfRule>
  </conditionalFormatting>
  <conditionalFormatting sqref="D15:D21 D23:D30 D32:D34 D36:D43">
    <cfRule type="cellIs" dxfId="13" priority="1" operator="lessThan">
      <formula>-0.01</formula>
    </cfRule>
  </conditionalFormatting>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6C983E-D02B-4ED6-AA7D-8025E8C39C8E}">
  <sheetPr codeName="Sheet23"/>
  <dimension ref="A1:AZ49"/>
  <sheetViews>
    <sheetView showGridLines="0" workbookViewId="0">
      <pane xSplit="1" ySplit="6" topLeftCell="B7" activePane="bottomRight" state="frozen"/>
      <selection pane="topRight" activeCell="B1" sqref="B1"/>
      <selection pane="bottomLeft" activeCell="A7" sqref="A7"/>
      <selection pane="bottomRight"/>
    </sheetView>
  </sheetViews>
  <sheetFormatPr defaultRowHeight="14.4" outlineLevelCol="1"/>
  <cols>
    <col min="1" max="1" width="32.44140625" bestFit="1" customWidth="1"/>
    <col min="2" max="2" width="16.77734375" customWidth="1"/>
    <col min="3" max="5" width="13.44140625" style="57" hidden="1" customWidth="1" outlineLevel="1"/>
    <col min="6" max="6" width="16.77734375" customWidth="1" collapsed="1"/>
    <col min="7" max="9" width="13.44140625" style="57" hidden="1" customWidth="1" outlineLevel="1"/>
    <col min="10" max="10" width="16.77734375" customWidth="1" collapsed="1"/>
    <col min="11" max="13" width="13.44140625" style="57" hidden="1" customWidth="1" outlineLevel="1"/>
    <col min="14" max="14" width="16.77734375" customWidth="1" collapsed="1"/>
    <col min="15" max="17" width="13.44140625" style="57" hidden="1" customWidth="1" outlineLevel="1"/>
    <col min="18" max="18" width="16.77734375" customWidth="1" collapsed="1"/>
    <col min="19" max="21" width="13.44140625" style="57" hidden="1" customWidth="1" outlineLevel="1"/>
    <col min="22" max="22" width="16.77734375" customWidth="1" collapsed="1"/>
    <col min="23" max="25" width="13.44140625" style="57" hidden="1" customWidth="1" outlineLevel="1"/>
    <col min="26" max="26" width="8.88671875" collapsed="1"/>
  </cols>
  <sheetData>
    <row r="1" spans="1:52" ht="15.6">
      <c r="A1" s="68" t="s">
        <v>790</v>
      </c>
      <c r="B1" s="46"/>
      <c r="C1" s="46"/>
      <c r="D1" s="46"/>
      <c r="E1" s="46"/>
      <c r="F1" s="46"/>
      <c r="G1" s="46"/>
      <c r="H1" s="46"/>
      <c r="I1" s="46"/>
      <c r="J1" s="46"/>
      <c r="K1" s="46"/>
      <c r="L1" s="46"/>
      <c r="M1" s="46"/>
      <c r="N1" s="46"/>
      <c r="O1" s="46"/>
      <c r="P1" s="46"/>
      <c r="Q1" s="46"/>
      <c r="R1" s="46"/>
      <c r="V1" s="46"/>
      <c r="W1" s="46"/>
      <c r="X1" s="46"/>
      <c r="Y1" s="46"/>
    </row>
    <row r="2" spans="1:52" ht="15.6">
      <c r="A2" s="69" t="s">
        <v>429</v>
      </c>
      <c r="B2" s="47"/>
      <c r="C2" s="47"/>
      <c r="D2" s="47"/>
      <c r="E2" s="47"/>
      <c r="F2" s="47"/>
      <c r="G2" s="47"/>
      <c r="H2" s="47"/>
      <c r="I2" s="47"/>
      <c r="J2" s="47"/>
      <c r="K2" s="47"/>
      <c r="L2" s="47"/>
      <c r="M2" s="47"/>
      <c r="N2" s="47"/>
      <c r="O2" s="47"/>
      <c r="P2" s="47"/>
      <c r="Q2" s="47"/>
      <c r="R2" s="47"/>
      <c r="V2" s="47"/>
      <c r="W2" s="47"/>
      <c r="X2" s="47"/>
      <c r="Y2" s="47"/>
    </row>
    <row r="3" spans="1:52">
      <c r="A3" s="136"/>
      <c r="B3" s="61" t="s">
        <v>589</v>
      </c>
      <c r="C3" s="50" t="s">
        <v>572</v>
      </c>
      <c r="D3" s="50" t="s">
        <v>572</v>
      </c>
      <c r="E3" s="50" t="s">
        <v>572</v>
      </c>
      <c r="F3" s="61" t="s">
        <v>573</v>
      </c>
      <c r="G3" s="50" t="s">
        <v>573</v>
      </c>
      <c r="H3" s="50" t="s">
        <v>573</v>
      </c>
      <c r="I3" s="50" t="s">
        <v>573</v>
      </c>
      <c r="J3" s="61" t="s">
        <v>575</v>
      </c>
      <c r="K3" s="50" t="s">
        <v>575</v>
      </c>
      <c r="L3" s="50" t="s">
        <v>575</v>
      </c>
      <c r="M3" s="50" t="s">
        <v>575</v>
      </c>
      <c r="N3" s="61" t="s">
        <v>576</v>
      </c>
      <c r="O3" s="50" t="s">
        <v>576</v>
      </c>
      <c r="P3" s="50" t="s">
        <v>576</v>
      </c>
      <c r="Q3" s="50" t="s">
        <v>576</v>
      </c>
      <c r="R3" s="61" t="s">
        <v>577</v>
      </c>
      <c r="S3" s="38" t="s">
        <v>577</v>
      </c>
      <c r="T3" s="38" t="s">
        <v>577</v>
      </c>
      <c r="U3" s="38" t="s">
        <v>577</v>
      </c>
      <c r="V3" s="61" t="s">
        <v>585</v>
      </c>
      <c r="W3" s="38" t="s">
        <v>585</v>
      </c>
      <c r="X3" s="38" t="s">
        <v>585</v>
      </c>
      <c r="Y3" s="38" t="s">
        <v>585</v>
      </c>
      <c r="Z3" s="136"/>
      <c r="AA3" s="136"/>
      <c r="AB3" s="136"/>
      <c r="AC3" s="136"/>
      <c r="AD3" s="136"/>
      <c r="AE3" s="136"/>
      <c r="AF3" s="136"/>
      <c r="AG3" s="136"/>
      <c r="AH3" s="136"/>
      <c r="AI3" s="136"/>
      <c r="AJ3" s="136"/>
      <c r="AK3" s="136"/>
      <c r="AL3" s="136"/>
      <c r="AM3" s="136"/>
      <c r="AN3" s="136"/>
      <c r="AO3" s="136"/>
      <c r="AP3" s="136"/>
      <c r="AQ3" s="136"/>
      <c r="AR3" s="136"/>
      <c r="AS3" s="136"/>
      <c r="AT3" s="136"/>
      <c r="AU3" s="136"/>
      <c r="AV3" s="136"/>
      <c r="AW3" s="136"/>
      <c r="AX3" s="136"/>
      <c r="AY3" s="136"/>
      <c r="AZ3" s="136"/>
    </row>
    <row r="4" spans="1:52">
      <c r="A4" s="16"/>
      <c r="B4" s="31" t="str">
        <f>_xlfn.CONCAT("FY ",rngFY+rngYRS)</f>
        <v>FY 19</v>
      </c>
      <c r="C4" s="51" t="s">
        <v>555</v>
      </c>
      <c r="D4" s="51" t="s">
        <v>555</v>
      </c>
      <c r="E4" s="51" t="s">
        <v>555</v>
      </c>
      <c r="F4" s="31" t="s">
        <v>788</v>
      </c>
      <c r="G4" s="31" t="s">
        <v>789</v>
      </c>
      <c r="H4" s="31" t="s">
        <v>789</v>
      </c>
      <c r="I4" s="31" t="s">
        <v>789</v>
      </c>
      <c r="J4" s="31" t="s">
        <v>788</v>
      </c>
      <c r="K4" s="31" t="s">
        <v>789</v>
      </c>
      <c r="L4" s="31" t="s">
        <v>789</v>
      </c>
      <c r="M4" s="31" t="s">
        <v>789</v>
      </c>
      <c r="N4" s="31" t="s">
        <v>788</v>
      </c>
      <c r="O4" s="31" t="s">
        <v>789</v>
      </c>
      <c r="P4" s="31" t="s">
        <v>789</v>
      </c>
      <c r="Q4" s="31" t="s">
        <v>789</v>
      </c>
      <c r="R4" s="31" t="s">
        <v>788</v>
      </c>
      <c r="S4" s="31" t="s">
        <v>789</v>
      </c>
      <c r="T4" s="31" t="s">
        <v>789</v>
      </c>
      <c r="U4" s="31" t="s">
        <v>789</v>
      </c>
      <c r="V4" s="31" t="s">
        <v>574</v>
      </c>
      <c r="W4" s="31" t="s">
        <v>584</v>
      </c>
      <c r="X4" s="31" t="s">
        <v>584</v>
      </c>
      <c r="Y4" s="31" t="s">
        <v>584</v>
      </c>
    </row>
    <row r="5" spans="1:52">
      <c r="A5" s="17"/>
      <c r="B5" s="31"/>
      <c r="C5" s="51" t="s">
        <v>587</v>
      </c>
      <c r="D5" s="51" t="s">
        <v>586</v>
      </c>
      <c r="E5" s="51" t="s">
        <v>590</v>
      </c>
      <c r="F5" s="31"/>
      <c r="G5" s="51" t="s">
        <v>587</v>
      </c>
      <c r="H5" s="51" t="s">
        <v>586</v>
      </c>
      <c r="I5" s="51" t="s">
        <v>590</v>
      </c>
      <c r="J5" s="31"/>
      <c r="K5" s="51" t="s">
        <v>587</v>
      </c>
      <c r="L5" s="51" t="s">
        <v>586</v>
      </c>
      <c r="M5" s="51" t="s">
        <v>590</v>
      </c>
      <c r="N5" s="31"/>
      <c r="O5" s="51" t="s">
        <v>587</v>
      </c>
      <c r="P5" s="51" t="s">
        <v>586</v>
      </c>
      <c r="Q5" s="51" t="s">
        <v>590</v>
      </c>
      <c r="R5" s="31"/>
      <c r="S5" s="31" t="s">
        <v>587</v>
      </c>
      <c r="T5" s="31" t="s">
        <v>586</v>
      </c>
      <c r="U5" s="31" t="s">
        <v>590</v>
      </c>
      <c r="V5" s="31"/>
      <c r="W5" s="31" t="s">
        <v>587</v>
      </c>
      <c r="X5" s="31" t="s">
        <v>586</v>
      </c>
      <c r="Y5" s="31" t="s">
        <v>590</v>
      </c>
    </row>
    <row r="6" spans="1:52">
      <c r="A6" s="70"/>
      <c r="B6" s="62"/>
      <c r="C6" s="53"/>
      <c r="D6" s="53"/>
      <c r="E6" s="53"/>
      <c r="F6" s="62"/>
      <c r="G6" s="53"/>
      <c r="H6" s="53"/>
      <c r="I6" s="53"/>
      <c r="J6" s="62"/>
      <c r="K6" s="53"/>
      <c r="L6" s="53"/>
      <c r="M6" s="53"/>
      <c r="N6" s="62"/>
      <c r="O6" s="53"/>
      <c r="P6" s="53"/>
      <c r="Q6" s="53"/>
      <c r="R6" s="62"/>
      <c r="S6" s="62"/>
      <c r="T6" s="62"/>
      <c r="U6" s="62"/>
      <c r="V6" s="62"/>
      <c r="W6" s="62"/>
      <c r="X6" s="62"/>
      <c r="Y6" s="62"/>
    </row>
    <row r="7" spans="1:52">
      <c r="A7" s="18" t="s">
        <v>556</v>
      </c>
      <c r="B7" s="63"/>
      <c r="C7" s="58"/>
      <c r="D7" s="58"/>
      <c r="E7" s="58"/>
      <c r="F7" s="63"/>
      <c r="G7" s="58"/>
      <c r="H7" s="58"/>
      <c r="I7" s="58"/>
      <c r="J7" s="63"/>
      <c r="K7" s="58"/>
      <c r="L7" s="58"/>
      <c r="M7" s="58"/>
      <c r="N7" s="63"/>
      <c r="O7" s="58"/>
      <c r="P7" s="58"/>
      <c r="Q7" s="58"/>
      <c r="R7" s="63"/>
      <c r="S7" s="63"/>
      <c r="T7" s="63"/>
      <c r="U7" s="63"/>
      <c r="V7" s="63"/>
      <c r="W7" s="63"/>
      <c r="X7" s="63"/>
      <c r="Y7" s="63"/>
    </row>
    <row r="8" spans="1:52">
      <c r="A8" s="40" t="s">
        <v>557</v>
      </c>
      <c r="B8" s="39">
        <v>-5340</v>
      </c>
      <c r="C8" s="54">
        <v>-5327</v>
      </c>
      <c r="D8" s="89">
        <v>-5327</v>
      </c>
      <c r="E8" s="86">
        <v>-5323</v>
      </c>
      <c r="F8" s="72">
        <v>-2662.9733700000002</v>
      </c>
      <c r="G8" s="54">
        <v>-2663</v>
      </c>
      <c r="H8" s="89">
        <v>-2664</v>
      </c>
      <c r="I8" s="86">
        <v>-2662</v>
      </c>
      <c r="J8" s="72">
        <v>0</v>
      </c>
      <c r="K8" s="54">
        <v>0</v>
      </c>
      <c r="L8" s="89">
        <v>0</v>
      </c>
      <c r="M8" s="86">
        <v>0</v>
      </c>
      <c r="N8" s="72">
        <v>-2662.6400400000002</v>
      </c>
      <c r="O8" s="54">
        <v>-2664</v>
      </c>
      <c r="P8" s="89">
        <v>-2663</v>
      </c>
      <c r="Q8" s="86">
        <v>-2661</v>
      </c>
      <c r="R8" s="72">
        <v>0</v>
      </c>
      <c r="S8" s="22">
        <v>0</v>
      </c>
      <c r="T8" s="82">
        <v>0</v>
      </c>
      <c r="U8" s="78">
        <v>0</v>
      </c>
      <c r="V8" s="39">
        <v>-5325.6134099999999</v>
      </c>
      <c r="W8" s="22">
        <f t="shared" ref="W8:Y11" si="0">SUM(G8,K8,O8,S8)</f>
        <v>-5327</v>
      </c>
      <c r="X8" s="82">
        <f t="shared" si="0"/>
        <v>-5327</v>
      </c>
      <c r="Y8" s="78">
        <f t="shared" si="0"/>
        <v>-5323</v>
      </c>
    </row>
    <row r="9" spans="1:52">
      <c r="A9" s="41" t="s">
        <v>558</v>
      </c>
      <c r="B9" s="39">
        <v>0</v>
      </c>
      <c r="C9" s="55">
        <v>0</v>
      </c>
      <c r="D9" s="90">
        <v>0</v>
      </c>
      <c r="E9" s="87">
        <v>0</v>
      </c>
      <c r="F9" s="72">
        <v>0</v>
      </c>
      <c r="G9" s="55">
        <v>0</v>
      </c>
      <c r="H9" s="90">
        <v>0</v>
      </c>
      <c r="I9" s="87">
        <v>0</v>
      </c>
      <c r="J9" s="72">
        <v>0</v>
      </c>
      <c r="K9" s="55">
        <v>0</v>
      </c>
      <c r="L9" s="90">
        <v>0</v>
      </c>
      <c r="M9" s="87">
        <v>0</v>
      </c>
      <c r="N9" s="72">
        <v>0</v>
      </c>
      <c r="O9" s="55">
        <v>0</v>
      </c>
      <c r="P9" s="90">
        <v>0</v>
      </c>
      <c r="Q9" s="87">
        <v>0</v>
      </c>
      <c r="R9" s="72">
        <v>0</v>
      </c>
      <c r="S9" s="33">
        <v>0</v>
      </c>
      <c r="T9" s="83">
        <v>0</v>
      </c>
      <c r="U9" s="79">
        <v>0</v>
      </c>
      <c r="V9" s="39">
        <v>0</v>
      </c>
      <c r="W9" s="33">
        <f t="shared" si="0"/>
        <v>0</v>
      </c>
      <c r="X9" s="83">
        <f t="shared" si="0"/>
        <v>0</v>
      </c>
      <c r="Y9" s="79">
        <f t="shared" si="0"/>
        <v>0</v>
      </c>
    </row>
    <row r="10" spans="1:52">
      <c r="A10" s="41" t="s">
        <v>212</v>
      </c>
      <c r="B10" s="39">
        <v>0</v>
      </c>
      <c r="C10" s="55">
        <v>0</v>
      </c>
      <c r="D10" s="90">
        <v>0</v>
      </c>
      <c r="E10" s="87">
        <v>0</v>
      </c>
      <c r="F10" s="72">
        <v>0</v>
      </c>
      <c r="G10" s="55">
        <v>0</v>
      </c>
      <c r="H10" s="90">
        <v>0</v>
      </c>
      <c r="I10" s="87">
        <v>0</v>
      </c>
      <c r="J10" s="72">
        <v>0</v>
      </c>
      <c r="K10" s="55">
        <v>0</v>
      </c>
      <c r="L10" s="90">
        <v>0</v>
      </c>
      <c r="M10" s="87">
        <v>0</v>
      </c>
      <c r="N10" s="72">
        <v>0</v>
      </c>
      <c r="O10" s="55">
        <v>0</v>
      </c>
      <c r="P10" s="90">
        <v>0</v>
      </c>
      <c r="Q10" s="87">
        <v>0</v>
      </c>
      <c r="R10" s="72">
        <v>0</v>
      </c>
      <c r="S10" s="33">
        <v>0</v>
      </c>
      <c r="T10" s="83">
        <v>0</v>
      </c>
      <c r="U10" s="79">
        <v>0</v>
      </c>
      <c r="V10" s="39">
        <v>0</v>
      </c>
      <c r="W10" s="33">
        <f t="shared" si="0"/>
        <v>0</v>
      </c>
      <c r="X10" s="83">
        <f t="shared" si="0"/>
        <v>0</v>
      </c>
      <c r="Y10" s="79">
        <f t="shared" si="0"/>
        <v>0</v>
      </c>
    </row>
    <row r="11" spans="1:52">
      <c r="A11" s="42" t="s">
        <v>210</v>
      </c>
      <c r="B11" s="64">
        <v>0</v>
      </c>
      <c r="C11" s="55">
        <v>0</v>
      </c>
      <c r="D11" s="90">
        <v>0</v>
      </c>
      <c r="E11" s="87">
        <v>0</v>
      </c>
      <c r="F11" s="73">
        <v>0</v>
      </c>
      <c r="G11" s="55">
        <v>0</v>
      </c>
      <c r="H11" s="90">
        <v>0</v>
      </c>
      <c r="I11" s="87">
        <v>0</v>
      </c>
      <c r="J11" s="73">
        <v>0</v>
      </c>
      <c r="K11" s="55">
        <v>0</v>
      </c>
      <c r="L11" s="90">
        <v>0</v>
      </c>
      <c r="M11" s="87">
        <v>0</v>
      </c>
      <c r="N11" s="73">
        <v>0</v>
      </c>
      <c r="O11" s="55">
        <v>0</v>
      </c>
      <c r="P11" s="90">
        <v>0</v>
      </c>
      <c r="Q11" s="87">
        <v>0</v>
      </c>
      <c r="R11" s="73">
        <v>-3294.6837194999998</v>
      </c>
      <c r="S11" s="33">
        <v>0</v>
      </c>
      <c r="T11" s="83">
        <v>0</v>
      </c>
      <c r="U11" s="79">
        <v>-9884.15</v>
      </c>
      <c r="V11" s="64">
        <v>-3294.6837194999998</v>
      </c>
      <c r="W11" s="33">
        <f t="shared" si="0"/>
        <v>0</v>
      </c>
      <c r="X11" s="83">
        <f t="shared" si="0"/>
        <v>0</v>
      </c>
      <c r="Y11" s="79">
        <f t="shared" si="0"/>
        <v>-9884.15</v>
      </c>
    </row>
    <row r="12" spans="1:52" ht="16.2" thickBot="1">
      <c r="A12" s="43" t="s">
        <v>559</v>
      </c>
      <c r="B12" s="34">
        <f>SUM(B8:B11)</f>
        <v>-5340</v>
      </c>
      <c r="C12" s="52">
        <f t="shared" ref="C12:U12" si="1">SUM(C8:C11)</f>
        <v>-5327</v>
      </c>
      <c r="D12" s="52">
        <f t="shared" si="1"/>
        <v>-5327</v>
      </c>
      <c r="E12" s="52">
        <f t="shared" si="1"/>
        <v>-5323</v>
      </c>
      <c r="F12" s="34">
        <f t="shared" si="1"/>
        <v>-2662.9733700000002</v>
      </c>
      <c r="G12" s="52">
        <f t="shared" si="1"/>
        <v>-2663</v>
      </c>
      <c r="H12" s="52">
        <f t="shared" si="1"/>
        <v>-2664</v>
      </c>
      <c r="I12" s="52">
        <f t="shared" si="1"/>
        <v>-2662</v>
      </c>
      <c r="J12" s="34">
        <f t="shared" si="1"/>
        <v>0</v>
      </c>
      <c r="K12" s="52">
        <f t="shared" si="1"/>
        <v>0</v>
      </c>
      <c r="L12" s="52">
        <f t="shared" si="1"/>
        <v>0</v>
      </c>
      <c r="M12" s="52">
        <f t="shared" si="1"/>
        <v>0</v>
      </c>
      <c r="N12" s="34">
        <f t="shared" si="1"/>
        <v>-2662.6400400000002</v>
      </c>
      <c r="O12" s="52">
        <f t="shared" si="1"/>
        <v>-2664</v>
      </c>
      <c r="P12" s="52">
        <f t="shared" si="1"/>
        <v>-2663</v>
      </c>
      <c r="Q12" s="52">
        <f t="shared" si="1"/>
        <v>-2661</v>
      </c>
      <c r="R12" s="34">
        <f t="shared" si="1"/>
        <v>-3294.6837194999998</v>
      </c>
      <c r="S12" s="34">
        <f t="shared" si="1"/>
        <v>0</v>
      </c>
      <c r="T12" s="34">
        <f t="shared" si="1"/>
        <v>0</v>
      </c>
      <c r="U12" s="34">
        <f t="shared" si="1"/>
        <v>-9884.15</v>
      </c>
      <c r="V12" s="34">
        <f>SUM(V8:V11)</f>
        <v>-8620.2971294999988</v>
      </c>
      <c r="W12" s="34">
        <f t="shared" ref="W12:Y12" si="2">SUM(W8:W11)</f>
        <v>-5327</v>
      </c>
      <c r="X12" s="34">
        <f t="shared" si="2"/>
        <v>-5327</v>
      </c>
      <c r="Y12" s="34">
        <f t="shared" si="2"/>
        <v>-15207.15</v>
      </c>
    </row>
    <row r="13" spans="1:52" ht="15" thickTop="1">
      <c r="A13" s="67"/>
      <c r="B13" s="67"/>
      <c r="C13" s="67"/>
      <c r="D13" s="67"/>
      <c r="E13" s="67"/>
      <c r="F13" s="67"/>
      <c r="G13" s="67"/>
      <c r="H13" s="67"/>
      <c r="I13" s="67"/>
      <c r="J13" s="67"/>
      <c r="K13" s="67"/>
      <c r="L13" s="67"/>
      <c r="M13" s="67"/>
      <c r="N13" s="67"/>
      <c r="O13" s="67"/>
      <c r="P13" s="67"/>
      <c r="Q13" s="67"/>
      <c r="R13" s="67"/>
      <c r="S13" s="67"/>
      <c r="T13" s="67"/>
      <c r="U13" s="67"/>
      <c r="V13" s="67"/>
      <c r="W13" s="67"/>
      <c r="X13" s="67"/>
      <c r="Y13" s="67"/>
    </row>
    <row r="14" spans="1:52">
      <c r="A14" s="18" t="s">
        <v>560</v>
      </c>
      <c r="B14" s="20"/>
      <c r="C14" s="20"/>
      <c r="D14" s="20"/>
      <c r="E14" s="20"/>
      <c r="F14" s="20"/>
      <c r="G14" s="20"/>
      <c r="H14" s="20"/>
      <c r="I14" s="20"/>
      <c r="J14" s="20"/>
      <c r="K14" s="20"/>
      <c r="L14" s="20"/>
      <c r="M14" s="20"/>
      <c r="N14" s="20"/>
      <c r="O14" s="20"/>
      <c r="P14" s="20"/>
      <c r="Q14" s="20"/>
      <c r="R14" s="20"/>
      <c r="S14" s="20"/>
      <c r="T14" s="20"/>
      <c r="U14" s="20"/>
      <c r="V14" s="20"/>
      <c r="W14" s="20"/>
      <c r="X14" s="20"/>
      <c r="Y14" s="20"/>
    </row>
    <row r="15" spans="1:52">
      <c r="A15" s="40" t="s">
        <v>188</v>
      </c>
      <c r="B15" s="65">
        <v>0</v>
      </c>
      <c r="C15" s="54">
        <v>0</v>
      </c>
      <c r="D15" s="89">
        <v>0</v>
      </c>
      <c r="E15" s="86">
        <v>0</v>
      </c>
      <c r="F15" s="72">
        <v>0</v>
      </c>
      <c r="G15" s="54">
        <v>0</v>
      </c>
      <c r="H15" s="89">
        <v>0</v>
      </c>
      <c r="I15" s="86">
        <v>0</v>
      </c>
      <c r="J15" s="72">
        <v>0</v>
      </c>
      <c r="K15" s="54">
        <v>0</v>
      </c>
      <c r="L15" s="89">
        <v>0</v>
      </c>
      <c r="M15" s="86">
        <v>0</v>
      </c>
      <c r="N15" s="72">
        <v>0</v>
      </c>
      <c r="O15" s="54">
        <v>0</v>
      </c>
      <c r="P15" s="89">
        <v>0</v>
      </c>
      <c r="Q15" s="86">
        <v>0</v>
      </c>
      <c r="R15" s="72">
        <v>0</v>
      </c>
      <c r="S15" s="32">
        <v>0</v>
      </c>
      <c r="T15" s="84">
        <v>0</v>
      </c>
      <c r="U15" s="80">
        <v>0</v>
      </c>
      <c r="V15" s="65">
        <v>0</v>
      </c>
      <c r="W15" s="32">
        <f t="shared" ref="W15:Y20" si="3">SUM(G15,K15,O15,S15)</f>
        <v>0</v>
      </c>
      <c r="X15" s="84">
        <f t="shared" si="3"/>
        <v>0</v>
      </c>
      <c r="Y15" s="80">
        <f t="shared" si="3"/>
        <v>0</v>
      </c>
    </row>
    <row r="16" spans="1:52">
      <c r="A16" s="41" t="s">
        <v>181</v>
      </c>
      <c r="B16" s="39">
        <v>0</v>
      </c>
      <c r="C16" s="54">
        <v>0</v>
      </c>
      <c r="D16" s="89">
        <v>0</v>
      </c>
      <c r="E16" s="86">
        <v>0</v>
      </c>
      <c r="F16" s="72">
        <v>0</v>
      </c>
      <c r="G16" s="54">
        <v>0</v>
      </c>
      <c r="H16" s="89">
        <v>0</v>
      </c>
      <c r="I16" s="86">
        <v>0</v>
      </c>
      <c r="J16" s="72">
        <v>0</v>
      </c>
      <c r="K16" s="54">
        <v>0</v>
      </c>
      <c r="L16" s="89">
        <v>0</v>
      </c>
      <c r="M16" s="86">
        <v>0</v>
      </c>
      <c r="N16" s="72">
        <v>0</v>
      </c>
      <c r="O16" s="54">
        <v>0</v>
      </c>
      <c r="P16" s="89">
        <v>0</v>
      </c>
      <c r="Q16" s="86">
        <v>0</v>
      </c>
      <c r="R16" s="72">
        <v>0</v>
      </c>
      <c r="S16" s="22">
        <v>0</v>
      </c>
      <c r="T16" s="82">
        <v>0</v>
      </c>
      <c r="U16" s="78">
        <v>0</v>
      </c>
      <c r="V16" s="39">
        <v>0</v>
      </c>
      <c r="W16" s="22">
        <f t="shared" si="3"/>
        <v>0</v>
      </c>
      <c r="X16" s="82">
        <f t="shared" si="3"/>
        <v>0</v>
      </c>
      <c r="Y16" s="78">
        <f t="shared" si="3"/>
        <v>0</v>
      </c>
    </row>
    <row r="17" spans="1:25">
      <c r="A17" s="92" t="s">
        <v>174</v>
      </c>
      <c r="B17" s="93">
        <v>0</v>
      </c>
      <c r="C17" s="94">
        <v>0</v>
      </c>
      <c r="D17" s="100">
        <v>0</v>
      </c>
      <c r="E17" s="99">
        <v>0</v>
      </c>
      <c r="F17" s="95">
        <v>0</v>
      </c>
      <c r="G17" s="94">
        <v>0</v>
      </c>
      <c r="H17" s="100">
        <v>0</v>
      </c>
      <c r="I17" s="99">
        <v>0</v>
      </c>
      <c r="J17" s="95">
        <v>0</v>
      </c>
      <c r="K17" s="94">
        <v>0</v>
      </c>
      <c r="L17" s="100">
        <v>0</v>
      </c>
      <c r="M17" s="99">
        <v>0</v>
      </c>
      <c r="N17" s="95">
        <v>0</v>
      </c>
      <c r="O17" s="94">
        <v>0</v>
      </c>
      <c r="P17" s="100">
        <v>0</v>
      </c>
      <c r="Q17" s="99">
        <v>0</v>
      </c>
      <c r="R17" s="95">
        <v>0</v>
      </c>
      <c r="S17" s="96">
        <v>0</v>
      </c>
      <c r="T17" s="98">
        <v>0</v>
      </c>
      <c r="U17" s="97">
        <v>0</v>
      </c>
      <c r="V17" s="93">
        <v>0</v>
      </c>
      <c r="W17" s="96">
        <f t="shared" si="3"/>
        <v>0</v>
      </c>
      <c r="X17" s="98">
        <f t="shared" si="3"/>
        <v>0</v>
      </c>
      <c r="Y17" s="97">
        <f t="shared" si="3"/>
        <v>0</v>
      </c>
    </row>
    <row r="18" spans="1:25">
      <c r="A18" s="41" t="s">
        <v>146</v>
      </c>
      <c r="B18" s="39">
        <v>0</v>
      </c>
      <c r="C18" s="54">
        <v>0</v>
      </c>
      <c r="D18" s="89">
        <v>0</v>
      </c>
      <c r="E18" s="86">
        <v>0</v>
      </c>
      <c r="F18" s="72">
        <v>0</v>
      </c>
      <c r="G18" s="54">
        <v>0</v>
      </c>
      <c r="H18" s="89">
        <v>0</v>
      </c>
      <c r="I18" s="86">
        <v>0</v>
      </c>
      <c r="J18" s="72">
        <v>0</v>
      </c>
      <c r="K18" s="54">
        <v>0</v>
      </c>
      <c r="L18" s="89">
        <v>0</v>
      </c>
      <c r="M18" s="86">
        <v>0</v>
      </c>
      <c r="N18" s="72">
        <v>0</v>
      </c>
      <c r="O18" s="54">
        <v>0</v>
      </c>
      <c r="P18" s="89">
        <v>0</v>
      </c>
      <c r="Q18" s="86">
        <v>0</v>
      </c>
      <c r="R18" s="72">
        <v>0</v>
      </c>
      <c r="S18" s="22">
        <v>0</v>
      </c>
      <c r="T18" s="82">
        <v>0</v>
      </c>
      <c r="U18" s="78">
        <v>0</v>
      </c>
      <c r="V18" s="39">
        <v>0</v>
      </c>
      <c r="W18" s="22">
        <f t="shared" si="3"/>
        <v>0</v>
      </c>
      <c r="X18" s="82">
        <f t="shared" si="3"/>
        <v>0</v>
      </c>
      <c r="Y18" s="78">
        <f t="shared" si="3"/>
        <v>0</v>
      </c>
    </row>
    <row r="19" spans="1:25">
      <c r="A19" s="41" t="s">
        <v>139</v>
      </c>
      <c r="B19" s="39">
        <v>0</v>
      </c>
      <c r="C19" s="54">
        <v>0</v>
      </c>
      <c r="D19" s="89">
        <v>0</v>
      </c>
      <c r="E19" s="86">
        <v>0</v>
      </c>
      <c r="F19" s="72">
        <v>0</v>
      </c>
      <c r="G19" s="54">
        <v>0</v>
      </c>
      <c r="H19" s="89">
        <v>0</v>
      </c>
      <c r="I19" s="86">
        <v>0</v>
      </c>
      <c r="J19" s="72">
        <v>0</v>
      </c>
      <c r="K19" s="54">
        <v>0</v>
      </c>
      <c r="L19" s="89">
        <v>0</v>
      </c>
      <c r="M19" s="86">
        <v>0</v>
      </c>
      <c r="N19" s="72">
        <v>0</v>
      </c>
      <c r="O19" s="54">
        <v>0</v>
      </c>
      <c r="P19" s="89">
        <v>0</v>
      </c>
      <c r="Q19" s="86">
        <v>0</v>
      </c>
      <c r="R19" s="72">
        <v>0</v>
      </c>
      <c r="S19" s="22">
        <v>0</v>
      </c>
      <c r="T19" s="82">
        <v>0</v>
      </c>
      <c r="U19" s="78">
        <v>0</v>
      </c>
      <c r="V19" s="39">
        <v>0</v>
      </c>
      <c r="W19" s="22">
        <f t="shared" si="3"/>
        <v>0</v>
      </c>
      <c r="X19" s="82">
        <f t="shared" si="3"/>
        <v>0</v>
      </c>
      <c r="Y19" s="78">
        <f t="shared" si="3"/>
        <v>0</v>
      </c>
    </row>
    <row r="20" spans="1:25">
      <c r="A20" s="42" t="s">
        <v>129</v>
      </c>
      <c r="B20" s="64">
        <v>0</v>
      </c>
      <c r="C20" s="59">
        <v>0</v>
      </c>
      <c r="D20" s="91">
        <v>0</v>
      </c>
      <c r="E20" s="88">
        <v>0</v>
      </c>
      <c r="F20" s="73">
        <v>0</v>
      </c>
      <c r="G20" s="59">
        <v>0</v>
      </c>
      <c r="H20" s="91">
        <v>0</v>
      </c>
      <c r="I20" s="88">
        <v>0</v>
      </c>
      <c r="J20" s="73">
        <v>0</v>
      </c>
      <c r="K20" s="59">
        <v>0</v>
      </c>
      <c r="L20" s="91">
        <v>0</v>
      </c>
      <c r="M20" s="88">
        <v>0</v>
      </c>
      <c r="N20" s="73">
        <v>0</v>
      </c>
      <c r="O20" s="59">
        <v>0</v>
      </c>
      <c r="P20" s="91">
        <v>0</v>
      </c>
      <c r="Q20" s="88">
        <v>0</v>
      </c>
      <c r="R20" s="73">
        <v>0</v>
      </c>
      <c r="S20" s="35">
        <v>0</v>
      </c>
      <c r="T20" s="85">
        <v>0</v>
      </c>
      <c r="U20" s="81">
        <v>0</v>
      </c>
      <c r="V20" s="64">
        <v>0</v>
      </c>
      <c r="W20" s="35">
        <f t="shared" si="3"/>
        <v>0</v>
      </c>
      <c r="X20" s="85">
        <f t="shared" si="3"/>
        <v>0</v>
      </c>
      <c r="Y20" s="81">
        <f t="shared" si="3"/>
        <v>0</v>
      </c>
    </row>
    <row r="21" spans="1:25">
      <c r="A21" s="23" t="s">
        <v>561</v>
      </c>
      <c r="B21" s="27">
        <f t="shared" ref="B21:Y21" si="4">SUM(B15:B20)</f>
        <v>0</v>
      </c>
      <c r="C21" s="60">
        <f t="shared" si="4"/>
        <v>0</v>
      </c>
      <c r="D21" s="60">
        <f t="shared" si="4"/>
        <v>0</v>
      </c>
      <c r="E21" s="60">
        <f t="shared" si="4"/>
        <v>0</v>
      </c>
      <c r="F21" s="27">
        <f t="shared" si="4"/>
        <v>0</v>
      </c>
      <c r="G21" s="56">
        <f t="shared" si="4"/>
        <v>0</v>
      </c>
      <c r="H21" s="56">
        <f t="shared" si="4"/>
        <v>0</v>
      </c>
      <c r="I21" s="56">
        <f t="shared" si="4"/>
        <v>0</v>
      </c>
      <c r="J21" s="27">
        <f t="shared" si="4"/>
        <v>0</v>
      </c>
      <c r="K21" s="60">
        <f t="shared" si="4"/>
        <v>0</v>
      </c>
      <c r="L21" s="60">
        <f t="shared" si="4"/>
        <v>0</v>
      </c>
      <c r="M21" s="60">
        <f t="shared" si="4"/>
        <v>0</v>
      </c>
      <c r="N21" s="27">
        <f t="shared" si="4"/>
        <v>0</v>
      </c>
      <c r="O21" s="60">
        <f t="shared" si="4"/>
        <v>0</v>
      </c>
      <c r="P21" s="60">
        <f t="shared" si="4"/>
        <v>0</v>
      </c>
      <c r="Q21" s="60">
        <f t="shared" si="4"/>
        <v>0</v>
      </c>
      <c r="R21" s="27">
        <f t="shared" si="4"/>
        <v>0</v>
      </c>
      <c r="S21" s="36">
        <f t="shared" si="4"/>
        <v>0</v>
      </c>
      <c r="T21" s="36">
        <f t="shared" si="4"/>
        <v>0</v>
      </c>
      <c r="U21" s="36">
        <f t="shared" si="4"/>
        <v>0</v>
      </c>
      <c r="V21" s="27">
        <f t="shared" si="4"/>
        <v>0</v>
      </c>
      <c r="W21" s="36">
        <f t="shared" si="4"/>
        <v>0</v>
      </c>
      <c r="X21" s="36">
        <f t="shared" si="4"/>
        <v>0</v>
      </c>
      <c r="Y21" s="36">
        <f t="shared" si="4"/>
        <v>0</v>
      </c>
    </row>
    <row r="22" spans="1:25">
      <c r="A22" s="24" t="s">
        <v>562</v>
      </c>
      <c r="B22" s="25"/>
      <c r="C22" s="25"/>
      <c r="D22" s="25"/>
      <c r="E22" s="25"/>
      <c r="F22" s="25"/>
      <c r="G22" s="25"/>
      <c r="H22" s="25"/>
      <c r="I22" s="25"/>
      <c r="J22" s="25"/>
      <c r="K22" s="25"/>
      <c r="L22" s="25"/>
      <c r="M22" s="25"/>
      <c r="N22" s="25"/>
      <c r="O22" s="25"/>
      <c r="P22" s="25"/>
      <c r="Q22" s="25"/>
      <c r="R22" s="25"/>
      <c r="S22" s="25"/>
      <c r="T22" s="25"/>
      <c r="U22" s="25"/>
      <c r="V22" s="25"/>
      <c r="W22" s="25"/>
      <c r="X22" s="25"/>
      <c r="Y22" s="25"/>
    </row>
    <row r="23" spans="1:25">
      <c r="A23" s="40" t="s">
        <v>127</v>
      </c>
      <c r="B23" s="65">
        <v>0</v>
      </c>
      <c r="C23" s="54">
        <v>0</v>
      </c>
      <c r="D23" s="89">
        <v>0</v>
      </c>
      <c r="E23" s="86">
        <v>0</v>
      </c>
      <c r="F23" s="72">
        <v>0</v>
      </c>
      <c r="G23" s="54">
        <v>0</v>
      </c>
      <c r="H23" s="89">
        <v>0</v>
      </c>
      <c r="I23" s="86">
        <v>0</v>
      </c>
      <c r="J23" s="72">
        <v>0</v>
      </c>
      <c r="K23" s="54">
        <v>0</v>
      </c>
      <c r="L23" s="89">
        <v>0</v>
      </c>
      <c r="M23" s="86">
        <v>0</v>
      </c>
      <c r="N23" s="72">
        <v>0</v>
      </c>
      <c r="O23" s="54">
        <v>0</v>
      </c>
      <c r="P23" s="89">
        <v>0</v>
      </c>
      <c r="Q23" s="86">
        <v>0</v>
      </c>
      <c r="R23" s="72">
        <v>0</v>
      </c>
      <c r="S23" s="32">
        <v>0</v>
      </c>
      <c r="T23" s="84">
        <v>0</v>
      </c>
      <c r="U23" s="80">
        <v>0</v>
      </c>
      <c r="V23" s="65">
        <v>0</v>
      </c>
      <c r="W23" s="32">
        <f t="shared" ref="W23:Y29" si="5">SUM(G23,K23,O23,S23)</f>
        <v>0</v>
      </c>
      <c r="X23" s="84">
        <f t="shared" si="5"/>
        <v>0</v>
      </c>
      <c r="Y23" s="80">
        <f t="shared" si="5"/>
        <v>0</v>
      </c>
    </row>
    <row r="24" spans="1:25">
      <c r="A24" s="41" t="s">
        <v>120</v>
      </c>
      <c r="B24" s="39">
        <v>0</v>
      </c>
      <c r="C24" s="54">
        <v>0</v>
      </c>
      <c r="D24" s="89">
        <v>0</v>
      </c>
      <c r="E24" s="86">
        <v>0</v>
      </c>
      <c r="F24" s="72">
        <v>0</v>
      </c>
      <c r="G24" s="54">
        <v>0</v>
      </c>
      <c r="H24" s="89">
        <v>0</v>
      </c>
      <c r="I24" s="86">
        <v>0</v>
      </c>
      <c r="J24" s="72">
        <v>0</v>
      </c>
      <c r="K24" s="54">
        <v>0</v>
      </c>
      <c r="L24" s="89">
        <v>0</v>
      </c>
      <c r="M24" s="86">
        <v>0</v>
      </c>
      <c r="N24" s="72">
        <v>0</v>
      </c>
      <c r="O24" s="54">
        <v>0</v>
      </c>
      <c r="P24" s="89">
        <v>0</v>
      </c>
      <c r="Q24" s="86">
        <v>0</v>
      </c>
      <c r="R24" s="72">
        <v>0</v>
      </c>
      <c r="S24" s="22">
        <v>0</v>
      </c>
      <c r="T24" s="82">
        <v>0</v>
      </c>
      <c r="U24" s="78">
        <v>0</v>
      </c>
      <c r="V24" s="39">
        <v>0</v>
      </c>
      <c r="W24" s="22">
        <f t="shared" si="5"/>
        <v>0</v>
      </c>
      <c r="X24" s="82">
        <f t="shared" si="5"/>
        <v>0</v>
      </c>
      <c r="Y24" s="78">
        <f t="shared" si="5"/>
        <v>0</v>
      </c>
    </row>
    <row r="25" spans="1:25">
      <c r="A25" s="41" t="s">
        <v>107</v>
      </c>
      <c r="B25" s="39">
        <v>0</v>
      </c>
      <c r="C25" s="54">
        <v>0</v>
      </c>
      <c r="D25" s="89">
        <v>0</v>
      </c>
      <c r="E25" s="86">
        <v>0</v>
      </c>
      <c r="F25" s="72">
        <v>0</v>
      </c>
      <c r="G25" s="54">
        <v>0</v>
      </c>
      <c r="H25" s="89">
        <v>0</v>
      </c>
      <c r="I25" s="86">
        <v>0</v>
      </c>
      <c r="J25" s="72">
        <v>0</v>
      </c>
      <c r="K25" s="54">
        <v>0</v>
      </c>
      <c r="L25" s="89">
        <v>0</v>
      </c>
      <c r="M25" s="86">
        <v>0</v>
      </c>
      <c r="N25" s="72">
        <v>0</v>
      </c>
      <c r="O25" s="54">
        <v>0</v>
      </c>
      <c r="P25" s="89">
        <v>0</v>
      </c>
      <c r="Q25" s="86">
        <v>0</v>
      </c>
      <c r="R25" s="72">
        <v>0</v>
      </c>
      <c r="S25" s="22">
        <v>0</v>
      </c>
      <c r="T25" s="82">
        <v>0</v>
      </c>
      <c r="U25" s="78">
        <v>0</v>
      </c>
      <c r="V25" s="39">
        <v>0</v>
      </c>
      <c r="W25" s="22">
        <f t="shared" si="5"/>
        <v>0</v>
      </c>
      <c r="X25" s="82">
        <f t="shared" si="5"/>
        <v>0</v>
      </c>
      <c r="Y25" s="78">
        <f t="shared" si="5"/>
        <v>0</v>
      </c>
    </row>
    <row r="26" spans="1:25">
      <c r="A26" s="41" t="s">
        <v>104</v>
      </c>
      <c r="B26" s="39">
        <v>0</v>
      </c>
      <c r="C26" s="54">
        <v>0</v>
      </c>
      <c r="D26" s="89">
        <v>0</v>
      </c>
      <c r="E26" s="86">
        <v>0</v>
      </c>
      <c r="F26" s="72">
        <v>249.9975</v>
      </c>
      <c r="G26" s="54">
        <v>750</v>
      </c>
      <c r="H26" s="89">
        <v>0</v>
      </c>
      <c r="I26" s="86">
        <v>0</v>
      </c>
      <c r="J26" s="72">
        <v>80.499195</v>
      </c>
      <c r="K26" s="54">
        <v>0</v>
      </c>
      <c r="L26" s="89">
        <v>0</v>
      </c>
      <c r="M26" s="86">
        <v>241.5</v>
      </c>
      <c r="N26" s="72">
        <v>0</v>
      </c>
      <c r="O26" s="54">
        <v>0</v>
      </c>
      <c r="P26" s="89">
        <v>0</v>
      </c>
      <c r="Q26" s="86">
        <v>0</v>
      </c>
      <c r="R26" s="72">
        <v>0</v>
      </c>
      <c r="S26" s="22">
        <v>0</v>
      </c>
      <c r="T26" s="82">
        <v>0</v>
      </c>
      <c r="U26" s="78">
        <v>0</v>
      </c>
      <c r="V26" s="39">
        <v>330.49669499999999</v>
      </c>
      <c r="W26" s="22">
        <f t="shared" si="5"/>
        <v>750</v>
      </c>
      <c r="X26" s="82">
        <f t="shared" si="5"/>
        <v>0</v>
      </c>
      <c r="Y26" s="78">
        <f t="shared" si="5"/>
        <v>241.5</v>
      </c>
    </row>
    <row r="27" spans="1:25">
      <c r="A27" s="41" t="s">
        <v>102</v>
      </c>
      <c r="B27" s="39">
        <v>0</v>
      </c>
      <c r="C27" s="54">
        <v>0</v>
      </c>
      <c r="D27" s="89">
        <v>0</v>
      </c>
      <c r="E27" s="86">
        <v>0</v>
      </c>
      <c r="F27" s="72">
        <v>0</v>
      </c>
      <c r="G27" s="54">
        <v>0</v>
      </c>
      <c r="H27" s="89">
        <v>0</v>
      </c>
      <c r="I27" s="86">
        <v>0</v>
      </c>
      <c r="J27" s="72">
        <v>0</v>
      </c>
      <c r="K27" s="54">
        <v>0</v>
      </c>
      <c r="L27" s="89">
        <v>0</v>
      </c>
      <c r="M27" s="86">
        <v>0</v>
      </c>
      <c r="N27" s="72">
        <v>0</v>
      </c>
      <c r="O27" s="54">
        <v>0</v>
      </c>
      <c r="P27" s="89">
        <v>0</v>
      </c>
      <c r="Q27" s="86">
        <v>0</v>
      </c>
      <c r="R27" s="72">
        <v>0</v>
      </c>
      <c r="S27" s="22">
        <v>0</v>
      </c>
      <c r="T27" s="82">
        <v>0</v>
      </c>
      <c r="U27" s="78">
        <v>0</v>
      </c>
      <c r="V27" s="39">
        <v>0</v>
      </c>
      <c r="W27" s="22">
        <f t="shared" si="5"/>
        <v>0</v>
      </c>
      <c r="X27" s="82">
        <f t="shared" si="5"/>
        <v>0</v>
      </c>
      <c r="Y27" s="78">
        <f t="shared" si="5"/>
        <v>0</v>
      </c>
    </row>
    <row r="28" spans="1:25">
      <c r="A28" s="41" t="s">
        <v>98</v>
      </c>
      <c r="B28" s="39">
        <v>0</v>
      </c>
      <c r="C28" s="54">
        <v>0</v>
      </c>
      <c r="D28" s="89">
        <v>0</v>
      </c>
      <c r="E28" s="86">
        <v>0</v>
      </c>
      <c r="F28" s="72">
        <v>0</v>
      </c>
      <c r="G28" s="54">
        <v>0</v>
      </c>
      <c r="H28" s="89">
        <v>0</v>
      </c>
      <c r="I28" s="86">
        <v>0</v>
      </c>
      <c r="J28" s="72">
        <v>0</v>
      </c>
      <c r="K28" s="54">
        <v>0</v>
      </c>
      <c r="L28" s="89">
        <v>0</v>
      </c>
      <c r="M28" s="86">
        <v>0</v>
      </c>
      <c r="N28" s="72">
        <v>0</v>
      </c>
      <c r="O28" s="54">
        <v>0</v>
      </c>
      <c r="P28" s="89">
        <v>0</v>
      </c>
      <c r="Q28" s="86">
        <v>0</v>
      </c>
      <c r="R28" s="72">
        <v>0</v>
      </c>
      <c r="S28" s="22">
        <v>0</v>
      </c>
      <c r="T28" s="82">
        <v>0</v>
      </c>
      <c r="U28" s="78">
        <v>0</v>
      </c>
      <c r="V28" s="39">
        <v>0</v>
      </c>
      <c r="W28" s="22">
        <f t="shared" si="5"/>
        <v>0</v>
      </c>
      <c r="X28" s="82">
        <f t="shared" si="5"/>
        <v>0</v>
      </c>
      <c r="Y28" s="78">
        <f t="shared" si="5"/>
        <v>0</v>
      </c>
    </row>
    <row r="29" spans="1:25">
      <c r="A29" s="42" t="s">
        <v>84</v>
      </c>
      <c r="B29" s="64">
        <v>0</v>
      </c>
      <c r="C29" s="59">
        <v>0</v>
      </c>
      <c r="D29" s="91">
        <v>0</v>
      </c>
      <c r="E29" s="88">
        <v>0</v>
      </c>
      <c r="F29" s="73">
        <v>0</v>
      </c>
      <c r="G29" s="59">
        <v>0</v>
      </c>
      <c r="H29" s="91">
        <v>0</v>
      </c>
      <c r="I29" s="88">
        <v>0</v>
      </c>
      <c r="J29" s="73">
        <v>999.99</v>
      </c>
      <c r="K29" s="59">
        <v>0</v>
      </c>
      <c r="L29" s="91">
        <v>0</v>
      </c>
      <c r="M29" s="88">
        <v>3000</v>
      </c>
      <c r="N29" s="73">
        <v>0</v>
      </c>
      <c r="O29" s="59">
        <v>0</v>
      </c>
      <c r="P29" s="91">
        <v>0</v>
      </c>
      <c r="Q29" s="88">
        <v>0</v>
      </c>
      <c r="R29" s="73">
        <v>0</v>
      </c>
      <c r="S29" s="35">
        <v>0</v>
      </c>
      <c r="T29" s="85">
        <v>0</v>
      </c>
      <c r="U29" s="81">
        <v>0</v>
      </c>
      <c r="V29" s="64">
        <v>999.99</v>
      </c>
      <c r="W29" s="35">
        <f t="shared" si="5"/>
        <v>0</v>
      </c>
      <c r="X29" s="85">
        <f t="shared" si="5"/>
        <v>0</v>
      </c>
      <c r="Y29" s="81">
        <f t="shared" si="5"/>
        <v>3000</v>
      </c>
    </row>
    <row r="30" spans="1:25">
      <c r="A30" s="23" t="s">
        <v>563</v>
      </c>
      <c r="B30" s="27">
        <f t="shared" ref="B30:Y30" si="6">SUM(B23:B29)</f>
        <v>0</v>
      </c>
      <c r="C30" s="60">
        <f t="shared" si="6"/>
        <v>0</v>
      </c>
      <c r="D30" s="60">
        <f t="shared" si="6"/>
        <v>0</v>
      </c>
      <c r="E30" s="60">
        <f t="shared" si="6"/>
        <v>0</v>
      </c>
      <c r="F30" s="27">
        <f t="shared" si="6"/>
        <v>249.9975</v>
      </c>
      <c r="G30" s="60">
        <f t="shared" si="6"/>
        <v>750</v>
      </c>
      <c r="H30" s="60">
        <f t="shared" si="6"/>
        <v>0</v>
      </c>
      <c r="I30" s="60">
        <f t="shared" si="6"/>
        <v>0</v>
      </c>
      <c r="J30" s="27">
        <f t="shared" si="6"/>
        <v>1080.4891950000001</v>
      </c>
      <c r="K30" s="60">
        <f t="shared" si="6"/>
        <v>0</v>
      </c>
      <c r="L30" s="60">
        <f t="shared" si="6"/>
        <v>0</v>
      </c>
      <c r="M30" s="60">
        <f t="shared" si="6"/>
        <v>3241.5</v>
      </c>
      <c r="N30" s="27">
        <f t="shared" si="6"/>
        <v>0</v>
      </c>
      <c r="O30" s="60">
        <f t="shared" si="6"/>
        <v>0</v>
      </c>
      <c r="P30" s="60">
        <f t="shared" si="6"/>
        <v>0</v>
      </c>
      <c r="Q30" s="60">
        <f t="shared" si="6"/>
        <v>0</v>
      </c>
      <c r="R30" s="27">
        <f t="shared" si="6"/>
        <v>0</v>
      </c>
      <c r="S30" s="36">
        <f t="shared" si="6"/>
        <v>0</v>
      </c>
      <c r="T30" s="36">
        <f t="shared" si="6"/>
        <v>0</v>
      </c>
      <c r="U30" s="36">
        <f t="shared" si="6"/>
        <v>0</v>
      </c>
      <c r="V30" s="27">
        <f t="shared" si="6"/>
        <v>1330.4866950000001</v>
      </c>
      <c r="W30" s="36">
        <f t="shared" si="6"/>
        <v>750</v>
      </c>
      <c r="X30" s="36">
        <f t="shared" si="6"/>
        <v>0</v>
      </c>
      <c r="Y30" s="36">
        <f t="shared" si="6"/>
        <v>3241.5</v>
      </c>
    </row>
    <row r="31" spans="1:25">
      <c r="A31" s="24" t="s">
        <v>429</v>
      </c>
      <c r="B31" s="21"/>
      <c r="C31" s="26"/>
      <c r="D31" s="26"/>
      <c r="E31" s="26"/>
      <c r="F31" s="26"/>
      <c r="G31" s="26"/>
      <c r="H31" s="26"/>
      <c r="I31" s="26"/>
      <c r="J31" s="26"/>
      <c r="K31" s="26"/>
      <c r="L31" s="26"/>
      <c r="M31" s="26"/>
      <c r="N31" s="26"/>
      <c r="O31" s="26"/>
      <c r="P31" s="26"/>
      <c r="Q31" s="26"/>
      <c r="R31" s="26"/>
      <c r="S31" s="26"/>
      <c r="T31" s="26"/>
      <c r="U31" s="26"/>
      <c r="V31" s="21"/>
      <c r="W31" s="26"/>
      <c r="X31" s="26"/>
      <c r="Y31" s="26"/>
    </row>
    <row r="32" spans="1:25">
      <c r="A32" s="40" t="s">
        <v>81</v>
      </c>
      <c r="B32" s="65">
        <v>5000</v>
      </c>
      <c r="C32" s="54">
        <v>5000</v>
      </c>
      <c r="D32" s="89">
        <v>5000</v>
      </c>
      <c r="E32" s="86">
        <v>5000</v>
      </c>
      <c r="F32" s="72">
        <v>370.56296099999997</v>
      </c>
      <c r="G32" s="54">
        <v>1066.98</v>
      </c>
      <c r="H32" s="89">
        <v>0</v>
      </c>
      <c r="I32" s="86">
        <v>44.72</v>
      </c>
      <c r="J32" s="72">
        <v>818.53181460000008</v>
      </c>
      <c r="K32" s="54">
        <v>0</v>
      </c>
      <c r="L32" s="89">
        <v>126.42</v>
      </c>
      <c r="M32" s="86">
        <v>2329.1999999999998</v>
      </c>
      <c r="N32" s="72">
        <v>562.68103980000001</v>
      </c>
      <c r="O32" s="54">
        <v>0</v>
      </c>
      <c r="P32" s="89">
        <v>0</v>
      </c>
      <c r="Q32" s="86">
        <v>1688.06</v>
      </c>
      <c r="R32" s="72">
        <v>436.12897200000003</v>
      </c>
      <c r="S32" s="32">
        <v>0</v>
      </c>
      <c r="T32" s="84">
        <v>0</v>
      </c>
      <c r="U32" s="80">
        <v>1308.4000000000001</v>
      </c>
      <c r="V32" s="65">
        <v>2187.9047873999998</v>
      </c>
      <c r="W32" s="32">
        <f t="shared" ref="W32:Y33" si="7">SUM(G32,K32,O32,S32)</f>
        <v>1066.98</v>
      </c>
      <c r="X32" s="84">
        <f t="shared" si="7"/>
        <v>126.42</v>
      </c>
      <c r="Y32" s="80">
        <f t="shared" si="7"/>
        <v>5370.3799999999992</v>
      </c>
    </row>
    <row r="33" spans="1:25">
      <c r="A33" s="42" t="s">
        <v>79</v>
      </c>
      <c r="B33" s="64">
        <v>0</v>
      </c>
      <c r="C33" s="59">
        <v>0</v>
      </c>
      <c r="D33" s="91">
        <v>0</v>
      </c>
      <c r="E33" s="88">
        <v>0</v>
      </c>
      <c r="F33" s="73">
        <v>998.48668169999996</v>
      </c>
      <c r="G33" s="59">
        <v>533.49</v>
      </c>
      <c r="H33" s="91">
        <v>0</v>
      </c>
      <c r="I33" s="88">
        <v>2462</v>
      </c>
      <c r="J33" s="73">
        <v>0</v>
      </c>
      <c r="K33" s="59">
        <v>0</v>
      </c>
      <c r="L33" s="91">
        <v>0</v>
      </c>
      <c r="M33" s="88">
        <v>0</v>
      </c>
      <c r="N33" s="73">
        <v>0</v>
      </c>
      <c r="O33" s="59">
        <v>0</v>
      </c>
      <c r="P33" s="91">
        <v>0</v>
      </c>
      <c r="Q33" s="88">
        <v>0</v>
      </c>
      <c r="R33" s="73">
        <v>0</v>
      </c>
      <c r="S33" s="35">
        <v>0</v>
      </c>
      <c r="T33" s="85">
        <v>0</v>
      </c>
      <c r="U33" s="81">
        <v>0</v>
      </c>
      <c r="V33" s="64">
        <v>998.48668169999996</v>
      </c>
      <c r="W33" s="35">
        <f t="shared" si="7"/>
        <v>533.49</v>
      </c>
      <c r="X33" s="85">
        <f t="shared" si="7"/>
        <v>0</v>
      </c>
      <c r="Y33" s="81">
        <f t="shared" si="7"/>
        <v>2462</v>
      </c>
    </row>
    <row r="34" spans="1:25">
      <c r="A34" s="23" t="s">
        <v>564</v>
      </c>
      <c r="B34" s="27">
        <f t="shared" ref="B34:Y34" si="8">SUM(B32:B33)</f>
        <v>5000</v>
      </c>
      <c r="C34" s="60">
        <f t="shared" si="8"/>
        <v>5000</v>
      </c>
      <c r="D34" s="60">
        <f t="shared" si="8"/>
        <v>5000</v>
      </c>
      <c r="E34" s="60">
        <f t="shared" si="8"/>
        <v>5000</v>
      </c>
      <c r="F34" s="27">
        <f t="shared" si="8"/>
        <v>1369.0496426999998</v>
      </c>
      <c r="G34" s="60">
        <f t="shared" si="8"/>
        <v>1600.47</v>
      </c>
      <c r="H34" s="60">
        <f t="shared" si="8"/>
        <v>0</v>
      </c>
      <c r="I34" s="60">
        <f t="shared" si="8"/>
        <v>2506.7199999999998</v>
      </c>
      <c r="J34" s="27">
        <f t="shared" si="8"/>
        <v>818.53181460000008</v>
      </c>
      <c r="K34" s="60">
        <f t="shared" si="8"/>
        <v>0</v>
      </c>
      <c r="L34" s="60">
        <f t="shared" si="8"/>
        <v>126.42</v>
      </c>
      <c r="M34" s="60">
        <f t="shared" si="8"/>
        <v>2329.1999999999998</v>
      </c>
      <c r="N34" s="27">
        <f t="shared" si="8"/>
        <v>562.68103980000001</v>
      </c>
      <c r="O34" s="60">
        <f t="shared" si="8"/>
        <v>0</v>
      </c>
      <c r="P34" s="60">
        <f t="shared" si="8"/>
        <v>0</v>
      </c>
      <c r="Q34" s="60">
        <f t="shared" si="8"/>
        <v>1688.06</v>
      </c>
      <c r="R34" s="27">
        <f t="shared" si="8"/>
        <v>436.12897200000003</v>
      </c>
      <c r="S34" s="36">
        <f t="shared" si="8"/>
        <v>0</v>
      </c>
      <c r="T34" s="36">
        <f t="shared" si="8"/>
        <v>0</v>
      </c>
      <c r="U34" s="36">
        <f t="shared" si="8"/>
        <v>1308.4000000000001</v>
      </c>
      <c r="V34" s="27">
        <f t="shared" si="8"/>
        <v>3186.3914691</v>
      </c>
      <c r="W34" s="36">
        <f t="shared" si="8"/>
        <v>1600.47</v>
      </c>
      <c r="X34" s="36">
        <f t="shared" si="8"/>
        <v>126.42</v>
      </c>
      <c r="Y34" s="36">
        <f t="shared" si="8"/>
        <v>7832.3799999999992</v>
      </c>
    </row>
    <row r="35" spans="1:25">
      <c r="A35" s="24" t="s">
        <v>565</v>
      </c>
      <c r="B35" s="26"/>
      <c r="C35" s="26"/>
      <c r="D35" s="26"/>
      <c r="E35" s="26"/>
      <c r="F35" s="26"/>
      <c r="G35" s="26"/>
      <c r="H35" s="26"/>
      <c r="I35" s="26"/>
      <c r="J35" s="26"/>
      <c r="K35" s="26"/>
      <c r="L35" s="26"/>
      <c r="M35" s="26"/>
      <c r="N35" s="26"/>
      <c r="O35" s="26"/>
      <c r="P35" s="26"/>
      <c r="Q35" s="26"/>
      <c r="R35" s="26"/>
      <c r="S35" s="26"/>
      <c r="T35" s="26"/>
      <c r="U35" s="26"/>
      <c r="V35" s="26"/>
      <c r="W35" s="26"/>
      <c r="X35" s="26"/>
      <c r="Y35" s="26"/>
    </row>
    <row r="36" spans="1:25">
      <c r="A36" s="40" t="s">
        <v>77</v>
      </c>
      <c r="B36" s="65">
        <v>0</v>
      </c>
      <c r="C36" s="54">
        <v>0</v>
      </c>
      <c r="D36" s="89">
        <v>0</v>
      </c>
      <c r="E36" s="86">
        <v>0</v>
      </c>
      <c r="F36" s="72">
        <v>0</v>
      </c>
      <c r="G36" s="54">
        <v>0</v>
      </c>
      <c r="H36" s="89">
        <v>0</v>
      </c>
      <c r="I36" s="86">
        <v>0</v>
      </c>
      <c r="J36" s="72">
        <v>0</v>
      </c>
      <c r="K36" s="54">
        <v>0</v>
      </c>
      <c r="L36" s="89">
        <v>0</v>
      </c>
      <c r="M36" s="86">
        <v>0</v>
      </c>
      <c r="N36" s="72">
        <v>0</v>
      </c>
      <c r="O36" s="54">
        <v>0</v>
      </c>
      <c r="P36" s="89">
        <v>0</v>
      </c>
      <c r="Q36" s="86">
        <v>0</v>
      </c>
      <c r="R36" s="72">
        <v>0</v>
      </c>
      <c r="S36" s="32">
        <v>0</v>
      </c>
      <c r="T36" s="84">
        <v>0</v>
      </c>
      <c r="U36" s="80">
        <v>0</v>
      </c>
      <c r="V36" s="65">
        <v>0</v>
      </c>
      <c r="W36" s="32">
        <f t="shared" ref="W36:Y41" si="9">SUM(G36,K36,O36,S36)</f>
        <v>0</v>
      </c>
      <c r="X36" s="84">
        <f t="shared" si="9"/>
        <v>0</v>
      </c>
      <c r="Y36" s="80">
        <f t="shared" si="9"/>
        <v>0</v>
      </c>
    </row>
    <row r="37" spans="1:25">
      <c r="A37" s="41" t="s">
        <v>59</v>
      </c>
      <c r="B37" s="39">
        <v>0</v>
      </c>
      <c r="C37" s="54">
        <v>0</v>
      </c>
      <c r="D37" s="89">
        <v>0</v>
      </c>
      <c r="E37" s="86">
        <v>0</v>
      </c>
      <c r="F37" s="72">
        <v>0</v>
      </c>
      <c r="G37" s="54">
        <v>0</v>
      </c>
      <c r="H37" s="89">
        <v>0</v>
      </c>
      <c r="I37" s="86">
        <v>0</v>
      </c>
      <c r="J37" s="72">
        <v>0</v>
      </c>
      <c r="K37" s="54">
        <v>0</v>
      </c>
      <c r="L37" s="89">
        <v>0</v>
      </c>
      <c r="M37" s="86">
        <v>0</v>
      </c>
      <c r="N37" s="72">
        <v>0</v>
      </c>
      <c r="O37" s="54">
        <v>0</v>
      </c>
      <c r="P37" s="89">
        <v>0</v>
      </c>
      <c r="Q37" s="86">
        <v>0</v>
      </c>
      <c r="R37" s="72">
        <v>0</v>
      </c>
      <c r="S37" s="22">
        <v>0</v>
      </c>
      <c r="T37" s="82">
        <v>0</v>
      </c>
      <c r="U37" s="78">
        <v>0</v>
      </c>
      <c r="V37" s="39">
        <v>0</v>
      </c>
      <c r="W37" s="22">
        <f t="shared" si="9"/>
        <v>0</v>
      </c>
      <c r="X37" s="82">
        <f t="shared" si="9"/>
        <v>0</v>
      </c>
      <c r="Y37" s="78">
        <f t="shared" si="9"/>
        <v>0</v>
      </c>
    </row>
    <row r="38" spans="1:25">
      <c r="A38" s="41" t="s">
        <v>39</v>
      </c>
      <c r="B38" s="39">
        <v>0</v>
      </c>
      <c r="C38" s="54">
        <v>0</v>
      </c>
      <c r="D38" s="89">
        <v>0</v>
      </c>
      <c r="E38" s="86">
        <v>0</v>
      </c>
      <c r="F38" s="72">
        <v>0</v>
      </c>
      <c r="G38" s="54">
        <v>0</v>
      </c>
      <c r="H38" s="89">
        <v>0</v>
      </c>
      <c r="I38" s="86">
        <v>0</v>
      </c>
      <c r="J38" s="72">
        <v>0</v>
      </c>
      <c r="K38" s="54">
        <v>0</v>
      </c>
      <c r="L38" s="89">
        <v>0</v>
      </c>
      <c r="M38" s="86">
        <v>0</v>
      </c>
      <c r="N38" s="72">
        <v>0</v>
      </c>
      <c r="O38" s="54">
        <v>0</v>
      </c>
      <c r="P38" s="89">
        <v>0</v>
      </c>
      <c r="Q38" s="86">
        <v>0</v>
      </c>
      <c r="R38" s="72">
        <v>0</v>
      </c>
      <c r="S38" s="22">
        <v>0</v>
      </c>
      <c r="T38" s="82">
        <v>0</v>
      </c>
      <c r="U38" s="78">
        <v>0</v>
      </c>
      <c r="V38" s="39">
        <v>0</v>
      </c>
      <c r="W38" s="22">
        <f t="shared" si="9"/>
        <v>0</v>
      </c>
      <c r="X38" s="82">
        <f t="shared" si="9"/>
        <v>0</v>
      </c>
      <c r="Y38" s="78">
        <f t="shared" si="9"/>
        <v>0</v>
      </c>
    </row>
    <row r="39" spans="1:25">
      <c r="A39" s="92" t="s">
        <v>31</v>
      </c>
      <c r="B39" s="93">
        <v>0</v>
      </c>
      <c r="C39" s="94">
        <v>0</v>
      </c>
      <c r="D39" s="100">
        <v>0</v>
      </c>
      <c r="E39" s="99">
        <v>0</v>
      </c>
      <c r="F39" s="95">
        <v>0</v>
      </c>
      <c r="G39" s="94">
        <v>0</v>
      </c>
      <c r="H39" s="100">
        <v>0</v>
      </c>
      <c r="I39" s="99">
        <v>0</v>
      </c>
      <c r="J39" s="95">
        <v>0</v>
      </c>
      <c r="K39" s="94">
        <v>0</v>
      </c>
      <c r="L39" s="100">
        <v>0</v>
      </c>
      <c r="M39" s="99">
        <v>0</v>
      </c>
      <c r="N39" s="95">
        <v>0</v>
      </c>
      <c r="O39" s="94">
        <v>0</v>
      </c>
      <c r="P39" s="100">
        <v>0</v>
      </c>
      <c r="Q39" s="99">
        <v>0</v>
      </c>
      <c r="R39" s="95">
        <v>0</v>
      </c>
      <c r="S39" s="96">
        <v>0</v>
      </c>
      <c r="T39" s="98">
        <v>0</v>
      </c>
      <c r="U39" s="97">
        <v>0</v>
      </c>
      <c r="V39" s="93">
        <v>0</v>
      </c>
      <c r="W39" s="96">
        <f t="shared" si="9"/>
        <v>0</v>
      </c>
      <c r="X39" s="98">
        <f t="shared" si="9"/>
        <v>0</v>
      </c>
      <c r="Y39" s="97">
        <f t="shared" si="9"/>
        <v>0</v>
      </c>
    </row>
    <row r="40" spans="1:25">
      <c r="A40" s="41" t="s">
        <v>27</v>
      </c>
      <c r="B40" s="39">
        <v>314</v>
      </c>
      <c r="C40" s="54">
        <v>302</v>
      </c>
      <c r="D40" s="89">
        <v>302</v>
      </c>
      <c r="E40" s="86">
        <v>288</v>
      </c>
      <c r="F40" s="72">
        <v>97.3290267</v>
      </c>
      <c r="G40" s="54">
        <v>147.85</v>
      </c>
      <c r="H40" s="89">
        <v>0</v>
      </c>
      <c r="I40" s="86">
        <v>144.13999999999999</v>
      </c>
      <c r="J40" s="72">
        <v>109.31890679999999</v>
      </c>
      <c r="K40" s="54">
        <v>0</v>
      </c>
      <c r="L40" s="89">
        <v>7.64</v>
      </c>
      <c r="M40" s="86">
        <v>320.32</v>
      </c>
      <c r="N40" s="72">
        <v>32.353009800000002</v>
      </c>
      <c r="O40" s="54">
        <v>0</v>
      </c>
      <c r="P40" s="89">
        <v>0</v>
      </c>
      <c r="Q40" s="86">
        <v>97.06</v>
      </c>
      <c r="R40" s="72">
        <v>25.076415900000004</v>
      </c>
      <c r="S40" s="22">
        <v>0</v>
      </c>
      <c r="T40" s="82">
        <v>0</v>
      </c>
      <c r="U40" s="78">
        <v>75.23</v>
      </c>
      <c r="V40" s="39">
        <v>264.07735920000005</v>
      </c>
      <c r="W40" s="22">
        <f t="shared" si="9"/>
        <v>147.85</v>
      </c>
      <c r="X40" s="82">
        <f t="shared" si="9"/>
        <v>7.64</v>
      </c>
      <c r="Y40" s="78">
        <f t="shared" si="9"/>
        <v>636.75</v>
      </c>
    </row>
    <row r="41" spans="1:25">
      <c r="A41" s="42" t="s">
        <v>25</v>
      </c>
      <c r="B41" s="64">
        <v>26</v>
      </c>
      <c r="C41" s="59">
        <v>25</v>
      </c>
      <c r="D41" s="91">
        <v>25</v>
      </c>
      <c r="E41" s="88">
        <v>35</v>
      </c>
      <c r="F41" s="73">
        <v>9.763235700000001</v>
      </c>
      <c r="G41" s="59">
        <v>11.99</v>
      </c>
      <c r="H41" s="91">
        <v>0</v>
      </c>
      <c r="I41" s="88">
        <v>17.3</v>
      </c>
      <c r="J41" s="73">
        <v>13.0232031</v>
      </c>
      <c r="K41" s="59">
        <v>0</v>
      </c>
      <c r="L41" s="91">
        <v>0.63</v>
      </c>
      <c r="M41" s="88">
        <v>38.44</v>
      </c>
      <c r="N41" s="73">
        <v>3.8832945000000003</v>
      </c>
      <c r="O41" s="59">
        <v>0</v>
      </c>
      <c r="P41" s="91">
        <v>0</v>
      </c>
      <c r="Q41" s="88">
        <v>11.65</v>
      </c>
      <c r="R41" s="73">
        <v>3.0099698999999998</v>
      </c>
      <c r="S41" s="35">
        <v>0</v>
      </c>
      <c r="T41" s="85">
        <v>0</v>
      </c>
      <c r="U41" s="81">
        <v>9.0299999999999994</v>
      </c>
      <c r="V41" s="64">
        <v>29.679703200000002</v>
      </c>
      <c r="W41" s="35">
        <f t="shared" si="9"/>
        <v>11.99</v>
      </c>
      <c r="X41" s="85">
        <f t="shared" si="9"/>
        <v>0.63</v>
      </c>
      <c r="Y41" s="81">
        <f t="shared" si="9"/>
        <v>76.42</v>
      </c>
    </row>
    <row r="42" spans="1:25">
      <c r="A42" s="23" t="s">
        <v>566</v>
      </c>
      <c r="B42" s="27">
        <f t="shared" ref="B42:Y42" si="10">SUM(B36:B41)</f>
        <v>340</v>
      </c>
      <c r="C42" s="56">
        <f t="shared" si="10"/>
        <v>327</v>
      </c>
      <c r="D42" s="56">
        <f t="shared" si="10"/>
        <v>327</v>
      </c>
      <c r="E42" s="56">
        <f t="shared" si="10"/>
        <v>323</v>
      </c>
      <c r="F42" s="66">
        <f t="shared" si="10"/>
        <v>107.0922624</v>
      </c>
      <c r="G42" s="56">
        <f t="shared" si="10"/>
        <v>159.84</v>
      </c>
      <c r="H42" s="56">
        <f t="shared" si="10"/>
        <v>0</v>
      </c>
      <c r="I42" s="56">
        <f t="shared" si="10"/>
        <v>161.44</v>
      </c>
      <c r="J42" s="66">
        <f t="shared" si="10"/>
        <v>122.3421099</v>
      </c>
      <c r="K42" s="56">
        <f t="shared" si="10"/>
        <v>0</v>
      </c>
      <c r="L42" s="56">
        <f t="shared" si="10"/>
        <v>8.27</v>
      </c>
      <c r="M42" s="56">
        <f t="shared" si="10"/>
        <v>358.76</v>
      </c>
      <c r="N42" s="66">
        <f t="shared" si="10"/>
        <v>36.2363043</v>
      </c>
      <c r="O42" s="56">
        <f t="shared" si="10"/>
        <v>0</v>
      </c>
      <c r="P42" s="56">
        <f t="shared" si="10"/>
        <v>0</v>
      </c>
      <c r="Q42" s="56">
        <f t="shared" si="10"/>
        <v>108.71000000000001</v>
      </c>
      <c r="R42" s="66">
        <f t="shared" si="10"/>
        <v>28.086385800000002</v>
      </c>
      <c r="S42" s="37">
        <f t="shared" si="10"/>
        <v>0</v>
      </c>
      <c r="T42" s="37">
        <f t="shared" si="10"/>
        <v>0</v>
      </c>
      <c r="U42" s="37">
        <f t="shared" si="10"/>
        <v>84.26</v>
      </c>
      <c r="V42" s="27">
        <f t="shared" si="10"/>
        <v>293.75706240000005</v>
      </c>
      <c r="W42" s="37">
        <f t="shared" si="10"/>
        <v>159.84</v>
      </c>
      <c r="X42" s="37">
        <f t="shared" si="10"/>
        <v>8.27</v>
      </c>
      <c r="Y42" s="37">
        <f t="shared" si="10"/>
        <v>713.17</v>
      </c>
    </row>
    <row r="43" spans="1:25" ht="16.2" thickBot="1">
      <c r="A43" s="43" t="s">
        <v>567</v>
      </c>
      <c r="B43" s="34">
        <f>SUM(B21,B30,B34,B42)</f>
        <v>5340</v>
      </c>
      <c r="C43" s="52">
        <f t="shared" ref="C43:U43" si="11">SUM(C21,C30,C34,C42)</f>
        <v>5327</v>
      </c>
      <c r="D43" s="52">
        <f t="shared" si="11"/>
        <v>5327</v>
      </c>
      <c r="E43" s="52">
        <f t="shared" si="11"/>
        <v>5323</v>
      </c>
      <c r="F43" s="34">
        <f t="shared" si="11"/>
        <v>1726.1394050999997</v>
      </c>
      <c r="G43" s="52">
        <f t="shared" si="11"/>
        <v>2510.3100000000004</v>
      </c>
      <c r="H43" s="52">
        <f t="shared" si="11"/>
        <v>0</v>
      </c>
      <c r="I43" s="52">
        <f t="shared" si="11"/>
        <v>2668.16</v>
      </c>
      <c r="J43" s="34">
        <f t="shared" si="11"/>
        <v>2021.3631195</v>
      </c>
      <c r="K43" s="52">
        <f t="shared" si="11"/>
        <v>0</v>
      </c>
      <c r="L43" s="52">
        <f t="shared" si="11"/>
        <v>134.69</v>
      </c>
      <c r="M43" s="52">
        <f t="shared" si="11"/>
        <v>5929.46</v>
      </c>
      <c r="N43" s="34">
        <f t="shared" si="11"/>
        <v>598.91734410000004</v>
      </c>
      <c r="O43" s="52">
        <f t="shared" si="11"/>
        <v>0</v>
      </c>
      <c r="P43" s="52">
        <f t="shared" si="11"/>
        <v>0</v>
      </c>
      <c r="Q43" s="52">
        <f t="shared" si="11"/>
        <v>1796.77</v>
      </c>
      <c r="R43" s="34">
        <f t="shared" si="11"/>
        <v>464.21535780000005</v>
      </c>
      <c r="S43" s="34">
        <f t="shared" si="11"/>
        <v>0</v>
      </c>
      <c r="T43" s="34">
        <f t="shared" si="11"/>
        <v>0</v>
      </c>
      <c r="U43" s="34">
        <f t="shared" si="11"/>
        <v>1392.66</v>
      </c>
      <c r="V43" s="34">
        <f>SUM(V21,V30,V34,V42)</f>
        <v>4810.6352265000005</v>
      </c>
      <c r="W43" s="34">
        <f t="shared" ref="W43:Y43" si="12">SUM(W21,W30,W34,W42)</f>
        <v>2510.3100000000004</v>
      </c>
      <c r="X43" s="34">
        <f t="shared" si="12"/>
        <v>134.69</v>
      </c>
      <c r="Y43" s="34">
        <f t="shared" si="12"/>
        <v>11787.05</v>
      </c>
    </row>
    <row r="44" spans="1:25" ht="15" thickTop="1">
      <c r="A44" s="44" t="s">
        <v>568</v>
      </c>
      <c r="B44" s="28"/>
      <c r="C44" s="20"/>
      <c r="D44" s="20"/>
      <c r="E44" s="20"/>
      <c r="F44" s="28"/>
      <c r="G44" s="20"/>
      <c r="H44" s="20"/>
      <c r="I44" s="20"/>
      <c r="J44" s="28"/>
      <c r="K44" s="20"/>
      <c r="L44" s="20"/>
      <c r="M44" s="20"/>
      <c r="N44" s="28"/>
      <c r="O44" s="20"/>
      <c r="P44" s="20"/>
      <c r="Q44" s="20"/>
      <c r="R44" s="28"/>
      <c r="S44" s="20"/>
      <c r="T44" s="20"/>
      <c r="U44" s="20"/>
      <c r="V44" s="28"/>
      <c r="W44" s="20"/>
      <c r="X44" s="20"/>
      <c r="Y44" s="20"/>
    </row>
    <row r="45" spans="1:25">
      <c r="A45" s="40" t="s">
        <v>23</v>
      </c>
      <c r="B45" s="65">
        <v>0</v>
      </c>
      <c r="C45" s="54">
        <v>0</v>
      </c>
      <c r="D45" s="89">
        <v>0</v>
      </c>
      <c r="E45" s="86">
        <v>0</v>
      </c>
      <c r="F45" s="72">
        <v>0</v>
      </c>
      <c r="G45" s="54">
        <v>0</v>
      </c>
      <c r="H45" s="89">
        <v>0</v>
      </c>
      <c r="I45" s="86">
        <v>0</v>
      </c>
      <c r="J45" s="72">
        <v>0</v>
      </c>
      <c r="K45" s="54">
        <v>0</v>
      </c>
      <c r="L45" s="89">
        <v>0</v>
      </c>
      <c r="M45" s="86">
        <v>0</v>
      </c>
      <c r="N45" s="72">
        <v>0</v>
      </c>
      <c r="O45" s="54">
        <v>0</v>
      </c>
      <c r="P45" s="89">
        <v>0</v>
      </c>
      <c r="Q45" s="86">
        <v>0</v>
      </c>
      <c r="R45" s="72">
        <v>2669.6399700000002</v>
      </c>
      <c r="S45" s="32">
        <v>2816.69</v>
      </c>
      <c r="T45" s="84">
        <v>5192.3100000000004</v>
      </c>
      <c r="U45" s="80">
        <v>0</v>
      </c>
      <c r="V45" s="65">
        <v>2669.6399700000002</v>
      </c>
      <c r="W45" s="32">
        <f t="shared" ref="W45:Y46" si="13">SUM(G45,K45,O45,S45)</f>
        <v>2816.69</v>
      </c>
      <c r="X45" s="84">
        <f t="shared" si="13"/>
        <v>5192.3100000000004</v>
      </c>
      <c r="Y45" s="80">
        <f t="shared" si="13"/>
        <v>0</v>
      </c>
    </row>
    <row r="46" spans="1:25">
      <c r="A46" s="42" t="s">
        <v>7</v>
      </c>
      <c r="B46" s="64">
        <v>0</v>
      </c>
      <c r="C46" s="59">
        <v>0</v>
      </c>
      <c r="D46" s="91">
        <v>0</v>
      </c>
      <c r="E46" s="88">
        <v>0</v>
      </c>
      <c r="F46" s="73">
        <v>0</v>
      </c>
      <c r="G46" s="59">
        <v>0</v>
      </c>
      <c r="H46" s="91">
        <v>0</v>
      </c>
      <c r="I46" s="88">
        <v>0</v>
      </c>
      <c r="J46" s="73">
        <v>0</v>
      </c>
      <c r="K46" s="59">
        <v>0</v>
      </c>
      <c r="L46" s="91">
        <v>0</v>
      </c>
      <c r="M46" s="88">
        <v>0</v>
      </c>
      <c r="N46" s="73">
        <v>0</v>
      </c>
      <c r="O46" s="59">
        <v>0</v>
      </c>
      <c r="P46" s="91">
        <v>0</v>
      </c>
      <c r="Q46" s="88">
        <v>0</v>
      </c>
      <c r="R46" s="73">
        <v>0</v>
      </c>
      <c r="S46" s="35">
        <v>0</v>
      </c>
      <c r="T46" s="85">
        <v>0</v>
      </c>
      <c r="U46" s="81">
        <v>0</v>
      </c>
      <c r="V46" s="64">
        <v>0</v>
      </c>
      <c r="W46" s="35">
        <f t="shared" si="13"/>
        <v>0</v>
      </c>
      <c r="X46" s="85">
        <f t="shared" si="13"/>
        <v>0</v>
      </c>
      <c r="Y46" s="81">
        <f t="shared" si="13"/>
        <v>0</v>
      </c>
    </row>
    <row r="47" spans="1:25">
      <c r="A47" s="45" t="s">
        <v>569</v>
      </c>
      <c r="B47" s="49">
        <f t="shared" ref="B47:Y47" si="14">SUM(B45:B46)</f>
        <v>0</v>
      </c>
      <c r="C47" s="60">
        <f t="shared" si="14"/>
        <v>0</v>
      </c>
      <c r="D47" s="60">
        <f t="shared" si="14"/>
        <v>0</v>
      </c>
      <c r="E47" s="60">
        <f t="shared" si="14"/>
        <v>0</v>
      </c>
      <c r="F47" s="27">
        <f t="shared" si="14"/>
        <v>0</v>
      </c>
      <c r="G47" s="60">
        <f t="shared" si="14"/>
        <v>0</v>
      </c>
      <c r="H47" s="60">
        <f t="shared" si="14"/>
        <v>0</v>
      </c>
      <c r="I47" s="60">
        <f t="shared" si="14"/>
        <v>0</v>
      </c>
      <c r="J47" s="27">
        <f t="shared" si="14"/>
        <v>0</v>
      </c>
      <c r="K47" s="60">
        <f t="shared" si="14"/>
        <v>0</v>
      </c>
      <c r="L47" s="60">
        <f t="shared" si="14"/>
        <v>0</v>
      </c>
      <c r="M47" s="60">
        <f t="shared" si="14"/>
        <v>0</v>
      </c>
      <c r="N47" s="27">
        <f t="shared" si="14"/>
        <v>0</v>
      </c>
      <c r="O47" s="60">
        <f t="shared" si="14"/>
        <v>0</v>
      </c>
      <c r="P47" s="60">
        <f t="shared" si="14"/>
        <v>0</v>
      </c>
      <c r="Q47" s="60">
        <f t="shared" si="14"/>
        <v>0</v>
      </c>
      <c r="R47" s="27">
        <f t="shared" si="14"/>
        <v>2669.6399700000002</v>
      </c>
      <c r="S47" s="36">
        <f t="shared" si="14"/>
        <v>2816.69</v>
      </c>
      <c r="T47" s="36">
        <f t="shared" si="14"/>
        <v>5192.3100000000004</v>
      </c>
      <c r="U47" s="36">
        <f t="shared" si="14"/>
        <v>0</v>
      </c>
      <c r="V47" s="49">
        <f t="shared" si="14"/>
        <v>2669.6399700000002</v>
      </c>
      <c r="W47" s="36">
        <f t="shared" si="14"/>
        <v>2816.69</v>
      </c>
      <c r="X47" s="36">
        <f t="shared" si="14"/>
        <v>5192.3100000000004</v>
      </c>
      <c r="Y47" s="36">
        <f t="shared" si="14"/>
        <v>0</v>
      </c>
    </row>
    <row r="48" spans="1:25" ht="16.2" thickBot="1">
      <c r="A48" s="43" t="s">
        <v>570</v>
      </c>
      <c r="B48" s="34">
        <f>SUM(B12,B43,B47)</f>
        <v>0</v>
      </c>
      <c r="C48" s="52">
        <f t="shared" ref="C48:U48" si="15">SUM(C12,C43,C47)</f>
        <v>0</v>
      </c>
      <c r="D48" s="52">
        <f t="shared" si="15"/>
        <v>0</v>
      </c>
      <c r="E48" s="52">
        <f t="shared" si="15"/>
        <v>0</v>
      </c>
      <c r="F48" s="34">
        <f t="shared" si="15"/>
        <v>-936.83396490000041</v>
      </c>
      <c r="G48" s="52">
        <f t="shared" si="15"/>
        <v>-152.6899999999996</v>
      </c>
      <c r="H48" s="52">
        <f t="shared" si="15"/>
        <v>-2664</v>
      </c>
      <c r="I48" s="52">
        <f t="shared" si="15"/>
        <v>6.1599999999998545</v>
      </c>
      <c r="J48" s="34">
        <f t="shared" si="15"/>
        <v>2021.3631195</v>
      </c>
      <c r="K48" s="52">
        <f t="shared" si="15"/>
        <v>0</v>
      </c>
      <c r="L48" s="52">
        <f t="shared" si="15"/>
        <v>134.69</v>
      </c>
      <c r="M48" s="52">
        <f t="shared" si="15"/>
        <v>5929.46</v>
      </c>
      <c r="N48" s="34">
        <f t="shared" si="15"/>
        <v>-2063.7226959</v>
      </c>
      <c r="O48" s="52">
        <f t="shared" si="15"/>
        <v>-2664</v>
      </c>
      <c r="P48" s="52">
        <f t="shared" si="15"/>
        <v>-2663</v>
      </c>
      <c r="Q48" s="52">
        <f t="shared" si="15"/>
        <v>-864.23</v>
      </c>
      <c r="R48" s="34">
        <f t="shared" si="15"/>
        <v>-160.82839169999943</v>
      </c>
      <c r="S48" s="34">
        <f t="shared" si="15"/>
        <v>2816.69</v>
      </c>
      <c r="T48" s="34">
        <f t="shared" si="15"/>
        <v>5192.3100000000004</v>
      </c>
      <c r="U48" s="34">
        <f t="shared" si="15"/>
        <v>-8491.49</v>
      </c>
      <c r="V48" s="34">
        <f>SUM(V12,V43,V47)</f>
        <v>-1140.0219329999982</v>
      </c>
      <c r="W48" s="34">
        <f t="shared" ref="W48:Y48" si="16">SUM(W12,W43,W47)</f>
        <v>0</v>
      </c>
      <c r="X48" s="34">
        <f t="shared" si="16"/>
        <v>0</v>
      </c>
      <c r="Y48" s="34">
        <f t="shared" si="16"/>
        <v>-3420.1000000000004</v>
      </c>
    </row>
    <row r="49" spans="1:25" ht="15" thickTop="1">
      <c r="A49" s="29"/>
      <c r="B49" s="19"/>
      <c r="C49" s="48"/>
      <c r="D49" s="48"/>
      <c r="E49" s="48"/>
      <c r="F49" s="19"/>
      <c r="G49" s="48"/>
      <c r="H49" s="48"/>
      <c r="I49" s="48"/>
      <c r="J49" s="19"/>
      <c r="K49" s="48"/>
      <c r="L49" s="48"/>
      <c r="M49" s="48"/>
      <c r="N49" s="19"/>
      <c r="O49" s="48"/>
      <c r="P49" s="48"/>
      <c r="Q49" s="48"/>
      <c r="R49" s="19"/>
      <c r="S49" s="48"/>
      <c r="T49" s="48"/>
      <c r="U49" s="48"/>
      <c r="V49" s="19"/>
      <c r="W49" s="48"/>
      <c r="X49" s="48"/>
      <c r="Y49" s="48"/>
    </row>
  </sheetData>
  <conditionalFormatting sqref="B15:C21 B23:C30 B32:C34 B36:C43 V36:W43 V32:W34 V23:W30 V15:W21 R36:S43 R32:S34 R23:S30 R15:S21 N36:O43 N32:O34 N23:O30 N15:O21 J36:K43 J32:K34 J23:K30 J15:K21 F36:G43 F32:G34 F23:G30 F15:G21">
    <cfRule type="cellIs" dxfId="12" priority="13" operator="lessThan">
      <formula>-0.01</formula>
    </cfRule>
  </conditionalFormatting>
  <conditionalFormatting sqref="Y15:Y21 Y23:Y30 Y32:Y34 Y36:Y43">
    <cfRule type="cellIs" dxfId="11" priority="12" operator="lessThan">
      <formula>-0.01</formula>
    </cfRule>
  </conditionalFormatting>
  <conditionalFormatting sqref="X15:X21 X23:X30 X32:X34 X36:X43">
    <cfRule type="cellIs" dxfId="10" priority="11" operator="lessThan">
      <formula>-0.01</formula>
    </cfRule>
  </conditionalFormatting>
  <conditionalFormatting sqref="U15:U21 U23:U30 U32:U34 U36:U43">
    <cfRule type="cellIs" dxfId="9" priority="10" operator="lessThan">
      <formula>-0.01</formula>
    </cfRule>
  </conditionalFormatting>
  <conditionalFormatting sqref="T15:T21 T23:T30 T32:T34 T36:T43">
    <cfRule type="cellIs" dxfId="8" priority="9" operator="lessThan">
      <formula>-0.01</formula>
    </cfRule>
  </conditionalFormatting>
  <conditionalFormatting sqref="Q15:Q21 Q23:Q30 Q32:Q34 Q36:Q43">
    <cfRule type="cellIs" dxfId="7" priority="8" operator="lessThan">
      <formula>-0.01</formula>
    </cfRule>
  </conditionalFormatting>
  <conditionalFormatting sqref="P15:P21 P23:P30 P32:P34 P36:P43">
    <cfRule type="cellIs" dxfId="6" priority="7" operator="lessThan">
      <formula>-0.01</formula>
    </cfRule>
  </conditionalFormatting>
  <conditionalFormatting sqref="M15:M21 M23:M30 M32:M34 M36:M43">
    <cfRule type="cellIs" dxfId="5" priority="6" operator="lessThan">
      <formula>-0.01</formula>
    </cfRule>
  </conditionalFormatting>
  <conditionalFormatting sqref="L15:L21 L23:L30 L32:L34 L36:L43">
    <cfRule type="cellIs" dxfId="4" priority="5" operator="lessThan">
      <formula>-0.01</formula>
    </cfRule>
  </conditionalFormatting>
  <conditionalFormatting sqref="I15:I21 I23:I30 I32:I34 I36:I43">
    <cfRule type="cellIs" dxfId="3" priority="4" operator="lessThan">
      <formula>-0.01</formula>
    </cfRule>
  </conditionalFormatting>
  <conditionalFormatting sqref="H15:H21 H23:H30 H32:H34 H36:H43">
    <cfRule type="cellIs" dxfId="2" priority="3" operator="lessThan">
      <formula>-0.01</formula>
    </cfRule>
  </conditionalFormatting>
  <conditionalFormatting sqref="E15:E21 E23:E30 E32:E34 E36:E43">
    <cfRule type="cellIs" dxfId="1" priority="2" operator="lessThan">
      <formula>-0.01</formula>
    </cfRule>
  </conditionalFormatting>
  <conditionalFormatting sqref="D15:D21 D23:D30 D32:D34 D36:D43">
    <cfRule type="cellIs" dxfId="0" priority="1" operator="lessThan">
      <formula>-0.01</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19</vt:i4>
      </vt:variant>
    </vt:vector>
  </HeadingPairs>
  <TitlesOfParts>
    <vt:vector size="43" baseType="lpstr">
      <vt:lpstr>Instructions</vt:lpstr>
      <vt:lpstr>Create Report</vt:lpstr>
      <vt:lpstr>Account Codes</vt:lpstr>
      <vt:lpstr>Consolidation Lists</vt:lpstr>
      <vt:lpstr>Draft</vt:lpstr>
      <vt:lpstr>Roll Up</vt:lpstr>
      <vt:lpstr>Appellate Court</vt:lpstr>
      <vt:lpstr>Ccs-leg</vt:lpstr>
      <vt:lpstr>Elections</vt:lpstr>
      <vt:lpstr>Exec Staff Payroll</vt:lpstr>
      <vt:lpstr>Finance Board</vt:lpstr>
      <vt:lpstr>Freshman Council</vt:lpstr>
      <vt:lpstr>Homecoming</vt:lpstr>
      <vt:lpstr>Incident Response</vt:lpstr>
      <vt:lpstr>Leg Cncl Disc</vt:lpstr>
      <vt:lpstr>Leg Cncl Staff</vt:lpstr>
      <vt:lpstr>Legis Affairs Comm</vt:lpstr>
      <vt:lpstr>Operations</vt:lpstr>
      <vt:lpstr>Payroll Suspense</vt:lpstr>
      <vt:lpstr>Programming</vt:lpstr>
      <vt:lpstr>Public Relations</vt:lpstr>
      <vt:lpstr>Rep Council</vt:lpstr>
      <vt:lpstr>Staff Support</vt:lpstr>
      <vt:lpstr>Travel</vt:lpstr>
      <vt:lpstr>rngACCTs</vt:lpstr>
      <vt:lpstr>rngArray</vt:lpstr>
      <vt:lpstr>'Account Codes'!rngCC</vt:lpstr>
      <vt:lpstr>'Consolidation Lists'!rngCC</vt:lpstr>
      <vt:lpstr>Draft!rngCC</vt:lpstr>
      <vt:lpstr>rngCC</vt:lpstr>
      <vt:lpstr>rngContents</vt:lpstr>
      <vt:lpstr>rngFBs</vt:lpstr>
      <vt:lpstr>'Account Codes'!rngFY</vt:lpstr>
      <vt:lpstr>'Consolidation Lists'!rngFY</vt:lpstr>
      <vt:lpstr>Draft!rngFY</vt:lpstr>
      <vt:lpstr>rngFY</vt:lpstr>
      <vt:lpstr>'Account Codes'!rngQ</vt:lpstr>
      <vt:lpstr>'Consolidation Lists'!rngQ</vt:lpstr>
      <vt:lpstr>Draft!rngQ</vt:lpstr>
      <vt:lpstr>rngReport</vt:lpstr>
      <vt:lpstr>rngSKIP</vt:lpstr>
      <vt:lpstr>rngWeights</vt:lpstr>
      <vt:lpstr>rngYRS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grega</dc:creator>
  <cp:lastModifiedBy>grega</cp:lastModifiedBy>
  <dcterms:created xsi:type="dcterms:W3CDTF">2020-05-21T01:18:03Z</dcterms:created>
  <dcterms:modified xsi:type="dcterms:W3CDTF">2020-06-22T16:35:59Z</dcterms:modified>
</cp:coreProperties>
</file>