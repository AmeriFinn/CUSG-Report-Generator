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rega\Google Drive\CUSG\Finance Board\Finance Board Reports Generator\Finance Board Reports Generator - New WIP\"/>
    </mc:Choice>
  </mc:AlternateContent>
  <xr:revisionPtr revIDLastSave="0" documentId="13_ncr:1_{18014D60-393F-4A9D-8970-8E3483731088}" xr6:coauthVersionLast="46" xr6:coauthVersionMax="46" xr10:uidLastSave="{00000000-0000-0000-0000-000000000000}"/>
  <bookViews>
    <workbookView xWindow="28680" yWindow="-120" windowWidth="29040" windowHeight="16440" tabRatio="926" xr2:uid="{291CD08B-0172-456B-8D0B-50E7D30A7F7D}"/>
  </bookViews>
  <sheets>
    <sheet name="Create Report" sheetId="4" r:id="rId1"/>
    <sheet name="Data" sheetId="1" r:id="rId2"/>
    <sheet name="GroupedData" sheetId="494" r:id="rId3"/>
    <sheet name="Account Codes" sheetId="5" state="hidden" r:id="rId4"/>
    <sheet name="Consolidation Lists" sheetId="6" state="hidden" r:id="rId5"/>
    <sheet name="QR Draft" sheetId="2" state="hidden" r:id="rId6"/>
    <sheet name="SB Draft" sheetId="3" state="hidden" r:id="rId7"/>
    <sheet name="AB Draft" sheetId="1613" state="hidden" r:id="rId8"/>
    <sheet name="Fund Balance" sheetId="7" r:id="rId9"/>
    <sheet name="Rev.Exp All Pgms" sheetId="8" r:id="rId10"/>
    <sheet name="Enhancements" sheetId="1644" state="hidden" r:id="rId11"/>
    <sheet name="Roll Up" sheetId="9" r:id="rId12"/>
    <sheet name="KVCU Operations" sheetId="2108" r:id="rId13"/>
  </sheets>
  <functionGroups builtInGroupCount="19"/>
  <externalReferences>
    <externalReference r:id="rId14"/>
  </externalReferences>
  <definedNames>
    <definedName name="rngABCC">'Create Report'!$E$13</definedName>
    <definedName name="rngABFY">'Create Report'!$E$14</definedName>
    <definedName name="rngACCTs">'Create Report'!$S$3</definedName>
    <definedName name="rngArray">'Create Report'!$H$8</definedName>
    <definedName name="rngBenRates">'Create Report'!$AC$2</definedName>
    <definedName name="rngCC">'[1]Create Report'!$F$3</definedName>
    <definedName name="rngContents">'Create Report'!$W$3</definedName>
    <definedName name="rngEDoc">'Create Report'!$L$5</definedName>
    <definedName name="rngESelect">'Create Report'!$L$3</definedName>
    <definedName name="rngEType">'Create Report'!$L$4</definedName>
    <definedName name="rngFBs">'Create Report'!$U$3</definedName>
    <definedName name="rngFY">'[1]Create Report'!$F$5</definedName>
    <definedName name="rngPath">'Create Report'!$B$17</definedName>
    <definedName name="rngPlanningRates">'Create Report'!$Z$3</definedName>
    <definedName name="rngQ">'[1]Create Report'!$F$4</definedName>
    <definedName name="rngQCC">'Create Report'!$E$3</definedName>
    <definedName name="rngQFY">'Create Report'!$E$5</definedName>
    <definedName name="rngQQ">'Create Report'!$E$4</definedName>
    <definedName name="rngSAlink">'Create Report'!$B$20</definedName>
    <definedName name="rngSBCC">'Create Report'!$E$8</definedName>
    <definedName name="rngSBStart">'Create Report'!$E$10</definedName>
    <definedName name="rngSBYRS">'Create Report'!$E$9</definedName>
    <definedName name="rngSKIP">'Consolidation Lists'!$I$1</definedName>
    <definedName name="rngWeights">'Create Report'!$H$9</definedName>
    <definedName name="ThreeYrWeights">'Create Report'!$H$9:$J$9</definedName>
  </definedNames>
  <calcPr calcId="191029" iterate="1"/>
  <pivotCaches>
    <pivotCache cacheId="18"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7" i="2108" l="1"/>
  <c r="J47" i="2108"/>
  <c r="I47" i="2108"/>
  <c r="H47" i="2108"/>
  <c r="E47" i="2108"/>
  <c r="D47" i="2108"/>
  <c r="C47" i="2108"/>
  <c r="B47" i="2108"/>
  <c r="K42" i="2108"/>
  <c r="J42" i="2108"/>
  <c r="I42" i="2108"/>
  <c r="H42" i="2108"/>
  <c r="E42" i="2108"/>
  <c r="D42" i="2108"/>
  <c r="C42" i="2108"/>
  <c r="B42" i="2108"/>
  <c r="K34" i="2108"/>
  <c r="J34" i="2108"/>
  <c r="I34" i="2108"/>
  <c r="H34" i="2108"/>
  <c r="E34" i="2108"/>
  <c r="D34" i="2108"/>
  <c r="C34" i="2108"/>
  <c r="B34" i="2108"/>
  <c r="K30" i="2108"/>
  <c r="J30" i="2108"/>
  <c r="I30" i="2108"/>
  <c r="H30" i="2108"/>
  <c r="E30" i="2108"/>
  <c r="D30" i="2108"/>
  <c r="C30" i="2108"/>
  <c r="B30" i="2108"/>
  <c r="K21" i="2108"/>
  <c r="K43" i="2108" s="1"/>
  <c r="J21" i="2108"/>
  <c r="J43" i="2108" s="1"/>
  <c r="I21" i="2108"/>
  <c r="H21" i="2108"/>
  <c r="E21" i="2108"/>
  <c r="E43" i="2108" s="1"/>
  <c r="D21" i="2108"/>
  <c r="D43" i="2108" s="1"/>
  <c r="C21" i="2108"/>
  <c r="C43" i="2108" s="1"/>
  <c r="B21" i="2108"/>
  <c r="B43" i="2108" s="1"/>
  <c r="K12" i="2108"/>
  <c r="J12" i="2108"/>
  <c r="I12" i="2108"/>
  <c r="H12" i="2108"/>
  <c r="E12" i="2108"/>
  <c r="D12" i="2108"/>
  <c r="C12" i="2108"/>
  <c r="B12" i="2108"/>
  <c r="K46" i="9"/>
  <c r="J46" i="9"/>
  <c r="I46" i="9"/>
  <c r="H46" i="9"/>
  <c r="K45" i="9"/>
  <c r="J45" i="9"/>
  <c r="I45" i="9"/>
  <c r="H45" i="9"/>
  <c r="K41" i="9"/>
  <c r="J41" i="9"/>
  <c r="I41" i="9"/>
  <c r="H41" i="9"/>
  <c r="K40" i="9"/>
  <c r="J40" i="9"/>
  <c r="I40" i="9"/>
  <c r="H40" i="9"/>
  <c r="K39" i="9"/>
  <c r="J39" i="9"/>
  <c r="I39" i="9"/>
  <c r="H39" i="9"/>
  <c r="K38" i="9"/>
  <c r="J38" i="9"/>
  <c r="I38" i="9"/>
  <c r="H38" i="9"/>
  <c r="K37" i="9"/>
  <c r="J37" i="9"/>
  <c r="I37" i="9"/>
  <c r="H37" i="9"/>
  <c r="K36" i="9"/>
  <c r="J36" i="9"/>
  <c r="I36" i="9"/>
  <c r="H36" i="9"/>
  <c r="K33" i="9"/>
  <c r="J33" i="9"/>
  <c r="I33" i="9"/>
  <c r="H33" i="9"/>
  <c r="K32" i="9"/>
  <c r="J32" i="9"/>
  <c r="I32" i="9"/>
  <c r="H32"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0" i="9"/>
  <c r="J20" i="9"/>
  <c r="I20" i="9"/>
  <c r="H20" i="9"/>
  <c r="K19" i="9"/>
  <c r="J19" i="9"/>
  <c r="I19" i="9"/>
  <c r="H19" i="9"/>
  <c r="K18" i="9"/>
  <c r="J18" i="9"/>
  <c r="I18" i="9"/>
  <c r="H18" i="9"/>
  <c r="K17" i="9"/>
  <c r="J17" i="9"/>
  <c r="I17" i="9"/>
  <c r="H17" i="9"/>
  <c r="K16" i="9"/>
  <c r="J16" i="9"/>
  <c r="I16" i="9"/>
  <c r="H16" i="9"/>
  <c r="K15" i="9"/>
  <c r="J15" i="9"/>
  <c r="I15" i="9"/>
  <c r="H15" i="9"/>
  <c r="K11" i="9"/>
  <c r="J11" i="9"/>
  <c r="I11" i="9"/>
  <c r="H11" i="9"/>
  <c r="K10" i="9"/>
  <c r="J10" i="9"/>
  <c r="I10" i="9"/>
  <c r="H10" i="9"/>
  <c r="K9" i="9"/>
  <c r="J9" i="9"/>
  <c r="I9" i="9"/>
  <c r="H9" i="9"/>
  <c r="K8" i="9"/>
  <c r="J8" i="9"/>
  <c r="I8" i="9"/>
  <c r="H8" i="9"/>
  <c r="E46" i="9"/>
  <c r="D46" i="9"/>
  <c r="C46" i="9"/>
  <c r="B46" i="9"/>
  <c r="E45" i="9"/>
  <c r="D45" i="9"/>
  <c r="C45" i="9"/>
  <c r="B45" i="9"/>
  <c r="E41" i="9"/>
  <c r="D41" i="9"/>
  <c r="C41" i="9"/>
  <c r="B41" i="9"/>
  <c r="E40" i="9"/>
  <c r="D40" i="9"/>
  <c r="C40" i="9"/>
  <c r="B40" i="9"/>
  <c r="E39" i="9"/>
  <c r="D39" i="9"/>
  <c r="C39" i="9"/>
  <c r="B39" i="9"/>
  <c r="E38" i="9"/>
  <c r="D38" i="9"/>
  <c r="C38" i="9"/>
  <c r="B38" i="9"/>
  <c r="E37" i="9"/>
  <c r="D37" i="9"/>
  <c r="C37" i="9"/>
  <c r="B37" i="9"/>
  <c r="E36" i="9"/>
  <c r="D36" i="9"/>
  <c r="C36" i="9"/>
  <c r="B36" i="9"/>
  <c r="E33" i="9"/>
  <c r="D33" i="9"/>
  <c r="C33" i="9"/>
  <c r="B33" i="9"/>
  <c r="E32" i="9"/>
  <c r="D32" i="9"/>
  <c r="C32" i="9"/>
  <c r="B32" i="9"/>
  <c r="E29" i="9"/>
  <c r="D29" i="9"/>
  <c r="C29" i="9"/>
  <c r="B29" i="9"/>
  <c r="E28" i="9"/>
  <c r="D28" i="9"/>
  <c r="C28" i="9"/>
  <c r="B28" i="9"/>
  <c r="E27" i="9"/>
  <c r="D27" i="9"/>
  <c r="C27" i="9"/>
  <c r="B27" i="9"/>
  <c r="E26" i="9"/>
  <c r="D26" i="9"/>
  <c r="C26" i="9"/>
  <c r="B26" i="9"/>
  <c r="E25" i="9"/>
  <c r="D25" i="9"/>
  <c r="C25" i="9"/>
  <c r="B25" i="9"/>
  <c r="E24" i="9"/>
  <c r="D24" i="9"/>
  <c r="C24" i="9"/>
  <c r="B24" i="9"/>
  <c r="E23" i="9"/>
  <c r="D23" i="9"/>
  <c r="C23" i="9"/>
  <c r="B23" i="9"/>
  <c r="E20" i="9"/>
  <c r="D20" i="9"/>
  <c r="C20" i="9"/>
  <c r="B20" i="9"/>
  <c r="E19" i="9"/>
  <c r="D19" i="9"/>
  <c r="C19" i="9"/>
  <c r="B19" i="9"/>
  <c r="E18" i="9"/>
  <c r="D18" i="9"/>
  <c r="C18" i="9"/>
  <c r="B18" i="9"/>
  <c r="E17" i="9"/>
  <c r="D17" i="9"/>
  <c r="C17" i="9"/>
  <c r="B17" i="9"/>
  <c r="E16" i="9"/>
  <c r="D16" i="9"/>
  <c r="C16" i="9"/>
  <c r="B16" i="9"/>
  <c r="E15" i="9"/>
  <c r="D15" i="9"/>
  <c r="C15" i="9"/>
  <c r="B15" i="9"/>
  <c r="E11" i="9"/>
  <c r="D11" i="9"/>
  <c r="C11" i="9"/>
  <c r="B11" i="9"/>
  <c r="E10" i="9"/>
  <c r="D10" i="9"/>
  <c r="C10" i="9"/>
  <c r="B10" i="9"/>
  <c r="E9" i="9"/>
  <c r="D9" i="9"/>
  <c r="C9" i="9"/>
  <c r="B9" i="9"/>
  <c r="E8" i="9"/>
  <c r="D8" i="9"/>
  <c r="C8" i="9"/>
  <c r="B8" i="9"/>
  <c r="G19" i="9" a="1"/>
  <c r="G16" i="9" a="1"/>
  <c r="G11" i="9" a="1"/>
  <c r="G9" i="9" a="1"/>
  <c r="G8" i="9" a="1"/>
  <c r="G46" i="9" a="1"/>
  <c r="G45" i="9" a="1"/>
  <c r="G41" i="9" a="1"/>
  <c r="G40" i="9" a="1"/>
  <c r="G39" i="9" a="1"/>
  <c r="G38" i="9" a="1"/>
  <c r="G37" i="9" a="1"/>
  <c r="G36" i="9" a="1"/>
  <c r="G33" i="9" a="1"/>
  <c r="G32" i="9" a="1"/>
  <c r="G29" i="9" a="1"/>
  <c r="G28" i="9" a="1"/>
  <c r="G27" i="9" a="1"/>
  <c r="G26" i="9" a="1"/>
  <c r="G25" i="9" a="1"/>
  <c r="G24" i="9" a="1"/>
  <c r="G23" i="9" a="1"/>
  <c r="G20" i="9" a="1"/>
  <c r="G18" i="9" a="1"/>
  <c r="G17" i="9" a="1"/>
  <c r="G15" i="9" a="1"/>
  <c r="G10" i="9" a="1"/>
  <c r="G18" i="2108" a="1"/>
  <c r="G15" i="2108" a="1"/>
  <c r="G10" i="2108" a="1"/>
  <c r="G8" i="2108" a="1"/>
  <c r="G46" i="2108" a="1"/>
  <c r="G45" i="2108" a="1"/>
  <c r="G41" i="2108" a="1"/>
  <c r="G40" i="2108" a="1"/>
  <c r="G39" i="2108" a="1"/>
  <c r="G38" i="2108" a="1"/>
  <c r="G37" i="2108" a="1"/>
  <c r="G36" i="2108" a="1"/>
  <c r="G33" i="2108" a="1"/>
  <c r="G32" i="2108" a="1"/>
  <c r="G29" i="2108" a="1"/>
  <c r="G28" i="2108" a="1"/>
  <c r="G27" i="2108" a="1"/>
  <c r="G26" i="2108" a="1"/>
  <c r="G25" i="2108" a="1"/>
  <c r="G24" i="2108" a="1"/>
  <c r="G23" i="2108" a="1"/>
  <c r="G20" i="2108" a="1"/>
  <c r="G19" i="2108" a="1"/>
  <c r="G17" i="2108" a="1"/>
  <c r="G16" i="2108" a="1"/>
  <c r="G11" i="2108" a="1"/>
  <c r="G9" i="2108" a="1"/>
  <c r="G34" i="2108" a="1"/>
  <c r="G47" i="2108" a="1"/>
  <c r="G42" i="2108" a="1"/>
  <c r="G30" i="2108" a="1"/>
  <c r="G21" i="2108" a="1"/>
  <c r="G12" i="2108" a="1"/>
  <c r="K47" i="9" l="1"/>
  <c r="J47" i="9"/>
  <c r="I47" i="9"/>
  <c r="H47" i="9"/>
  <c r="K42" i="9"/>
  <c r="J42" i="9"/>
  <c r="I42" i="9"/>
  <c r="H42" i="9"/>
  <c r="K34" i="9"/>
  <c r="J34" i="9"/>
  <c r="I34" i="9"/>
  <c r="H34" i="9"/>
  <c r="K30" i="9"/>
  <c r="J30" i="9"/>
  <c r="I30" i="9"/>
  <c r="H30" i="9"/>
  <c r="K21" i="9"/>
  <c r="J21" i="9"/>
  <c r="I21" i="9"/>
  <c r="H21" i="9"/>
  <c r="K12" i="9"/>
  <c r="J12" i="9"/>
  <c r="I12" i="9"/>
  <c r="H12" i="9"/>
  <c r="E47" i="9"/>
  <c r="D47" i="9"/>
  <c r="C47" i="9"/>
  <c r="B47" i="9"/>
  <c r="E42" i="9"/>
  <c r="D42" i="9"/>
  <c r="C42" i="9"/>
  <c r="B42" i="9"/>
  <c r="E34" i="9"/>
  <c r="D34" i="9"/>
  <c r="C34" i="9"/>
  <c r="B34" i="9"/>
  <c r="E30" i="9"/>
  <c r="D30" i="9"/>
  <c r="C30" i="9"/>
  <c r="B30" i="9"/>
  <c r="E21" i="9"/>
  <c r="D21" i="9"/>
  <c r="C21" i="9"/>
  <c r="B21" i="9"/>
  <c r="E12" i="9"/>
  <c r="D12" i="9"/>
  <c r="C12" i="9"/>
  <c r="B12" i="9"/>
  <c r="G10" i="9"/>
  <c r="G15" i="9"/>
  <c r="G17" i="9"/>
  <c r="G18" i="9"/>
  <c r="G20" i="9"/>
  <c r="G23" i="9"/>
  <c r="G24" i="9"/>
  <c r="G25" i="9"/>
  <c r="G26" i="9"/>
  <c r="G27" i="9"/>
  <c r="G28" i="9"/>
  <c r="G29" i="9"/>
  <c r="G32" i="9"/>
  <c r="G33" i="9"/>
  <c r="G36" i="9"/>
  <c r="G37" i="9"/>
  <c r="G38" i="9"/>
  <c r="G39" i="9"/>
  <c r="G40" i="9"/>
  <c r="G41" i="9"/>
  <c r="G45" i="9"/>
  <c r="G46" i="9"/>
  <c r="G8" i="9"/>
  <c r="G9" i="9"/>
  <c r="G11" i="9"/>
  <c r="G16" i="9"/>
  <c r="G19" i="9"/>
  <c r="I43" i="2108"/>
  <c r="I48" i="2108" s="1"/>
  <c r="H43" i="2108"/>
  <c r="H48" i="2108" s="1"/>
  <c r="K48" i="2108"/>
  <c r="J48" i="2108"/>
  <c r="G12" i="2108"/>
  <c r="G21" i="2108"/>
  <c r="G30" i="2108"/>
  <c r="G42" i="2108"/>
  <c r="G47" i="2108"/>
  <c r="G34" i="2108"/>
  <c r="G9" i="2108"/>
  <c r="G11" i="2108"/>
  <c r="G16" i="2108"/>
  <c r="G17" i="2108"/>
  <c r="G19" i="2108"/>
  <c r="G20" i="2108"/>
  <c r="G23" i="2108"/>
  <c r="G24" i="2108"/>
  <c r="G25" i="2108"/>
  <c r="G26" i="2108"/>
  <c r="G27" i="2108"/>
  <c r="G28" i="2108"/>
  <c r="G29" i="2108"/>
  <c r="G32" i="2108"/>
  <c r="G33" i="2108"/>
  <c r="G36" i="2108"/>
  <c r="G37" i="2108"/>
  <c r="G38" i="2108"/>
  <c r="G39" i="2108"/>
  <c r="G40" i="2108"/>
  <c r="G41" i="2108"/>
  <c r="G45" i="2108"/>
  <c r="G46" i="2108"/>
  <c r="G8" i="2108"/>
  <c r="G10" i="2108"/>
  <c r="G15" i="2108"/>
  <c r="G18" i="2108"/>
  <c r="B48" i="2108"/>
  <c r="C48" i="2108"/>
  <c r="E48" i="2108"/>
  <c r="D48" i="2108"/>
  <c r="G47" i="9" a="1"/>
  <c r="G42" i="9" a="1"/>
  <c r="G34" i="9" a="1"/>
  <c r="G30" i="9" a="1"/>
  <c r="G21" i="9" a="1"/>
  <c r="G12" i="9" a="1"/>
  <c r="F25" i="9" a="1"/>
  <c r="F37" i="9" a="1"/>
  <c r="F9" i="9" a="1"/>
  <c r="F10" i="9" a="1"/>
  <c r="F26" i="9" a="1"/>
  <c r="F38" i="9" a="1"/>
  <c r="F11" i="9" a="1"/>
  <c r="F15" i="9" a="1"/>
  <c r="F27" i="9" a="1"/>
  <c r="F39" i="9" a="1"/>
  <c r="F16" i="9" a="1"/>
  <c r="F17" i="9" a="1"/>
  <c r="F28" i="9" a="1"/>
  <c r="F40" i="9" a="1"/>
  <c r="F19" i="9" a="1"/>
  <c r="F18" i="9" a="1"/>
  <c r="F29" i="9" a="1"/>
  <c r="F41" i="9" a="1"/>
  <c r="F20" i="9" a="1"/>
  <c r="F32" i="9" a="1"/>
  <c r="F45" i="9" a="1"/>
  <c r="F23" i="9" a="1"/>
  <c r="F33" i="9" a="1"/>
  <c r="F46" i="9" a="1"/>
  <c r="F24" i="9" a="1"/>
  <c r="F36" i="9" a="1"/>
  <c r="F8" i="9" a="1"/>
  <c r="G43" i="2108" a="1"/>
  <c r="F9" i="2108" a="1"/>
  <c r="F25" i="2108" a="1"/>
  <c r="F37" i="2108" a="1"/>
  <c r="F10" i="2108" a="1"/>
  <c r="F12" i="2108" a="1"/>
  <c r="F11" i="2108" a="1"/>
  <c r="F26" i="2108" a="1"/>
  <c r="F38" i="2108" a="1"/>
  <c r="F15" i="2108" a="1"/>
  <c r="F21" i="2108" a="1"/>
  <c r="F16" i="2108" a="1"/>
  <c r="F27" i="2108" a="1"/>
  <c r="F39" i="2108" a="1"/>
  <c r="F18" i="2108" a="1"/>
  <c r="F30" i="2108" a="1"/>
  <c r="F17" i="2108" a="1"/>
  <c r="F28" i="2108" a="1"/>
  <c r="F40" i="2108" a="1"/>
  <c r="F42" i="2108" a="1"/>
  <c r="F19" i="2108" a="1"/>
  <c r="F29" i="2108" a="1"/>
  <c r="F41" i="2108" a="1"/>
  <c r="F46" i="2108" a="1"/>
  <c r="F20" i="2108" a="1"/>
  <c r="F32" i="2108" a="1"/>
  <c r="F45" i="2108" a="1"/>
  <c r="F47" i="2108" a="1"/>
  <c r="F23" i="2108" a="1"/>
  <c r="F33" i="2108" a="1"/>
  <c r="F34" i="2108" a="1"/>
  <c r="F24" i="2108" a="1"/>
  <c r="F36" i="2108" a="1"/>
  <c r="F8" i="2108" a="1"/>
  <c r="J43" i="9" l="1"/>
  <c r="D43" i="9"/>
  <c r="D48" i="9" s="1"/>
  <c r="H43" i="9"/>
  <c r="H48" i="9" s="1"/>
  <c r="C43" i="9"/>
  <c r="K43" i="9"/>
  <c r="K48" i="9" s="1"/>
  <c r="I43" i="9"/>
  <c r="I48" i="9" s="1"/>
  <c r="J48" i="9"/>
  <c r="G47" i="9"/>
  <c r="E43" i="9"/>
  <c r="E48" i="9" s="1"/>
  <c r="G42" i="9"/>
  <c r="G34" i="9"/>
  <c r="C48" i="9"/>
  <c r="G30" i="9"/>
  <c r="G21" i="9"/>
  <c r="B43" i="9"/>
  <c r="G12" i="9"/>
  <c r="F8" i="9"/>
  <c r="F36" i="9"/>
  <c r="F24" i="9"/>
  <c r="F46" i="9"/>
  <c r="F33" i="9"/>
  <c r="F23" i="9"/>
  <c r="F45" i="9"/>
  <c r="F32" i="9"/>
  <c r="F20" i="9"/>
  <c r="F41" i="9"/>
  <c r="F29" i="9"/>
  <c r="F18" i="9"/>
  <c r="F19" i="9"/>
  <c r="F40" i="9"/>
  <c r="F28" i="9"/>
  <c r="F17" i="9"/>
  <c r="F16" i="9"/>
  <c r="F39" i="9"/>
  <c r="F27" i="9"/>
  <c r="F15" i="9"/>
  <c r="F11" i="9"/>
  <c r="F38" i="9"/>
  <c r="F26" i="9"/>
  <c r="F10" i="9"/>
  <c r="F9" i="9"/>
  <c r="F37" i="9"/>
  <c r="F25" i="9"/>
  <c r="G43" i="2108"/>
  <c r="F8" i="2108"/>
  <c r="F36" i="2108"/>
  <c r="F24" i="2108"/>
  <c r="F34" i="2108"/>
  <c r="F33" i="2108"/>
  <c r="F23" i="2108"/>
  <c r="F47" i="2108"/>
  <c r="F45" i="2108"/>
  <c r="F32" i="2108"/>
  <c r="F20" i="2108"/>
  <c r="F46" i="2108"/>
  <c r="F41" i="2108"/>
  <c r="F29" i="2108"/>
  <c r="F19" i="2108"/>
  <c r="F42" i="2108"/>
  <c r="F40" i="2108"/>
  <c r="F28" i="2108"/>
  <c r="F17" i="2108"/>
  <c r="F30" i="2108"/>
  <c r="F18" i="2108"/>
  <c r="F39" i="2108"/>
  <c r="F27" i="2108"/>
  <c r="F16" i="2108"/>
  <c r="F21" i="2108"/>
  <c r="F15" i="2108"/>
  <c r="F38" i="2108"/>
  <c r="F26" i="2108"/>
  <c r="F11" i="2108"/>
  <c r="F12" i="2108"/>
  <c r="F10" i="2108"/>
  <c r="F37" i="2108"/>
  <c r="F25" i="2108"/>
  <c r="F9" i="2108"/>
  <c r="F47" i="9" a="1"/>
  <c r="F42" i="9" a="1"/>
  <c r="F34" i="9" a="1"/>
  <c r="F30" i="9" a="1"/>
  <c r="F21" i="9" a="1"/>
  <c r="G43" i="9" a="1"/>
  <c r="F12" i="9" a="1"/>
  <c r="M8" i="9" a="1"/>
  <c r="L8" i="9" a="1"/>
  <c r="M32" i="9" a="1"/>
  <c r="L32" i="9" a="1"/>
  <c r="M40" i="9" a="1"/>
  <c r="L40" i="9" a="1"/>
  <c r="M25" i="9" a="1"/>
  <c r="L25" i="9" a="1"/>
  <c r="M29" i="9" a="1"/>
  <c r="L29" i="9" a="1"/>
  <c r="M39" i="9" a="1"/>
  <c r="L39" i="9" a="1"/>
  <c r="L9" i="9" a="1"/>
  <c r="M9" i="9" a="1"/>
  <c r="M19" i="9" a="1"/>
  <c r="L19" i="9" a="1"/>
  <c r="M36" i="9" a="1"/>
  <c r="L36" i="9" a="1"/>
  <c r="M20" i="9" a="1"/>
  <c r="L20" i="9" a="1"/>
  <c r="M28" i="9" a="1"/>
  <c r="L28" i="9" a="1"/>
  <c r="L11" i="9" a="1"/>
  <c r="M11" i="9" a="1"/>
  <c r="M33" i="9" a="1"/>
  <c r="L33" i="9" a="1"/>
  <c r="M15" i="9" a="1"/>
  <c r="L15" i="9" a="1"/>
  <c r="M24" i="9" a="1"/>
  <c r="L24" i="9" a="1"/>
  <c r="M17" i="9" a="1"/>
  <c r="L17" i="9" a="1"/>
  <c r="M38" i="9" a="1"/>
  <c r="L38" i="9" a="1"/>
  <c r="L16" i="9" a="1"/>
  <c r="M16" i="9" a="1"/>
  <c r="L18" i="9" a="1"/>
  <c r="M18" i="9" a="1"/>
  <c r="M27" i="9" a="1"/>
  <c r="L27" i="9" a="1"/>
  <c r="M46" i="9" a="1"/>
  <c r="L46" i="9" a="1"/>
  <c r="M41" i="9" a="1"/>
  <c r="L41" i="9" a="1"/>
  <c r="M26" i="9" a="1"/>
  <c r="L26" i="9" a="1"/>
  <c r="M23" i="9" a="1"/>
  <c r="L23" i="9" a="1"/>
  <c r="M45" i="9" a="1"/>
  <c r="L45" i="9" a="1"/>
  <c r="M10" i="9" a="1"/>
  <c r="L10" i="9" a="1"/>
  <c r="M37" i="9" a="1"/>
  <c r="L37" i="9" a="1"/>
  <c r="F43" i="2108" a="1"/>
  <c r="M8" i="2108" a="1"/>
  <c r="L8" i="2108" a="1"/>
  <c r="M32" i="2108" a="1"/>
  <c r="L32" i="2108" a="1"/>
  <c r="M40" i="2108" a="1"/>
  <c r="L40" i="2108" a="1"/>
  <c r="M24" i="2108" a="1"/>
  <c r="L24" i="2108" a="1"/>
  <c r="M20" i="2108" a="1"/>
  <c r="L20" i="2108" a="1"/>
  <c r="M34" i="2108" a="1"/>
  <c r="L34" i="2108" a="1"/>
  <c r="M46" i="2108" a="1"/>
  <c r="L46" i="2108" a="1"/>
  <c r="M30" i="2108" a="1"/>
  <c r="L30" i="2108" a="1"/>
  <c r="M26" i="2108" a="1"/>
  <c r="L26" i="2108" a="1"/>
  <c r="M33" i="2108" a="1"/>
  <c r="L33" i="2108" a="1"/>
  <c r="M41" i="2108" a="1"/>
  <c r="L41" i="2108" a="1"/>
  <c r="M18" i="2108" a="1"/>
  <c r="L18" i="2108" a="1"/>
  <c r="M11" i="2108" a="1"/>
  <c r="L11" i="2108" a="1"/>
  <c r="M23" i="2108" a="1"/>
  <c r="L23" i="2108" a="1"/>
  <c r="M29" i="2108" a="1"/>
  <c r="L29" i="2108" a="1"/>
  <c r="M39" i="2108" a="1"/>
  <c r="L39" i="2108" a="1"/>
  <c r="M12" i="2108" a="1"/>
  <c r="L12" i="2108" a="1"/>
  <c r="M47" i="2108" a="1"/>
  <c r="L47" i="2108" a="1"/>
  <c r="M19" i="2108" a="1"/>
  <c r="L19" i="2108" a="1"/>
  <c r="M27" i="2108" a="1"/>
  <c r="L27" i="2108" a="1"/>
  <c r="M10" i="2108" a="1"/>
  <c r="L10" i="2108" a="1"/>
  <c r="M45" i="2108" a="1"/>
  <c r="L45" i="2108" a="1"/>
  <c r="M42" i="2108" a="1"/>
  <c r="L42" i="2108" a="1"/>
  <c r="M16" i="2108" a="1"/>
  <c r="L16" i="2108" a="1"/>
  <c r="M37" i="2108" a="1"/>
  <c r="L37" i="2108" a="1"/>
  <c r="M21" i="2108" a="1"/>
  <c r="L21" i="2108" a="1"/>
  <c r="M25" i="2108" a="1"/>
  <c r="L25" i="2108" a="1"/>
  <c r="M36" i="2108" a="1"/>
  <c r="L36" i="2108" a="1"/>
  <c r="M28" i="2108" a="1"/>
  <c r="L28" i="2108" a="1"/>
  <c r="M15" i="2108" a="1"/>
  <c r="L15" i="2108" a="1"/>
  <c r="M9" i="2108" a="1"/>
  <c r="L9" i="2108" a="1"/>
  <c r="M17" i="2108" a="1"/>
  <c r="L17" i="2108" a="1"/>
  <c r="M38" i="2108" a="1"/>
  <c r="L38" i="2108" a="1"/>
  <c r="F47" i="9" l="1"/>
  <c r="F42" i="9"/>
  <c r="F34" i="9"/>
  <c r="F30" i="9"/>
  <c r="G43" i="9"/>
  <c r="F21" i="9"/>
  <c r="B48" i="9"/>
  <c r="F12" i="9"/>
  <c r="L37" i="9"/>
  <c r="M37" i="9"/>
  <c r="L10" i="9"/>
  <c r="M10" i="9"/>
  <c r="L45" i="9"/>
  <c r="M45" i="9"/>
  <c r="L23" i="9"/>
  <c r="M23" i="9"/>
  <c r="L26" i="9"/>
  <c r="M26" i="9"/>
  <c r="L41" i="9"/>
  <c r="M41" i="9"/>
  <c r="L46" i="9"/>
  <c r="M46" i="9"/>
  <c r="L27" i="9"/>
  <c r="M27" i="9"/>
  <c r="M18" i="9"/>
  <c r="L18" i="9"/>
  <c r="M16" i="9"/>
  <c r="L16" i="9"/>
  <c r="L38" i="9"/>
  <c r="M38" i="9"/>
  <c r="L17" i="9"/>
  <c r="M17" i="9"/>
  <c r="L24" i="9"/>
  <c r="M24" i="9"/>
  <c r="L15" i="9"/>
  <c r="M15" i="9"/>
  <c r="L33" i="9"/>
  <c r="M33" i="9"/>
  <c r="M11" i="9"/>
  <c r="L11" i="9"/>
  <c r="L28" i="9"/>
  <c r="M28" i="9"/>
  <c r="L20" i="9"/>
  <c r="M20" i="9"/>
  <c r="L36" i="9"/>
  <c r="M36" i="9"/>
  <c r="L19" i="9"/>
  <c r="M19" i="9"/>
  <c r="M9" i="9"/>
  <c r="L9" i="9"/>
  <c r="L39" i="9"/>
  <c r="M39" i="9"/>
  <c r="L29" i="9"/>
  <c r="M29" i="9"/>
  <c r="L25" i="9"/>
  <c r="M25" i="9"/>
  <c r="L40" i="9"/>
  <c r="M40" i="9"/>
  <c r="L32" i="9"/>
  <c r="M32" i="9"/>
  <c r="L8" i="9"/>
  <c r="M8" i="9"/>
  <c r="F43" i="2108"/>
  <c r="F48" i="2108" s="1"/>
  <c r="L38" i="2108"/>
  <c r="M38" i="2108"/>
  <c r="L17" i="2108"/>
  <c r="M17" i="2108"/>
  <c r="L9" i="2108"/>
  <c r="M9" i="2108"/>
  <c r="L15" i="2108"/>
  <c r="M15" i="2108"/>
  <c r="L28" i="2108"/>
  <c r="M28" i="2108"/>
  <c r="L36" i="2108"/>
  <c r="M36" i="2108"/>
  <c r="L25" i="2108"/>
  <c r="M25" i="2108"/>
  <c r="L21" i="2108"/>
  <c r="M21" i="2108"/>
  <c r="L37" i="2108"/>
  <c r="M37" i="2108"/>
  <c r="L16" i="2108"/>
  <c r="M16" i="2108"/>
  <c r="L42" i="2108"/>
  <c r="M42" i="2108"/>
  <c r="L45" i="2108"/>
  <c r="M45" i="2108"/>
  <c r="L10" i="2108"/>
  <c r="M10" i="2108"/>
  <c r="L27" i="2108"/>
  <c r="M27" i="2108"/>
  <c r="L19" i="2108"/>
  <c r="M19" i="2108"/>
  <c r="L47" i="2108"/>
  <c r="M47" i="2108"/>
  <c r="L12" i="2108"/>
  <c r="M12" i="2108"/>
  <c r="L39" i="2108"/>
  <c r="M39" i="2108"/>
  <c r="L29" i="2108"/>
  <c r="M29" i="2108"/>
  <c r="L23" i="2108"/>
  <c r="M23" i="2108"/>
  <c r="L11" i="2108"/>
  <c r="M11" i="2108"/>
  <c r="L18" i="2108"/>
  <c r="M18" i="2108"/>
  <c r="L41" i="2108"/>
  <c r="M41" i="2108"/>
  <c r="L33" i="2108"/>
  <c r="M33" i="2108"/>
  <c r="L26" i="2108"/>
  <c r="M26" i="2108"/>
  <c r="L30" i="2108"/>
  <c r="M30" i="2108"/>
  <c r="L46" i="2108"/>
  <c r="M46" i="2108"/>
  <c r="L34" i="2108"/>
  <c r="M34" i="2108"/>
  <c r="L20" i="2108"/>
  <c r="M20" i="2108"/>
  <c r="L24" i="2108"/>
  <c r="M24" i="2108"/>
  <c r="L40" i="2108"/>
  <c r="M40" i="2108"/>
  <c r="L32" i="2108"/>
  <c r="M32" i="2108"/>
  <c r="L8" i="2108"/>
  <c r="M8" i="2108"/>
  <c r="L47" i="9" a="1"/>
  <c r="M47" i="9" a="1"/>
  <c r="L42" i="9" a="1"/>
  <c r="M42" i="9" a="1"/>
  <c r="L34" i="9" a="1"/>
  <c r="M34" i="9" a="1"/>
  <c r="L30" i="9" a="1"/>
  <c r="M30" i="9" a="1"/>
  <c r="F43" i="9" a="1"/>
  <c r="M21" i="9" a="1"/>
  <c r="L21" i="9" a="1"/>
  <c r="M12" i="9" a="1"/>
  <c r="L12" i="9" a="1"/>
  <c r="L43" i="2108" a="1"/>
  <c r="M43" i="2108" a="1"/>
  <c r="L48" i="2108" a="1"/>
  <c r="M48" i="2108" a="1"/>
  <c r="M47" i="9" l="1"/>
  <c r="L47" i="9"/>
  <c r="M42" i="9"/>
  <c r="L42" i="9"/>
  <c r="M34" i="9"/>
  <c r="L34" i="9"/>
  <c r="M30" i="9"/>
  <c r="L30" i="9"/>
  <c r="L21" i="9"/>
  <c r="M21" i="9"/>
  <c r="F43" i="9"/>
  <c r="F48" i="9" s="1"/>
  <c r="L12" i="9"/>
  <c r="M12" i="9"/>
  <c r="M43" i="2108"/>
  <c r="L43" i="2108"/>
  <c r="M48" i="2108"/>
  <c r="L48" i="2108"/>
  <c r="L46" i="1644"/>
  <c r="L45" i="1644"/>
  <c r="L41" i="1644"/>
  <c r="L40" i="1644"/>
  <c r="L39" i="1644"/>
  <c r="L38" i="1644"/>
  <c r="L37" i="1644"/>
  <c r="L36" i="1644"/>
  <c r="L33" i="1644"/>
  <c r="L32" i="1644"/>
  <c r="L29" i="1644"/>
  <c r="L28" i="1644"/>
  <c r="L27" i="1644"/>
  <c r="L26" i="1644"/>
  <c r="L25" i="1644"/>
  <c r="L24" i="1644"/>
  <c r="L23" i="1644"/>
  <c r="L20" i="1644"/>
  <c r="L19" i="1644"/>
  <c r="L18" i="1644"/>
  <c r="L17" i="1644"/>
  <c r="L16" i="1644"/>
  <c r="L15" i="1644"/>
  <c r="L11" i="1644"/>
  <c r="L10" i="1644"/>
  <c r="L9" i="1644"/>
  <c r="L8" i="1644"/>
  <c r="K47" i="1644"/>
  <c r="K42" i="1644"/>
  <c r="K34" i="1644"/>
  <c r="K30" i="1644"/>
  <c r="K21" i="1644"/>
  <c r="K12" i="1644"/>
  <c r="L43" i="9" a="1"/>
  <c r="M43" i="9" a="1"/>
  <c r="M48" i="9" a="1"/>
  <c r="L48" i="9" a="1"/>
  <c r="L48" i="9" l="1"/>
  <c r="M48" i="9"/>
  <c r="M43" i="9"/>
  <c r="L43" i="9"/>
  <c r="L34" i="1644"/>
  <c r="L47" i="1644"/>
  <c r="K43" i="1644"/>
  <c r="K48" i="1644" s="1"/>
  <c r="L30" i="1644"/>
  <c r="L21" i="1644"/>
  <c r="L12" i="1644"/>
  <c r="L42" i="1644"/>
  <c r="L43" i="1644" l="1"/>
  <c r="L48" i="1644" s="1"/>
  <c r="J47" i="1644" l="1"/>
  <c r="J42" i="1644"/>
  <c r="J34" i="1644"/>
  <c r="J30" i="1644"/>
  <c r="J21" i="1644"/>
  <c r="J12" i="1644"/>
  <c r="J43" i="1644" l="1"/>
  <c r="J48" i="1644" s="1"/>
  <c r="H7" i="7" l="1"/>
  <c r="F7" i="7"/>
  <c r="L46" i="1613" l="1"/>
  <c r="M46" i="1613" s="1"/>
  <c r="L45" i="1613"/>
  <c r="M45" i="1613" s="1"/>
  <c r="L41" i="1613"/>
  <c r="M41" i="1613" s="1"/>
  <c r="L40" i="1613"/>
  <c r="M40" i="1613" s="1"/>
  <c r="L39" i="1613"/>
  <c r="M39" i="1613" s="1"/>
  <c r="L38" i="1613"/>
  <c r="M38" i="1613" s="1"/>
  <c r="L37" i="1613"/>
  <c r="M37" i="1613" s="1"/>
  <c r="L36" i="1613"/>
  <c r="M36" i="1613" s="1"/>
  <c r="L33" i="1613"/>
  <c r="M33" i="1613" s="1"/>
  <c r="L32" i="1613"/>
  <c r="M32" i="1613" s="1"/>
  <c r="L29" i="1613"/>
  <c r="M29" i="1613" s="1"/>
  <c r="L28" i="1613"/>
  <c r="M28" i="1613" s="1"/>
  <c r="L27" i="1613"/>
  <c r="M27" i="1613" s="1"/>
  <c r="L26" i="1613"/>
  <c r="M26" i="1613" s="1"/>
  <c r="L25" i="1613"/>
  <c r="M25" i="1613" s="1"/>
  <c r="L24" i="1613"/>
  <c r="M24" i="1613" s="1"/>
  <c r="L23" i="1613"/>
  <c r="M23" i="1613" s="1"/>
  <c r="L20" i="1613"/>
  <c r="M20" i="1613" s="1"/>
  <c r="L19" i="1613"/>
  <c r="M19" i="1613" s="1"/>
  <c r="L18" i="1613"/>
  <c r="M18" i="1613" s="1"/>
  <c r="L17" i="1613"/>
  <c r="M17" i="1613" s="1"/>
  <c r="L16" i="1613"/>
  <c r="M16" i="1613" s="1"/>
  <c r="L15" i="1613"/>
  <c r="M15" i="1613" s="1"/>
  <c r="L11" i="1613"/>
  <c r="M11" i="1613" s="1"/>
  <c r="L10" i="1613"/>
  <c r="M10" i="1613" s="1"/>
  <c r="L9" i="1613"/>
  <c r="M9" i="1613" s="1"/>
  <c r="L8" i="1613"/>
  <c r="M8" i="1613" s="1"/>
  <c r="S2" i="1613"/>
  <c r="G46" i="1613"/>
  <c r="G45" i="1613"/>
  <c r="G41" i="1613"/>
  <c r="G40" i="1613"/>
  <c r="G39" i="1613"/>
  <c r="G38" i="1613"/>
  <c r="G37" i="1613"/>
  <c r="G36" i="1613"/>
  <c r="G33" i="1613"/>
  <c r="G32" i="1613"/>
  <c r="G29" i="1613"/>
  <c r="G28" i="1613"/>
  <c r="G27" i="1613"/>
  <c r="G26" i="1613"/>
  <c r="G25" i="1613"/>
  <c r="G24" i="1613"/>
  <c r="G23" i="1613"/>
  <c r="G20" i="1613"/>
  <c r="G19" i="1613"/>
  <c r="G18" i="1613"/>
  <c r="G17" i="1613"/>
  <c r="G16" i="1613"/>
  <c r="G15" i="1613"/>
  <c r="G11" i="1613"/>
  <c r="G10" i="1613"/>
  <c r="G9" i="1613"/>
  <c r="G8" i="1613"/>
  <c r="H47" i="1613"/>
  <c r="H42" i="1613"/>
  <c r="H34" i="1613"/>
  <c r="H30" i="1613"/>
  <c r="H21" i="1613"/>
  <c r="H12" i="1613"/>
  <c r="M34" i="1613" l="1"/>
  <c r="M21" i="1613"/>
  <c r="M42" i="1613"/>
  <c r="M30" i="1613"/>
  <c r="M12" i="1613"/>
  <c r="M47" i="1613"/>
  <c r="Q8" i="1613"/>
  <c r="R8" i="1613" s="1"/>
  <c r="Q40" i="1613"/>
  <c r="Q28" i="1613"/>
  <c r="R28" i="1613" s="1"/>
  <c r="Q18" i="1613"/>
  <c r="R18" i="1613" s="1"/>
  <c r="Q39" i="1613"/>
  <c r="R39" i="1613" s="1"/>
  <c r="Q27" i="1613"/>
  <c r="R27" i="1613" s="1"/>
  <c r="Q17" i="1613"/>
  <c r="R17" i="1613" s="1"/>
  <c r="Q38" i="1613"/>
  <c r="R38" i="1613" s="1"/>
  <c r="Q26" i="1613"/>
  <c r="R26" i="1613" s="1"/>
  <c r="Q37" i="1613"/>
  <c r="R37" i="1613" s="1"/>
  <c r="Q25" i="1613"/>
  <c r="R25" i="1613" s="1"/>
  <c r="Q15" i="1613"/>
  <c r="R15" i="1613" s="1"/>
  <c r="Q24" i="1613"/>
  <c r="R24" i="1613" s="1"/>
  <c r="Q9" i="1613"/>
  <c r="R9" i="1613" s="1"/>
  <c r="Q29" i="1613"/>
  <c r="R29" i="1613" s="1"/>
  <c r="Q36" i="1613"/>
  <c r="R36" i="1613" s="1"/>
  <c r="Q11" i="1613"/>
  <c r="R11" i="1613" s="1"/>
  <c r="Q32" i="1613"/>
  <c r="R32" i="1613" s="1"/>
  <c r="Q46" i="1613"/>
  <c r="R46" i="1613" s="1"/>
  <c r="Q33" i="1613"/>
  <c r="R33" i="1613" s="1"/>
  <c r="Q23" i="1613"/>
  <c r="R23" i="1613" s="1"/>
  <c r="Q10" i="1613"/>
  <c r="R10" i="1613" s="1"/>
  <c r="Q45" i="1613"/>
  <c r="R45" i="1613" s="1"/>
  <c r="Q20" i="1613"/>
  <c r="R20" i="1613" s="1"/>
  <c r="Q41" i="1613"/>
  <c r="Q16" i="1613"/>
  <c r="R16" i="1613" s="1"/>
  <c r="Q19" i="1613"/>
  <c r="R19" i="1613" s="1"/>
  <c r="H43" i="1613"/>
  <c r="H48" i="1613" s="1"/>
  <c r="M43" i="1613" l="1"/>
  <c r="M48" i="1613" s="1"/>
  <c r="B42" i="1613"/>
  <c r="P34" i="1613"/>
  <c r="O34" i="1613"/>
  <c r="N34" i="1613"/>
  <c r="L34" i="1613"/>
  <c r="K34" i="1613"/>
  <c r="J34" i="1613"/>
  <c r="I34" i="1613"/>
  <c r="G34" i="1613"/>
  <c r="F34" i="1613"/>
  <c r="E34" i="1613"/>
  <c r="D34" i="1613"/>
  <c r="C34" i="1613"/>
  <c r="B34" i="1613"/>
  <c r="B30" i="1613"/>
  <c r="B21" i="1613"/>
  <c r="B12" i="1613"/>
  <c r="A1" i="1644" a="1"/>
  <c r="A1" i="1644" l="1"/>
  <c r="I21" i="1644"/>
  <c r="H21" i="1644"/>
  <c r="G21" i="1644"/>
  <c r="F21" i="1644"/>
  <c r="E21" i="1644"/>
  <c r="D21" i="1644"/>
  <c r="C21" i="1644"/>
  <c r="B21" i="1644"/>
  <c r="I30" i="1644"/>
  <c r="H30" i="1644"/>
  <c r="G30" i="1644"/>
  <c r="F30" i="1644"/>
  <c r="E30" i="1644"/>
  <c r="D30" i="1644"/>
  <c r="C30" i="1644"/>
  <c r="B30" i="1644"/>
  <c r="I34" i="1644"/>
  <c r="H34" i="1644"/>
  <c r="G34" i="1644"/>
  <c r="F34" i="1644"/>
  <c r="E34" i="1644"/>
  <c r="D34" i="1644"/>
  <c r="C34" i="1644"/>
  <c r="B34" i="1644"/>
  <c r="I42" i="1644"/>
  <c r="H42" i="1644"/>
  <c r="G42" i="1644"/>
  <c r="F42" i="1644"/>
  <c r="E42" i="1644"/>
  <c r="D42" i="1644"/>
  <c r="C42" i="1644"/>
  <c r="B42" i="1644"/>
  <c r="I47" i="1644"/>
  <c r="H47" i="1644"/>
  <c r="G47" i="1644"/>
  <c r="F47" i="1644"/>
  <c r="E47" i="1644"/>
  <c r="D47" i="1644"/>
  <c r="C47" i="1644"/>
  <c r="B47" i="1644"/>
  <c r="I12" i="1644"/>
  <c r="H12" i="1644"/>
  <c r="G12" i="1644"/>
  <c r="F12" i="1644"/>
  <c r="E12" i="1644"/>
  <c r="D12" i="1644"/>
  <c r="C12" i="1644"/>
  <c r="B12" i="1644"/>
  <c r="A2" i="1644"/>
  <c r="I43" i="1644" l="1"/>
  <c r="I48" i="1644" s="1"/>
  <c r="F43" i="1644"/>
  <c r="F48" i="1644" s="1"/>
  <c r="E43" i="1644"/>
  <c r="E48" i="1644" s="1"/>
  <c r="H43" i="1644"/>
  <c r="H48" i="1644" s="1"/>
  <c r="G43" i="1644"/>
  <c r="G48" i="1644" s="1"/>
  <c r="C43" i="1644"/>
  <c r="C48" i="1644" s="1"/>
  <c r="D43" i="1644"/>
  <c r="D48" i="1644" s="1"/>
  <c r="B43" i="1644"/>
  <c r="B48" i="1644" s="1"/>
  <c r="S8" i="1613" l="1"/>
  <c r="Q34" i="1613"/>
  <c r="C42" i="1613"/>
  <c r="D42" i="1613"/>
  <c r="P47" i="1613"/>
  <c r="O47" i="1613"/>
  <c r="N47" i="1613"/>
  <c r="L47" i="1613"/>
  <c r="K47" i="1613"/>
  <c r="J47" i="1613"/>
  <c r="I47" i="1613"/>
  <c r="G47" i="1613"/>
  <c r="F47" i="1613"/>
  <c r="E47" i="1613"/>
  <c r="D47" i="1613"/>
  <c r="C47" i="1613"/>
  <c r="B47" i="1613"/>
  <c r="P42" i="1613"/>
  <c r="O42" i="1613"/>
  <c r="N42" i="1613"/>
  <c r="L42" i="1613"/>
  <c r="K42" i="1613"/>
  <c r="J42" i="1613"/>
  <c r="I42" i="1613"/>
  <c r="G42" i="1613"/>
  <c r="F42" i="1613"/>
  <c r="E42" i="1613"/>
  <c r="P30" i="1613"/>
  <c r="O30" i="1613"/>
  <c r="N30" i="1613"/>
  <c r="L30" i="1613"/>
  <c r="K30" i="1613"/>
  <c r="J30" i="1613"/>
  <c r="I30" i="1613"/>
  <c r="G30" i="1613"/>
  <c r="F30" i="1613"/>
  <c r="E30" i="1613"/>
  <c r="D30" i="1613"/>
  <c r="C30" i="1613"/>
  <c r="P21" i="1613"/>
  <c r="O21" i="1613"/>
  <c r="N21" i="1613"/>
  <c r="L21" i="1613"/>
  <c r="K21" i="1613"/>
  <c r="J21" i="1613"/>
  <c r="I21" i="1613"/>
  <c r="G21" i="1613"/>
  <c r="F21" i="1613"/>
  <c r="E21" i="1613"/>
  <c r="D21" i="1613"/>
  <c r="C21" i="1613"/>
  <c r="P12" i="1613"/>
  <c r="O12" i="1613"/>
  <c r="N12" i="1613"/>
  <c r="L12" i="1613"/>
  <c r="K12" i="1613"/>
  <c r="J12" i="1613"/>
  <c r="I12" i="1613"/>
  <c r="G12" i="1613"/>
  <c r="F12" i="1613"/>
  <c r="E12" i="1613"/>
  <c r="D12" i="1613"/>
  <c r="C12" i="1613"/>
  <c r="A1" i="1613" a="1"/>
  <c r="B43" i="1613" l="1"/>
  <c r="B48" i="1613" s="1"/>
  <c r="K43" i="1613"/>
  <c r="K48" i="1613" s="1"/>
  <c r="E43" i="1613"/>
  <c r="E48" i="1613" s="1"/>
  <c r="O43" i="1613"/>
  <c r="O48" i="1613" s="1"/>
  <c r="I43" i="1613"/>
  <c r="I48" i="1613" s="1"/>
  <c r="G43" i="1613"/>
  <c r="G48" i="1613" s="1"/>
  <c r="C43" i="1613"/>
  <c r="C48" i="1613" s="1"/>
  <c r="L43" i="1613"/>
  <c r="L48" i="1613" s="1"/>
  <c r="F43" i="1613"/>
  <c r="F48" i="1613" s="1"/>
  <c r="P43" i="1613"/>
  <c r="P48" i="1613" s="1"/>
  <c r="J43" i="1613"/>
  <c r="J48" i="1613" s="1"/>
  <c r="D43" i="1613"/>
  <c r="D48" i="1613" s="1"/>
  <c r="N43" i="1613"/>
  <c r="N48" i="1613" s="1"/>
  <c r="A1" i="1613"/>
  <c r="H22" i="7" l="1"/>
  <c r="F22" i="7"/>
  <c r="D22" i="7"/>
  <c r="D16" i="7"/>
  <c r="D18" i="7" s="1"/>
  <c r="D24" i="7" l="1"/>
  <c r="K47" i="2" l="1"/>
  <c r="J47" i="2"/>
  <c r="I47" i="2"/>
  <c r="K42" i="2"/>
  <c r="J42" i="2"/>
  <c r="I42" i="2"/>
  <c r="K34" i="2"/>
  <c r="J34" i="2"/>
  <c r="I34" i="2"/>
  <c r="K30" i="2"/>
  <c r="J30" i="2"/>
  <c r="I30" i="2"/>
  <c r="K21" i="2"/>
  <c r="J21" i="2"/>
  <c r="I21" i="2"/>
  <c r="K12" i="2"/>
  <c r="J12" i="2"/>
  <c r="I12" i="2"/>
  <c r="E47" i="2"/>
  <c r="E42" i="2"/>
  <c r="E34" i="2"/>
  <c r="E30" i="2"/>
  <c r="E21" i="2"/>
  <c r="E12" i="2"/>
  <c r="D47" i="2"/>
  <c r="D42" i="2"/>
  <c r="D34" i="2"/>
  <c r="D30" i="2"/>
  <c r="D21" i="2"/>
  <c r="D12" i="2"/>
  <c r="C47" i="2"/>
  <c r="C42" i="2"/>
  <c r="C34" i="2"/>
  <c r="C30" i="2"/>
  <c r="C21" i="2"/>
  <c r="C12" i="2"/>
  <c r="E43" i="2" l="1"/>
  <c r="E48" i="2" s="1"/>
  <c r="K43" i="2"/>
  <c r="K48" i="2" s="1"/>
  <c r="I43" i="2"/>
  <c r="I48" i="2" s="1"/>
  <c r="C43" i="2"/>
  <c r="J43" i="2"/>
  <c r="J48" i="2" s="1"/>
  <c r="D43" i="2"/>
  <c r="D48" i="2" s="1"/>
  <c r="G23" i="2" a="1"/>
  <c r="G18" i="2" a="1"/>
  <c r="G32" i="2" a="1"/>
  <c r="G26" i="2" a="1"/>
  <c r="G36" i="2" a="1"/>
  <c r="G16" i="2" a="1"/>
  <c r="G29" i="2" a="1"/>
  <c r="G45" i="2" a="1"/>
  <c r="G9" i="2" a="1"/>
  <c r="G8" i="2" a="1"/>
  <c r="G40" i="2" a="1"/>
  <c r="G15" i="2" a="1"/>
  <c r="G17" i="2" a="1"/>
  <c r="G39" i="2" a="1"/>
  <c r="G19" i="2" a="1"/>
  <c r="G46" i="2" a="1"/>
  <c r="G25" i="2" a="1"/>
  <c r="G10" i="2" a="1"/>
  <c r="G28" i="2" a="1"/>
  <c r="G33" i="2" a="1"/>
  <c r="G11" i="2" a="1"/>
  <c r="G41" i="2" a="1"/>
  <c r="G20" i="2" a="1"/>
  <c r="G24" i="2" a="1"/>
  <c r="G38" i="2" a="1"/>
  <c r="G37" i="2" a="1"/>
  <c r="G27" i="2" a="1"/>
  <c r="G32" i="2" l="1"/>
  <c r="G9" i="2"/>
  <c r="G46" i="2"/>
  <c r="G40" i="2"/>
  <c r="G8" i="2"/>
  <c r="G39" i="2"/>
  <c r="G41" i="2"/>
  <c r="G24" i="2"/>
  <c r="G11" i="2"/>
  <c r="G26" i="2"/>
  <c r="G37" i="2"/>
  <c r="G20" i="2"/>
  <c r="G45" i="2"/>
  <c r="G18" i="2"/>
  <c r="G23" i="2"/>
  <c r="G27" i="2"/>
  <c r="G10" i="2"/>
  <c r="G38" i="2"/>
  <c r="G17" i="2"/>
  <c r="G16" i="2"/>
  <c r="G36" i="2"/>
  <c r="G15" i="2"/>
  <c r="G33" i="2"/>
  <c r="G29" i="2"/>
  <c r="G19" i="2"/>
  <c r="G25" i="2"/>
  <c r="G28" i="2"/>
  <c r="C48" i="2"/>
  <c r="H16" i="7"/>
  <c r="F16" i="7"/>
  <c r="F19" i="2" a="1"/>
  <c r="F27" i="2" a="1"/>
  <c r="F26" i="2" a="1"/>
  <c r="F17" i="2" a="1"/>
  <c r="F40" i="2" a="1"/>
  <c r="F18" i="2" a="1"/>
  <c r="F10" i="2" a="1"/>
  <c r="F16" i="2" a="1"/>
  <c r="F11" i="2" a="1"/>
  <c r="F15" i="2" a="1"/>
  <c r="F39" i="2" a="1"/>
  <c r="F45" i="2" a="1"/>
  <c r="F28" i="2" a="1"/>
  <c r="F37" i="2" a="1"/>
  <c r="F23" i="2" a="1"/>
  <c r="F38" i="2" a="1"/>
  <c r="F32" i="2" a="1"/>
  <c r="F29" i="2" a="1"/>
  <c r="F36" i="2" a="1"/>
  <c r="F9" i="2" a="1"/>
  <c r="F20" i="2" a="1"/>
  <c r="F8" i="2" a="1"/>
  <c r="F25" i="2" a="1"/>
  <c r="F41" i="2" a="1"/>
  <c r="F33" i="2" a="1"/>
  <c r="F24" i="2" a="1"/>
  <c r="F46" i="2" a="1"/>
  <c r="F15" i="2" l="1"/>
  <c r="F27" i="2"/>
  <c r="F11" i="2"/>
  <c r="F32" i="2"/>
  <c r="F36" i="2"/>
  <c r="F23" i="2"/>
  <c r="F24" i="2"/>
  <c r="F28" i="2"/>
  <c r="F18" i="2"/>
  <c r="F41" i="2"/>
  <c r="F25" i="2"/>
  <c r="F16" i="2"/>
  <c r="F45" i="2"/>
  <c r="F39" i="2"/>
  <c r="F19" i="2"/>
  <c r="F17" i="2"/>
  <c r="F8" i="2"/>
  <c r="F38" i="2"/>
  <c r="F20" i="2"/>
  <c r="F40" i="2"/>
  <c r="F29" i="2"/>
  <c r="F10" i="2"/>
  <c r="F37" i="2"/>
  <c r="F46" i="2"/>
  <c r="F33" i="2"/>
  <c r="F26" i="2"/>
  <c r="F9" i="2"/>
  <c r="H18" i="7"/>
  <c r="H24" i="7" s="1"/>
  <c r="F18" i="7"/>
  <c r="F24" i="7" s="1"/>
  <c r="L8" i="2" a="1"/>
  <c r="M8" i="2" a="1"/>
  <c r="M15" i="2" a="1"/>
  <c r="M15" i="2" l="1"/>
  <c r="M8" i="2"/>
  <c r="L8" i="2"/>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1075"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105" i="5" s="1"/>
  <c r="A106" i="5" s="1"/>
  <c r="A107" i="5" s="1"/>
  <c r="A108" i="5" s="1"/>
  <c r="A109" i="5" s="1"/>
  <c r="A110" i="5" s="1"/>
  <c r="A111" i="5" s="1"/>
  <c r="A112" i="5" s="1"/>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A144" i="5" s="1"/>
  <c r="A145" i="5" s="1"/>
  <c r="A146" i="5" s="1"/>
  <c r="A147" i="5" s="1"/>
  <c r="A148" i="5" s="1"/>
  <c r="A149" i="5" s="1"/>
  <c r="A150" i="5" s="1"/>
  <c r="A151" i="5" s="1"/>
  <c r="A152" i="5" s="1"/>
  <c r="A153" i="5" s="1"/>
  <c r="A154" i="5" s="1"/>
  <c r="A155" i="5" s="1"/>
  <c r="A156" i="5" s="1"/>
  <c r="A157" i="5" s="1"/>
  <c r="A158" i="5" s="1"/>
  <c r="A159" i="5" s="1"/>
  <c r="A160" i="5" s="1"/>
  <c r="A161" i="5" s="1"/>
  <c r="A162" i="5" s="1"/>
  <c r="A163" i="5" s="1"/>
  <c r="A164" i="5" s="1"/>
  <c r="A165" i="5" s="1"/>
  <c r="A166" i="5" s="1"/>
  <c r="A167" i="5" s="1"/>
  <c r="A168" i="5" s="1"/>
  <c r="A169" i="5" s="1"/>
  <c r="A170" i="5" s="1"/>
  <c r="A171" i="5" s="1"/>
  <c r="A172" i="5" s="1"/>
  <c r="A173" i="5" s="1"/>
  <c r="A174" i="5" s="1"/>
  <c r="A175" i="5" s="1"/>
  <c r="A176" i="5" s="1"/>
  <c r="A177" i="5" s="1"/>
  <c r="A178" i="5" s="1"/>
  <c r="A179" i="5" s="1"/>
  <c r="A180" i="5" s="1"/>
  <c r="A181" i="5" s="1"/>
  <c r="A182" i="5" s="1"/>
  <c r="A183" i="5" s="1"/>
  <c r="A184" i="5" s="1"/>
  <c r="A185" i="5" s="1"/>
  <c r="A186" i="5" s="1"/>
  <c r="A187" i="5" s="1"/>
  <c r="A188" i="5" s="1"/>
  <c r="A189" i="5" s="1"/>
  <c r="A190" i="5" s="1"/>
  <c r="A191" i="5" s="1"/>
  <c r="A192" i="5" s="1"/>
  <c r="A193" i="5" s="1"/>
  <c r="A194" i="5" s="1"/>
  <c r="A195" i="5" s="1"/>
  <c r="A196" i="5" s="1"/>
  <c r="A197" i="5" s="1"/>
  <c r="A198" i="5" s="1"/>
  <c r="A199" i="5" s="1"/>
  <c r="A200" i="5" s="1"/>
  <c r="A201" i="5" s="1"/>
  <c r="A202" i="5" s="1"/>
  <c r="A203" i="5" s="1"/>
  <c r="A204" i="5" s="1"/>
  <c r="A205" i="5" s="1"/>
  <c r="A206" i="5" s="1"/>
  <c r="A207" i="5" s="1"/>
  <c r="A208" i="5" s="1"/>
  <c r="A209" i="5" s="1"/>
  <c r="A210" i="5" s="1"/>
  <c r="A211" i="5" s="1"/>
  <c r="A212" i="5" s="1"/>
  <c r="A213" i="5" s="1"/>
  <c r="A214" i="5" s="1"/>
  <c r="A215" i="5" s="1"/>
  <c r="A216" i="5" s="1"/>
  <c r="A217" i="5" s="1"/>
  <c r="A218" i="5" s="1"/>
  <c r="A219" i="5" s="1"/>
  <c r="A220" i="5" s="1"/>
  <c r="A221" i="5" s="1"/>
  <c r="A222" i="5" s="1"/>
  <c r="A223" i="5" s="1"/>
  <c r="A224" i="5" s="1"/>
  <c r="A225" i="5" s="1"/>
  <c r="A226" i="5" s="1"/>
  <c r="A227" i="5" s="1"/>
  <c r="A228" i="5" s="1"/>
  <c r="A229" i="5" s="1"/>
  <c r="A230" i="5" s="1"/>
  <c r="A231" i="5" s="1"/>
  <c r="A232" i="5" s="1"/>
  <c r="A233" i="5" s="1"/>
  <c r="A234" i="5" s="1"/>
  <c r="A235" i="5" s="1"/>
  <c r="A236" i="5" s="1"/>
  <c r="A237" i="5" s="1"/>
  <c r="A238" i="5" s="1"/>
  <c r="A239" i="5" s="1"/>
  <c r="A240" i="5" s="1"/>
  <c r="A241" i="5" s="1"/>
  <c r="A242" i="5" s="1"/>
  <c r="A243" i="5" s="1"/>
  <c r="A244" i="5" s="1"/>
  <c r="A245" i="5" s="1"/>
  <c r="A246" i="5" s="1"/>
  <c r="A247" i="5" s="1"/>
  <c r="A248" i="5" s="1"/>
  <c r="A249" i="5" s="1"/>
  <c r="A250" i="5" s="1"/>
  <c r="A251" i="5" s="1"/>
  <c r="A252" i="5" s="1"/>
  <c r="A253" i="5" s="1"/>
  <c r="A254" i="5" s="1"/>
  <c r="A255" i="5" s="1"/>
  <c r="A256" i="5" s="1"/>
  <c r="A257" i="5" s="1"/>
  <c r="A258" i="5" s="1"/>
  <c r="A259" i="5" s="1"/>
  <c r="A260" i="5" s="1"/>
  <c r="A261" i="5" s="1"/>
  <c r="A262" i="5" s="1"/>
  <c r="A263" i="5" s="1"/>
  <c r="A264" i="5" s="1"/>
  <c r="A265" i="5" s="1"/>
  <c r="A266" i="5" s="1"/>
  <c r="A267" i="5" s="1"/>
  <c r="A268" i="5" s="1"/>
  <c r="A269" i="5" s="1"/>
  <c r="A270" i="5" s="1"/>
  <c r="A271" i="5" s="1"/>
  <c r="A272" i="5" s="1"/>
  <c r="A273" i="5" s="1"/>
  <c r="A274" i="5" s="1"/>
  <c r="A275" i="5" s="1"/>
  <c r="A276" i="5" s="1"/>
  <c r="A277" i="5" s="1"/>
  <c r="A278" i="5" s="1"/>
  <c r="A279" i="5" s="1"/>
  <c r="A280" i="5" s="1"/>
  <c r="A281" i="5" s="1"/>
  <c r="A282" i="5" s="1"/>
  <c r="A283" i="5" s="1"/>
  <c r="A284" i="5" s="1"/>
  <c r="A285" i="5" s="1"/>
  <c r="A286" i="5" s="1"/>
  <c r="A287" i="5" s="1"/>
  <c r="A288" i="5" s="1"/>
  <c r="A289" i="5" s="1"/>
  <c r="A290" i="5" s="1"/>
  <c r="A291" i="5" s="1"/>
  <c r="A292" i="5" s="1"/>
  <c r="A293" i="5" s="1"/>
  <c r="A294" i="5" s="1"/>
  <c r="A295" i="5" s="1"/>
  <c r="A296" i="5" s="1"/>
  <c r="A297" i="5" s="1"/>
  <c r="A298" i="5" s="1"/>
  <c r="A299" i="5" s="1"/>
  <c r="A300" i="5" s="1"/>
  <c r="A301" i="5" s="1"/>
  <c r="A302" i="5" s="1"/>
  <c r="A303" i="5" s="1"/>
  <c r="A304" i="5" s="1"/>
  <c r="A305" i="5" s="1"/>
  <c r="A306" i="5" s="1"/>
  <c r="A307" i="5" s="1"/>
  <c r="A308" i="5" s="1"/>
  <c r="A309" i="5" s="1"/>
  <c r="A310" i="5" s="1"/>
  <c r="A311" i="5" s="1"/>
  <c r="A312" i="5" s="1"/>
  <c r="A313" i="5" s="1"/>
  <c r="A314" i="5" s="1"/>
  <c r="A315" i="5" s="1"/>
  <c r="A316" i="5" s="1"/>
  <c r="A317" i="5" s="1"/>
  <c r="A318" i="5" s="1"/>
  <c r="A319" i="5" s="1"/>
  <c r="A320" i="5" s="1"/>
  <c r="A321" i="5" s="1"/>
  <c r="A322" i="5" s="1"/>
  <c r="A323" i="5" s="1"/>
  <c r="A324" i="5" s="1"/>
  <c r="A325" i="5" s="1"/>
  <c r="A326" i="5" s="1"/>
  <c r="A327" i="5" s="1"/>
  <c r="A328" i="5" s="1"/>
  <c r="A329" i="5" s="1"/>
  <c r="A330" i="5" s="1"/>
  <c r="A331" i="5" s="1"/>
  <c r="A332" i="5" s="1"/>
  <c r="A333" i="5" s="1"/>
  <c r="A334" i="5" s="1"/>
  <c r="A335" i="5" s="1"/>
  <c r="A336" i="5" s="1"/>
  <c r="A337" i="5" s="1"/>
  <c r="A338" i="5" s="1"/>
  <c r="A339" i="5" s="1"/>
  <c r="A340" i="5" s="1"/>
  <c r="A341" i="5" s="1"/>
  <c r="A342" i="5" s="1"/>
  <c r="A343" i="5" s="1"/>
  <c r="A344" i="5" s="1"/>
  <c r="A345" i="5" s="1"/>
  <c r="A346" i="5" s="1"/>
  <c r="A347" i="5" s="1"/>
  <c r="A348" i="5" s="1"/>
  <c r="A349" i="5" s="1"/>
  <c r="A350" i="5" s="1"/>
  <c r="A351" i="5" s="1"/>
  <c r="A352" i="5" s="1"/>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l="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A593" i="6" s="1"/>
  <c r="A594" i="6" s="1"/>
  <c r="A595" i="6" s="1"/>
  <c r="A596" i="6" s="1"/>
  <c r="A597" i="6" s="1"/>
  <c r="A598" i="6" s="1"/>
  <c r="A599" i="6" s="1"/>
  <c r="A600" i="6" s="1"/>
  <c r="A601" i="6" s="1"/>
  <c r="A602" i="6" s="1"/>
  <c r="A603" i="6" s="1"/>
  <c r="A604" i="6" s="1"/>
  <c r="A605" i="6" s="1"/>
  <c r="A606" i="6" s="1"/>
  <c r="A607" i="6" s="1"/>
  <c r="A608" i="6" s="1"/>
  <c r="A609" i="6" s="1"/>
  <c r="A610" i="6" s="1"/>
  <c r="A611" i="6" s="1"/>
  <c r="A612" i="6" s="1"/>
  <c r="A613" i="6" s="1"/>
  <c r="A614" i="6" s="1"/>
  <c r="A615" i="6" s="1"/>
  <c r="A616" i="6" s="1"/>
  <c r="A617" i="6" s="1"/>
  <c r="A618" i="6" s="1"/>
  <c r="A619" i="6" s="1"/>
  <c r="A620" i="6" s="1"/>
  <c r="A621" i="6" s="1"/>
  <c r="A622" i="6" s="1"/>
  <c r="A623" i="6" s="1"/>
  <c r="A624" i="6" s="1"/>
  <c r="A625" i="6" s="1"/>
  <c r="A626" i="6" s="1"/>
  <c r="A627" i="6" s="1"/>
  <c r="A628" i="6" s="1"/>
  <c r="A629" i="6" s="1"/>
  <c r="A630" i="6" s="1"/>
  <c r="A631" i="6" s="1"/>
  <c r="A632" i="6" s="1"/>
  <c r="A633" i="6" s="1"/>
  <c r="A634" i="6" s="1"/>
  <c r="A635" i="6" s="1"/>
  <c r="A636" i="6" s="1"/>
  <c r="A637" i="6" s="1"/>
  <c r="A638" i="6" s="1"/>
  <c r="A639" i="6" s="1"/>
  <c r="A640" i="6" s="1"/>
  <c r="A641" i="6" s="1"/>
  <c r="A642" i="6" s="1"/>
  <c r="A643" i="6" s="1"/>
  <c r="A644" i="6" s="1"/>
  <c r="A645" i="6" s="1"/>
  <c r="A646" i="6" s="1"/>
  <c r="A647" i="6" s="1"/>
  <c r="A648" i="6" s="1"/>
  <c r="A649" i="6" s="1"/>
  <c r="A650" i="6" s="1"/>
  <c r="A651" i="6" s="1"/>
  <c r="A652" i="6" s="1"/>
  <c r="A653" i="6" s="1"/>
  <c r="A654" i="6" s="1"/>
  <c r="A655" i="6" s="1"/>
  <c r="A656" i="6" s="1"/>
  <c r="A657" i="6" s="1"/>
  <c r="A658" i="6" s="1"/>
  <c r="A659" i="6" s="1"/>
  <c r="A660" i="6" s="1"/>
  <c r="A661" i="6" s="1"/>
  <c r="A662" i="6" s="1"/>
  <c r="A663" i="6" s="1"/>
  <c r="A664" i="6" s="1"/>
  <c r="A665" i="6" s="1"/>
  <c r="A666" i="6" s="1"/>
  <c r="A667" i="6" s="1"/>
  <c r="A668" i="6" s="1"/>
  <c r="A669" i="6" s="1"/>
  <c r="A670" i="6" s="1"/>
  <c r="A671" i="6" s="1"/>
  <c r="A672" i="6" s="1"/>
  <c r="A673" i="6" s="1"/>
  <c r="A674" i="6" s="1"/>
  <c r="A675" i="6" s="1"/>
  <c r="A676" i="6" s="1"/>
  <c r="A677" i="6" s="1"/>
  <c r="A678" i="6" s="1"/>
  <c r="A679" i="6" s="1"/>
  <c r="A680" i="6" s="1"/>
  <c r="A681" i="6" s="1"/>
  <c r="A682" i="6" s="1"/>
  <c r="A683" i="6" s="1"/>
  <c r="A684" i="6" s="1"/>
  <c r="A685" i="6" s="1"/>
  <c r="A686" i="6" s="1"/>
  <c r="A687" i="6" s="1"/>
  <c r="A688" i="6" s="1"/>
  <c r="A689" i="6" s="1"/>
  <c r="A690" i="6" s="1"/>
  <c r="A691" i="6" s="1"/>
  <c r="A692" i="6" s="1"/>
  <c r="A693" i="6" s="1"/>
  <c r="A694" i="6" s="1"/>
  <c r="A695" i="6" s="1"/>
  <c r="A696" i="6" s="1"/>
  <c r="A697" i="6" s="1"/>
  <c r="A698" i="6" s="1"/>
  <c r="A699" i="6" s="1"/>
  <c r="A700" i="6" s="1"/>
  <c r="A701" i="6" s="1"/>
  <c r="A702" i="6" s="1"/>
  <c r="A703" i="6" s="1"/>
  <c r="A704" i="6" s="1"/>
  <c r="A705" i="6" s="1"/>
  <c r="A706" i="6" s="1"/>
  <c r="A707" i="6" s="1"/>
  <c r="A708" i="6" s="1"/>
  <c r="A709" i="6" s="1"/>
  <c r="A710" i="6" s="1"/>
  <c r="A711" i="6" s="1"/>
  <c r="A712" i="6" s="1"/>
  <c r="A713" i="6" s="1"/>
  <c r="A714" i="6" s="1"/>
  <c r="A715" i="6" s="1"/>
  <c r="A716" i="6" s="1"/>
  <c r="A717" i="6" s="1"/>
  <c r="A718" i="6" s="1"/>
  <c r="A719" i="6" s="1"/>
  <c r="A720" i="6" s="1"/>
  <c r="A721" i="6" s="1"/>
  <c r="A722" i="6" s="1"/>
  <c r="A723" i="6" s="1"/>
  <c r="A724" i="6" s="1"/>
  <c r="A725" i="6" s="1"/>
  <c r="A726" i="6" s="1"/>
  <c r="A727" i="6" s="1"/>
  <c r="A728" i="6" s="1"/>
  <c r="A729" i="6" s="1"/>
  <c r="A730" i="6" s="1"/>
  <c r="A731" i="6" s="1"/>
  <c r="A732" i="6" s="1"/>
  <c r="A733" i="6" s="1"/>
  <c r="A734" i="6" s="1"/>
  <c r="A735" i="6" s="1"/>
  <c r="A736" i="6" s="1"/>
  <c r="A737" i="6" s="1"/>
  <c r="A738" i="6" s="1"/>
  <c r="A739" i="6" s="1"/>
  <c r="A740" i="6" s="1"/>
  <c r="A741" i="6" s="1"/>
  <c r="A742" i="6" s="1"/>
  <c r="A743" i="6" s="1"/>
  <c r="A744" i="6" s="1"/>
  <c r="A745" i="6" s="1"/>
  <c r="A746" i="6" s="1"/>
  <c r="A747" i="6" s="1"/>
  <c r="A748" i="6" s="1"/>
  <c r="A749" i="6" s="1"/>
  <c r="A750" i="6" s="1"/>
  <c r="A751" i="6" s="1"/>
  <c r="A752" i="6" s="1"/>
  <c r="A753" i="6" s="1"/>
  <c r="A754" i="6" s="1"/>
  <c r="A755" i="6" s="1"/>
  <c r="A756" i="6" s="1"/>
  <c r="A757" i="6" s="1"/>
  <c r="A758" i="6" s="1"/>
  <c r="A759" i="6" s="1"/>
  <c r="A760" i="6" s="1"/>
  <c r="A761" i="6" s="1"/>
  <c r="A762" i="6" s="1"/>
  <c r="A763" i="6" s="1"/>
  <c r="A764" i="6" s="1"/>
  <c r="A765" i="6" s="1"/>
  <c r="A766" i="6" s="1"/>
  <c r="A767" i="6" s="1"/>
  <c r="A768" i="6" s="1"/>
  <c r="A769" i="6" s="1"/>
  <c r="A770" i="6" s="1"/>
  <c r="A771" i="6" s="1"/>
  <c r="A772" i="6" s="1"/>
  <c r="A773" i="6" s="1"/>
  <c r="A774" i="6" s="1"/>
  <c r="A775" i="6" s="1"/>
  <c r="A776" i="6" s="1"/>
  <c r="A777" i="6" s="1"/>
  <c r="A778" i="6" s="1"/>
  <c r="A779" i="6" s="1"/>
  <c r="A780" i="6" s="1"/>
  <c r="A781" i="6" s="1"/>
  <c r="A782" i="6" s="1"/>
  <c r="A783" i="6" s="1"/>
  <c r="A784" i="6" s="1"/>
  <c r="A785" i="6" s="1"/>
  <c r="A786" i="6" s="1"/>
  <c r="A787" i="6" s="1"/>
  <c r="A788" i="6" s="1"/>
  <c r="A789" i="6" s="1"/>
  <c r="A790" i="6" s="1"/>
  <c r="A791" i="6" s="1"/>
  <c r="A792" i="6" s="1"/>
  <c r="A793" i="6" s="1"/>
  <c r="A794" i="6" s="1"/>
  <c r="A795" i="6" s="1"/>
  <c r="A796" i="6" s="1"/>
  <c r="A797" i="6" s="1"/>
  <c r="K47" i="3"/>
  <c r="J47" i="3"/>
  <c r="I47" i="3"/>
  <c r="H47" i="3"/>
  <c r="G47" i="3"/>
  <c r="F47" i="3"/>
  <c r="E47" i="3"/>
  <c r="D47" i="3"/>
  <c r="C47" i="3"/>
  <c r="B47" i="3"/>
  <c r="M46" i="3"/>
  <c r="L46" i="3"/>
  <c r="M45" i="3"/>
  <c r="L45" i="3"/>
  <c r="K42" i="3"/>
  <c r="J42" i="3"/>
  <c r="I42" i="3"/>
  <c r="H42" i="3"/>
  <c r="G42" i="3"/>
  <c r="F42" i="3"/>
  <c r="E42" i="3"/>
  <c r="D42" i="3"/>
  <c r="C42" i="3"/>
  <c r="B42" i="3"/>
  <c r="M41" i="3"/>
  <c r="L41" i="3"/>
  <c r="M40" i="3"/>
  <c r="L40" i="3"/>
  <c r="M39" i="3"/>
  <c r="L39" i="3"/>
  <c r="M38" i="3"/>
  <c r="L38" i="3"/>
  <c r="M37" i="3"/>
  <c r="L37" i="3"/>
  <c r="M36" i="3"/>
  <c r="L36" i="3"/>
  <c r="K34" i="3"/>
  <c r="J34" i="3"/>
  <c r="I34" i="3"/>
  <c r="H34" i="3"/>
  <c r="G34" i="3"/>
  <c r="F34" i="3"/>
  <c r="E34" i="3"/>
  <c r="D34" i="3"/>
  <c r="C34" i="3"/>
  <c r="B34" i="3"/>
  <c r="M33" i="3"/>
  <c r="L33" i="3"/>
  <c r="M32" i="3"/>
  <c r="L32" i="3"/>
  <c r="K30" i="3"/>
  <c r="J30" i="3"/>
  <c r="I30" i="3"/>
  <c r="H30" i="3"/>
  <c r="G30" i="3"/>
  <c r="F30" i="3"/>
  <c r="E30" i="3"/>
  <c r="D30" i="3"/>
  <c r="C30" i="3"/>
  <c r="B30" i="3"/>
  <c r="M29" i="3"/>
  <c r="L29" i="3"/>
  <c r="M28" i="3"/>
  <c r="L28" i="3"/>
  <c r="M27" i="3"/>
  <c r="L27" i="3"/>
  <c r="M26" i="3"/>
  <c r="L26" i="3"/>
  <c r="M25" i="3"/>
  <c r="L25" i="3"/>
  <c r="M24" i="3"/>
  <c r="L24" i="3"/>
  <c r="M23" i="3"/>
  <c r="L23" i="3"/>
  <c r="K21" i="3"/>
  <c r="J21" i="3"/>
  <c r="I21" i="3"/>
  <c r="H21" i="3"/>
  <c r="G21" i="3"/>
  <c r="F21" i="3"/>
  <c r="E21" i="3"/>
  <c r="D21" i="3"/>
  <c r="C21" i="3"/>
  <c r="B21" i="3"/>
  <c r="M20" i="3"/>
  <c r="L20" i="3"/>
  <c r="M19" i="3"/>
  <c r="L19" i="3"/>
  <c r="M18" i="3"/>
  <c r="L18" i="3"/>
  <c r="M17" i="3"/>
  <c r="L17" i="3"/>
  <c r="M16" i="3"/>
  <c r="L16" i="3"/>
  <c r="M15" i="3"/>
  <c r="L15" i="3"/>
  <c r="K12" i="3"/>
  <c r="J12" i="3"/>
  <c r="I12" i="3"/>
  <c r="H12" i="3"/>
  <c r="G12" i="3"/>
  <c r="F12" i="3"/>
  <c r="E12" i="3"/>
  <c r="D12" i="3"/>
  <c r="C12" i="3"/>
  <c r="B12" i="3"/>
  <c r="M11" i="3"/>
  <c r="L11" i="3"/>
  <c r="M10" i="3"/>
  <c r="L10" i="3"/>
  <c r="M9" i="3"/>
  <c r="L9" i="3"/>
  <c r="M8" i="3"/>
  <c r="L8" i="3"/>
  <c r="B1" i="2" a="1"/>
  <c r="A1" i="2" a="1"/>
  <c r="A1" i="3" a="1"/>
  <c r="A798" i="6" l="1"/>
  <c r="A799" i="6" s="1"/>
  <c r="A800" i="6" s="1"/>
  <c r="A801" i="6" s="1"/>
  <c r="A802" i="6" s="1"/>
  <c r="A803" i="6" s="1"/>
  <c r="A804" i="6" s="1"/>
  <c r="A805" i="6" s="1"/>
  <c r="A806" i="6" s="1"/>
  <c r="A807" i="6" s="1"/>
  <c r="A808" i="6" s="1"/>
  <c r="A809" i="6" s="1"/>
  <c r="A810" i="6" s="1"/>
  <c r="A811" i="6" s="1"/>
  <c r="A812" i="6" s="1"/>
  <c r="A813" i="6" s="1"/>
  <c r="A814" i="6" s="1"/>
  <c r="A815" i="6" s="1"/>
  <c r="A816" i="6" s="1"/>
  <c r="A817" i="6" s="1"/>
  <c r="A818" i="6" s="1"/>
  <c r="A819" i="6" s="1"/>
  <c r="A820" i="6" s="1"/>
  <c r="A821" i="6" s="1"/>
  <c r="A822" i="6" s="1"/>
  <c r="A823" i="6" s="1"/>
  <c r="A824" i="6" s="1"/>
  <c r="A825" i="6" s="1"/>
  <c r="A826" i="6" s="1"/>
  <c r="A827" i="6" s="1"/>
  <c r="A828" i="6" s="1"/>
  <c r="A829" i="6" s="1"/>
  <c r="A830" i="6" s="1"/>
  <c r="A831" i="6" s="1"/>
  <c r="A832" i="6" s="1"/>
  <c r="A833" i="6" s="1"/>
  <c r="A834" i="6" s="1"/>
  <c r="A835" i="6" s="1"/>
  <c r="A836" i="6" s="1"/>
  <c r="G43" i="3"/>
  <c r="G48" i="3" s="1"/>
  <c r="E43" i="3"/>
  <c r="E48" i="3" s="1"/>
  <c r="I43" i="3"/>
  <c r="I48" i="3" s="1"/>
  <c r="J43" i="3"/>
  <c r="J48" i="3" s="1"/>
  <c r="B43" i="3"/>
  <c r="B48" i="3" s="1"/>
  <c r="M21" i="3"/>
  <c r="M30" i="3"/>
  <c r="M34" i="3"/>
  <c r="H43" i="3"/>
  <c r="H48" i="3" s="1"/>
  <c r="M47" i="3"/>
  <c r="C43" i="3"/>
  <c r="C48" i="3" s="1"/>
  <c r="K43" i="3"/>
  <c r="K48" i="3" s="1"/>
  <c r="L21" i="3"/>
  <c r="F43" i="3"/>
  <c r="F48" i="3" s="1"/>
  <c r="L34" i="3"/>
  <c r="M12" i="3"/>
  <c r="M42" i="3"/>
  <c r="L47" i="3"/>
  <c r="L42" i="3"/>
  <c r="L12" i="3"/>
  <c r="L30" i="3"/>
  <c r="D43" i="3"/>
  <c r="D48" i="3" s="1"/>
  <c r="A1" i="3"/>
  <c r="A1" i="2"/>
  <c r="B1" i="2"/>
  <c r="A838" i="6" l="1"/>
  <c r="A839" i="6" s="1"/>
  <c r="A840" i="6" s="1"/>
  <c r="A841" i="6" s="1"/>
  <c r="A842" i="6" s="1"/>
  <c r="A843" i="6" s="1"/>
  <c r="A844" i="6" s="1"/>
  <c r="A845" i="6" s="1"/>
  <c r="A846" i="6" s="1"/>
  <c r="A847" i="6" s="1"/>
  <c r="A848" i="6" s="1"/>
  <c r="A849" i="6" s="1"/>
  <c r="A850" i="6" s="1"/>
  <c r="A851" i="6" s="1"/>
  <c r="A852" i="6" s="1"/>
  <c r="A853" i="6" s="1"/>
  <c r="A854" i="6" s="1"/>
  <c r="A855" i="6" s="1"/>
  <c r="A856" i="6" s="1"/>
  <c r="A857" i="6" s="1"/>
  <c r="A858" i="6" s="1"/>
  <c r="A859" i="6" s="1"/>
  <c r="A860" i="6" s="1"/>
  <c r="A861" i="6" s="1"/>
  <c r="A862" i="6" s="1"/>
  <c r="A863" i="6" s="1"/>
  <c r="A864" i="6" s="1"/>
  <c r="A865" i="6" s="1"/>
  <c r="A866" i="6" s="1"/>
  <c r="A867" i="6" s="1"/>
  <c r="A868" i="6" s="1"/>
  <c r="A869" i="6" s="1"/>
  <c r="A870" i="6" s="1"/>
  <c r="A871" i="6" s="1"/>
  <c r="A872" i="6" s="1"/>
  <c r="A873" i="6" s="1"/>
  <c r="A874" i="6" s="1"/>
  <c r="A875" i="6" s="1"/>
  <c r="A876" i="6" s="1"/>
  <c r="A877" i="6" s="1"/>
  <c r="A878" i="6" s="1"/>
  <c r="A879" i="6" s="1"/>
  <c r="A837" i="6"/>
  <c r="L43" i="3"/>
  <c r="L48" i="3" s="1"/>
  <c r="M43" i="3"/>
  <c r="M48" i="3" s="1"/>
  <c r="H47" i="2"/>
  <c r="B47" i="2"/>
  <c r="H42" i="2"/>
  <c r="B42" i="2"/>
  <c r="H34" i="2"/>
  <c r="B34" i="2"/>
  <c r="H30" i="2"/>
  <c r="B30" i="2"/>
  <c r="H21" i="2"/>
  <c r="B21" i="2"/>
  <c r="H12" i="2"/>
  <c r="B12" i="2"/>
  <c r="L19" i="2" a="1"/>
  <c r="M32" i="2" a="1"/>
  <c r="G21" i="2" a="1"/>
  <c r="L38" i="2" a="1"/>
  <c r="M39" i="2" a="1"/>
  <c r="L11" i="2" a="1"/>
  <c r="L26" i="2" a="1"/>
  <c r="M40" i="2" a="1"/>
  <c r="G12" i="2" a="1"/>
  <c r="L33" i="2" a="1"/>
  <c r="G30" i="2" a="1"/>
  <c r="G34" i="2" a="1"/>
  <c r="L28" i="2" a="1"/>
  <c r="L23" i="2" a="1"/>
  <c r="M28" i="2" a="1"/>
  <c r="M23" i="2" a="1"/>
  <c r="M26" i="2" a="1"/>
  <c r="L40" i="2" a="1"/>
  <c r="L32" i="2" a="1"/>
  <c r="L45" i="2" a="1"/>
  <c r="G47" i="2" a="1"/>
  <c r="L9" i="2" a="1"/>
  <c r="L37" i="2" a="1"/>
  <c r="M16" i="2" a="1"/>
  <c r="L17" i="2" a="1"/>
  <c r="L25" i="2" a="1"/>
  <c r="L16" i="2" a="1"/>
  <c r="L20" i="2" a="1"/>
  <c r="M9" i="2" a="1"/>
  <c r="M37" i="2" a="1"/>
  <c r="L27" i="2" a="1"/>
  <c r="L41" i="2" a="1"/>
  <c r="M38" i="2" a="1"/>
  <c r="M17" i="2" a="1"/>
  <c r="L24" i="2" a="1"/>
  <c r="M33" i="2" a="1"/>
  <c r="M29" i="2" a="1"/>
  <c r="M18" i="2" a="1"/>
  <c r="L18" i="2" a="1"/>
  <c r="M19" i="2" a="1"/>
  <c r="L15" i="2" a="1"/>
  <c r="M10" i="2" a="1"/>
  <c r="M45" i="2" a="1"/>
  <c r="L46" i="2" a="1"/>
  <c r="L39" i="2" a="1"/>
  <c r="L36" i="2" a="1"/>
  <c r="G42" i="2" a="1"/>
  <c r="M25" i="2" a="1"/>
  <c r="M20" i="2" a="1"/>
  <c r="L29" i="2" a="1"/>
  <c r="M36" i="2" a="1"/>
  <c r="L10" i="2" a="1"/>
  <c r="M24" i="2" a="1"/>
  <c r="M41" i="2" a="1"/>
  <c r="M27" i="2" a="1"/>
  <c r="M11" i="2" a="1"/>
  <c r="M46" i="2" a="1"/>
  <c r="A880" i="6" l="1"/>
  <c r="A881" i="6" s="1"/>
  <c r="A882" i="6" s="1"/>
  <c r="A883" i="6" s="1"/>
  <c r="A884" i="6" s="1"/>
  <c r="A885" i="6" s="1"/>
  <c r="A886" i="6" s="1"/>
  <c r="A887" i="6" s="1"/>
  <c r="A888" i="6" s="1"/>
  <c r="A889" i="6" s="1"/>
  <c r="A890" i="6" s="1"/>
  <c r="A891" i="6" s="1"/>
  <c r="A892" i="6" s="1"/>
  <c r="A893" i="6" s="1"/>
  <c r="A894" i="6" s="1"/>
  <c r="A895" i="6" s="1"/>
  <c r="A896" i="6" s="1"/>
  <c r="A897" i="6" s="1"/>
  <c r="A898" i="6" s="1"/>
  <c r="A899" i="6" s="1"/>
  <c r="A900" i="6" s="1"/>
  <c r="A901" i="6" s="1"/>
  <c r="A902" i="6" s="1"/>
  <c r="A903" i="6" s="1"/>
  <c r="A904" i="6" s="1"/>
  <c r="A905" i="6" s="1"/>
  <c r="A906" i="6" s="1"/>
  <c r="A907" i="6" s="1"/>
  <c r="A908" i="6" s="1"/>
  <c r="A909" i="6" s="1"/>
  <c r="A910" i="6" s="1"/>
  <c r="A911" i="6" s="1"/>
  <c r="A912" i="6" s="1"/>
  <c r="A913" i="6" s="1"/>
  <c r="A914" i="6" s="1"/>
  <c r="A915" i="6" s="1"/>
  <c r="A916" i="6" s="1"/>
  <c r="A917" i="6" s="1"/>
  <c r="A918" i="6" s="1"/>
  <c r="A919" i="6" s="1"/>
  <c r="A920" i="6" s="1"/>
  <c r="A921" i="6" s="1"/>
  <c r="A922" i="6" s="1"/>
  <c r="A923" i="6" s="1"/>
  <c r="A924" i="6" s="1"/>
  <c r="A925" i="6" s="1"/>
  <c r="A926" i="6" s="1"/>
  <c r="A927" i="6" s="1"/>
  <c r="A928" i="6" s="1"/>
  <c r="A929" i="6" s="1"/>
  <c r="A930" i="6" s="1"/>
  <c r="A931" i="6" s="1"/>
  <c r="A932" i="6" s="1"/>
  <c r="A933" i="6" s="1"/>
  <c r="A934" i="6" s="1"/>
  <c r="A935" i="6" s="1"/>
  <c r="A936" i="6" s="1"/>
  <c r="A937" i="6" s="1"/>
  <c r="A938" i="6" s="1"/>
  <c r="A939" i="6" s="1"/>
  <c r="A940" i="6" s="1"/>
  <c r="A941" i="6" s="1"/>
  <c r="A942" i="6" s="1"/>
  <c r="A943" i="6" s="1"/>
  <c r="A944" i="6" s="1"/>
  <c r="A945" i="6" s="1"/>
  <c r="A946" i="6" s="1"/>
  <c r="A947" i="6" s="1"/>
  <c r="A948" i="6" s="1"/>
  <c r="A949" i="6" s="1"/>
  <c r="A950" i="6" s="1"/>
  <c r="A951" i="6" s="1"/>
  <c r="A952" i="6" s="1"/>
  <c r="A953" i="6" s="1"/>
  <c r="A954" i="6" s="1"/>
  <c r="A955" i="6" s="1"/>
  <c r="A956" i="6" s="1"/>
  <c r="A957" i="6" s="1"/>
  <c r="A958" i="6" s="1"/>
  <c r="A959" i="6" s="1"/>
  <c r="A960" i="6" s="1"/>
  <c r="A961" i="6" s="1"/>
  <c r="A962" i="6" s="1"/>
  <c r="A963" i="6" s="1"/>
  <c r="A964" i="6" s="1"/>
  <c r="A965" i="6" s="1"/>
  <c r="A966" i="6" s="1"/>
  <c r="A967" i="6" s="1"/>
  <c r="A968" i="6" s="1"/>
  <c r="A969" i="6" s="1"/>
  <c r="A970" i="6" s="1"/>
  <c r="A971" i="6" s="1"/>
  <c r="A972" i="6" s="1"/>
  <c r="A973" i="6" s="1"/>
  <c r="A974" i="6" s="1"/>
  <c r="A975" i="6" s="1"/>
  <c r="G34" i="2"/>
  <c r="G30" i="2"/>
  <c r="G12" i="2"/>
  <c r="G42" i="2"/>
  <c r="G21" i="2"/>
  <c r="G47" i="2"/>
  <c r="H43" i="2"/>
  <c r="H48" i="2" s="1"/>
  <c r="B43" i="2"/>
  <c r="L10" i="2"/>
  <c r="L19" i="2"/>
  <c r="M25" i="2"/>
  <c r="L9" i="2"/>
  <c r="L11" i="2"/>
  <c r="L29" i="2"/>
  <c r="M10" i="2"/>
  <c r="L15" i="2"/>
  <c r="M23" i="2"/>
  <c r="M27" i="2"/>
  <c r="M46" i="2"/>
  <c r="M9" i="2"/>
  <c r="M11" i="2"/>
  <c r="L16" i="2"/>
  <c r="L18" i="2"/>
  <c r="L20" i="2"/>
  <c r="M29" i="2"/>
  <c r="L33" i="2"/>
  <c r="L37" i="2"/>
  <c r="L39" i="2"/>
  <c r="M16" i="2"/>
  <c r="M18" i="2"/>
  <c r="M20" i="2"/>
  <c r="L24" i="2"/>
  <c r="L26" i="2"/>
  <c r="M33" i="2"/>
  <c r="M37" i="2"/>
  <c r="M39" i="2"/>
  <c r="L41" i="2"/>
  <c r="L45" i="2"/>
  <c r="M24" i="2"/>
  <c r="M26" i="2"/>
  <c r="L28" i="2"/>
  <c r="M41" i="2"/>
  <c r="M45" i="2"/>
  <c r="M28" i="2"/>
  <c r="L36" i="2"/>
  <c r="L17" i="2"/>
  <c r="L32" i="2"/>
  <c r="L38" i="2"/>
  <c r="L40" i="2"/>
  <c r="M17" i="2"/>
  <c r="M19" i="2"/>
  <c r="L23" i="2"/>
  <c r="L25" i="2"/>
  <c r="L27" i="2"/>
  <c r="M32" i="2"/>
  <c r="M36" i="2"/>
  <c r="M38" i="2"/>
  <c r="M40" i="2"/>
  <c r="L46" i="2"/>
  <c r="F12" i="2" a="1"/>
  <c r="F34" i="2" a="1"/>
  <c r="F30" i="2" a="1"/>
  <c r="F47" i="2" a="1"/>
  <c r="F21" i="2" a="1"/>
  <c r="G43" i="2" a="1"/>
  <c r="F42" i="2" a="1"/>
  <c r="F12" i="2" l="1"/>
  <c r="F30" i="2"/>
  <c r="F34" i="2"/>
  <c r="G43" i="2"/>
  <c r="F47" i="2"/>
  <c r="F21" i="2"/>
  <c r="F42" i="2"/>
  <c r="B48" i="2"/>
  <c r="M12" i="2" a="1"/>
  <c r="L12" i="2" a="1"/>
  <c r="M34" i="2" a="1"/>
  <c r="F43" i="2" a="1"/>
  <c r="L42" i="2" a="1"/>
  <c r="L34" i="2" a="1"/>
  <c r="M30" i="2" a="1"/>
  <c r="L47" i="2" a="1"/>
  <c r="L30" i="2" a="1"/>
  <c r="M42" i="2" a="1"/>
  <c r="M47" i="2" a="1"/>
  <c r="M21" i="2" a="1"/>
  <c r="L21" i="2" a="1"/>
  <c r="L34" i="2" l="1"/>
  <c r="L30" i="2"/>
  <c r="L12" i="2"/>
  <c r="L42" i="2"/>
  <c r="L21" i="2"/>
  <c r="L47" i="2"/>
  <c r="M34" i="2"/>
  <c r="M30" i="2"/>
  <c r="M12" i="2"/>
  <c r="M42" i="2"/>
  <c r="M21" i="2"/>
  <c r="M47" i="2"/>
  <c r="F43" i="2"/>
  <c r="M43" i="2" a="1"/>
  <c r="L43" i="2" a="1"/>
  <c r="L43" i="2" l="1"/>
  <c r="F48" i="2"/>
  <c r="M43" i="2"/>
  <c r="L48" i="2" a="1"/>
  <c r="M48" i="2" a="1"/>
  <c r="L48" i="2" l="1"/>
  <c r="M48" i="2"/>
  <c r="S9" i="1613" l="1"/>
  <c r="S11" i="1613"/>
  <c r="S10" i="1613"/>
  <c r="Q12" i="1613"/>
  <c r="S15" i="1613"/>
  <c r="S20" i="1613"/>
  <c r="Q21" i="1613"/>
  <c r="S16" i="1613"/>
  <c r="S17" i="1613"/>
  <c r="S19" i="1613"/>
  <c r="S18" i="1613"/>
  <c r="S21" i="1613" l="1"/>
  <c r="S12" i="1613"/>
  <c r="R21" i="1613"/>
  <c r="R12" i="1613"/>
  <c r="S24" i="1613"/>
  <c r="S27" i="1613"/>
  <c r="S25" i="1613"/>
  <c r="S26" i="1613"/>
  <c r="Q30" i="1613"/>
  <c r="S29" i="1613"/>
  <c r="S28" i="1613"/>
  <c r="S23" i="1613"/>
  <c r="S32" i="1613"/>
  <c r="S33" i="1613"/>
  <c r="S39" i="1613"/>
  <c r="Q42" i="1613"/>
  <c r="S36" i="1613"/>
  <c r="S37" i="1613"/>
  <c r="S38" i="1613"/>
  <c r="S30" i="1613" l="1"/>
  <c r="S34" i="1613"/>
  <c r="R34" i="1613"/>
  <c r="Q43" i="1613"/>
  <c r="R30" i="1613"/>
  <c r="S45" i="1613"/>
  <c r="Q47" i="1613"/>
  <c r="S46" i="1613"/>
  <c r="R41" i="1613" l="1"/>
  <c r="S41" i="1613" s="1"/>
  <c r="R40" i="1613"/>
  <c r="S40" i="1613" s="1"/>
  <c r="S47" i="1613"/>
  <c r="Q48" i="1613"/>
  <c r="R47" i="1613"/>
  <c r="R42" i="1613" l="1"/>
  <c r="R43" i="1613" s="1"/>
  <c r="R48" i="1613" s="1"/>
  <c r="S42" i="1613"/>
  <c r="S43" i="1613" s="1"/>
  <c r="S48" i="1613" s="1"/>
  <c r="B6" i="8"/>
  <c r="C6" i="8"/>
  <c r="D6" i="8"/>
  <c r="E6" i="8"/>
  <c r="G6" i="8"/>
  <c r="H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grega</author>
  </authors>
  <commentList>
    <comment ref="N2" authorId="0" shapeId="0" xr:uid="{89718F67-2E02-43A3-847D-1C4E1FEAD735}">
      <text>
        <r>
          <rPr>
            <b/>
            <sz val="9"/>
            <color indexed="81"/>
            <rFont val="Tahoma"/>
            <family val="2"/>
          </rPr>
          <t xml:space="preserve">To handle these unidentified speedtypes, you will either need to add these speedtypes to the Consolidation Lists table (click View Ref Sheets button), or re-download the reports from CU Data to exclude these speedtypes. </t>
        </r>
      </text>
    </comment>
    <comment ref="P2" authorId="0" shapeId="0" xr:uid="{2B14A886-FDFC-42C7-BD94-6E232810530F}">
      <text>
        <r>
          <rPr>
            <b/>
            <sz val="12"/>
            <color indexed="81"/>
            <rFont val="Calibri Light"/>
            <family val="2"/>
            <scheme val="major"/>
          </rPr>
          <t xml:space="preserve">To handle these unidentified speedtypes, you will either need to add these speedtypes to the Consolidation Lists table, or re-download the reports from CU Data to exclude these speedtypes. Otherwise, the data for these account codes will not be added to the report. </t>
        </r>
      </text>
    </comment>
    <comment ref="S2" authorId="0" shapeId="0" xr:uid="{97C3B26B-17B9-432D-BCBE-0548513175C2}">
      <text>
        <r>
          <rPr>
            <b/>
            <sz val="9"/>
            <color indexed="81"/>
            <rFont val="Tahoma"/>
            <family val="2"/>
          </rPr>
          <t>These two columns are essential for creating the Fund Balance sheet in QR reports. Don't touch.</t>
        </r>
      </text>
    </comment>
    <comment ref="L3" authorId="0" shapeId="0" xr:uid="{EE1B8169-2645-4EB7-8634-D54C131C4954}">
      <text>
        <r>
          <rPr>
            <b/>
            <sz val="12"/>
            <color indexed="81"/>
            <rFont val="Calibri Light"/>
            <family val="2"/>
            <scheme val="major"/>
          </rPr>
          <t>If False, then the report will be saved in the same folder as this workbook</t>
        </r>
      </text>
    </comment>
    <comment ref="L4" authorId="0" shapeId="0" xr:uid="{13C8D951-6B02-434F-9771-521632CFED17}">
      <text>
        <r>
          <rPr>
            <b/>
            <sz val="12"/>
            <color indexed="81"/>
            <rFont val="Calibri Light"/>
            <family val="2"/>
            <scheme val="major"/>
          </rPr>
          <t>This range only matters for the Seasonal Budget</t>
        </r>
      </text>
    </comment>
    <comment ref="L5" authorId="0" shapeId="0" xr:uid="{2A8B14F1-B918-447A-A9D1-34D4B3D4B8B6}">
      <text>
        <r>
          <rPr>
            <b/>
            <sz val="12"/>
            <color indexed="81"/>
            <rFont val="Calibri Light"/>
            <family val="2"/>
            <scheme val="major"/>
          </rPr>
          <t>If True, then an Annual Budget Narrative template will be created alongside the Excel workbook report. 
Click the Enable Word Doc Library button to check the necessary VBA references are enabled. You may need to click it twice.</t>
        </r>
      </text>
    </comment>
    <comment ref="G9" authorId="0" shapeId="0" xr:uid="{A27EBC67-8C09-43E3-BAB9-D76E2C4CC3FA}">
      <text>
        <r>
          <rPr>
            <b/>
            <sz val="12"/>
            <color indexed="81"/>
            <rFont val="Calibri Light"/>
            <family val="2"/>
            <scheme val="major"/>
          </rPr>
          <t>Determine the weights for each FY used to calculuate Quarterly averages. Values do not need to sum to 100%.</t>
        </r>
      </text>
    </comment>
    <comment ref="B17" authorId="0" shapeId="0" xr:uid="{60AD039D-E6FD-463C-AEE2-EF2AB6486001}">
      <text>
        <r>
          <rPr>
            <b/>
            <sz val="12"/>
            <color indexed="81"/>
            <rFont val="Calibri Light"/>
            <family val="2"/>
            <scheme val="major"/>
          </rPr>
          <t>This cells value will be updated when a .csv file is selected, and will be referenced in the VBA script.</t>
        </r>
      </text>
    </comment>
    <comment ref="B20" authorId="0" shapeId="0" xr:uid="{BF8BC6EA-1710-4394-A339-435D47141C1C}">
      <text>
        <r>
          <rPr>
            <b/>
            <sz val="12"/>
            <color indexed="81"/>
            <rFont val="Calibri Light"/>
            <family val="2"/>
            <scheme val="major"/>
          </rPr>
          <t>Use this range to create a static reference to the Student Affairs workbook that budget and actuals data should be retrieved from when creating a Quarterly Report.
In the cell, input "=SelectFile("SA",rngQCC)", find and select the location of the file, then copy and paste the value over the function.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grega</author>
  </authors>
  <commentList>
    <comment ref="D324" authorId="0" shapeId="0" xr:uid="{4457F34C-4E82-49CE-AD00-11811397C219}">
      <text>
        <r>
          <rPr>
            <b/>
            <sz val="11"/>
            <color indexed="81"/>
            <rFont val="Arial"/>
            <family val="2"/>
          </rPr>
          <t>These codes were originally assigned to row 40 - GAR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<sst xmlns="http://schemas.openxmlformats.org/spreadsheetml/2006/main" count="9812" uniqueCount="1829">
  <si>
    <t>Fund Balance</t>
  </si>
  <si>
    <t>12000582 -- PRO SHOP OPERATION</t>
  </si>
  <si>
    <t>Pro Shop-Vending</t>
  </si>
  <si>
    <t>Main</t>
  </si>
  <si>
    <t>12012402 -- FACILITY RENTAL</t>
  </si>
  <si>
    <t>Events-Facilities Svcs</t>
  </si>
  <si>
    <t>12021495 -- REC CTR MARKETING</t>
  </si>
  <si>
    <t>Marketing</t>
  </si>
  <si>
    <t>12001290 -- MISC. TRIPS AND CLINICS</t>
  </si>
  <si>
    <t>Outdoor Programs</t>
  </si>
  <si>
    <t>12000355 -- FWP CYCLE</t>
  </si>
  <si>
    <t>FitWell Programs</t>
  </si>
  <si>
    <t>12017991 -- INSTRUCTION DANCE</t>
  </si>
  <si>
    <t>12014027 -- GROUP FITNESS</t>
  </si>
  <si>
    <t>12022392 -- FOOD SERVICE</t>
  </si>
  <si>
    <t>12021496 -- CLIMBING GYM</t>
  </si>
  <si>
    <t>12011344 -- INSTRUCTION RACQUET</t>
  </si>
  <si>
    <t>12000583 -- WILDERNESS FIRST RESPONDER</t>
  </si>
  <si>
    <t>12020098 -- REC FAC-SECURITY</t>
  </si>
  <si>
    <t>Building Services</t>
  </si>
  <si>
    <t>12015461 -- INSTRUCTION AQUA</t>
  </si>
  <si>
    <t>12020915 -- REC FAC-ICE RINK</t>
  </si>
  <si>
    <t>Rink</t>
  </si>
  <si>
    <t>12017103 -- MIND BODY</t>
  </si>
  <si>
    <t>12016519 -- REC FAC-SWIMMING POOLS</t>
  </si>
  <si>
    <t>Pools</t>
  </si>
  <si>
    <t>12001289 -- OUTDOOR EQUIPMENT RENTAL</t>
  </si>
  <si>
    <t>12015774 -- PERSONAL TRAINING</t>
  </si>
  <si>
    <t>12014439 -- REC PROG-UNPLGD REV</t>
  </si>
  <si>
    <t>SF Rev (Pre-2011 Expansion)</t>
  </si>
  <si>
    <t>12014182 -- LOCKER RENTAL</t>
  </si>
  <si>
    <t>Lockers</t>
  </si>
  <si>
    <t>12015453 -- REC FAC-CAPITAL EQUP</t>
  </si>
  <si>
    <t>Capital</t>
  </si>
  <si>
    <t>12000759 -- TRAINING ROOM OPERATION</t>
  </si>
  <si>
    <t>Training Room</t>
  </si>
  <si>
    <t>12022391 -- REC FAC-EQUIPMENT SERVICES</t>
  </si>
  <si>
    <t xml:space="preserve">Check-Out </t>
  </si>
  <si>
    <t>12001246 -- MEN'S HOCKEY 2ND TEAM (FR)</t>
  </si>
  <si>
    <t>Student Fee Sport Clubs</t>
  </si>
  <si>
    <t>12021453 -- CLEARING</t>
  </si>
  <si>
    <t>Membership</t>
  </si>
  <si>
    <t>12001035 -- CLUBS ADMIN</t>
  </si>
  <si>
    <t>12000343 -- WOMEN'S WATER POLO (FR)</t>
  </si>
  <si>
    <t>12010647 -- SPECIAL USE MEMBERSHIP</t>
  </si>
  <si>
    <t>12000210 -- SPORT CLUBS UNIFORMS</t>
  </si>
  <si>
    <t>12020830 -- REC FAC-MAINTENANCE</t>
  </si>
  <si>
    <t>Maintenance</t>
  </si>
  <si>
    <t>12001643 -- MARKETING: EVENTS</t>
  </si>
  <si>
    <t>12001063 -- TRIATHLON SF</t>
  </si>
  <si>
    <t>12001043 -- FIELD HOCKEY SF</t>
  </si>
  <si>
    <t>12018472 -- INSTRUCTION ADMIN</t>
  </si>
  <si>
    <t>12001033 -- STAFF CPR</t>
  </si>
  <si>
    <t>12001071 -- CYCLING SF</t>
  </si>
  <si>
    <t>12001044 -- FLY FISHING SF</t>
  </si>
  <si>
    <t>12001039 -- CREW SF</t>
  </si>
  <si>
    <t>12001038 -- BASEBALL SF</t>
  </si>
  <si>
    <t>12001045 -- FREESTYLE SKIING SF</t>
  </si>
  <si>
    <t>12001062 -- TENNIS SF</t>
  </si>
  <si>
    <t>12001061 -- TAE KWON DO SF</t>
  </si>
  <si>
    <t>12001037 -- CLUBS FACILITY RENTAL</t>
  </si>
  <si>
    <t>12001055 -- SNOWBOARDING SF</t>
  </si>
  <si>
    <t>12001058 -- SOFTBALL SF</t>
  </si>
  <si>
    <t>12001052 -- ROLLER HOCKEY SF</t>
  </si>
  <si>
    <t>12000016 -- SPECIAL PROJECT: STUDENT DEVEL</t>
  </si>
  <si>
    <t>Administration</t>
  </si>
  <si>
    <t>12001040 -- DANCE SF</t>
  </si>
  <si>
    <t>12001373 -- INCLUSIVE SPORTS SUMMIT</t>
  </si>
  <si>
    <t>Inclusive Sports Summit</t>
  </si>
  <si>
    <t>12000692 -- 2011 EXPANSION OUTSTNDNG ITEMS</t>
  </si>
  <si>
    <t>12001042 -- FENCING SF</t>
  </si>
  <si>
    <t>Quarter</t>
  </si>
  <si>
    <t>Fields</t>
  </si>
  <si>
    <t>Rec Fields</t>
  </si>
  <si>
    <t>Bear Creek Rec</t>
  </si>
  <si>
    <t>Equipment Services</t>
  </si>
  <si>
    <t>IT</t>
  </si>
  <si>
    <t>Intramural</t>
  </si>
  <si>
    <t>SF Rev (2011 Expansion)</t>
  </si>
  <si>
    <t>Special Events</t>
  </si>
  <si>
    <t>12072536 -- REC FIELD INITIATIVE</t>
  </si>
  <si>
    <t>12027282 -- REC FAC-ADMINISTRATN</t>
  </si>
  <si>
    <t>12031651 -- SPECIAL PROJECT #3</t>
  </si>
  <si>
    <t>12086362 -- FAC ADMIN SPECIAL PROJECTS</t>
  </si>
  <si>
    <t>12060718 -- BEAR CREEK FITNESS</t>
  </si>
  <si>
    <t>12086898 -- BEAR CREEK FACILITIES RENTAL</t>
  </si>
  <si>
    <t>12031666 -- NIRSA</t>
  </si>
  <si>
    <t>12012148 -- INSTRUCTION MASTER</t>
  </si>
  <si>
    <t>12023633 -- CERTIFICATIONS</t>
  </si>
  <si>
    <t>12024188 -- MISC FW ACTIVITIES</t>
  </si>
  <si>
    <t>12027600 -- INSTRUCTION MART ART</t>
  </si>
  <si>
    <t>12031662 -- IT SUPPORT</t>
  </si>
  <si>
    <t>12028225 -- INTRAMURALS</t>
  </si>
  <si>
    <t>12025353 -- OP GENERAL OPS</t>
  </si>
  <si>
    <t>12080880 -- ROPES COURSE</t>
  </si>
  <si>
    <t>12086363 -- PROG ADMIN SPECIAL PROJECTS</t>
  </si>
  <si>
    <t>12014438 -- REC FAC-PLEDGED REV</t>
  </si>
  <si>
    <t>12025203 -- REC FAC-STUDENT FEES</t>
  </si>
  <si>
    <t>12019402 -- WOMEN'S VOLLEYBALL (FR)</t>
  </si>
  <si>
    <t>12028667 -- CLUB SPORTS (FR) ADM</t>
  </si>
  <si>
    <t>12051681 -- COLORADO CREW (FR)</t>
  </si>
  <si>
    <t>Speedtype / Program</t>
  </si>
  <si>
    <t>( A )</t>
  </si>
  <si>
    <t>( B )</t>
  </si>
  <si>
    <t>( C )</t>
  </si>
  <si>
    <t>( D )</t>
  </si>
  <si>
    <t>( E )</t>
  </si>
  <si>
    <t>( F )</t>
  </si>
  <si>
    <t>Footnotes</t>
  </si>
  <si>
    <t xml:space="preserve">Seasonalized </t>
  </si>
  <si>
    <t>Act. - Seas.</t>
  </si>
  <si>
    <t>Annual Budget</t>
  </si>
  <si>
    <t>Budget</t>
  </si>
  <si>
    <t>Seasonal %</t>
  </si>
  <si>
    <t>YTD Actual</t>
  </si>
  <si>
    <t>$ Variance</t>
  </si>
  <si>
    <t>% Variance</t>
  </si>
  <si>
    <t>( B / A )</t>
  </si>
  <si>
    <t>( D - B )</t>
  </si>
  <si>
    <t>( E / B )</t>
  </si>
  <si>
    <t>Revenue</t>
  </si>
  <si>
    <t>Student Fees</t>
  </si>
  <si>
    <t>Self-Generated</t>
  </si>
  <si>
    <t>Gift &amp; Grant</t>
  </si>
  <si>
    <t>Transfers In</t>
  </si>
  <si>
    <t>Total Revenue</t>
  </si>
  <si>
    <t>Salaries &amp; Benefits</t>
  </si>
  <si>
    <t>Professional Salaries</t>
  </si>
  <si>
    <t>Classified Salaries</t>
  </si>
  <si>
    <t>Hourly Wages</t>
  </si>
  <si>
    <t>Professional Benefits</t>
  </si>
  <si>
    <t>Classified Benefits</t>
  </si>
  <si>
    <t>Hourly Benefits</t>
  </si>
  <si>
    <t>Subtotal Salaries &amp; Benefits</t>
  </si>
  <si>
    <t>Operating Expenses</t>
  </si>
  <si>
    <t>Operating Expense Budget</t>
  </si>
  <si>
    <t>COGS</t>
  </si>
  <si>
    <t>Office Administration</t>
  </si>
  <si>
    <t>Official Functions</t>
  </si>
  <si>
    <t>Rentals</t>
  </si>
  <si>
    <t>Promotional Materials &amp; Services</t>
  </si>
  <si>
    <t>Other Operating Expense</t>
  </si>
  <si>
    <t>Subtotal Operating Expenses</t>
  </si>
  <si>
    <t>Travel</t>
  </si>
  <si>
    <t>Employee Travel</t>
  </si>
  <si>
    <t>Non-Employee Travel</t>
  </si>
  <si>
    <t>Subtotal Travel</t>
  </si>
  <si>
    <t>Other Fund Deductions</t>
  </si>
  <si>
    <t>Insurance</t>
  </si>
  <si>
    <t>Utilities</t>
  </si>
  <si>
    <t>Facilities &amp; Admin.</t>
  </si>
  <si>
    <t>GAR</t>
  </si>
  <si>
    <t>GIR</t>
  </si>
  <si>
    <t>Subtotal Other Deductions</t>
  </si>
  <si>
    <t>Total Expenses</t>
  </si>
  <si>
    <t>Transfers Out &amp; Debt Management</t>
  </si>
  <si>
    <t>Transfers Out</t>
  </si>
  <si>
    <t>Debt Management</t>
  </si>
  <si>
    <t>Subtotal Transfers Out &amp; Debt</t>
  </si>
  <si>
    <t>Net Position</t>
  </si>
  <si>
    <t>Footnotes:</t>
  </si>
  <si>
    <t>Annual</t>
  </si>
  <si>
    <t>Quarter One</t>
  </si>
  <si>
    <t>Quarter Two</t>
  </si>
  <si>
    <t>Quarter Three</t>
  </si>
  <si>
    <t>Quarter Four</t>
  </si>
  <si>
    <t>FY Total</t>
  </si>
  <si>
    <t>Actuals</t>
  </si>
  <si>
    <t>YTD Average</t>
  </si>
  <si>
    <t>YTD Actuals</t>
  </si>
  <si>
    <t>FY XX</t>
  </si>
  <si>
    <t>Cost Center</t>
  </si>
  <si>
    <t># of Years</t>
  </si>
  <si>
    <t>Fiscal Year Start</t>
  </si>
  <si>
    <t>Select Destination</t>
  </si>
  <si>
    <t>REC</t>
  </si>
  <si>
    <t>Line Item Account</t>
  </si>
  <si>
    <t>Account Code</t>
  </si>
  <si>
    <t>Lower</t>
  </si>
  <si>
    <t>Upper</t>
  </si>
  <si>
    <t>Student Fee Revenues</t>
  </si>
  <si>
    <t>220000 - 224999 STUDENT FEES</t>
  </si>
  <si>
    <t>225000 - 229996 REFUND STUDENT ACTIVITY FEES</t>
  </si>
  <si>
    <t>229997 - 229997 FEES BAD DEBT CONTRA</t>
  </si>
  <si>
    <t>229998 FEES SCHOL ALLOW-NONEXMPT</t>
  </si>
  <si>
    <t>229999 FEES SCHOL ALLOW-EXMPT</t>
  </si>
  <si>
    <t>Self-Generated Revenues</t>
  </si>
  <si>
    <t>200000 REVENUE GENERAL BUDGET</t>
  </si>
  <si>
    <t>200100 - 200999 APPROPRIATIONS</t>
  </si>
  <si>
    <t>201000 - 201997 REFUNDS ON APPROPRIATIONS</t>
  </si>
  <si>
    <t>202000 CONTRIBUTN FROM STATE GEN BUDG</t>
  </si>
  <si>
    <t>202001 COP CAPITAL CONTRIBUT TRANSFER</t>
  </si>
  <si>
    <t>202002 COP CAP CONTRIBUT-INT EXP</t>
  </si>
  <si>
    <t>202003 COP CAP CONTRIBUT-INT REV</t>
  </si>
  <si>
    <t>202004 COP CAP CONTRIBUT-ISS COSTS</t>
  </si>
  <si>
    <t>202005 COP 2008 CAPITAL CONTRIBUTION</t>
  </si>
  <si>
    <t>202006 COP 2008 CAP CONT INTEREST REV</t>
  </si>
  <si>
    <t>237500 - 237999 REVENUE-PROGRAM INCOME</t>
  </si>
  <si>
    <t>250000 - 250099 SALES-SERV ED ACT GEN BDGT</t>
  </si>
  <si>
    <t>250100 - 254999 SALES&amp;SRVS EDUCATIONAL ACTIVTS</t>
  </si>
  <si>
    <t>255000 - 259997 REFUND - SALES-SRVS EDUC ACTIV</t>
  </si>
  <si>
    <t>280000 - 280099 AUX ENTERPRISE REV-GEN BDGT</t>
  </si>
  <si>
    <t>280100 - 284999 AUXILLIARY ENTERPRISE REVENUE</t>
  </si>
  <si>
    <t>285000 - 289997 REFUND-AUX ENTERPRISE REVENUE</t>
  </si>
  <si>
    <t>289998 AUX REV SCHOL ALLOW NONEXMPT</t>
  </si>
  <si>
    <t>289999 AUX REV SCHOL ALLOW EXMPT</t>
  </si>
  <si>
    <t>310000 - 310099 HEALTH SERVICES REV-GEN BUDGET</t>
  </si>
  <si>
    <t>310100 - 310999 HEALTH SERVICES REVENUE</t>
  </si>
  <si>
    <t>311000 - 311999 RFND HEALTH SERVICES REVENUE</t>
  </si>
  <si>
    <t>315000 - 315099 F-A GENERAL BUDGET</t>
  </si>
  <si>
    <t>315100 - 315199 F-A REV-RESEARCH ON-CAMPUS</t>
  </si>
  <si>
    <t>315200 - 315299 F-A REV-RESEARCH OFF-CAMPUS</t>
  </si>
  <si>
    <t>315300 - 315399 F-A REV-INSTRUCTION ON-CAMPUS</t>
  </si>
  <si>
    <t>315400 - 315499 F-A REV-INSTRUCTION OFF-CAMPUS</t>
  </si>
  <si>
    <t>315500 - 315599 F-A REV-OTHER ON-CAMPUS</t>
  </si>
  <si>
    <t>315600 - 315699 F-A REV-OTHER OFF-CAMPUS</t>
  </si>
  <si>
    <t>315700 - 315799 STUDENT AID ADMIN ALLOWANCE</t>
  </si>
  <si>
    <t>320000 - 320099 RENTAL INCOME GENERAL BUDGET</t>
  </si>
  <si>
    <t>320100 - 320999 RENTAL INCOME</t>
  </si>
  <si>
    <t>321000 - 321997 REFUND RENTAL INCOME</t>
  </si>
  <si>
    <t>325000 - 325099 MISC INCOME-GEN BUDGET</t>
  </si>
  <si>
    <t>325100 - 332999 MISCELLANEOUS INCOME</t>
  </si>
  <si>
    <t>333000 - 334996 RFND-PROCEEDS PROPERTY SALES</t>
  </si>
  <si>
    <t>334997 - 334997 MISC FEES BAD DEBT CONTRA</t>
  </si>
  <si>
    <t>355000 - 355099 OTHER FUND ADDL GENERAL BUDGET</t>
  </si>
  <si>
    <t>355100 - 355199 US GOVERNMENT ADVANCES</t>
  </si>
  <si>
    <t>355200 - 355299 ADDITIONS TO PLANT</t>
  </si>
  <si>
    <t>355300 - 355399 RETIREMENT OF DEBT</t>
  </si>
  <si>
    <t>355400 - 355499 REFINANCING NET GAINS-LOSSES</t>
  </si>
  <si>
    <t>355500 - 355599 AURARIA LIBRARY-MEDIA REVENUE</t>
  </si>
  <si>
    <t>355700 - 355799 ADDITIONS TO ENDOWMENT FUND</t>
  </si>
  <si>
    <t>380000 - 380099 SERVICE CENTER IN GENERAL BUDG</t>
  </si>
  <si>
    <t>380100 - 384999 SERVICE CENTER IN REVENUE</t>
  </si>
  <si>
    <t>385000 - 389999 REFUND SERVICE CENTER IN REV</t>
  </si>
  <si>
    <t>390000 ID REVENUE GENERAL BUDGET</t>
  </si>
  <si>
    <t>390001 ID MISC REVENUE</t>
  </si>
  <si>
    <t>390002 ID SECURITY SERVICES</t>
  </si>
  <si>
    <t>390003 ID PHYSICAL PLANT SERVICES</t>
  </si>
  <si>
    <t>390004 ID RECYCLING SERVICES</t>
  </si>
  <si>
    <t>390005 ID FOOD SERVICES</t>
  </si>
  <si>
    <t>390006 ID PROFESSIONAL SERVICES</t>
  </si>
  <si>
    <t>390007 ID SUPPLIES SALES</t>
  </si>
  <si>
    <t>390008 ID CUSTODIAL SERVICES</t>
  </si>
  <si>
    <t>390009 ID INFORMATION TECHNOLOGY REV</t>
  </si>
  <si>
    <t>390010 ID STORAGE REVENUE</t>
  </si>
  <si>
    <t>390011 ID PRINTING SERVICES</t>
  </si>
  <si>
    <t>390012 ID INSURANCE REVENUE</t>
  </si>
  <si>
    <t>390013 ID MOVING REVENUE</t>
  </si>
  <si>
    <t>390014 ID RENTAL REVENUE</t>
  </si>
  <si>
    <t>390015 ID SSEA REVENUE</t>
  </si>
  <si>
    <t>390016 ID MEDICAL SERVICES</t>
  </si>
  <si>
    <t>390017 ID TUITION</t>
  </si>
  <si>
    <t>390018 ID INSTRUCTIONAL FEES</t>
  </si>
  <si>
    <t>390019 ID LAB SERVICES</t>
  </si>
  <si>
    <t>390020 ID ADVERTISING REVENUES</t>
  </si>
  <si>
    <t>390021 ID LABORATORY SALES</t>
  </si>
  <si>
    <t>390022 ID GME-HLTH BEN-MEDICAL PREM</t>
  </si>
  <si>
    <t>390023 ID GME-HLTH BEN-DENTAL PREM</t>
  </si>
  <si>
    <t>390024 ID GME-OFF-CAMP LIFE INS PREM</t>
  </si>
  <si>
    <t>390025 ID GME-OFF-CAMP DISAB PREM</t>
  </si>
  <si>
    <t>390026 ID GME-OFF-CAMP MALPRACT PREM</t>
  </si>
  <si>
    <t>390027 ID GME - ADMINISTRATIVE FEE</t>
  </si>
  <si>
    <t>390029 ID ISIS BILLING SERVICE REV</t>
  </si>
  <si>
    <t>390030 ID ISISCOLLECTIONSERVICES REV</t>
  </si>
  <si>
    <t>390031 ID LABOR REVENUE</t>
  </si>
  <si>
    <t>390032 ID TRASH ROLLOFF REVENUE</t>
  </si>
  <si>
    <t>390049 ID LEGAL REIMBURSEMENT</t>
  </si>
  <si>
    <t>390050 ID LICENSE DISBURSEMENT-UCB</t>
  </si>
  <si>
    <t>390051 ID LICENSE DISBURSMT-UCDANSCHZ</t>
  </si>
  <si>
    <t>390052 ID LICENSE DISBURSMT-UCDDENVER</t>
  </si>
  <si>
    <t>390053 ID LICENSE DISBURSEMENT-UCCS</t>
  </si>
  <si>
    <t>390054 ID LICENSE DISTRIBUTION-TTO</t>
  </si>
  <si>
    <t>390055 ID TTO MGMT FEE</t>
  </si>
  <si>
    <t>390056 ID GENERAL REVENUE FROM UCB</t>
  </si>
  <si>
    <t>390057 ID GENERAL REVENUE FROM HSC</t>
  </si>
  <si>
    <t>390058 ID GENERAL REVENUE FROM UCD</t>
  </si>
  <si>
    <t>390059 ID GENERAL REVENUE FROM UCCS</t>
  </si>
  <si>
    <t>390060 ID GENERAL REVENUE FROM SYS</t>
  </si>
  <si>
    <t>390061 ID INTRNL LOAN INTEREST REV</t>
  </si>
  <si>
    <t>390062 ID RENT - BOOKSTORE</t>
  </si>
  <si>
    <t>390063 ID RENT - IMAGING SERVICES</t>
  </si>
  <si>
    <t>390064 ID RENT - FA-STUDENT EMPLOYMNT</t>
  </si>
  <si>
    <t>390065 ID RENT - GREEK AFFAIRS</t>
  </si>
  <si>
    <t>390066 ID RENT - PHARMACY</t>
  </si>
  <si>
    <t>390067 ID RENT - STAFF COUNCIL</t>
  </si>
  <si>
    <t>390069 ID RENT - HONOR CODE</t>
  </si>
  <si>
    <t>390070 ID DISCOUNTS</t>
  </si>
  <si>
    <t>390071 ID ROOM RENTAL - UMC</t>
  </si>
  <si>
    <t>390072 ID ROOM RENTAL - NON-ACADEMIC</t>
  </si>
  <si>
    <t>390073 ID ROOM RENTAL - CONFERENCES</t>
  </si>
  <si>
    <t>390074 ID KEY FEES</t>
  </si>
  <si>
    <t>390075 ID RENT - CAREER SERVICES</t>
  </si>
  <si>
    <t>390076 ID CONFERENCE REVENUE</t>
  </si>
  <si>
    <t>390077 ID FACILITY RENTAL</t>
  </si>
  <si>
    <t>390078 ID EQUIPMENT RENTAL</t>
  </si>
  <si>
    <t>390079 ID LABOR REVENUE</t>
  </si>
  <si>
    <t>390080 ID CONCERT REVENUE</t>
  </si>
  <si>
    <t>390081 ID ASSESSMENT REVENUE</t>
  </si>
  <si>
    <t>390083 ID CME CONFERENCE FEE REVENUE</t>
  </si>
  <si>
    <t>390084 ID CME ADMIN FEE REVENUE</t>
  </si>
  <si>
    <t>390085 ID SSE PROMOTIONAL SUPPORT</t>
  </si>
  <si>
    <t>390086 ID - ELECTRICITY</t>
  </si>
  <si>
    <t>390087 ID - WATER</t>
  </si>
  <si>
    <t>390088 ID - SEWER</t>
  </si>
  <si>
    <t>390089 ID - NATURAL GAS</t>
  </si>
  <si>
    <t>390090 ID - FLOOD CONTROL</t>
  </si>
  <si>
    <t>390091 ID ROYALTY REVENUE ALLOCATION</t>
  </si>
  <si>
    <t>390092 ID REVENUE REFUND</t>
  </si>
  <si>
    <t>390093 ID BLDG OPER REVENUE</t>
  </si>
  <si>
    <t>390094 ID NETWORK SERVICES</t>
  </si>
  <si>
    <t>390095 ID IRB REVENUE</t>
  </si>
  <si>
    <t>390096 ID - LOGGIA RENT</t>
  </si>
  <si>
    <t>390098 ID GRAD STUDNT TUITION PAYBACK</t>
  </si>
  <si>
    <t>390100 ID CME CONFERENCE SERVICE FEE</t>
  </si>
  <si>
    <t>390101 ID CME ADMINISTRATIVE FEE</t>
  </si>
  <si>
    <t>390102 ID CME PER-PERSON FEE</t>
  </si>
  <si>
    <t>390103 ID CME CONFERENCE BALANCE FEE</t>
  </si>
  <si>
    <t>390104 ID CME MISC ADMIN FEE</t>
  </si>
  <si>
    <t>390105 ID MEMBERSHIP-DUES REVENUE</t>
  </si>
  <si>
    <t>390106 ID RENT - PEACE CORPS</t>
  </si>
  <si>
    <t>390107 ID-SPECIAL EVENT ADMISSION REV</t>
  </si>
  <si>
    <t>390108 ID PROGRAM INCOME</t>
  </si>
  <si>
    <t>390109 ID CAMPUS NETWORK REVENUE</t>
  </si>
  <si>
    <t>390110 ID CU TRASH PICKUP HSG</t>
  </si>
  <si>
    <t>390111 ID CU TRASH PICKUP MISC</t>
  </si>
  <si>
    <t>390112 ID SSEA CAPE-CHA-PA-AMC SOM</t>
  </si>
  <si>
    <t>390113 ID SSEA CAPE-PHYSTHERAPY-AMC</t>
  </si>
  <si>
    <t>390114 ID SSEA CAPE-UME-AMC</t>
  </si>
  <si>
    <t>390115 ID SSEA CAPE-CON-AMC</t>
  </si>
  <si>
    <t>390116 ID SSEA CAPE-GME-AMC SOM</t>
  </si>
  <si>
    <t>390117 ID SSEA CAPE-INTERPROFSSNL-AMC</t>
  </si>
  <si>
    <t>390118 ID SSEA CAPE-SDM-AMC</t>
  </si>
  <si>
    <t>390119 ID SSEA CAPE-SOP-AMC</t>
  </si>
  <si>
    <t>390120 ID SSEA CAPE-STUDENT GROUPS</t>
  </si>
  <si>
    <t>390121 ID SSEA CAPE-STD PT RENTALS</t>
  </si>
  <si>
    <t>390122 ID SSEA CAPE-SPACE RENTALS</t>
  </si>
  <si>
    <t xml:space="preserve">390123 ID SALES TO GRANTS-CONTRACTS		</t>
  </si>
  <si>
    <t>390124 ID TTO CMMIZ SVC-FEDERAL AWDS</t>
  </si>
  <si>
    <t>390125 ID SURPLUS PROPERTY PROCEEDS</t>
  </si>
  <si>
    <t>390126 ID ALCOHOL SALES</t>
  </si>
  <si>
    <t>235000 - 235099 GRANTS-CONTRACTS-GFTS-GEN BDGT</t>
  </si>
  <si>
    <t>235100 - 235399 GRANTS-CONTRACT - FEDERAL</t>
  </si>
  <si>
    <t>235400 - 236499 GRANT-CONTRACT - FED SUB-RECIP</t>
  </si>
  <si>
    <t>236500 - 236999 GRANT-CONTRACT - STATE OF COLO</t>
  </si>
  <si>
    <t>237000 - 237499 GRANT-CONTRACT - GOVT</t>
  </si>
  <si>
    <t>240000 - 240997 PRIVATE GIFTS-GRANTS-CONTRACTS</t>
  </si>
  <si>
    <t>390028 ID GIFT REVENUE - COLEMAN</t>
  </si>
  <si>
    <t>390097 ID GIFT - ATHLETIC SUPPORT</t>
  </si>
  <si>
    <t>971101 - 971101 REFUNDED TO GRANTORS-FEDERAL</t>
  </si>
  <si>
    <t>995000 - 996999 VOLUNTARY TRANSFERS IN</t>
  </si>
  <si>
    <t>400000 - 400189 FAC FTP SAL</t>
  </si>
  <si>
    <t>400190 - 400289 CLNFAC FTP SAL</t>
  </si>
  <si>
    <t>400290 - 400389 RSCHFAC FTP SAL</t>
  </si>
  <si>
    <t>400390 - 400549 PRAFAC FTP SAL</t>
  </si>
  <si>
    <t>400550 - 400689 RSASFAC FTP SAL</t>
  </si>
  <si>
    <t>400690 - 400789 OTHFAC FTP SAL</t>
  </si>
  <si>
    <t>400790 - 400889 FELL FT PAY</t>
  </si>
  <si>
    <t>400890 - 400999 ALLFAC FTP SAL</t>
  </si>
  <si>
    <t>401000 - 401099 RSCHFAC P-TGR SAL</t>
  </si>
  <si>
    <t>401100 - 401199 CLNFAC P-TGR SAL</t>
  </si>
  <si>
    <t>401200 - 401449 FAC P-TGR SAL</t>
  </si>
  <si>
    <t>401450 - 401649 PRA P-TGR FAC SAL</t>
  </si>
  <si>
    <t>401650 - 401749 PRAFAC SAL</t>
  </si>
  <si>
    <t>401750 - 401849 RSASFAC P-TGR FAC SAL</t>
  </si>
  <si>
    <t>401850 - 402099 OTHFAC P-TGR SAL</t>
  </si>
  <si>
    <t>402200 - 402249 STDFAC FTP SAL</t>
  </si>
  <si>
    <t>402250 - 402299 STDFAC FTT SAL</t>
  </si>
  <si>
    <t>402300 - 402349 STDFAC PTP SAL</t>
  </si>
  <si>
    <t>402350 - 402399 STDFAC PTT SAL</t>
  </si>
  <si>
    <t>402400 - 402499 ALLSTD FAC SAL</t>
  </si>
  <si>
    <t>402500 - 403099 O-E SAL</t>
  </si>
  <si>
    <t>403100 - 404999 PLACEHOLDER</t>
  </si>
  <si>
    <t>405000 - 405149 CLASS FTP SAL</t>
  </si>
  <si>
    <t>405150 - 405249 CLASS PTP SAL</t>
  </si>
  <si>
    <t>405250 - 405349 CLASS FTT SAL</t>
  </si>
  <si>
    <t>405350 - 405449 CLASS PTT SAL</t>
  </si>
  <si>
    <t>405450 - 405999 ALLCLASS SAL</t>
  </si>
  <si>
    <t>406000 - 407499 PLACEHOLDER</t>
  </si>
  <si>
    <t>407500 - 407699 STD HR PAY</t>
  </si>
  <si>
    <t>407700 - 407799 STD ONC WS PAY</t>
  </si>
  <si>
    <t>407800 - 407899 STD OFFC WS PAY</t>
  </si>
  <si>
    <t>407900 - 407999 STD HR OVERTIME</t>
  </si>
  <si>
    <t>408100 - 408199 OTH PER PAY</t>
  </si>
  <si>
    <t>408200 - 408299 ALL STD PAY</t>
  </si>
  <si>
    <t>410000 - 418399 SUSPENSE SAL</t>
  </si>
  <si>
    <t>418400 - 418499 FAC FTP BEN</t>
  </si>
  <si>
    <t>418500 - 418599 CLNFAC FTP BEN</t>
  </si>
  <si>
    <t>418600 - 418699 RSCHFAC FTP BEN</t>
  </si>
  <si>
    <t>418700 - 418799 PRAFAC FTP BEN</t>
  </si>
  <si>
    <t>418800 - 418899 RSASFAC FTP BEN</t>
  </si>
  <si>
    <t>418900 - 418999 OTHFAC FTP BEN</t>
  </si>
  <si>
    <t>419000 - 419089 FELL FT BEN</t>
  </si>
  <si>
    <t>419090 - 419899 ALLFAC FTP BEN</t>
  </si>
  <si>
    <t>419900 - 420499 PLACEHOLDER</t>
  </si>
  <si>
    <t>420500 - 420999 FAC P-TGR BEN</t>
  </si>
  <si>
    <t>421000 - 421199 CLNFAC P-TGR BEN</t>
  </si>
  <si>
    <t>421200 - 421399 RSCHFAC P-TGR BEN</t>
  </si>
  <si>
    <t>421400 - 421599 OTHFAC P-TGR BEN</t>
  </si>
  <si>
    <t>421600 - 421799 PRAFAC P-TGR BEN</t>
  </si>
  <si>
    <t>421800 - 421999 RSASFAC P-TGR BEN</t>
  </si>
  <si>
    <t>422000 - 422099 FELL PT BEN</t>
  </si>
  <si>
    <t>422100 - 422204 ALLFAC P-TGR BEN</t>
  </si>
  <si>
    <t>422210 - 422259 STDFAC FTP BEN</t>
  </si>
  <si>
    <t>422260 - 422299 STDFAC FTT BEN</t>
  </si>
  <si>
    <t>422300 - 422359 STDFAC PTP BEN</t>
  </si>
  <si>
    <t>422360 - 422399 STDFAC PTT BEN</t>
  </si>
  <si>
    <t>422400 - 422409 ALLSTD FAC BEN</t>
  </si>
  <si>
    <t>422410 - 422439 ALLSTD FAC TTN BEN</t>
  </si>
  <si>
    <t>422440 - 422499 ALLSTD FAC MISC BEN</t>
  </si>
  <si>
    <t>422500 - 422799 O-E BEN</t>
  </si>
  <si>
    <t>422800 - 422899 MDRS BEN (HSC)</t>
  </si>
  <si>
    <t>422900 - 424999 PLACEHOLDER</t>
  </si>
  <si>
    <t>425000 - 425099 CLASS FTP BEN</t>
  </si>
  <si>
    <t>425100 - 425199 CLASS PTP BEN</t>
  </si>
  <si>
    <t>425200 - 425299 CLASS FTT BEN</t>
  </si>
  <si>
    <t>425300 - 425399 CLASS PTT BEN</t>
  </si>
  <si>
    <t>425400 - 426399 ALLCLASS BEN</t>
  </si>
  <si>
    <t>426400 - 427499 PLACEHOLDER</t>
  </si>
  <si>
    <t>427500 - 428259 STD HR BEN</t>
  </si>
  <si>
    <t>428260 - 428289 OTH PER BEN</t>
  </si>
  <si>
    <t>428290 - 429199 ALL STD-OTH PER BEN</t>
  </si>
  <si>
    <t>429200 - 429999 PLACEHOLDER</t>
  </si>
  <si>
    <t>430000 - 430199 PBS SUSPENSE</t>
  </si>
  <si>
    <t>430200 - 430899 PLACEHOLDER</t>
  </si>
  <si>
    <t>430900 - 430999 SUSPENSE BEN</t>
  </si>
  <si>
    <t>431000 - 431000 PERA PENSION EXPENSE OFFSET</t>
  </si>
  <si>
    <t>431001 - 439999 PLACEHOLDER</t>
  </si>
  <si>
    <t>460000 - 479999 OPERATING EXPENSE GEN BUDGET</t>
  </si>
  <si>
    <t>450100 - 450199 COGS-GENERAL BUDGET</t>
  </si>
  <si>
    <t>450200 - 450299 COGS-COST OF GOODS SOLD</t>
  </si>
  <si>
    <t>450300 - 450399 PHYSICAL INVENTORY ADJUSTMENT</t>
  </si>
  <si>
    <t>450400 - 450499 COST OF GOODS SOLD ADJUSTMENTS</t>
  </si>
  <si>
    <t>450500 - 450599 FREIGHT RETURNED PURCHASES</t>
  </si>
  <si>
    <t>450600 - 459999 PLACEHOLDER</t>
  </si>
  <si>
    <t>480000 - 482499 OFFICE ADMINSTRATION</t>
  </si>
  <si>
    <t>482500 - 484999 TELECOMMUNICATIONS</t>
  </si>
  <si>
    <t>485000 - 487499 POSTAL COSTS</t>
  </si>
  <si>
    <t>500000 - 502499 INFORMATION TECHNOLOGY</t>
  </si>
  <si>
    <t>512500 - 514999 SUBSCRIPT,BKS,PERIODCLS,SCORS</t>
  </si>
  <si>
    <t>517500 - 519999 CUSTODIAL AND LAUNDRY</t>
  </si>
  <si>
    <t>527500 - 529999 INSTRUCTIONAL SUPPLIES &amp; SRVS</t>
  </si>
  <si>
    <t>530000 - 532499 LABORATORY &amp; TECHNICAL SHOP</t>
  </si>
  <si>
    <t>540000 - 542499 FREIGHT, MOVING AND STORAGE</t>
  </si>
  <si>
    <t>790000 - 790099 BKS-PER LIBRARY GEN BDGT</t>
  </si>
  <si>
    <t>790100 - 790109 CAP. BKS-PERIODICALS LIBRARY</t>
  </si>
  <si>
    <t>790110 - 790275 NONCAP BKS-PERIODICALS LIBRARY</t>
  </si>
  <si>
    <t>522500 - 524999 FOOD SUPPLIES AND SERVICES</t>
  </si>
  <si>
    <t>550000 - 552499 OFFICIAL FUNCTIONS</t>
  </si>
  <si>
    <t>502500 - 504999 RENTALS, BUILDING, SPACE, LAND</t>
  </si>
  <si>
    <t>487500 - 489999 PRINT, PUBLICATIONS&amp;REPRODUCTN</t>
  </si>
  <si>
    <t>490000 - 492499 MICROFORM,PHOTOGR&amp;GRAPHICSUPPL</t>
  </si>
  <si>
    <t>507500 - 509999 ADVERTISING AND PUBLICITY</t>
  </si>
  <si>
    <t>492500 - 494999 GRANTS AND SUBCONTRACTS</t>
  </si>
  <si>
    <t>495000 - 497499 HONOR, FELLWSHPS &amp; PART. COSTS</t>
  </si>
  <si>
    <t>497500 - 499999 MOTOR VEHICLE MAINT &amp; SUPPLIES</t>
  </si>
  <si>
    <t>510000 - 512499 DUES AND MEMBERSHIPS</t>
  </si>
  <si>
    <t>515000 - 517499 PHYSICAL PLANT MAINT &amp; REPAIR</t>
  </si>
  <si>
    <t>520000 - 522499 HOSPITALIZATION COSTS</t>
  </si>
  <si>
    <t>532500 - 534999 FIELD RESEARCH EXPENSES</t>
  </si>
  <si>
    <t>535000 - 537499 MEDICAL SUPPLIES AND SERVICES</t>
  </si>
  <si>
    <t>537500 - 539999 EQUIPMENT - NON-CAPITAL</t>
  </si>
  <si>
    <t>547500 - 549999 DONATIONS &amp; COMMUNITY SUPPORT</t>
  </si>
  <si>
    <t>552500 - 557499 OTHER OPERATING EXPENSES</t>
  </si>
  <si>
    <t>557500 - 699999 PLACEHOLDER</t>
  </si>
  <si>
    <t>950700 - 950799 STUDENT AID ADMIN ALLOWANCE</t>
  </si>
  <si>
    <t>700000 - 700099 TRAVEL GENERAL BUDGET</t>
  </si>
  <si>
    <t>700100 - 701999 EMPLOYEE TRAVEL</t>
  </si>
  <si>
    <t>702000 - 703999 NON-EMPLOYEE TRAVEL</t>
  </si>
  <si>
    <t>545000 - 545499 INSURANCE</t>
  </si>
  <si>
    <t>750000 - 750099 UTILITIES GENERAL BUDGET</t>
  </si>
  <si>
    <t>750100 - 750199 UTILITIES</t>
  </si>
  <si>
    <t>750200 - 750299 STEAM</t>
  </si>
  <si>
    <t>750300 - 750399 ELECTRICITY</t>
  </si>
  <si>
    <t>750400 - 750499 WATER</t>
  </si>
  <si>
    <t>750500 - 750599 SEWER</t>
  </si>
  <si>
    <t>750600 - 750699 NATURAL GAS</t>
  </si>
  <si>
    <t>750700 - 750799 FUEL OIL</t>
  </si>
  <si>
    <t>750800 - 750899 CHILLED WATER</t>
  </si>
  <si>
    <t>750900 - 750999 FLOOD CONTROL</t>
  </si>
  <si>
    <t>751000 - 751099 OTHER UTILITIES</t>
  </si>
  <si>
    <t>751100 - 751199 AHEC UTILITIES</t>
  </si>
  <si>
    <t>752492 ID - CHILLED WATER</t>
  </si>
  <si>
    <t>752493 ID - OTHER UTILITIES</t>
  </si>
  <si>
    <t>752494 ID - ELECTRIC</t>
  </si>
  <si>
    <t>752495 ID - WATER</t>
  </si>
  <si>
    <t>752496 ID - SEWER</t>
  </si>
  <si>
    <t>792500 NONOPERATING EXPENSE MISC</t>
  </si>
  <si>
    <t>792501 CAPITAL DISTRIBUTION</t>
  </si>
  <si>
    <t>810000 - 810099 FIXED ASSETS GENERAL BUDGET</t>
  </si>
  <si>
    <t>810100 - 810199 EQUIPMENT OVER $5,000</t>
  </si>
  <si>
    <t>810200 - 810299 EQUIP OVER $5,000 GOVT TITLE</t>
  </si>
  <si>
    <t>810300 - 810349 EQUIP OVER $5,000 PRIVATE TTLE</t>
  </si>
  <si>
    <t>810350 - 810399 INTANGIBLE ASSETS</t>
  </si>
  <si>
    <t>810400 - 810499 NON-DEPRECIABLE COLLECTIONS</t>
  </si>
  <si>
    <t>810500 - 810599 LEASE PURCHASE PRINCIPAL</t>
  </si>
  <si>
    <t>810600 - 810699 LEASE PURCHASE INTEREST</t>
  </si>
  <si>
    <t>810700 - 810799 EQUIPMENT COMPONENTS</t>
  </si>
  <si>
    <t>810800 - 810899 FEDERAL EQUIPMENT COMPONENTS</t>
  </si>
  <si>
    <t>810900 - 810999 EQUIP LESS THAN $5,000 FA EXMP</t>
  </si>
  <si>
    <t>811000 - 811099 LAND-SITE ACQUISITION</t>
  </si>
  <si>
    <t>811100 - 811199 BUILDING ACQUISITION</t>
  </si>
  <si>
    <t>811200 - 811299 1998 COP EQUIP OVER $5,000</t>
  </si>
  <si>
    <t>811300 - 811399 CONSTRUCTION COSTS</t>
  </si>
  <si>
    <t>970100 - 970199 EXPANDED PLANT FACILITIES</t>
  </si>
  <si>
    <t>970200 - 970299 CAPITALIZE CONSTRUCT-IN-PROGRE</t>
  </si>
  <si>
    <t>950000 - 950099 F-A GENERAL BUDGET</t>
  </si>
  <si>
    <t>950100 - 950199 FACILITIES&amp;ADMINSTRATION COSTS</t>
  </si>
  <si>
    <t>950200 - 950299 F-A - RESEARCH OFF-CAMPUS</t>
  </si>
  <si>
    <t>950300 - 950399 F-A INSTRUCTIONAL ON-CAMPUS</t>
  </si>
  <si>
    <t>950400 - 950499 F-A INSTRUCTIONAL OFF-CAMPUS</t>
  </si>
  <si>
    <t>950500 - 950599 F-A OTHER ON-CAMPUS</t>
  </si>
  <si>
    <t>950600 - 950699 F-A OTHER OFF-CAMPUS</t>
  </si>
  <si>
    <t>790276 - 790399 LIBRARY-PERIODICALS RECHARGE</t>
  </si>
  <si>
    <t>960100 - 960199 GEN ADMIN RECHARGE</t>
  </si>
  <si>
    <t>960400 - 960499 OTHER ALLOCATIONS</t>
  </si>
  <si>
    <t>960200 - 960299 GENERAL INFRASTRUCTURE RECHARG</t>
  </si>
  <si>
    <t>997000 - 999997 VOLUNTARY TRANSFERS OUT</t>
  </si>
  <si>
    <t>542500 - 544999 INTEREST, ROYALTIES &amp; PATENTS</t>
  </si>
  <si>
    <t>811400 - 812399 DEPR-AMORT EXPENSE</t>
  </si>
  <si>
    <t>970000 - 970099 OTHER DEDUCTIONS GEN BUDGET</t>
  </si>
  <si>
    <t>970300 - 970399 DISPOSAL OF PLANT FACILITIES</t>
  </si>
  <si>
    <t>970400 - 970499 FIXED ASSET INVENTORY ADJUST</t>
  </si>
  <si>
    <t>970500 - 970599 LONG-TERM LIABILITY ASSUMED</t>
  </si>
  <si>
    <t>970600 - 970699 CAPITALIZED ASSET-DEBT</t>
  </si>
  <si>
    <t>970700 - 970799 BOND RETIREMENT</t>
  </si>
  <si>
    <t>970800 - 970899 LONG-TERM NOTE RETIREMENT</t>
  </si>
  <si>
    <t>970900 - 970999 BOND INTEREST</t>
  </si>
  <si>
    <t>971000 - 971099 LONG-TERM NOTE INTEREST</t>
  </si>
  <si>
    <t>971100 - 971199 OTHER FUND DEDUCTIONS</t>
  </si>
  <si>
    <t>971200 - 971299 LOAN CANCELLATION</t>
  </si>
  <si>
    <t>971300 - 971399 ENDOWMENT DEDUCTION</t>
  </si>
  <si>
    <t>972000 - 994999 MISCELLANEOUS DEBT</t>
  </si>
  <si>
    <t>Speedtype</t>
  </si>
  <si>
    <t>Consolidate Into</t>
  </si>
  <si>
    <t>CEB</t>
  </si>
  <si>
    <t>12020398 -- CEB ADMINISTRATION</t>
  </si>
  <si>
    <t>CEB Administration</t>
  </si>
  <si>
    <t>12030596 -- CULTURAL EVENT BD OP</t>
  </si>
  <si>
    <t>12026018 -- CEB BOARD PROJECTS</t>
  </si>
  <si>
    <t>CEB Board Projects</t>
  </si>
  <si>
    <t>12026019 -- GROUP PROJECTS MASTER</t>
  </si>
  <si>
    <t>CEB Group Projects</t>
  </si>
  <si>
    <t>12033239 -- CEB CAPITAL</t>
  </si>
  <si>
    <t>12057809 -- VENUE FOR STUDENT ENTERTAINMNT</t>
  </si>
  <si>
    <t>12057810 -- VENUE FOR STUDENT ENTERTAINMNT</t>
  </si>
  <si>
    <t>12057811 -- VENUE FOR STUDENT ENTERTAINMNT</t>
  </si>
  <si>
    <t>12057812 -- VENUE FOR STUDENT ENTERTAINMNT</t>
  </si>
  <si>
    <t>12057813 -- VENUE FOR STUDENT ENTERTAINMNT</t>
  </si>
  <si>
    <t>12057814 -- VENUE FOR STUDENT ENTERTAINMNT</t>
  </si>
  <si>
    <t>12057815 -- VENUE FOR STUDENT ENTERTAINMNT</t>
  </si>
  <si>
    <t>12057816 -- VENUE FOR STUDENT ENTERTAINMNT</t>
  </si>
  <si>
    <t>12057817 -- VENUE FOR STUDENT ENTERTAINMNT</t>
  </si>
  <si>
    <t>12057818 -- VENUE FOR STUDENT ENTERTAINMNT</t>
  </si>
  <si>
    <t>12057819 -- VENUE FOR STUDENT ENTERTAINMNT</t>
  </si>
  <si>
    <t>12057820 -- VENUE FOR STUDENT ENTERTAINMNT</t>
  </si>
  <si>
    <t>12057821 -- VENUE FOR STUDENT ENTERTAINMNT</t>
  </si>
  <si>
    <t>12057822 -- VENUE FOR STUDENT ENTERTAINMNT</t>
  </si>
  <si>
    <t>12057823 -- VENUE FOR STUDENT ENTERTAINMNT</t>
  </si>
  <si>
    <t>12057824 -- VENUE FOR STUDENT ENTERTAINMNT</t>
  </si>
  <si>
    <t>12057825 -- VENUE FOR STUDENT ENTERTAINMNT</t>
  </si>
  <si>
    <t>12057826 -- VENUE FOR STUDENT ENTERTAINMNT</t>
  </si>
  <si>
    <t>12057827 -- VENUE FOR STUDENT ENTERTAINMNT</t>
  </si>
  <si>
    <t>12057828 -- VENUE FOR STUDENT ENTERTAINMNT</t>
  </si>
  <si>
    <t>12057829 -- VENUE FOR STUDENT ENTERTAINMNT</t>
  </si>
  <si>
    <t>12057830 -- VENUE FOR STUDENT ENTERTAINMNT</t>
  </si>
  <si>
    <t>12057831 -- VENUE FOR STUDENT ENTERTAINMNT</t>
  </si>
  <si>
    <t>12057832 -- VENUE FOR STUDENT ENTERTAINMNT</t>
  </si>
  <si>
    <t>12057833 -- VENUE FOR STUDENT ENTERTAINMNT</t>
  </si>
  <si>
    <t>12057834 -- VENUE FOR STUDENT ENTERTAINMNT</t>
  </si>
  <si>
    <t>12057835 -- VENUE FOR STUDENT ENTERTAINMNT</t>
  </si>
  <si>
    <t>12057836 -- VENUE FOR STUDENT ENTERTAINMNT</t>
  </si>
  <si>
    <t>12057837 -- VENUE FOR STUDENT ENTERTAINMNT</t>
  </si>
  <si>
    <t>12057838 -- VENUE FOR STUDENT ENTERTAINMNT</t>
  </si>
  <si>
    <t>12057839 -- VENUE FOR STUDENT ENTERTAINMNT</t>
  </si>
  <si>
    <t>12057840 -- VENUE FOR STUDENT ENTERTAINMNT</t>
  </si>
  <si>
    <t>12057841 -- VENUE FOR STUDENT ENTERTAINMNT</t>
  </si>
  <si>
    <t>12057842 -- VENUE FOR STUDENT ENTERTAINMNT</t>
  </si>
  <si>
    <t>12057843 -- VENUE FOR STUDENT ENTERTAINMNT</t>
  </si>
  <si>
    <t>12057844 -- VENUE FOR STUDENT ENTERTAINMNT</t>
  </si>
  <si>
    <t>12057845 -- VENUE FOR STUDENT ENTERTAINMNT</t>
  </si>
  <si>
    <t>12057846 -- VENUE FOR STUDENT ENTERTAINMNT</t>
  </si>
  <si>
    <t>12057847 -- VENUE FOR STUDENT ENTERTAINMNT</t>
  </si>
  <si>
    <t>12057848 -- VENUE FOR STUDENT ENTERTAINMNT</t>
  </si>
  <si>
    <t>12057849 -- VENUE FOR STUDENT ENTERTAINMNT</t>
  </si>
  <si>
    <t>12057850 -- VENUE FOR STUDENT ENTERTAINMNT</t>
  </si>
  <si>
    <t>12057851 -- VENUE FOR STUDENT ENTERTAINMNT</t>
  </si>
  <si>
    <t>12057852 -- VENUE FOR STUDENT ENTERTAINMNT</t>
  </si>
  <si>
    <t>12057853 -- VENUE FOR STUDENT ENTERTAINMNT</t>
  </si>
  <si>
    <t>12057854 -- VENUE FOR STUDENT ENTERTAINMNT</t>
  </si>
  <si>
    <t>12057855 -- VENUE FOR STUDENT ENTERTAINMNT</t>
  </si>
  <si>
    <t>12057856 -- VENUE FOR STUDENT ENTERTAINMNT</t>
  </si>
  <si>
    <t>12057857 -- VENUE FOR STUDENT ENTERTAINMNT</t>
  </si>
  <si>
    <t>12057858 -- VENUE FOR STUDENT ENTERTAINMNT</t>
  </si>
  <si>
    <t>12057859 -- VENUE FOR STUDENT ENTERTAINMNT</t>
  </si>
  <si>
    <t>12057860 -- VENUE FOR STUDENT ENTERTAINMNT</t>
  </si>
  <si>
    <t>12057861 -- VENUE FOR STUDENT ENTERTAINMNT</t>
  </si>
  <si>
    <t>12057862 -- VENUE FOR STUDENT ENTERTAINMNT</t>
  </si>
  <si>
    <t>12057863 -- VENUE FOR STUDENT ENTERTAINMNT</t>
  </si>
  <si>
    <t>12057864 -- VENUE FOR STUDENT ENTERTAINMNT</t>
  </si>
  <si>
    <t>12057865 -- VENUE FOR STUDENT ENTERTAINMNT</t>
  </si>
  <si>
    <t>12057866 -- VENUE FOR STUDENT ENTERTAINMNT</t>
  </si>
  <si>
    <t>12057867 -- VENUE FOR STUDENT ENTERTAINMNT</t>
  </si>
  <si>
    <t>12057868 -- VENUE FOR STUDENT ENTERTAINMNT</t>
  </si>
  <si>
    <t>12057869 -- VENUE FOR STUDENT ENTERTAINMNT</t>
  </si>
  <si>
    <t>12057870 -- VENUE FOR STUDENT ENTERTAINMNT</t>
  </si>
  <si>
    <t>12057871 -- VENUE FOR STUDENT ENTERTAINMNT</t>
  </si>
  <si>
    <t>12057872 -- VENUE FOR STUDENT ENTERTAINMNT</t>
  </si>
  <si>
    <t>12057873 -- VENUE FOR STUDENT ENTERTAINMNT</t>
  </si>
  <si>
    <t>12057874 -- VENUE FOR STUDENT ENTERTAINMNT</t>
  </si>
  <si>
    <t>12057875 -- VENUE FOR STUDENT ENTERTAINMNT</t>
  </si>
  <si>
    <t>12057876 -- VENUE FOR STUDENT ENTERTAINMNT</t>
  </si>
  <si>
    <t>12057877 -- VENUE FOR STUDENT ENTERTAINMNT</t>
  </si>
  <si>
    <t>12057878 -- VENUE FOR STUDENT ENTERTAINMNT</t>
  </si>
  <si>
    <t>12057879 -- VENUE FOR STUDENT ENTERTAINMNT</t>
  </si>
  <si>
    <t>12057880 -- VENUE FOR STUDENT ENTERTAINMNT</t>
  </si>
  <si>
    <t>12057881 -- VENUE FOR STUDENT ENTERTAINMNT</t>
  </si>
  <si>
    <t>12057882 -- VENUE FOR STUDENT ENTERTAINMNT</t>
  </si>
  <si>
    <t>12057883 -- VENUE FOR STUDENT ENTERTAINMNT</t>
  </si>
  <si>
    <t>12057884 -- VENUE FOR STUDENT ENTERTAINMNT</t>
  </si>
  <si>
    <t>12057885 -- VENUE FOR STUDENT ENTERTAINMNT</t>
  </si>
  <si>
    <t>12057886 -- VENUE FOR STUDENT ENTERTAINMNT</t>
  </si>
  <si>
    <t>12057887 -- VENUE FOR STUDENT ENTERTAINMNT</t>
  </si>
  <si>
    <t>12057888 -- VENUE FOR STUDENT ENTERTAINMNT</t>
  </si>
  <si>
    <t>12057889 -- VENUE FOR STUDENT ENTERTAINMNT</t>
  </si>
  <si>
    <t>12057890 -- VENUE FOR STUDENT ENTERTAINMNT</t>
  </si>
  <si>
    <t>12057891 -- VENUE FOR STUDENT ENTERTAINMNT</t>
  </si>
  <si>
    <t>12057892 -- VENUE FOR STUDENT ENTERTAINMNT</t>
  </si>
  <si>
    <t>12057893 -- VENUE FOR STUDENT ENTERTAINMNT</t>
  </si>
  <si>
    <t>12057894 -- VENUE FOR STUDENT ENTERTAINMNT</t>
  </si>
  <si>
    <t>12057895 -- VENUE FOR STUDENT ENTERTAINMNT</t>
  </si>
  <si>
    <t>12057896 -- VENUE FOR STUDENT ENTERTAINMNT</t>
  </si>
  <si>
    <t>12057897 -- VENUE FOR STUDENT ENTERTAINMNT</t>
  </si>
  <si>
    <t>12057898 -- VENUE FOR STUDENT ENTERTAINMNT</t>
  </si>
  <si>
    <t>12057899 -- VENUE FOR STUDENT ENTERTAINMNT</t>
  </si>
  <si>
    <t>12057900 -- VENUE FOR STUDENT ENTERTAINMNT</t>
  </si>
  <si>
    <t>12057901 -- VENUE FOR STUDENT ENTERTAINMNT</t>
  </si>
  <si>
    <t>12057902 -- VENUE FOR STUDENT ENTERTAINMNT</t>
  </si>
  <si>
    <t>12057903 -- VENUE FOR STUDENT ENTERTAINMNT</t>
  </si>
  <si>
    <t>12057904 -- VENUE FOR STUDENT ENTERTAINMNT</t>
  </si>
  <si>
    <t>12057905 -- VENUE FOR STUDENT ENTERTAINMNT</t>
  </si>
  <si>
    <t>12057906 -- VENUE FOR STUDENT ENTERTAINMNT</t>
  </si>
  <si>
    <t>12057907 -- VENUE FOR STUDENT ENTERTAINMNT</t>
  </si>
  <si>
    <t>12058105 -- VENUE FOR STUDENT ENTERTAINMNT</t>
  </si>
  <si>
    <t>12016932 -- CEB PAYROLL</t>
  </si>
  <si>
    <t>CEB Payroll</t>
  </si>
  <si>
    <t>CSI</t>
  </si>
  <si>
    <t>12000014 -- EVENING PROGRAMMING</t>
  </si>
  <si>
    <t>CSI Engagement</t>
  </si>
  <si>
    <t>12000201 -- INVOLVEMENT WEEK</t>
  </si>
  <si>
    <t>12001026 -- INVOLVEMENT FAIR</t>
  </si>
  <si>
    <t>12072113 -- UMC LATE</t>
  </si>
  <si>
    <t>12072169 -- I LOVE MONDAYS</t>
  </si>
  <si>
    <t>12073524 -- UMC WELCOME FEST</t>
  </si>
  <si>
    <t>12093331 -- MIDNIGHT BREAKFAST</t>
  </si>
  <si>
    <t>12066094 -- STUDENT LEADERSHIP PROGRAM</t>
  </si>
  <si>
    <t>CSI Leadership</t>
  </si>
  <si>
    <t>12012150 -- SOFO COMPUTER</t>
  </si>
  <si>
    <t>CSI Operations</t>
  </si>
  <si>
    <t>12013810 -- UMC FINE ARTS</t>
  </si>
  <si>
    <t>12016882 -- STUDENT PROGRAMS OFFICE</t>
  </si>
  <si>
    <t>12022385 -- STUDENT FINANCE OFFICE (SOFO)</t>
  </si>
  <si>
    <t>12045656 -- SOFO PAYROLL SUSPENSE</t>
  </si>
  <si>
    <t>13459484 -- PC SCHOLARSHIPS</t>
  </si>
  <si>
    <t>12000545 -- PROJECTION SYSTEM</t>
  </si>
  <si>
    <t>Program Council</t>
  </si>
  <si>
    <t>12013809 -- PC CONCERTS</t>
  </si>
  <si>
    <t>12016524 -- ADVERTISING</t>
  </si>
  <si>
    <t>12016570 -- PROGRAM COUNCIL DEPARTMENT EXP</t>
  </si>
  <si>
    <t>12018583 -- FILM SERIES</t>
  </si>
  <si>
    <t>12020396 -- PROGRAM COUNCIL SPECIAL EVENT</t>
  </si>
  <si>
    <t>12024783 -- PC SPECIAL EVENT</t>
  </si>
  <si>
    <t>12024786 -- PRODUCTION EQUIPMENT (REF)</t>
  </si>
  <si>
    <t>12024787 -- SECURITY</t>
  </si>
  <si>
    <t>12024793 -- PC SPECIAL EVENT</t>
  </si>
  <si>
    <t>12024795 -- PC SPECIAL EVENT</t>
  </si>
  <si>
    <t>12024797 -- PC SPECIAL EVENT</t>
  </si>
  <si>
    <t>12024809 -- EDUCATIONAL CONFERENCE</t>
  </si>
  <si>
    <t>12024828 -- PC SPECIAL EVENT</t>
  </si>
  <si>
    <t>12024833 -- PRODUCTION</t>
  </si>
  <si>
    <t>12024843 -- PC SPECIAL EVENT</t>
  </si>
  <si>
    <t>12024844 -- PC SPECIAL EVENT</t>
  </si>
  <si>
    <t>12024851 -- PC SPECIAL EVENT</t>
  </si>
  <si>
    <t>12029440 -- OLD MAIN</t>
  </si>
  <si>
    <t>12030135 -- PC SPECIAL EVENT #56</t>
  </si>
  <si>
    <t>12031620 -- PC SPECIAL EVENT #99</t>
  </si>
  <si>
    <t>12031645 -- GENERAL OPERATIONS</t>
  </si>
  <si>
    <t>12031649 -- PAYROLL</t>
  </si>
  <si>
    <t>12062510 -- CONCERTS</t>
  </si>
  <si>
    <t>12062512 -- WELCOME FEST CONCERT</t>
  </si>
  <si>
    <t>12062513 -- SPECIAL EVENT COMMITTEE</t>
  </si>
  <si>
    <t>12062515 -- WELCOME FEST</t>
  </si>
  <si>
    <t>13479204 -- PHIL LOBEL SCHOLARSHIP</t>
  </si>
  <si>
    <t>13481079 -- PROGRAM COUNCIL VIP PASS</t>
  </si>
  <si>
    <t>17800139 -- PC PROJECTOR R&amp;R</t>
  </si>
  <si>
    <t>17866075 -- PROGRAM COUNCIL R&amp;R</t>
  </si>
  <si>
    <t>12022322 -- STUDENT FINANCE OFFICE (GL)</t>
  </si>
  <si>
    <t>Resource Center</t>
  </si>
  <si>
    <t>CUSG</t>
  </si>
  <si>
    <t>12010675 -- CUSG APPELLATE COURT</t>
  </si>
  <si>
    <t>Appellate Court</t>
  </si>
  <si>
    <t>CCS - Leg</t>
  </si>
  <si>
    <t>Leg Council</t>
  </si>
  <si>
    <t>12020244 -- CUSG LEG CNCL DISC</t>
  </si>
  <si>
    <t>CCS Fund Balance</t>
  </si>
  <si>
    <t>12016579 -- CUSG ELECTIONS</t>
  </si>
  <si>
    <t>CUSG Elections</t>
  </si>
  <si>
    <t>12016648 -- CUSG OPERATIONS</t>
  </si>
  <si>
    <t>CUSG Fund Balance</t>
  </si>
  <si>
    <t>12010476 -- CUSG TRAVEL</t>
  </si>
  <si>
    <t>CUSG Travel</t>
  </si>
  <si>
    <t>12017973 -- CUSG FINANCE BOARD</t>
  </si>
  <si>
    <t>Finance Board</t>
  </si>
  <si>
    <t>12061258 -- CUSG HOMECOMING</t>
  </si>
  <si>
    <t>Homecoming</t>
  </si>
  <si>
    <t>Incident Response</t>
  </si>
  <si>
    <t>12061257 -- CUSG FRESHMAN COUNCIL</t>
  </si>
  <si>
    <t>Intern Program</t>
  </si>
  <si>
    <t>12016858 -- CUSG LEGIS AFFAIRS COMM</t>
  </si>
  <si>
    <t>LAC</t>
  </si>
  <si>
    <t>12028619 -- CUSG LEG CNCL STAFF</t>
  </si>
  <si>
    <t>Leg Cncl Staff</t>
  </si>
  <si>
    <t>12020250 -- CUSG LEG CNCL DISC</t>
  </si>
  <si>
    <t xml:space="preserve">Leg Council Disc </t>
  </si>
  <si>
    <t>12016565 -- CUSG OPERATIONS</t>
  </si>
  <si>
    <t>Operations</t>
  </si>
  <si>
    <t>12016931 -- CUSG PAYROLL</t>
  </si>
  <si>
    <t>Payroll</t>
  </si>
  <si>
    <t>12001363 -- CUSG PAYROLL SUSPENSE</t>
  </si>
  <si>
    <t>Payroll Suspense</t>
  </si>
  <si>
    <t>12000984 -- CUSG PROGRAMMING</t>
  </si>
  <si>
    <t>Programming</t>
  </si>
  <si>
    <t>12020378 -- CUSG PUBLIC RELATION</t>
  </si>
  <si>
    <t>Public Relations</t>
  </si>
  <si>
    <t>12026391 -- CUSG REP COUNCIL</t>
  </si>
  <si>
    <t>Rep Council</t>
  </si>
  <si>
    <t>12026382 -- CUSG REP COUNCIL</t>
  </si>
  <si>
    <t>Rep Council Fund Balance</t>
  </si>
  <si>
    <t>12016081 -- CUSG STAFF SUPPORT</t>
  </si>
  <si>
    <t>Staff Support</t>
  </si>
  <si>
    <t>DSB</t>
  </si>
  <si>
    <t>12056081 -- CUSG DISTINGUISHED SPEAKER'S</t>
  </si>
  <si>
    <t>ECNTR</t>
  </si>
  <si>
    <t>12031661 -- EV CTR SPC EVT #2</t>
  </si>
  <si>
    <t>Applied Learning SPP</t>
  </si>
  <si>
    <t>12031650 -- CARBON OFFSET FUND</t>
  </si>
  <si>
    <t>Carbon Offsets</t>
  </si>
  <si>
    <t>12031667 -- CU BICYCLE PROGRAM</t>
  </si>
  <si>
    <t>CU Bicycle Program</t>
  </si>
  <si>
    <t>13015222 -- COLORADO CAMPUS TRAN</t>
  </si>
  <si>
    <t>12001333 -- E CENTER REMODEL</t>
  </si>
  <si>
    <t>E Center Remodel</t>
  </si>
  <si>
    <t>12026645 -- EB CONFERENCES</t>
  </si>
  <si>
    <t>EB Conferences</t>
  </si>
  <si>
    <t>12027581 -- EB LIBRARY</t>
  </si>
  <si>
    <t>EB Library</t>
  </si>
  <si>
    <t>12021486 -- EB PROGRAMMING</t>
  </si>
  <si>
    <t>EB Programming</t>
  </si>
  <si>
    <t>12021487 -- EB RECYCLING</t>
  </si>
  <si>
    <t>EB Recycling</t>
  </si>
  <si>
    <t>13000800 -- COLLECTING THE INTERMOUNTAIN R</t>
  </si>
  <si>
    <t>13134094 -- 1998 EARTH DAY CHILD</t>
  </si>
  <si>
    <t>12017286 -- EB REVENUE</t>
  </si>
  <si>
    <t>EB Revenue</t>
  </si>
  <si>
    <t>12031626 -- E C CAPITAL OUTREACH</t>
  </si>
  <si>
    <t>EC Capital Outreach</t>
  </si>
  <si>
    <t>12001205 -- ENERGY&amp;CLIMATE REVOLVING FUND</t>
  </si>
  <si>
    <t>Energy &amp; Climate Revolving Fund</t>
  </si>
  <si>
    <t>12031673 -- ENERGY CAMPAIGN</t>
  </si>
  <si>
    <t>Energy Program</t>
  </si>
  <si>
    <t>12034199 -- ENVIRON CTR CAPITAL</t>
  </si>
  <si>
    <t>Env Center - Capital</t>
  </si>
  <si>
    <t>12016578 -- COMMUNICATIONS</t>
  </si>
  <si>
    <t>Env Center Communications</t>
  </si>
  <si>
    <t>12010324 -- ENV CENTER SPEC EVNT</t>
  </si>
  <si>
    <t>Env Center Spec Evnt</t>
  </si>
  <si>
    <t>12016577 -- EB OPERATIONS</t>
  </si>
  <si>
    <t>Env Ctr Operations</t>
  </si>
  <si>
    <t>12011695 -- ENVIRON BOARD CENTRL</t>
  </si>
  <si>
    <t>Environ Board Centrl</t>
  </si>
  <si>
    <t>12012149 -- ENVIRONMENTAL MASTER</t>
  </si>
  <si>
    <t>Environmental Master</t>
  </si>
  <si>
    <t>12031622 -- EV CTR SPC EVT #9</t>
  </si>
  <si>
    <t>EV Ctr Spc Evt #9</t>
  </si>
  <si>
    <t>12031635 -- EV CTR SPC EVT #6</t>
  </si>
  <si>
    <t>Green Labs</t>
  </si>
  <si>
    <t>13100079 -- CU GREEN LABS AUDIT AND CONSER</t>
  </si>
  <si>
    <t>17800104 -- R&amp;R ELECTRIC VEHICLES</t>
  </si>
  <si>
    <t>R&amp;R Electric Vehicles</t>
  </si>
  <si>
    <t>17800126 -- R&amp;R GREEN LABS</t>
  </si>
  <si>
    <t>R&amp;R Green Labs</t>
  </si>
  <si>
    <t>12001012 -- SCORE</t>
  </si>
  <si>
    <t>Score</t>
  </si>
  <si>
    <t>12031639 -- SPECIAL PROJECT #5</t>
  </si>
  <si>
    <t>Special Project #5</t>
  </si>
  <si>
    <t>12031631 -- EV CTR SPC EVT #7</t>
  </si>
  <si>
    <t>Special Project #7</t>
  </si>
  <si>
    <t>12000962 -- SURPLUS PROPERTY WEBSITE</t>
  </si>
  <si>
    <t>Surplus Property Website</t>
  </si>
  <si>
    <t>12031646 -- ENERGY EFFICIENCY</t>
  </si>
  <si>
    <t>Sustain CU and Energy Effic</t>
  </si>
  <si>
    <t>12800076 -- ULT FREEZERS</t>
  </si>
  <si>
    <t>ULT Freezers</t>
  </si>
  <si>
    <t>12000977 -- WATER FOR THE WEST</t>
  </si>
  <si>
    <t>Water for the West</t>
  </si>
  <si>
    <t>13403174 -- WELLS FARGO PIPS APP FUND</t>
  </si>
  <si>
    <t>Wells Fargo PIPS App Fund</t>
  </si>
  <si>
    <t>KVCU</t>
  </si>
  <si>
    <t>12010512 -- KVCU</t>
  </si>
  <si>
    <t>KVCU Operations</t>
  </si>
  <si>
    <t>12010513 -- KVCU</t>
  </si>
  <si>
    <t>12012397 -- KVCU CAPITAL</t>
  </si>
  <si>
    <t>12014660 -- KVCU REF</t>
  </si>
  <si>
    <t>OCHNR</t>
  </si>
  <si>
    <t>11010542 -- OFF CAMPUS STU SVCS</t>
  </si>
  <si>
    <t>12001361 -- OCHNR PAYROLL SUSPENSE</t>
  </si>
  <si>
    <t>12010516 -- OFF CAMPUS STU SVCS</t>
  </si>
  <si>
    <t>12028643 -- OCSS NON TRADS</t>
  </si>
  <si>
    <t>12030331 -- UCSU OFF-CAMP STD SV</t>
  </si>
  <si>
    <t>12054410 -- TEMP ST (REORG)</t>
  </si>
  <si>
    <t>17202941 -- OFF CAMPUS STU SVCS</t>
  </si>
  <si>
    <t>12024214 -- REC FAC-INFO DESK</t>
  </si>
  <si>
    <t>12013376 -- INSTRUCTION BODY SCL</t>
  </si>
  <si>
    <t>12021454 -- INSTRUCTION FENCING</t>
  </si>
  <si>
    <t>12063609 -- IP AT BEAR CREEK</t>
  </si>
  <si>
    <t>12086364 -- STAFF CPR</t>
  </si>
  <si>
    <t>12011504 -- OP: SCUBA</t>
  </si>
  <si>
    <t>12012147 -- OP: WATER</t>
  </si>
  <si>
    <t>12046856 -- OP CU BOUND</t>
  </si>
  <si>
    <t>12046857 -- SUMMER TRIPS</t>
  </si>
  <si>
    <t>12086361 -- ROCK AND ICE CLIMBING</t>
  </si>
  <si>
    <t>12000334 -- WOMEN'S WATER POLO</t>
  </si>
  <si>
    <t>12001041 -- EQUESTRIAN SF</t>
  </si>
  <si>
    <t>12001060 -- SYNC SKATING SF</t>
  </si>
  <si>
    <t>12012804 -- MEN'S LACROSSE</t>
  </si>
  <si>
    <t>12012805 -- WOMEN'S LACROSSE</t>
  </si>
  <si>
    <t>12013793 -- CLUB SPORTS ADMIN II</t>
  </si>
  <si>
    <t>12016930 -- MEN'S WATER POLO</t>
  </si>
  <si>
    <t>12017990 -- DANCE</t>
  </si>
  <si>
    <t>12018474 -- CLUB SPORTS ADMIN</t>
  </si>
  <si>
    <t>12019168 -- TRIATHLON</t>
  </si>
  <si>
    <t>12019856 -- FIELD HOCKEY</t>
  </si>
  <si>
    <t>12019857 -- MEN'S HOCKEY</t>
  </si>
  <si>
    <t>12019858 -- WOMEN'S HOCKEY</t>
  </si>
  <si>
    <t>12021456 -- ROLLER HOCKEY</t>
  </si>
  <si>
    <t>12021488 -- SWIMMING &amp; DIVING</t>
  </si>
  <si>
    <t>12021489 -- FENCING</t>
  </si>
  <si>
    <t>12021490 -- KAYAK</t>
  </si>
  <si>
    <t>12021491 -- FLY FISHING</t>
  </si>
  <si>
    <t>12021492 -- CYCLING</t>
  </si>
  <si>
    <t>12023324 -- MEN'S RUGBY</t>
  </si>
  <si>
    <t>12023325 -- WOMEN'S RUGBY</t>
  </si>
  <si>
    <t>12025821 -- EQUESTRIAN</t>
  </si>
  <si>
    <t>12026727 -- MEN'S SOCCER</t>
  </si>
  <si>
    <t>12026728 -- WOMEN'S SOCCER</t>
  </si>
  <si>
    <t>12027401 -- WOMEN'S ULTIMATE</t>
  </si>
  <si>
    <t>12027402 -- MEN'S ULTIMATE</t>
  </si>
  <si>
    <t>12028405 -- WOMEN'S SOFTBALL</t>
  </si>
  <si>
    <t>12028406 -- RACQUETBALL</t>
  </si>
  <si>
    <t>12028407 -- BASEBALL</t>
  </si>
  <si>
    <t>12028415 -- WOMEN'S VOLLEYBALL</t>
  </si>
  <si>
    <t>12028416 -- MEN'S VOLLEYBALL</t>
  </si>
  <si>
    <t>12031133 -- TAE KWON DO</t>
  </si>
  <si>
    <t>12046081 -- TENNIS</t>
  </si>
  <si>
    <t>12046854 -- WRESTLING</t>
  </si>
  <si>
    <t>12049745 -- SNOWBOARDING</t>
  </si>
  <si>
    <t>12061158 -- FREE STYLE SKI</t>
  </si>
  <si>
    <t>12079856 -- COLORADO CREW</t>
  </si>
  <si>
    <t>12093325 -- CSC EMT SVCS EXPENSE</t>
  </si>
  <si>
    <t>12093326 -- CSC FAC RENTAL EXPENSE</t>
  </si>
  <si>
    <t>SLS</t>
  </si>
  <si>
    <t>12015764 -- UCSU LEGAL SERV OPER</t>
  </si>
  <si>
    <t>SLS Operations</t>
  </si>
  <si>
    <t>13402277 -- STDT. LEGAL ASSISTANCE FUND</t>
  </si>
  <si>
    <t>13403226 -- STDT. LEGAL ASSISTANCE FUND</t>
  </si>
  <si>
    <t>SOAC</t>
  </si>
  <si>
    <t>12000585 -- CU STUDENT ACADEMY OF AUDIOLOG</t>
  </si>
  <si>
    <t>12000586 -- EWB-PERU-SGFB</t>
  </si>
  <si>
    <t>12000587 -- LEEDS INVSTMNT AND TRADING GRP</t>
  </si>
  <si>
    <t>12000588 -- CU ROCKETRY ASSOC (COBRA) SGFB</t>
  </si>
  <si>
    <t>12000589 -- CU DECA SGFB</t>
  </si>
  <si>
    <t>12000590 -- STD ASSC LANDSCAPE ARCHIT SGFB</t>
  </si>
  <si>
    <t>12000591 -- CU BRIDGES TO PROSPERITY-SGFB</t>
  </si>
  <si>
    <t>12000593 -- LEEDS ASSOC FOR INFORMATION SY</t>
  </si>
  <si>
    <t>12000597 -- AMERICAN CHORAL DIRECTORS ASSO</t>
  </si>
  <si>
    <t>12000600 -- CU BOULDER ASIAN STUDIES-SGFB</t>
  </si>
  <si>
    <t>12000601 -- PHOTOGRAPHIC ARTISTS CU-SGFB</t>
  </si>
  <si>
    <t>12000605 -- AM. SOCIETY OF CIVIL ENG-SGFB</t>
  </si>
  <si>
    <t>12000608 -- UCB SASE-SOAC</t>
  </si>
  <si>
    <t>12000826 -- WOMEN IN COMPUTING-SOAC</t>
  </si>
  <si>
    <t>12000827 -- PHI ALPHA DELTA PRE LAW-SOAC</t>
  </si>
  <si>
    <t>12000828 -- VOLUNT. AROUND THE WORLD-SOAC</t>
  </si>
  <si>
    <t>12000831 -- INT'L BUSINESS CLUB-SOAC</t>
  </si>
  <si>
    <t>12000832 -- EARTHQUAKE ENGR RESEARCH-SOAC</t>
  </si>
  <si>
    <t>12000833 -- STUDENTS FOR CO-OPHOUSING-SOAC</t>
  </si>
  <si>
    <t>12000834 -- CU GAELIC CLUB</t>
  </si>
  <si>
    <t>12000835 -- AMERICAN PLAN ASSOC STDT-SOAC</t>
  </si>
  <si>
    <t>12000836 -- BRIDGECU</t>
  </si>
  <si>
    <t>12000838 -- CU POLITICAL SCIENCE CLUB¿SOAC</t>
  </si>
  <si>
    <t>12000848 -- CU BOULDER PAKISTANI STDT-SOAC</t>
  </si>
  <si>
    <t>12001084 -- ANTHROPOLGY COLLOQUIUM-SOAC</t>
  </si>
  <si>
    <t>12001085 -- AIAS (AMERICAN INST OF AR)-SOA</t>
  </si>
  <si>
    <t>12001087 -- AISES- SAOC</t>
  </si>
  <si>
    <t>12001088 -- ALPHA EPSILON DELTA-SOAC</t>
  </si>
  <si>
    <t>12001091 -- AMER CIVIL LIBERTIES UNION-SOA</t>
  </si>
  <si>
    <t>12001092 -- ARCHERY CLUB SOAC</t>
  </si>
  <si>
    <t>12001093 -- ASSOC GENERAL CONTRACTORS-SOAC</t>
  </si>
  <si>
    <t>12001094 -- BACKCOUNTRY CLUB-SOAC</t>
  </si>
  <si>
    <t>12001095 -- BLACK LAW STDT ASSOC -SOAC</t>
  </si>
  <si>
    <t>12001097 -- BIOMIMICRY CLUB-SOAC</t>
  </si>
  <si>
    <t>12001098 -- BIPHORIA-SOAC</t>
  </si>
  <si>
    <t>12001101 -- BOULDER GYMNASTICS CLUB SOAC</t>
  </si>
  <si>
    <t>12001103 -- BUFF RUNNING CLUB SOAC</t>
  </si>
  <si>
    <t>12001104 -- CARIBBEAN STUDENT ALLIANCESOAC</t>
  </si>
  <si>
    <t>12001105 -- CHINESE STDNT SCHOLAR ASN-SOAC</t>
  </si>
  <si>
    <t>12001106 -- CHRISTIAN CHALLENGE SOAC</t>
  </si>
  <si>
    <t>12001107 -- CLIMBING TEAM AT CU SOAC</t>
  </si>
  <si>
    <t>12001108 -- CODEPENDENT STUDENT HUMOR SOAC</t>
  </si>
  <si>
    <t>12001109 -- COLLABOR ASIAN-SOAC</t>
  </si>
  <si>
    <t>12001112 -- COLLEGES AGAINST CANCER-SOAC</t>
  </si>
  <si>
    <t>12001113 -- COLORADO GOLF CLUB- SOAC</t>
  </si>
  <si>
    <t>12001114 -- COLORADO INNOCENCE- SOAC</t>
  </si>
  <si>
    <t>12001115 -- CONF ON WORLD AFFAIRS STD SOAC</t>
  </si>
  <si>
    <t>12001116 -- CREATIO-SOAC</t>
  </si>
  <si>
    <t>12001117 -- DESIGN BUILD FLY AT CU SOAC</t>
  </si>
  <si>
    <t>12001118 -- DOMAN INTL LAW SOCIETY-SOAC</t>
  </si>
  <si>
    <t>12001119 -- ENVIRONMENTL LAW SOCIETY-SOAC</t>
  </si>
  <si>
    <t>12001120 -- EPILEPSY PROJECT SOAC</t>
  </si>
  <si>
    <t>12001121 -- FASHION DESIGN STU AS'N-SOAC</t>
  </si>
  <si>
    <t>12001122 -- FRENCH RESOURCES FOR EDUC-SOAC</t>
  </si>
  <si>
    <t>12001123 -- FUEL-CAMPUS CRUSADE-SOAC</t>
  </si>
  <si>
    <t>12001124 -- GLOBEMED-SOAC</t>
  </si>
  <si>
    <t>12001125 -- GRAD ENTREPRENEURS ASSOC-SOAC</t>
  </si>
  <si>
    <t>12001126 -- GRADUATE PHILOSOPHY CLUB-SOAC</t>
  </si>
  <si>
    <t>12001128 -- HIKING CLUB (THE)-SOAC</t>
  </si>
  <si>
    <t>12001129 -- HMONG STUDENT ASSOCIATION-SOAC</t>
  </si>
  <si>
    <t>12001130 -- INT'L FESTIVAL COMMITTEE-SOAC</t>
  </si>
  <si>
    <t>12001132 -- KIDZ BLOP IMPROV-SOAC</t>
  </si>
  <si>
    <t>12001133 -- LEGAL ALTERN DISPUTE RESO-SOAC</t>
  </si>
  <si>
    <t>12001134 -- MODEL UNITED NATIONS-SOAC</t>
  </si>
  <si>
    <t>12001135 -- MUSLIM STUDENTS AS'N-SOAC</t>
  </si>
  <si>
    <t>12001137 -- NEW ERA COLORADO-SOAC</t>
  </si>
  <si>
    <t>12001138 -- NO LABELS AT CU BOULDER-SOAC</t>
  </si>
  <si>
    <t>12001139 -- NUTRITIONAL HEALING-SOAC</t>
  </si>
  <si>
    <t>12001140 -- OPTICAL SOCIETY OF AM STD-SOAC</t>
  </si>
  <si>
    <t>12001141 -- OYATE-SOAC</t>
  </si>
  <si>
    <t>12001142 -- POWERLIFTING-SOAC</t>
  </si>
  <si>
    <t>12001143 -- PRE-VET CLUB-SOAC</t>
  </si>
  <si>
    <t>12001144 -- MARISOL HEALTH ¿ SOAC</t>
  </si>
  <si>
    <t>12001145 -- BOARD GAME UNDERGROUND-SOAC</t>
  </si>
  <si>
    <t>12001146 -- SCUBA CLUB (THE) SOAC</t>
  </si>
  <si>
    <t>12001147 -- SECULAR STDT &amp; SKEPTICS-SOAC</t>
  </si>
  <si>
    <t>12001149 -- SKYDIVING CLUB SOAC</t>
  </si>
  <si>
    <t>12001150 -- SLACKERS SOAC</t>
  </si>
  <si>
    <t>12001152 -- SOCIETY ENVIRONMNTL ENGRS-SOAC</t>
  </si>
  <si>
    <t>12001153 -- SOCIETY OF WOMEN ENGINEER-SOAC</t>
  </si>
  <si>
    <t>12001154 -- SPEECH &amp; DEBATE TEAM CU-SOAC</t>
  </si>
  <si>
    <t>12001155 -- SPIKEBALL CLUB SOAC</t>
  </si>
  <si>
    <t>12001156 -- STDS FOR FREEDOM N KOREA SOAC</t>
  </si>
  <si>
    <t>12001157 -- STUDENT TO FARM SOAC</t>
  </si>
  <si>
    <t>12001158 -- STDTS FOR SENSIBLE DRUG POL-SO</t>
  </si>
  <si>
    <t>12001159 -- SUPER GEEKS-SOAC</t>
  </si>
  <si>
    <t>12001160 -- SWING DANCE AT CU-SOAC</t>
  </si>
  <si>
    <t>12001161 -- TABLE TENNIS AT CU-SOAC</t>
  </si>
  <si>
    <t>12001162 -- TELEMARK CLUB SOAC</t>
  </si>
  <si>
    <t>12001163 -- THE NON TRADITIONAL STDT-SOAC</t>
  </si>
  <si>
    <t>12001164 -- TO WRITE LOVE ON HER ARMS-SOAC</t>
  </si>
  <si>
    <t>12001165 -- UMBRELLA IMPROV INITIATIV SOAC</t>
  </si>
  <si>
    <t>12001168 -- WARES ART SPACE-SOAC</t>
  </si>
  <si>
    <t>12001171 -- NAMI ON CAMPUS@CU BOULDER-SOAC</t>
  </si>
  <si>
    <t>12001172 -- BOULDER BASILISKS ¿ SOAC</t>
  </si>
  <si>
    <t>12001180 -- STUDENT MOBILIZATION</t>
  </si>
  <si>
    <t>12001181 -- KOREAN GRAD STUD ASSOCIATION</t>
  </si>
  <si>
    <t>12001182 -- GIVE STUDENT CHAPTER</t>
  </si>
  <si>
    <t>12001183 -- CRAVE THE SOUND</t>
  </si>
  <si>
    <t>12001184 -- SCIENCE BUFFS</t>
  </si>
  <si>
    <t>12001185 -- PERSIAN STUDENTS ORGANIZATION</t>
  </si>
  <si>
    <t>12001186 -- MIDDLE EASTERN STUDENT ASSOC</t>
  </si>
  <si>
    <t>12001187 -- DESIGN FOR AMERICA</t>
  </si>
  <si>
    <t>12001188 -- AICHE</t>
  </si>
  <si>
    <t>12001189 -- MEGSRRC</t>
  </si>
  <si>
    <t>12001190 -- QUIZ BOWL AT CU</t>
  </si>
  <si>
    <t>12001191 -- CU DRONE RACING CLUB</t>
  </si>
  <si>
    <t>12001192 -- AMERICAN WOMEN¿S MEDICAL ASSOC</t>
  </si>
  <si>
    <t>12001193 -- CIRCUIT BENDERS</t>
  </si>
  <si>
    <t>12001194 -- THE BOCO YOYO CLUB</t>
  </si>
  <si>
    <t>12001212 -- BUFF VEX ROBOTICS @ CU</t>
  </si>
  <si>
    <t>12001213 -- PATHS</t>
  </si>
  <si>
    <t>12001216 -- CU TIMMY</t>
  </si>
  <si>
    <t>12001217 -- BOULDER CAMPUS MINISTRY</t>
  </si>
  <si>
    <t>12001218 -- INSPIRED DREAMERS</t>
  </si>
  <si>
    <t>12001219 -- ONE NOTE STAND</t>
  </si>
  <si>
    <t>12001220 -- MUSEUM CLUB</t>
  </si>
  <si>
    <t>12001221 -- OSTEM AT CU BOULDER</t>
  </si>
  <si>
    <t>12001222 -- KOREAN AM STDTS-BOULDER (KASB)</t>
  </si>
  <si>
    <t>12001224 -- INTEGRATIVE PHYSIOLOGY CLUB</t>
  </si>
  <si>
    <t>12001225 -- U OF C BLDR SOC OF PHYSICS STU</t>
  </si>
  <si>
    <t>12001226 -- SURF CLUB AT CU</t>
  </si>
  <si>
    <t>12001227 -- BUFFS FOR BODY POSITIVITY</t>
  </si>
  <si>
    <t>12001228 -- BUFFS FOR REPRODUCTIVE JUSTIC</t>
  </si>
  <si>
    <t>12001229 -- THE CAVING CLUB AT CU</t>
  </si>
  <si>
    <t>12001230 -- CU SAILING</t>
  </si>
  <si>
    <t>12001231 -- CU BOULDER RACING TEAM</t>
  </si>
  <si>
    <t>12001232 -- THE MAGICIANS GUILD</t>
  </si>
  <si>
    <t>12001233 -- GRADUATE MUSICOLOGY SOCIETY</t>
  </si>
  <si>
    <t>12001234 -- THE POLYCULE</t>
  </si>
  <si>
    <t>12001235 -- CO DATA SCIENCE TEAM</t>
  </si>
  <si>
    <t>12001236 -- LATTER-DAY SAINTS STUDENT ASS</t>
  </si>
  <si>
    <t>12001308 -- STEMINAR-SOAC</t>
  </si>
  <si>
    <t>12001309 -- POLE FITNESS SOCIETY @ CU-SOAC</t>
  </si>
  <si>
    <t>12001310 -- BOULDER BLUES-SOAC</t>
  </si>
  <si>
    <t>12001311 -- PROFESSIONAL SALES CLUB-SOAC</t>
  </si>
  <si>
    <t>12001312 -- AIRPHOTO CLUB-SOAC</t>
  </si>
  <si>
    <t>12001313 -- MAGIC:THE GATHERING GUILD-SOAC</t>
  </si>
  <si>
    <t>12001314 -- INTERNATION SOCIALIST ORG-SOAC</t>
  </si>
  <si>
    <t>12001315 -- LASER SMASH PANCAKE CLUB-SOAC</t>
  </si>
  <si>
    <t>12001316 -- FEMME INTERNATION CU BLDR-SOAC</t>
  </si>
  <si>
    <t>12001317 -- ADHD SPACE CADETS-SOAC</t>
  </si>
  <si>
    <t>12001318 -- ODYSSEY OF THE MIND-SOAC</t>
  </si>
  <si>
    <t>12001319 -- THE JAM SOCIETY @ CU BLDR-SOAC</t>
  </si>
  <si>
    <t>12001321 -- CU CRYPTOCURRENCY CLUB-SOAC</t>
  </si>
  <si>
    <t>12001322 -- BUFFSSPEAK-SOAC</t>
  </si>
  <si>
    <t>12001323 -- WATER RESOURCES BOOK CLUB-SOAC</t>
  </si>
  <si>
    <t>12001324 -- KUWAITI STUDENT ASSOC-SOAC</t>
  </si>
  <si>
    <t>12001325 -- ANTHROPOLOGY CLUB-SOAC</t>
  </si>
  <si>
    <t>12001326 -- LEEDS BOOK CLUB-SOAC</t>
  </si>
  <si>
    <t>12001327 -- KEEP COLORADO GREEN-SOAC</t>
  </si>
  <si>
    <t>12001328 -- CU IN THE GARDEN-SOAC</t>
  </si>
  <si>
    <t>12001329 -- CU RAVE CLUB-SOAC</t>
  </si>
  <si>
    <t>12001330 -- BLDR WOMEN OF PHILOSOPHY-SOAC</t>
  </si>
  <si>
    <t>12001331 -- START-UP CLUB-SOAC</t>
  </si>
  <si>
    <t>12001332 -- LEFT RIGHT TIM IMPROV-SOAC</t>
  </si>
  <si>
    <t>12001334 -- REALITY CAMPUS MINISTRY-SOAC</t>
  </si>
  <si>
    <t>12001335 -- BOULDER FASHION CLUB-SOAC</t>
  </si>
  <si>
    <t>12001336 -- ASSOC OF HOLLIST WELLNESS-SOAC</t>
  </si>
  <si>
    <t>12001337 -- PREMEDICAL CLUB FOR ENGINEERS</t>
  </si>
  <si>
    <t>12001338 -- CU GAMING-SOAC</t>
  </si>
  <si>
    <t>12001339 -- CU BOULDER COLLEG MTNA-SOAC</t>
  </si>
  <si>
    <t>12001340 -- MECHA-SOAC</t>
  </si>
  <si>
    <t>12001341 -- SAUDI STUDENT ASSOC-SOAC</t>
  </si>
  <si>
    <t>12001342 -- CITIZENS CLIMATE LOBBY-SOAC</t>
  </si>
  <si>
    <t>12001343 -- STUDENTS FOR A FREE TIBET-SOAC</t>
  </si>
  <si>
    <t>12001344 -- THAI STUDENT ASSOCIATION-SOAC</t>
  </si>
  <si>
    <t>12001345 -- I AM THAT GIRL-SOAC</t>
  </si>
  <si>
    <t>12001346 -- GENUN UNA-USA-SOAC</t>
  </si>
  <si>
    <t>12001347 -- CU AMERICAN STRING TEACH-SOAC</t>
  </si>
  <si>
    <t>12001348 -- PSYCHOLOGY CLUB-SOAC</t>
  </si>
  <si>
    <t>12001349 -- BUFFSPORTS LIVE-SOAC</t>
  </si>
  <si>
    <t>12001350 -- CU BOULDER CANYONING CLUB-SOAC</t>
  </si>
  <si>
    <t>12001351 -- CYBERSECURITY CLUB-SOAC</t>
  </si>
  <si>
    <t>12001352 -- ENVIRON STUDIES &amp; DESIGN-SOAC</t>
  </si>
  <si>
    <t>12001353 -- ST JUDE AT CU-SOAC</t>
  </si>
  <si>
    <t>12001354 -- YOUNG DEM SOC OF AMERICA-SOAC</t>
  </si>
  <si>
    <t>12001355 -- DREAM TEAM BHANGRA-SOAC</t>
  </si>
  <si>
    <t>12001356 -- CU ASHRAE STUDENT CHAPTER</t>
  </si>
  <si>
    <t>12001357 -- HISPANC-LATINO ENGRS &amp; SCIENCE</t>
  </si>
  <si>
    <t>12001358 -- SHOOTING SPORTS AT CU</t>
  </si>
  <si>
    <t>12001418 -- CRITICAL EDUCATION SCHOLARS</t>
  </si>
  <si>
    <t>12001419 -- CU TROMBONE SOCIETY</t>
  </si>
  <si>
    <t>12001420 -- BRIDGES INTERNATIONAL</t>
  </si>
  <si>
    <t>12001421 -- ANIME ANONYMOUS</t>
  </si>
  <si>
    <t>12001422 -- AMATEUR RADIO CLUB</t>
  </si>
  <si>
    <t>12001423 -- QUADCOPTER CLUB</t>
  </si>
  <si>
    <t>12001424 -- COLLEGE REPUBLICANS</t>
  </si>
  <si>
    <t>12001425 -- PROJECT PENGYOU</t>
  </si>
  <si>
    <t>12001426 -- CU-BOULDER CHINESE BUS SOCIETY</t>
  </si>
  <si>
    <t>12001436 -- SOC OF AMER MILITARY ENG-SOAC</t>
  </si>
  <si>
    <t>12001440 -- SEE YOU SPEAK TOASTMASTER-SOAC</t>
  </si>
  <si>
    <t>12001442 -- HANGTIME HAMMOCKING CLUB-SOAC</t>
  </si>
  <si>
    <t>12001508 -- DENVER NUGGETS APPR CLUB-SOAC</t>
  </si>
  <si>
    <t>12001512 -- BOULDER BUFF CHEERLEADING-SOAC</t>
  </si>
  <si>
    <t>12001524 -- COLOMBIAN STUDENT ASSOC-SOAC</t>
  </si>
  <si>
    <t>12001525 -- COLORADO AUTO RALLY SPORT-SOAC</t>
  </si>
  <si>
    <t>12001526 -- CU BOULDER UNICEF CLUB-SOAC</t>
  </si>
  <si>
    <t>12001527 -- EXTREME MEAS A CAPPELLA-SOAC</t>
  </si>
  <si>
    <t>12001532 -- APPLIED DATA SCIENCE CLUB-SOAC</t>
  </si>
  <si>
    <t>12001539 -- WOMENS LAW CAUCUS-SOAC</t>
  </si>
  <si>
    <t>12001544 -- ILLUMINATING ENGINEER SOC-SOAC</t>
  </si>
  <si>
    <t>12001546 -- INFO SCIENCE GRAD STU ORG-SOAC</t>
  </si>
  <si>
    <t>12001549 -- SOC OF WOM IN SPACE &amp; EXP-SOAC</t>
  </si>
  <si>
    <t>12001551 -- NAT SOC OF PERSH &amp; RIFLES-SOAC</t>
  </si>
  <si>
    <t>12001552 -- COMP PROGRAMMING CLUB-SOAC</t>
  </si>
  <si>
    <t>12001667 -- CESR FELLOWS LEEDS SCH BS-SOAC</t>
  </si>
  <si>
    <t>12001669 -- CU ROBOTIC MINING TEAM-SOAC</t>
  </si>
  <si>
    <t>12001676 -- CROCHET &amp; CONVERSATION-SOAC</t>
  </si>
  <si>
    <t>12001678 -- SOAC #339</t>
  </si>
  <si>
    <t>12001679 -- SOAC #340</t>
  </si>
  <si>
    <t>12001680 -- SOAC #341</t>
  </si>
  <si>
    <t>12001681 -- SOAC #342</t>
  </si>
  <si>
    <t>12001682 -- SOAC #343</t>
  </si>
  <si>
    <t>12001683 -- SOAC #344</t>
  </si>
  <si>
    <t>12001684 -- SOAC #345</t>
  </si>
  <si>
    <t>12001684 -- WOMEN OF COLOR COLLECTIVE-SOAC</t>
  </si>
  <si>
    <t>12001685 -- CU SPRINTING CLUB</t>
  </si>
  <si>
    <t>12001685 -- SOAC #346</t>
  </si>
  <si>
    <t>12001686 -- CU TECH 4 EXTREME ENVIRON-SOAC</t>
  </si>
  <si>
    <t>12001686 -- SOAC #347</t>
  </si>
  <si>
    <t>12001687 -- BACKCOUNTRY SQUATTERS-SOAC</t>
  </si>
  <si>
    <t>12001687 -- SOAC #348</t>
  </si>
  <si>
    <t>12001688 -- SOAC #349</t>
  </si>
  <si>
    <t>12001689 -- PREGRAD RESEARCH PATHWAYS-SOAC</t>
  </si>
  <si>
    <t>12001689 -- SOAC #350</t>
  </si>
  <si>
    <t>12001756 -- CELLULAR AGRICULTURE CLUB-SOAC</t>
  </si>
  <si>
    <t>12001757 -- HUMAN IMM VIRUS ED-(HIVE)-SOAC</t>
  </si>
  <si>
    <t>12001762 -- ENVIRONMENTAL PRO DESIGN -SOAC</t>
  </si>
  <si>
    <t>12001765 -- TIBETAN CULTURAL SOCIETY -SOAC</t>
  </si>
  <si>
    <t>12001770 -- FINANCIAL PLANNING ASSOC -SOAC</t>
  </si>
  <si>
    <t>12001772 -- SOAC #369</t>
  </si>
  <si>
    <t>12001773 -- SOAC #370</t>
  </si>
  <si>
    <t>12001774 -- SOAC #371</t>
  </si>
  <si>
    <t>12001775 -- SOAC #372</t>
  </si>
  <si>
    <t>12001776 -- SOAC #373</t>
  </si>
  <si>
    <t>12001777 -- SOAC #374</t>
  </si>
  <si>
    <t>12001778 -- SOAC #375</t>
  </si>
  <si>
    <t>12068989 -- NEUROSCIENCE CLUB-SGFB</t>
  </si>
  <si>
    <t>12068990 -- STDT ASSOC PRE-HEALTH-SOAC</t>
  </si>
  <si>
    <t>12068992 -- BLACK STUDENT ALLIANCE-SGFB</t>
  </si>
  <si>
    <t>12068993 -- SGFB MASTER</t>
  </si>
  <si>
    <t>12068994 -- SGFB OPERATIONS</t>
  </si>
  <si>
    <t>12068995 -- SGFB ALLOCATIONS</t>
  </si>
  <si>
    <t>12068996 -- SGFB COMMUNICATIONS</t>
  </si>
  <si>
    <t>12068997 -- GAY STRAIGHT ALLIANCE-SGFB</t>
  </si>
  <si>
    <t>12069000 -- AMNESTY INTERNATIONAL-SGFB</t>
  </si>
  <si>
    <t>12069001 -- CU MOCK TRIAL TEAM-SGFB</t>
  </si>
  <si>
    <t>12069006 -- BEST BUDDIES-SGFB</t>
  </si>
  <si>
    <t>12069008 -- BIODIESEL-SGFB</t>
  </si>
  <si>
    <t>12069011 -- CU INTERNATIONAL-SGFB</t>
  </si>
  <si>
    <t>12069012 -- UMAS-UNITED MEXICAN AMER-SGFB</t>
  </si>
  <si>
    <t>12069018 -- SENIOR CLASS COUNCIL-SGFB</t>
  </si>
  <si>
    <t>12069020 -- MULTICULTURAL BUSINESS STUDENT</t>
  </si>
  <si>
    <t>12069022 -- NATIONAL STUDENT SPEECH-LANGUA</t>
  </si>
  <si>
    <t>12069024 -- STUDENT WORKER ALLIANCE PRGM</t>
  </si>
  <si>
    <t>12069026 -- ONSTAGE-SGFB</t>
  </si>
  <si>
    <t>12069029 -- SEMS-SGFB</t>
  </si>
  <si>
    <t>12069033 -- CU REAL ESTATE CLUB-SGFB</t>
  </si>
  <si>
    <t>12069034 -- CO NEW MUSIC ENSEMBLE ¿ SOAC</t>
  </si>
  <si>
    <t>12069037 -- CU ROBOTICS CLUB-SGFB</t>
  </si>
  <si>
    <t>12069038 -- CU SOCIAL PSYCHOLOGY LAB-SGFB</t>
  </si>
  <si>
    <t>12069039 -- CU SEDS SGFB</t>
  </si>
  <si>
    <t>12069041 -- ENVS CLUB-SGFB</t>
  </si>
  <si>
    <t>12069043 -- GLOBAL BRIGADES-SGFB</t>
  </si>
  <si>
    <t>12069045 -- MCDB GRAD STU SYM COM-SGFB</t>
  </si>
  <si>
    <t>12069048 -- U OF C STUDENT VETS ASN-SGFB</t>
  </si>
  <si>
    <t>12069051 -- CU ENERGY: THE STUDENT ALLIANC</t>
  </si>
  <si>
    <t>12069055 -- CMENC: COLLEGIATE MUSIC EDUCAT</t>
  </si>
  <si>
    <t>12069057 -- AIR FORCE RESERVE OFFICER TRAI</t>
  </si>
  <si>
    <t>12069069 -- BIOMEDICAL ENGINEERING SOCIETY</t>
  </si>
  <si>
    <t>12069076 -- ENGLISH GRAD STUDENT COUNCIL</t>
  </si>
  <si>
    <t>12069079 -- ROCKY MTN INTERDISCIP HISTORY</t>
  </si>
  <si>
    <t>12069083 -- CU CATALAN CLUB SGFB</t>
  </si>
  <si>
    <t>12069084 -- COLORADO OCEAN COALITION-SOAC</t>
  </si>
  <si>
    <t>12069085 -- HISTORY GRADUATE STUDENTS ASSO</t>
  </si>
  <si>
    <t>UMC</t>
  </si>
  <si>
    <t>12000574 -- COLD STONE BUILD OUT</t>
  </si>
  <si>
    <t>CAA Operations</t>
  </si>
  <si>
    <t>12001556 -- ALCOHOL AGENT-TIPS</t>
  </si>
  <si>
    <t>12016080 -- UMC SUPPORT</t>
  </si>
  <si>
    <t>17202914 -- CAMPUS ALCOHOL AGENT</t>
  </si>
  <si>
    <t>12000620 -- BAR SALES</t>
  </si>
  <si>
    <t>CDS Rent</t>
  </si>
  <si>
    <t>12000621 -- CONCESSIONS MACKY</t>
  </si>
  <si>
    <t>12000716 -- COLD STONE</t>
  </si>
  <si>
    <t>12021718 -- UMC FOOD SERV III</t>
  </si>
  <si>
    <t>12025532 -- UMC FOOD SERVICE I</t>
  </si>
  <si>
    <t>12030748 -- UMC FOOD SERVICE II</t>
  </si>
  <si>
    <t>12035038 -- UMC-FS-TENANT CLEARING</t>
  </si>
  <si>
    <t>12035039 -- FS-STOREROOM SALES</t>
  </si>
  <si>
    <t>12035040 -- BOARD ROOM</t>
  </si>
  <si>
    <t>12035041 -- SNEAKERS</t>
  </si>
  <si>
    <t>12035042 -- EAST END CAFE</t>
  </si>
  <si>
    <t>12035043 -- COFFEE CART SALES</t>
  </si>
  <si>
    <t>12035044 -- HEARSAY</t>
  </si>
  <si>
    <t>12035045 -- CONNECTION DELIVERIES</t>
  </si>
  <si>
    <t>12035046 -- FS-BABY DOES</t>
  </si>
  <si>
    <t>12035047 -- FS-GRILL</t>
  </si>
  <si>
    <t>12035048 -- UMC-FOOD SERVICE SP-1</t>
  </si>
  <si>
    <t>12057546 -- SHAKESPEARE FESTIVAL CONCESS'N</t>
  </si>
  <si>
    <t>12057693 -- UNIVERSITY CLUB</t>
  </si>
  <si>
    <t>12058864 -- LIBRARY SATELLITE</t>
  </si>
  <si>
    <t>12071737 -- FS-METABOLIC KITCHEN</t>
  </si>
  <si>
    <t>12074529 -- JAMBA JUICE</t>
  </si>
  <si>
    <t>12091074 -- FS-CAMPUS CASH</t>
  </si>
  <si>
    <t>12000897 -- CUSG DISCOUNTS</t>
  </si>
  <si>
    <t>CUSG Discounts</t>
  </si>
  <si>
    <t>12000896 -- 3RD FLOOR REN LOAN</t>
  </si>
  <si>
    <t>Internal Campus Loan</t>
  </si>
  <si>
    <t>12000651 -- 60TH ANNIV CELEB</t>
  </si>
  <si>
    <t>UMC Administration</t>
  </si>
  <si>
    <t>12000652 -- PAC12 CONFERENCE</t>
  </si>
  <si>
    <t>12000823 -- GLB REOPENING</t>
  </si>
  <si>
    <t>12001500 -- BUSINESS CONTINUITY</t>
  </si>
  <si>
    <t>12016650 -- UMC OPERATIONS</t>
  </si>
  <si>
    <t>12020401 -- UMC ADMINISTRATION</t>
  </si>
  <si>
    <t>12052067 -- UMC BOARD SCHOLARSHIP</t>
  </si>
  <si>
    <t>12091382 -- CAMPUS CASH</t>
  </si>
  <si>
    <t>13432910 -- UMC GIFT ACCOUNT</t>
  </si>
  <si>
    <t>13438294 -- VERLE PLUMB GIFT ACCOUNT</t>
  </si>
  <si>
    <t>13446906 -- SENIOR GIFTS</t>
  </si>
  <si>
    <t>12000874 -- PANDA STU LEADERSHIP FUNDS</t>
  </si>
  <si>
    <t>UMC Admin-Leadership</t>
  </si>
  <si>
    <t>12000875 -- PIZZA STU LEADERSHIP FUNDS</t>
  </si>
  <si>
    <t>12000876 -- SUBWAY STU LEADERSHIP FUNDS</t>
  </si>
  <si>
    <t>13401634 -- PANDA LEADERSHIP FUNDING</t>
  </si>
  <si>
    <t>12001034 -- ART PROGRAM</t>
  </si>
  <si>
    <t>UMC Art Program</t>
  </si>
  <si>
    <t>12000167 -- FS RENOVATION MARKETING</t>
  </si>
  <si>
    <t>UMC Building Operations</t>
  </si>
  <si>
    <t>12012155 -- UMC COPY CENTER</t>
  </si>
  <si>
    <t>12015850 -- UMC MAINT &amp; OP I</t>
  </si>
  <si>
    <t>12019440 -- UMC ART SALES</t>
  </si>
  <si>
    <t>12021719 -- UMC MAINT &amp; OP III</t>
  </si>
  <si>
    <t>12035031 -- UMC-RENT-UMC ROOMS</t>
  </si>
  <si>
    <t>12035032 -- UMC-RENT-UMC ATMS</t>
  </si>
  <si>
    <t>12035033 -- UMC-RENT-UMC EQUIPMENT</t>
  </si>
  <si>
    <t>12035034 -- UMC-RENT UMC OPERATOR</t>
  </si>
  <si>
    <t>12035035 -- UMC-RENT-UMC LOCKER</t>
  </si>
  <si>
    <t>12035036 -- UMC-VENDING</t>
  </si>
  <si>
    <t>12035037 -- UMC-BUILDING SP-1</t>
  </si>
  <si>
    <t>12057692 -- UNIVERSITY CLUB</t>
  </si>
  <si>
    <t>UMC Business Office</t>
  </si>
  <si>
    <t>12000487 -- EMPLOYEE MEAL PROGRAM</t>
  </si>
  <si>
    <t>12010045 -- PIZZA VENDOR</t>
  </si>
  <si>
    <t>12010275 -- SUBWAY</t>
  </si>
  <si>
    <t>12017912 -- ASIAN FOOD</t>
  </si>
  <si>
    <t>12022390 -- UMC BUSINESS OFFICE</t>
  </si>
  <si>
    <t>12023336 -- UMC 1986 BOND GAR</t>
  </si>
  <si>
    <t>12031643 -- SF CAPITAL PROJECTS</t>
  </si>
  <si>
    <t>UMC Capital</t>
  </si>
  <si>
    <t>12001204 -- SHOE RENTAL</t>
  </si>
  <si>
    <t>UMC Connection</t>
  </si>
  <si>
    <t>12014693 -- UMC GAMES AREA</t>
  </si>
  <si>
    <t>12028972 -- UMC GAMES AREA I</t>
  </si>
  <si>
    <t>12030744 -- UMC GAMES AREA II</t>
  </si>
  <si>
    <t>12035027 -- UMC GAMES-FOOD AND DRINK</t>
  </si>
  <si>
    <t>12035028 -- UMC GAMES-VIDEO GAMES</t>
  </si>
  <si>
    <t>12035030 -- UMC-GAMES SP1</t>
  </si>
  <si>
    <t>12000161 -- FS RENOVATION LOAN</t>
  </si>
  <si>
    <t>UMC Debt Service</t>
  </si>
  <si>
    <t>12041568 -- UMC EXPANSION</t>
  </si>
  <si>
    <t>12046905 -- UMC EXPANSION BONDS FEES</t>
  </si>
  <si>
    <t>17333223 -- UMC EXPANSION</t>
  </si>
  <si>
    <t>UMC Evening Program</t>
  </si>
  <si>
    <t>12021440 -- UMC SCHEDULING</t>
  </si>
  <si>
    <t>UMC Events Planning</t>
  </si>
  <si>
    <t>12030742 -- UMC MAINT &amp; OP II</t>
  </si>
  <si>
    <t>UMC IT</t>
  </si>
  <si>
    <t>17800105 -- R&amp;R IT</t>
  </si>
  <si>
    <t>12047508 -- UMC MARKETING</t>
  </si>
  <si>
    <t>UMC Marketing</t>
  </si>
  <si>
    <t>12014330 -- NIGHT WALK NIGHT RID</t>
  </si>
  <si>
    <t>UMC Night Ride</t>
  </si>
  <si>
    <t>12000188 -- REPAIR OF FREIGHT ELEVATOR-UMC</t>
  </si>
  <si>
    <t>UMC Projects</t>
  </si>
  <si>
    <t>12000202 -- ECRF BUNDLE #2</t>
  </si>
  <si>
    <t>12000454 -- SOR SECURITY CAMERAS</t>
  </si>
  <si>
    <t>12000469 -- SOR BALLRM RENOVATION PGM PLAN</t>
  </si>
  <si>
    <t>12000497 -- LED LIGHTING PROJECT</t>
  </si>
  <si>
    <t>12000510 -- 4TH FLOOR AIR PROJECT</t>
  </si>
  <si>
    <t>12000538 -- BALLROOM RENOVATION</t>
  </si>
  <si>
    <t>12000736 -- SUSTAINABLE PROJECTS</t>
  </si>
  <si>
    <t>12000745 -- SF4 UNIT FOR FOOD SERVICES</t>
  </si>
  <si>
    <t>12000746 -- SF5&amp;6 BOOKSTORE</t>
  </si>
  <si>
    <t>12000780 -- PRIOR YEAR EARMARKS</t>
  </si>
  <si>
    <t>12000851 -- NIGHTRIDE DISPATCH SYS</t>
  </si>
  <si>
    <t>12000852 -- SPACE REMODEL PROJECT</t>
  </si>
  <si>
    <t>12000878 -- HVAC&amp;ENERGY PROJECTS</t>
  </si>
  <si>
    <t>12000960 -- UMC FLOOR REPLACEMENT</t>
  </si>
  <si>
    <t>12000961 -- OCHNR OFFICE REMODEL</t>
  </si>
  <si>
    <t>12000978 -- BOWLING EQUIPMENT REPLACEMENT</t>
  </si>
  <si>
    <t>12000979 -- CARPET REPLACEMENT</t>
  </si>
  <si>
    <t>12001010 -- PROGRAM PLAN ROOF</t>
  </si>
  <si>
    <t>12001029 -- OFFICE SPACE REMODEL</t>
  </si>
  <si>
    <t>12001072 -- WDININGROOM CARPET</t>
  </si>
  <si>
    <t>12001074 -- 5TH FLOOR AIR CONDITIONING</t>
  </si>
  <si>
    <t>12001075 -- CONNECTION RESTROOM REMODEL</t>
  </si>
  <si>
    <t>12001076 -- E DINING ROOM INSULATION</t>
  </si>
  <si>
    <t>12001077 -- N&amp;E DINING ROOM HVAC PROJ</t>
  </si>
  <si>
    <t>12001078 -- DECK REPAIR</t>
  </si>
  <si>
    <t>12001200 -- DOOR COUNTERS</t>
  </si>
  <si>
    <t>12001201 -- PAINT AND SIGNAGE</t>
  </si>
  <si>
    <t>12001202 -- SMART ROOMS</t>
  </si>
  <si>
    <t>12001237 -- DDC CONTROLS ALL UMC</t>
  </si>
  <si>
    <t>12001287 -- RECOMM MECH SYSTEMS</t>
  </si>
  <si>
    <t>12001302 -- EAST DOCK SNOWMELT</t>
  </si>
  <si>
    <t>12001303 -- CONNECTION PROGRAM PLAN</t>
  </si>
  <si>
    <t>12001304 -- ELECTRICAL PANEL PROJECT</t>
  </si>
  <si>
    <t>12001305 -- CR1740-KITCHEN HALLWAY UPGRADE</t>
  </si>
  <si>
    <t>12001494 -- REMODEL PROGRAM SPACE</t>
  </si>
  <si>
    <t>12001495 -- UMC401 REMODEL PROJECT</t>
  </si>
  <si>
    <t>12001496 -- 4TH FLOOR DDC CONTROLS</t>
  </si>
  <si>
    <t>12001497 -- ELECTRICAL SWITCHGEAR</t>
  </si>
  <si>
    <t>12001641 -- RE-KEY BUILDING PROJECT</t>
  </si>
  <si>
    <t>12001745 -- ATRIUM PROJECT</t>
  </si>
  <si>
    <t>12020412 -- NSF EXPANSION</t>
  </si>
  <si>
    <t>12030132 -- VACANT 98-99</t>
  </si>
  <si>
    <t>12030146 -- SF 2 WAY RADIO</t>
  </si>
  <si>
    <t>12031665 -- FF &amp; E</t>
  </si>
  <si>
    <t>12046970 -- MURAL PROJECT</t>
  </si>
  <si>
    <t>12052201 -- UMC FINISH PROJECTS</t>
  </si>
  <si>
    <t>12058418 -- GENDER NEUTRAL RESTROOM</t>
  </si>
  <si>
    <t>12061490 -- UMC ROOF REPAIR</t>
  </si>
  <si>
    <t>12061491 -- FOOD SERVICE POS SYSTEM</t>
  </si>
  <si>
    <t>12063249 -- SORCE OFFICE</t>
  </si>
  <si>
    <t>12064804 -- FS RENOVATION STUDY</t>
  </si>
  <si>
    <t>12064888 -- TIMEKEEPING SYSTEM</t>
  </si>
  <si>
    <t>12065324 -- BLAST CHILLER</t>
  </si>
  <si>
    <t>12068871 -- UMC ESCO PROJECTS</t>
  </si>
  <si>
    <t>12069287 -- CONNECTION INSULATION</t>
  </si>
  <si>
    <t>12075855 -- UPGRADE TELCOMM CLOSET 46A</t>
  </si>
  <si>
    <t>12085202 -- EEF WINDOWS</t>
  </si>
  <si>
    <t>17202937 -- VCSA GEN FUND SUPPT</t>
  </si>
  <si>
    <t>17811213 -- CAPITAL FUND UMC</t>
  </si>
  <si>
    <t>17831599 -- UMC R&amp;R 12</t>
  </si>
  <si>
    <t>17831603 -- UMC R&amp;R 11</t>
  </si>
  <si>
    <t>17831652 -- UMC R&amp;R #3</t>
  </si>
  <si>
    <t>17831658 -- UMC R&amp;R #2</t>
  </si>
  <si>
    <t>17831670 -- UMC R&amp;R #1</t>
  </si>
  <si>
    <t>12024213 -- UMC RECEPTION DESK</t>
  </si>
  <si>
    <t>UMC Reception Desk</t>
  </si>
  <si>
    <t>12017680 -- UMC SALARY SAVINGS</t>
  </si>
  <si>
    <t>UMC Salary Savings</t>
  </si>
  <si>
    <t>12001639 -- UMC SECURITY</t>
  </si>
  <si>
    <t>UMC Security</t>
  </si>
  <si>
    <t>VRC</t>
  </si>
  <si>
    <t>12000945 -- ALT BREAKS TRIP #1</t>
  </si>
  <si>
    <t>VRC Alt Breaks</t>
  </si>
  <si>
    <t>12000946 -- ALT BREAKS TRIP #2</t>
  </si>
  <si>
    <t>12000947 -- ALT BREAKS TRIP #3</t>
  </si>
  <si>
    <t>12000948 -- ALT BREAKS TRIP #4</t>
  </si>
  <si>
    <t>12000949 -- ALT BREAKS TRIP #5</t>
  </si>
  <si>
    <t>12000950 -- ALT BREAKS TRIP #6</t>
  </si>
  <si>
    <t>12000951 -- ALT BREAKS TRIP #7</t>
  </si>
  <si>
    <t>12000952 -- ALT BREAKS TRIP #8</t>
  </si>
  <si>
    <t>12000953 -- ALT BREAKS TRIP #9</t>
  </si>
  <si>
    <t>12000954 -- ALT BREAKS TRIP #10</t>
  </si>
  <si>
    <t>12000955 -- ALT BREAKS TRIP #11</t>
  </si>
  <si>
    <t>12000956 -- ALT BREAKS TRIP #12</t>
  </si>
  <si>
    <t>12000957 -- ALT BREAKS TRIP #13</t>
  </si>
  <si>
    <t>12000958 -- ALT BREAKS TRIP #14</t>
  </si>
  <si>
    <t>12000959 -- ALT BREAKS TRIP #15</t>
  </si>
  <si>
    <t>12001362 -- VRC PAYROLL SUSPENSE</t>
  </si>
  <si>
    <t>VRC CU in the Community</t>
  </si>
  <si>
    <t>12067207 -- VRC CONFERENCE</t>
  </si>
  <si>
    <t>12022564 -- VOLUNTEER RESOURCE CENTER</t>
  </si>
  <si>
    <t>VRC Operations</t>
  </si>
  <si>
    <t>12066028 -- VRC INTERNS PROGRAM</t>
  </si>
  <si>
    <t>Index</t>
  </si>
  <si>
    <t>Row</t>
  </si>
  <si>
    <t>Report Type</t>
  </si>
  <si>
    <t>Fiscal Year</t>
  </si>
  <si>
    <t>Unidentified Speedtypes</t>
  </si>
  <si>
    <t>FY</t>
  </si>
  <si>
    <t>Weights</t>
  </si>
  <si>
    <t>Program Name</t>
  </si>
  <si>
    <t>Revenues</t>
  </si>
  <si>
    <t>Expenses</t>
  </si>
  <si>
    <t>Projected</t>
  </si>
  <si>
    <t>Beginning Balance</t>
  </si>
  <si>
    <t>Transfers</t>
  </si>
  <si>
    <t>Unadjusted Balance</t>
  </si>
  <si>
    <t>Earmarks</t>
  </si>
  <si>
    <t>Unencumbered Balance</t>
  </si>
  <si>
    <t>12057163 -- VRC/ALTERNATIVE BREAK PROG</t>
  </si>
  <si>
    <t>Unidentified Lvl 6 Account Codes</t>
  </si>
  <si>
    <t>12001320 -- CO HOMELESS AST W/MED PRO-SOAC</t>
  </si>
  <si>
    <t>12069075 -- ENGINEERS W/O BORDERS-RWANDA</t>
  </si>
  <si>
    <t>12001540 -- FORUM ON SCIENCE, ETHICS-SOAC</t>
  </si>
  <si>
    <t>12069074 -- ENGINEERS W/O BORDERS-NEPAL</t>
  </si>
  <si>
    <t>12000829 -- CULT LINGUIST/SOCIAL PRAC-SOAC</t>
  </si>
  <si>
    <t>12000837 -- ENGINEERS W/O BORDERS PAR-SOAC</t>
  </si>
  <si>
    <t>12000843 -- CATALYSIS/SURFACE SCIENCE-SOAC</t>
  </si>
  <si>
    <t>12069046 -- PERFORMERS W/O BORDERS-SGFB</t>
  </si>
  <si>
    <t>12019481 -- CUSG CCS/LEG</t>
  </si>
  <si>
    <t>12028443 -- OCSS NIGHTRIDE/WALK</t>
  </si>
  <si>
    <t>12030457 -- FITNESS EQPMNT/WEIGHT RM</t>
  </si>
  <si>
    <t>12024013 -- TA/PT</t>
  </si>
  <si>
    <t>12023696 -- MEMBERSHIP/USE FEE</t>
  </si>
  <si>
    <t>12028595 -- SHORTAGE/OVERAGE</t>
  </si>
  <si>
    <t>12001036 -- CLUBS EMT/TRAINERS</t>
  </si>
  <si>
    <t>12001046 -- HOCKEY, MEN'S SF</t>
  </si>
  <si>
    <t>12001047 -- HOCKEY, WOMEN'S SF</t>
  </si>
  <si>
    <t>12001048 -- KAYAK, SF</t>
  </si>
  <si>
    <t>12001049 -- LACROSSE, MEN'S SF</t>
  </si>
  <si>
    <t>12001050 -- LACROSSE, WOMEN'S SF</t>
  </si>
  <si>
    <t>12001051 -- RACQUETBALL, SF</t>
  </si>
  <si>
    <t>12001053 -- RUGBY, MEN'S SF</t>
  </si>
  <si>
    <t>12001054 -- RUGBY, WOMEN'S SF</t>
  </si>
  <si>
    <t>12001056 -- SOCCER, MEN'S SF</t>
  </si>
  <si>
    <t>12001057 -- SOCCER, WOMEN'S SF</t>
  </si>
  <si>
    <t>12001059 -- SWIMMING/DIVING SF</t>
  </si>
  <si>
    <t>12001064 -- ULTIMATE, MEN'S SF</t>
  </si>
  <si>
    <t>12001065 -- ULTIMATE, WOMEN'S SF</t>
  </si>
  <si>
    <t>12001066 -- VOLLEYBALL, MEN'S SF</t>
  </si>
  <si>
    <t>12001067 -- VOLLEYBALL, WOMEN'S SF</t>
  </si>
  <si>
    <t>12001068 -- WATER POLO, MEN'S SF</t>
  </si>
  <si>
    <t>12001069 -- WATER POLO, WOMEN'S SF</t>
  </si>
  <si>
    <t>12001070 -- WRESTLING, SF</t>
  </si>
  <si>
    <t>12001247 -- HOCKEY, MEN'S 2ND TEAM SF</t>
  </si>
  <si>
    <t>12000486 -- STYRO/COMPOSTABLE REPLACEMENT</t>
  </si>
  <si>
    <t>12001286 -- EVENING PROG/ASSESSMENT</t>
  </si>
  <si>
    <t>12001210 -- DDC CONTROLS 2ND/3RD FLOOR</t>
  </si>
  <si>
    <t>12001301 -- WRC AIR/DX SYSTEM</t>
  </si>
  <si>
    <t>12001569 -- WIRELESS/CELLULAR</t>
  </si>
  <si>
    <t>12074873 -- ASPEN ROOMS AIR-SF/CAPITAL</t>
  </si>
  <si>
    <t>UMC Support</t>
  </si>
  <si>
    <t>Ctrl + Shift + Q</t>
  </si>
  <si>
    <t>Returns you to the top left range of the active sheet</t>
  </si>
  <si>
    <t>Ctrl + Shift + A</t>
  </si>
  <si>
    <t>Returns you to this sheet</t>
  </si>
  <si>
    <t>Fills selected cells with `0` if the selected cells have a light gold background color (Only relevant for SB reports)</t>
  </si>
  <si>
    <t>Unique Programs</t>
  </si>
  <si>
    <t>Unique Fund Balances</t>
  </si>
  <si>
    <t>Ctrl + Shift + H</t>
  </si>
  <si>
    <t>Hides/unhides the reference sheets</t>
  </si>
  <si>
    <t>12001557 -- NIRSA SPORTS TOURNAMENTS</t>
  </si>
  <si>
    <t>Tables of Contents</t>
  </si>
  <si>
    <t>Has X Negatives</t>
  </si>
  <si>
    <t>CREATE QUARTERLY REPORT</t>
  </si>
  <si>
    <t>CREATE SEASONAL BUDGET</t>
  </si>
  <si>
    <t>EXPORT REPORT</t>
  </si>
  <si>
    <t>Ctrl + Shift + E</t>
  </si>
  <si>
    <t>Ctrl + Shift + C</t>
  </si>
  <si>
    <t>Instructions &amp; Notes</t>
  </si>
  <si>
    <t>Quarterly Reports -</t>
  </si>
  <si>
    <t>FINANCE BOARD REPORT GENERATOR</t>
  </si>
  <si>
    <t>Notes on How to Download Reports From CU Data</t>
  </si>
  <si>
    <t>COMING SOON</t>
  </si>
  <si>
    <t>Notes on Worksheets</t>
  </si>
  <si>
    <t>Create Report</t>
  </si>
  <si>
    <t>Data</t>
  </si>
  <si>
    <t>GroupedData</t>
  </si>
  <si>
    <t>Account Codes</t>
  </si>
  <si>
    <t>Consolidation Lists</t>
  </si>
  <si>
    <t>This is another hidden reference sheet that is used to match data for a given speedtype to the correct program sheet. As new speedtypes are created, those speedtypes will need to be appended to the bottom of the table and the table filter will need to be refreshed.</t>
  </si>
  <si>
    <t>QR Draft</t>
  </si>
  <si>
    <t>This is a blank template for the quarterly reports. Unless Finance Board intends to change the template layout, this sheet should never be changed.</t>
  </si>
  <si>
    <t>SB Draft</t>
  </si>
  <si>
    <t>This is another blank template, but for the seasonal budgets. Unless Finance Board intends to change the layout, this sheet should not be changed.</t>
  </si>
  <si>
    <t>Rev.Exp All Pgms</t>
  </si>
  <si>
    <t>Roll Up</t>
  </si>
  <si>
    <t>The Roll Up sheet will automatically be formatted to match the template for the desired report. A user-defined function (UDF) called RollUpSum is used to loop through all program sheets to calculate org totals for each row. No inputs need be made, but it is a good idea to check the UDF is not returning #N\A. To fix this, you should only need to click a cell with the UDF, then click on the formula bar and hit enter. The UDF should properly calculate for all cells.</t>
  </si>
  <si>
    <t>Program Sheets</t>
  </si>
  <si>
    <t>Program sheets will be automatically deleted and created for each unique program listed for the selected cost center in the Consolidation Lists sheet. Even if no activity is recorded in the program.</t>
  </si>
  <si>
    <t>FY XX - 1</t>
  </si>
  <si>
    <t>FY XX - 3</t>
  </si>
  <si>
    <t>12051682 -- LATE NIGHT -- STUDENT FEES</t>
  </si>
  <si>
    <t>12053296 -- MAINTENANCE -- CUSTODIAL</t>
  </si>
  <si>
    <t>12086896 -- MAINTENANCE -- PARTS/SUPPLIES</t>
  </si>
  <si>
    <t>12001808 -- INCIDENT RESPONSE -- CUSG CCS</t>
  </si>
  <si>
    <t>12001807 -- INCIDENT RESPONSE -- CLUB SPRTS</t>
  </si>
  <si>
    <t>12000594 -- MUSIC INDUSTRY CLUB -- SGFB</t>
  </si>
  <si>
    <t>12000596 -- ASTRONOMY CLUB -- SGFB</t>
  </si>
  <si>
    <t>12000607 -- WOMEN IN SCIENCE -- SGFB</t>
  </si>
  <si>
    <t>12000839 -- PERFORMANCE AS RESOURCE -- SOAC</t>
  </si>
  <si>
    <t>12000840 -- JOURNAL TWENTYTWENTY -- SOAC</t>
  </si>
  <si>
    <t>12000841 -- THE CU V DAY WARRIORS -- SOAC</t>
  </si>
  <si>
    <t>12000842 -- FIGURE DRAWING CLUB -- SOAC</t>
  </si>
  <si>
    <t>12000844 -- AMUSE CREATIVE WRITING -- SOAC</t>
  </si>
  <si>
    <t>12000845 -- MAKERS¿ COLLECTIVE -- SOAC</t>
  </si>
  <si>
    <t>12000846 -- HER CAMPUS CU BOULDER -- SOAC</t>
  </si>
  <si>
    <t>12000847 -- TANGO CLUB @ CU -- SOAC</t>
  </si>
  <si>
    <t>12000849 -- PSYCHEDELIC CLUB -- SOAC</t>
  </si>
  <si>
    <t>12000850 -- HAND BALANCING CLUB -- SOAC</t>
  </si>
  <si>
    <t>12001083 -- ACTIVE ENTREPRENEURS -- SOAC</t>
  </si>
  <si>
    <t>12001086 -- AID COLORADO -- SOAC</t>
  </si>
  <si>
    <t>12001089 -- ALPHA PHI OMEGA -- SOC</t>
  </si>
  <si>
    <t>12001090 -- ALPINE CLUB -- SOC</t>
  </si>
  <si>
    <t>12001096 -- BHAKTI YOGA CLUB -- SOAC</t>
  </si>
  <si>
    <t>12001099 -- BOULDER A.S.S.E.T.S. -- SOAC</t>
  </si>
  <si>
    <t>12001100 -- BOULDER CREATIVES -- SOAC</t>
  </si>
  <si>
    <t>12001102 -- BREAKING CLUB -- SOAC</t>
  </si>
  <si>
    <t>12001111 -- COLLEGE DEMOCRATS -- SOAC</t>
  </si>
  <si>
    <t>12001127 -- HABITAT FOR HUMANITY -- SOAC</t>
  </si>
  <si>
    <t>12001131 -- JAPANESE STUDENT ASSN -- SOAC</t>
  </si>
  <si>
    <t>12001136 -- NEPALESE STUDENT ASSOC -- SOAC</t>
  </si>
  <si>
    <t>12001148 -- SILVER WINGS -- JARVIS CHPT-SOA</t>
  </si>
  <si>
    <t>12001151 -- SO. ASIAN STDT ASSN. -- SOAC</t>
  </si>
  <si>
    <t>12001166 -- VEGAN JUSTICE LEAGUE -- SOAC</t>
  </si>
  <si>
    <t>12001167 -- VIETNAMESE STDT. ASSN. -- SOAC</t>
  </si>
  <si>
    <t>12001169 -- YOGA CLUB -- SOAC</t>
  </si>
  <si>
    <t>12001170 -- U OF C ESPORTS -- SOAC</t>
  </si>
  <si>
    <t>12001173 -- SOUTH ASIAN MUSIC ASSOC -- SOAC</t>
  </si>
  <si>
    <t>12001174 -- GEOLOGY CLUB CU BOULDER -- SOAC</t>
  </si>
  <si>
    <t>12001175 -- SIGMA IOTA RHO -- SOAC</t>
  </si>
  <si>
    <t>12001176 -- CU PRIME -- SOAC</t>
  </si>
  <si>
    <t>12001177 -- LOW HANGING FRUIT -- SOAC</t>
  </si>
  <si>
    <t>12001178 -- CU COMEDY CLUB -- SOAC</t>
  </si>
  <si>
    <t>12001179 -- INTEG PHYS BIOSTAT CLUB -- SOAC</t>
  </si>
  <si>
    <t>12001214 -- HUMANS VS ZOMBIES -- CU BOULDER</t>
  </si>
  <si>
    <t>12001215 -- STDTS ORGANIZE FOR SYRIA -- CUB</t>
  </si>
  <si>
    <t>12001223 -- AM SOCIETY FOR ENGIN MGMT -- CU</t>
  </si>
  <si>
    <t>12001427 -- AMSA @ CU -- SOAC</t>
  </si>
  <si>
    <t>12001428 -- SPAGHETTI CONFESSION -- SOAC</t>
  </si>
  <si>
    <t>12001429 -- MEDICINE BOOK CLUB -- SOAC</t>
  </si>
  <si>
    <t>12001430 -- ABHINAYA -- SOAC</t>
  </si>
  <si>
    <t>12001431 -- CENKI -- SOAC</t>
  </si>
  <si>
    <t>12001432 -- SIAM -- SOAC</t>
  </si>
  <si>
    <t>12001433 -- BUFFS FOR DAY BY DAY -- SOAC</t>
  </si>
  <si>
    <t>12001434 -- BEE CLUB -- SOAC</t>
  </si>
  <si>
    <t>12001435 -- RAW CERAMICS -- SOAC</t>
  </si>
  <si>
    <t>12001437 -- CUSP -- SOAC</t>
  </si>
  <si>
    <t>12001438 -- LEEDS SUPPLY CHAIN MNGT -- SOAC</t>
  </si>
  <si>
    <t>12001439 -- ON THAT NOTE -- SOAC</t>
  </si>
  <si>
    <t>12001441 -- CHEMUNITY -- SOAC</t>
  </si>
  <si>
    <t>12001505 -- THE PEBBLE -- SOAC</t>
  </si>
  <si>
    <t>12001506 -- ARO&amp;ACE STUDENT GROUP -- SOAC</t>
  </si>
  <si>
    <t>12001507 -- NUTRITION BUFFS -- SOAC</t>
  </si>
  <si>
    <t>12001509 -- YOGA FOR PERFORMERS -- SOAC</t>
  </si>
  <si>
    <t>12001510 -- COMPUTER GRAPHICS GROUP -- SOAC</t>
  </si>
  <si>
    <t>12001511 -- CHEM AND BIOCHEM CLUB -- SOAC</t>
  </si>
  <si>
    <t>12001513 -- CLASSICS CLUB -- SOAC</t>
  </si>
  <si>
    <t>12001514 -- MAASU CONFERENCE CLUB -- SOAC</t>
  </si>
  <si>
    <t>12001515 -- MYSTICS AND MASTICS -- SOAC</t>
  </si>
  <si>
    <t>12001516 -- PICKLEBALL CLUB -- SOAC</t>
  </si>
  <si>
    <t>12001517 -- COMBAT BOTS -- SOAC</t>
  </si>
  <si>
    <t>12001518 -- THE ASSEMBLY -- SOAC</t>
  </si>
  <si>
    <t>12001519 -- ACTIVE MINDS -- SOAC</t>
  </si>
  <si>
    <t>12001520 -- WOMEN IN TECH CLUB -- SOAC</t>
  </si>
  <si>
    <t>12001521 -- SIKH STUDENT ASSOC -- SOAC</t>
  </si>
  <si>
    <t>12001522 -- THE HISTORY CLUB -- SOAC</t>
  </si>
  <si>
    <t>12001523 -- ELEVATION -- SOAC</t>
  </si>
  <si>
    <t>12001528 -- MARVEL SUPER MOVIE CLUB -- SOAC</t>
  </si>
  <si>
    <t>12001529 -- FBLA -- PHI BETA LAMBDA -- SOAC</t>
  </si>
  <si>
    <t>12001531 -- COLORADO BHANGRA TEAM -- SOAC</t>
  </si>
  <si>
    <t>12001533 -- WOMEN'S IMPROV -- SOAC</t>
  </si>
  <si>
    <t>12001534 -- QTPOC -- SOAC</t>
  </si>
  <si>
    <t>12001535 -- CU SOLAR DECATHLON -- SOAC</t>
  </si>
  <si>
    <t>12001536 -- PATAKAPELLA -- SOAC</t>
  </si>
  <si>
    <t>12001537 -- CU HYPERLOOP -- SOAC</t>
  </si>
  <si>
    <t>12001538 -- ARMOR -- SOAC</t>
  </si>
  <si>
    <t>12001541 -- SLOW FOODS YOUTH CU -- SOAC</t>
  </si>
  <si>
    <t>12001542 -- BOOK CLUB FOR BUFFS -- SOAC</t>
  </si>
  <si>
    <t>12001543 -- CU WOMEN IN BUSINESS -- SOAC</t>
  </si>
  <si>
    <t>12001545 -- CU CORNHOLE CLUB -- SOAC</t>
  </si>
  <si>
    <t>12001547 -- ARCHITECTURAL ENG INST -- SOAC</t>
  </si>
  <si>
    <t>12001548 -- DESIGN CLUB -- SOAC</t>
  </si>
  <si>
    <t>12001550 -- CU DANCE MARATHON -- SOAC</t>
  </si>
  <si>
    <t>12001553 -- CU ADVERTISING -- SOAC</t>
  </si>
  <si>
    <t>12001554 -- CU ROTARACT CLUB -- SOAC</t>
  </si>
  <si>
    <t>12001555 -- BUFFOONS -- SOAC</t>
  </si>
  <si>
    <t>12001665 -- ASSOC FOR WOMEN IN MATH -- SOAC</t>
  </si>
  <si>
    <t>12001666 -- STEM ROUTES -- SOAC</t>
  </si>
  <si>
    <t>12001668 -- ROBOBOAT -- SOAC</t>
  </si>
  <si>
    <t>12001670 -- EN CONTACTO -- SOAC</t>
  </si>
  <si>
    <t>12001671 -- BOULDERITE CHESS CLUB -- SOAC</t>
  </si>
  <si>
    <t>12001672 -- ADOPTEE ASSOCIATION -- SOAC</t>
  </si>
  <si>
    <t>12001673 -- CU SKATE SOCIETY -- SOAC</t>
  </si>
  <si>
    <t>12001674 -- YANG GANG -- SOAC</t>
  </si>
  <si>
    <t>12001675 -- LATIN ARTS SOCIETY -- SOAC</t>
  </si>
  <si>
    <t>12001677 -- TURNING POINT USA -- SOAC</t>
  </si>
  <si>
    <t>12001678 -- BUFF SIMULATORS -- SOAC</t>
  </si>
  <si>
    <t>12001679 -- DRAWING CLUB -- SOAC</t>
  </si>
  <si>
    <t>12001680 -- COLORADO HISTORIAN -- SOAC</t>
  </si>
  <si>
    <t>12001681 -- WOMEN OF COLOR IN STEM -- SOAC</t>
  </si>
  <si>
    <t>12001682 -- CU BACHATA CONEXION -- SOAC</t>
  </si>
  <si>
    <t>12001683 -- BRAZEN PROJECT -- SOAC</t>
  </si>
  <si>
    <t>12001688 -- STUDENTS FOR TRUMP -- SOAC</t>
  </si>
  <si>
    <t>12001754 -- SUN OF JAY -- SOAC</t>
  </si>
  <si>
    <t>12001755 -- BUFFS FOR BERNIE -- SOAC</t>
  </si>
  <si>
    <t>12001758 -- LEEDS OUTDOOR IND CLUB -- SOAC</t>
  </si>
  <si>
    <t>12001759 -- CU PHYSICIAN ASSISTANT -- SOAC</t>
  </si>
  <si>
    <t>12001760 -- MIXED CU -- SOAC</t>
  </si>
  <si>
    <t>12001761 -- CU BOULDERING CLUB -- SOAC</t>
  </si>
  <si>
    <t>12001763 -- RALPHIE'S CLOSET -- SOAC</t>
  </si>
  <si>
    <t>12001764 -- AERO MED STUD RESID ORG -- SOAC</t>
  </si>
  <si>
    <t>12001766 -- CU 3D PRINTING -- SOAC</t>
  </si>
  <si>
    <t>12001767 -- SCIENCE UNDER THE DOME -- SOAC</t>
  </si>
  <si>
    <t>12001768 -- BRASA AT CU BOULDER -- SOAC</t>
  </si>
  <si>
    <t>12001769 -- DOCUMENTARY INT. CLUB -- SOAC</t>
  </si>
  <si>
    <t>12001771 -- CU BOULDER ROBOSUB TEAM -- SOAC</t>
  </si>
  <si>
    <t>12068986 -- ASIAN UNITY -- SOC</t>
  </si>
  <si>
    <t>12069014 -- AFRICAN STUDENT ASSOC. -- SGFB</t>
  </si>
  <si>
    <t>12069032 -- ONE EIGHTY 180 11 -- SGFB</t>
  </si>
  <si>
    <t>12069035 -- CU BOULDER DRAGON BOAT -- SOAC</t>
  </si>
  <si>
    <t>12069042 -- AIESEC -- SOAC</t>
  </si>
  <si>
    <t>12069053 -- HIP HOP DANCE TEAM -- SGFB</t>
  </si>
  <si>
    <t>12069060 -- CREATIVE WRITING ASS'N -- SGFB</t>
  </si>
  <si>
    <t>12069061 -- CU RUSSIAN CLUB -- SGFB</t>
  </si>
  <si>
    <t>12069062 -- CU TRUMPET ALLIANCE -- SGFB</t>
  </si>
  <si>
    <t>12069068 -- CU EMS -- SGFB</t>
  </si>
  <si>
    <t>12069071 -- CU INT'L AFFAIRS CLUB -- SGFB</t>
  </si>
  <si>
    <t>12069078 -- PROJECT NUR -- SGFB</t>
  </si>
  <si>
    <t>12086989 -- SGFB -- STUDENT ACTIVITIES</t>
  </si>
  <si>
    <t>12069686 -- FS -- GIFT CARDS</t>
  </si>
  <si>
    <t>13453650 -- SENIOR GIFT -- 2002</t>
  </si>
  <si>
    <t>12035029 -- UMC -- SUMMER CAMPS</t>
  </si>
  <si>
    <t>12000318 -- UMC TENT -- SOR</t>
  </si>
  <si>
    <t>12000482 -- VRC -- CU IN THE COMMUNITY</t>
  </si>
  <si>
    <t>12000482 -- VRC -- DAY OF SERVICE</t>
  </si>
  <si>
    <t>FY XX - 2</t>
  </si>
  <si>
    <r>
      <rPr>
        <u/>
        <sz val="12"/>
        <color theme="1"/>
        <rFont val="Calibri"/>
        <family val="2"/>
        <scheme val="minor"/>
      </rPr>
      <t>Expand</t>
    </r>
    <r>
      <rPr>
        <sz val="12"/>
        <color theme="1"/>
        <rFont val="Calibri"/>
        <family val="2"/>
        <scheme val="minor"/>
      </rPr>
      <t xml:space="preserve"> all grouped rows &amp; columns on active sheet</t>
    </r>
  </si>
  <si>
    <r>
      <rPr>
        <u/>
        <sz val="12"/>
        <color theme="1"/>
        <rFont val="Calibri"/>
        <family val="2"/>
        <scheme val="minor"/>
      </rPr>
      <t>Collapse</t>
    </r>
    <r>
      <rPr>
        <sz val="12"/>
        <color theme="1"/>
        <rFont val="Calibri"/>
        <family val="2"/>
        <scheme val="minor"/>
      </rPr>
      <t xml:space="preserve"> all grouped rows &amp; columns on active sheet</t>
    </r>
  </si>
  <si>
    <t>Subtotal Transfers</t>
  </si>
  <si>
    <t>Subtotal Earmarks</t>
  </si>
  <si>
    <t>Speedtype Code</t>
  </si>
  <si>
    <t>Cost Center Roll Up</t>
  </si>
  <si>
    <t>( A * C )</t>
  </si>
  <si>
    <t>Full File Path:</t>
  </si>
  <si>
    <t>Report Created:</t>
  </si>
  <si>
    <t>Created In:</t>
  </si>
  <si>
    <t>SA WkBk Link:</t>
  </si>
  <si>
    <t>CREATE ANNUAL BUDGET</t>
  </si>
  <si>
    <t>Average</t>
  </si>
  <si>
    <t>Proj. Actuals</t>
  </si>
  <si>
    <t>Unducakables</t>
  </si>
  <si>
    <t>Unduckables</t>
  </si>
  <si>
    <t>Adjustments</t>
  </si>
  <si>
    <t>Budget Pool</t>
  </si>
  <si>
    <t>Unduckables,</t>
  </si>
  <si>
    <t>Budget Pool,</t>
  </si>
  <si>
    <t>Adj. Subtotal</t>
  </si>
  <si>
    <t>Enhancements</t>
  </si>
  <si>
    <t>"Optimistic"</t>
  </si>
  <si>
    <t>"Prime"</t>
  </si>
  <si>
    <t>"Doomsday"</t>
  </si>
  <si>
    <t>(Spring)</t>
  </si>
  <si>
    <t>(Summer)</t>
  </si>
  <si>
    <t>Approved</t>
  </si>
  <si>
    <t>UNIV_O/E</t>
  </si>
  <si>
    <t>HRLY</t>
  </si>
  <si>
    <t>Program</t>
  </si>
  <si>
    <t>Fee 1%</t>
  </si>
  <si>
    <t>Fee 2%</t>
  </si>
  <si>
    <t>Fee 3%</t>
  </si>
  <si>
    <t>Prof Staff Merit</t>
  </si>
  <si>
    <t>CL Staff Merit</t>
  </si>
  <si>
    <t>Student Hourly Increase</t>
  </si>
  <si>
    <t>Fringe: Prof Exempt FT/CL Perm PT &amp; FT</t>
  </si>
  <si>
    <t>Fringe: Prof Exempt PT/Prof &amp; CL Temp FT &amp; PT</t>
  </si>
  <si>
    <t>Fringe: Student Hourly</t>
  </si>
  <si>
    <t>GAIR</t>
  </si>
  <si>
    <t>Ben Rate</t>
  </si>
  <si>
    <t>Rate</t>
  </si>
  <si>
    <t>FAC_FTP</t>
  </si>
  <si>
    <t>CLNFAC_FTP</t>
  </si>
  <si>
    <t>RSCHFAC_FTP</t>
  </si>
  <si>
    <t>PRAFAC_FTP</t>
  </si>
  <si>
    <t>RSASFAC_FTP</t>
  </si>
  <si>
    <t>OTHFAC_FTP</t>
  </si>
  <si>
    <t>FELLFAC_FT</t>
  </si>
  <si>
    <t>RSCHFAC_P/TGR</t>
  </si>
  <si>
    <t>CLNFAC_P/TGR</t>
  </si>
  <si>
    <t>FAC_P/TGR</t>
  </si>
  <si>
    <t>PRAFAC_P/TGR</t>
  </si>
  <si>
    <t>RSASFAC_P/TGR</t>
  </si>
  <si>
    <t>OTHFAC_P/TGR</t>
  </si>
  <si>
    <t>STD_FAC_FTP</t>
  </si>
  <si>
    <t>STD_FAC_FTT</t>
  </si>
  <si>
    <t>STD_FAC_PTP</t>
  </si>
  <si>
    <t>STD_FAC_PTT</t>
  </si>
  <si>
    <t>STD_FAC</t>
  </si>
  <si>
    <t>CL_FTP</t>
  </si>
  <si>
    <t>CL_PTP</t>
  </si>
  <si>
    <t>CL_FTT</t>
  </si>
  <si>
    <t>CL_PTT</t>
  </si>
  <si>
    <t>CL_DEFAULT</t>
  </si>
  <si>
    <t>DEFAULT</t>
  </si>
  <si>
    <t>Scenario:</t>
  </si>
  <si>
    <t>Ctrl + Shift + Z</t>
  </si>
  <si>
    <t>Description</t>
  </si>
  <si>
    <t>Name</t>
  </si>
  <si>
    <t>Enhancement 1</t>
  </si>
  <si>
    <t>Enhancement 2</t>
  </si>
  <si>
    <t>Enhancement 3</t>
  </si>
  <si>
    <t>Enhancement 4</t>
  </si>
  <si>
    <t>Enhancement 5</t>
  </si>
  <si>
    <t>Enhancement 6</t>
  </si>
  <si>
    <t>Enhancement 7</t>
  </si>
  <si>
    <t>Enhancement 8</t>
  </si>
  <si>
    <t>the "Macros" dropdown option, and click on the "View Macros" option.</t>
  </si>
  <si>
    <t>*If keyboard shortcuts are not working, click on the "View" tab, then</t>
  </si>
  <si>
    <t>Select the "CreateShortcuts" macro and click on the Run button. Shortcuts</t>
  </si>
  <si>
    <t>will then be enabled.</t>
  </si>
  <si>
    <t>Custom Keyboard Shortcuts</t>
  </si>
  <si>
    <t>13404064 -- CEEP</t>
  </si>
  <si>
    <t>COVID Response</t>
  </si>
  <si>
    <t>12016671 -- PC OPERATIONS</t>
  </si>
  <si>
    <t>Summer</t>
  </si>
  <si>
    <t>Cuts</t>
  </si>
  <si>
    <t>Re-instatements</t>
  </si>
  <si>
    <t>+ Enhancements</t>
  </si>
  <si>
    <t>From Current</t>
  </si>
  <si>
    <t>Budget Wkbk</t>
  </si>
  <si>
    <t>Row Reference</t>
  </si>
  <si>
    <t>Inc. / (Dec.)</t>
  </si>
  <si>
    <t>Spring Budget</t>
  </si>
  <si>
    <t>+ Unduckables</t>
  </si>
  <si>
    <t>&amp; Adjustments</t>
  </si>
  <si>
    <t>Create Word Doc</t>
  </si>
  <si>
    <t xml:space="preserve">This is the sheet that allows users to create one of the three reports for any cost center, fiscal year, or quarter. </t>
  </si>
  <si>
    <t>Data from .csv files or SA reports will be imported into this workbook and can be used to check all necessary data has been collected.</t>
  </si>
  <si>
    <t>The values stored in the Data sheet will be assigned to a pivot table in this sheet and is used to add data to program sheets</t>
  </si>
  <si>
    <t>This is a hidden reference sheet that is used to match a lvl 6 account code to a specific row in the program sheets. As new lvl 6 codes are created, those accounts may need to be appended to the table and the table filter will need to be refreshed. To unhide this sheet, use Ctrl + Shift + H.</t>
  </si>
  <si>
    <t>AB Draft</t>
  </si>
  <si>
    <t>Another blank template sheet that is used for the Annual Budget reports</t>
  </si>
  <si>
    <t>This is a hidden summary sheet that will only be made visible for quarterly reports, or annual budget reports. Data for this sheet is aggregated from the program sheets, but also the reserve summary workbook provided by the Finance Board chair. After a quarterly report is created, beginning fund balance and projected year end values will need to be manually inputted.</t>
  </si>
  <si>
    <t>This sheet will only be made visible for quarterly reports or annual budgets. It acts as a table of contents for the program sheets, and provides a very high level overview of activity in a given program. No inputs need be made, but it is a good idea to check the hyperlinks after exporting the reports.</t>
  </si>
  <si>
    <t>This will only be used in the Annual Budget report and will display the summary data for Enhancements provided in the SA Budget workbook.</t>
  </si>
  <si>
    <t>This workbook contains VBA modules that will create three kinds</t>
  </si>
  <si>
    <t xml:space="preserve">of CUSG Finance Board reports - Quarterly Report's, Annual Budgets &amp; </t>
  </si>
  <si>
    <t>Seasonal Budgets</t>
  </si>
  <si>
    <t>Annual Budget -</t>
  </si>
  <si>
    <t>1 - Fill in balues in the dark green cells &amp; click on the button to the left.</t>
  </si>
  <si>
    <t>2 - Select the folder path for the Student Affairs Budget Workbook.</t>
  </si>
  <si>
    <t>3 - Monitor this workbook for message boxes that display errors.</t>
  </si>
  <si>
    <t>5 - Input beginning fund balance values on the Fund Balance sheet.</t>
  </si>
  <si>
    <t>6 - Export the report.</t>
  </si>
  <si>
    <t>a - Mark the Create Word Doc range as TRUE.</t>
  </si>
  <si>
    <t>b - Click Export Report</t>
  </si>
  <si>
    <t>c - Fill in necessary details w/in the generated Word Document</t>
  </si>
  <si>
    <t xml:space="preserve">1 - Collect necessary data. Either the Student Affairs Quarterly Report, or </t>
  </si>
  <si>
    <t xml:space="preserve">     a 4-year Financial Detail II report from CU Data.</t>
  </si>
  <si>
    <t>2 - Input necessary values in the dark green cells &amp; click on the button.</t>
  </si>
  <si>
    <t>3 - Select the folder path for the workbook containing the QR data.</t>
  </si>
  <si>
    <t>4 - When prompted, select the Earmarks report provided by Finacne Board.</t>
  </si>
  <si>
    <t>5 - Fill in footnotes where needed (based on &gt; 12.5% variances)</t>
  </si>
  <si>
    <t>6 - Fill in missing values on Fund Balance sheet</t>
  </si>
  <si>
    <t>7 - Export report &amp; submit to Finance Board</t>
  </si>
  <si>
    <t>Enhancement 9</t>
  </si>
  <si>
    <t>Enhancement 10</t>
  </si>
  <si>
    <t>Assumptions/</t>
  </si>
  <si>
    <t>Notes</t>
  </si>
  <si>
    <t>990000 - 991999 -- MANDATORY TRANSFERS IN</t>
  </si>
  <si>
    <t>FY 22 Budget Proposal</t>
  </si>
  <si>
    <t>FY 19</t>
  </si>
  <si>
    <t>FY 20</t>
  </si>
  <si>
    <t>FY 21</t>
  </si>
  <si>
    <t>FY 22</t>
  </si>
  <si>
    <t>FY 21 Budget</t>
  </si>
  <si>
    <t>4 - When prompted, select the Earmarks report provided by Finance Board.</t>
  </si>
  <si>
    <t>QUARTER</t>
  </si>
  <si>
    <t>Sum of BUDGET</t>
  </si>
  <si>
    <t>Sum of ACTUALS</t>
  </si>
  <si>
    <t>Column Labels</t>
  </si>
  <si>
    <t>Total Sum of BUDGET</t>
  </si>
  <si>
    <t>Total Sum of ACTUALS</t>
  </si>
  <si>
    <t>Row Labels</t>
  </si>
  <si>
    <t>Grand Total</t>
  </si>
  <si>
    <t>(Multiple Items)</t>
  </si>
  <si>
    <t>Compact</t>
  </si>
  <si>
    <t>Total</t>
  </si>
  <si>
    <t>OUT</t>
  </si>
  <si>
    <t>Quarterly Report</t>
  </si>
  <si>
    <t>ACCT</t>
  </si>
  <si>
    <t>220100 -- STUDENT ACTIVITY FEES</t>
  </si>
  <si>
    <t>220120 -- MANDATORY STUDENT FEES (CCHE)</t>
  </si>
  <si>
    <t>407500 -- STD HR PAY GEN BDG</t>
  </si>
  <si>
    <t>407600 -- STD HR PAY</t>
  </si>
  <si>
    <t>407700 -- STD ONC WS PAY</t>
  </si>
  <si>
    <t>407900 -- STD HR OVERTIME</t>
  </si>
  <si>
    <t>427500 -- STD HR BEN GEN BDG</t>
  </si>
  <si>
    <t>428301 -- ALL STD/OTH PER FRINGE BEN</t>
  </si>
  <si>
    <t>450100 -- COST OF GOODS SOLD GEN BUDGET</t>
  </si>
  <si>
    <t>460000 -- OPERATING EXPENSE GEN BUDGET</t>
  </si>
  <si>
    <t>480101 -- OFFICE SUPPLIES</t>
  </si>
  <si>
    <t>480116 -- PAPER</t>
  </si>
  <si>
    <t>482602 -- TELECOMM SERVICES</t>
  </si>
  <si>
    <t>487602 -- PRT/PUB/REPRO SERVICES</t>
  </si>
  <si>
    <t>495100 -- HONORARIA</t>
  </si>
  <si>
    <t>500100 -- IT SUPPLIES</t>
  </si>
  <si>
    <t>500200 -- IT SERVICES</t>
  </si>
  <si>
    <t>500214 -- IT CONNECTIVITY FEE</t>
  </si>
  <si>
    <t>500400 -- IT SOFTWARE LICENSES</t>
  </si>
  <si>
    <t>500500 -- IT MAINTENANCE AGREEMENTS</t>
  </si>
  <si>
    <t>500800 -- COMPUTERS (BUNDLED&lt; $5000)</t>
  </si>
  <si>
    <t>501100 -- IT VIDEO/VOICE HRDWARE &lt; $5000</t>
  </si>
  <si>
    <t>501200 -- OTHER IT HARDWARE &lt; $5000</t>
  </si>
  <si>
    <t>502600 -- BUILDING RENTALS</t>
  </si>
  <si>
    <t>502800 -- SPACE RENTALS</t>
  </si>
  <si>
    <t>502899 -- ID RENTALS</t>
  </si>
  <si>
    <t>508701 -- GENERAL ADV SUPPLIES</t>
  </si>
  <si>
    <t>508715 -- PROMOTIONS</t>
  </si>
  <si>
    <t>510100 -- DUES/MEMBER-PROF ORGANIZATIONS</t>
  </si>
  <si>
    <t>510300 -- LICENSES</t>
  </si>
  <si>
    <t>512600 -- SUBSCRPTS/BKS/PERIOD/SCORES</t>
  </si>
  <si>
    <t>515109 -- BUILDING MAINT AND REPAIR</t>
  </si>
  <si>
    <t>537600 -- EQUIPMENT &lt; $5000</t>
  </si>
  <si>
    <t>537603 -- FURNITURE &lt; $5000</t>
  </si>
  <si>
    <t>550100 -- OFFICIAL FUNCTIONS</t>
  </si>
  <si>
    <t>550300 -- STUDENT FUNCTIONS</t>
  </si>
  <si>
    <t>552499 -- ID OFFICIAL FUNCTIONS</t>
  </si>
  <si>
    <t>552601 -- OTHER OPERATING SUPPLIES</t>
  </si>
  <si>
    <t>552602 -- OTHER OPERATING SERVICES</t>
  </si>
  <si>
    <t>552603 -- OTHR OPERATING EQUIP RENTAL</t>
  </si>
  <si>
    <t>552605 -- OTHR OPERATING CNTRCT SERVICES</t>
  </si>
  <si>
    <t>552626 -- FEES/LICENSES</t>
  </si>
  <si>
    <t>553000 -- CONFERENCE REGISTRATION FEES</t>
  </si>
  <si>
    <t>700000 -- TRAVEL GENERAL BUDGET</t>
  </si>
  <si>
    <t>700200 -- EMPLOYEE TRAVEL - OUT-OF-STATE</t>
  </si>
  <si>
    <t>702000 -- NON-EMPLOYEE TRAVEL - IN STATE</t>
  </si>
  <si>
    <t>750300 -- ELECTRICITY</t>
  </si>
  <si>
    <t>810000 -- FIXED ASSETS GENERAL BUDGET</t>
  </si>
  <si>
    <t>960100 -- GENERAL ADMIN RECHARGE</t>
  </si>
  <si>
    <t>960200 -- GENERAL INFRASTRUCT RECHARGE</t>
  </si>
  <si>
    <t>960402 -- CSI GENERAL ADMIN RECHARGE</t>
  </si>
  <si>
    <t>995100 -- CASH TRANSFER IN W/IN CAMPUS</t>
  </si>
  <si>
    <t>997100 -- CASH TRANSFER OUT W/IN CAMPUS</t>
  </si>
  <si>
    <t>BUDGET</t>
  </si>
  <si>
    <t>ACTUALS</t>
  </si>
  <si>
    <t>PROGRAM</t>
  </si>
  <si>
    <t>ROW</t>
  </si>
  <si>
    <t>SPEEDTYPE</t>
  </si>
  <si>
    <t>KVCU Radio Station</t>
  </si>
  <si>
    <t>FY  21</t>
  </si>
  <si>
    <t>FY  20</t>
  </si>
  <si>
    <t>FY  19</t>
  </si>
  <si>
    <t>FY  18</t>
  </si>
  <si>
    <t>Revenues, Expenses, &amp; Transfers - All Programs</t>
  </si>
  <si>
    <t>Seasonalized</t>
  </si>
  <si>
    <t>YTD - Seasonal</t>
  </si>
  <si>
    <t>Transfers Out &amp;</t>
  </si>
  <si>
    <t>&amp; Debt</t>
  </si>
  <si>
    <t>Net</t>
  </si>
  <si>
    <t>Position</t>
  </si>
  <si>
    <t>Balance</t>
  </si>
  <si>
    <t>1)</t>
  </si>
  <si>
    <t>2)</t>
  </si>
  <si>
    <t>3)</t>
  </si>
  <si>
    <t>4)</t>
  </si>
  <si>
    <t>5)</t>
  </si>
  <si>
    <t>6)</t>
  </si>
  <si>
    <t>7)</t>
  </si>
  <si>
    <t>1) KVCU Operations</t>
  </si>
  <si>
    <t>Footnote explanation #1</t>
  </si>
  <si>
    <t>Footnote explanation #2</t>
  </si>
  <si>
    <t>Footnote explanation #3</t>
  </si>
  <si>
    <t>Footnote explanation #4</t>
  </si>
  <si>
    <t>Footnote explanation #5</t>
  </si>
  <si>
    <t>Footnote explanation #6</t>
  </si>
  <si>
    <t>Footnote explanation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</si>
</sst>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quot;$&quot;* #,##0_);_(&quot;$&quot;* \(#,##0\);_(&quot;$&quot;* &quot;-&quot;_);_(@_)"/>
    <numFmt numFmtId="41" formatCode="_(* #,##0_);_(* \(#,##0\);_(* &quot;-&quot;_);_(@_)"/>
    <numFmt numFmtId="43" formatCode="_(* #,##0.00_);_(* \(#,##0.00\);_(* &quot;-&quot;??_);_(@_)"/>
    <numFmt numFmtId="164" formatCode="[$-409]d/mmm/yy;@"/>
    <numFmt numFmtId="165" formatCode="0.0%"/>
    <numFmt numFmtId="166" formatCode="mm/dd/yy;@"/>
    <numFmt numFmtId="167" formatCode="mm:ss.0;@"/>
    <numFmt numFmtId="168" formatCode="###0"/>
  </numFmts>
  <fonts count="39">
    <font>
      <sz val="11"/>
      <color theme="1"/>
      <name val="Calibri"/>
      <family val="2"/>
      <scheme val="minor"/>
    </font>
    <font>
      <sz val="11"/>
      <color theme="1"/>
      <name val="Calibri"/>
      <family val="2"/>
      <scheme val="minor"/>
    </font>
    <font>
      <b/>
      <u/>
      <sz val="12"/>
      <color theme="1"/>
      <name val="Calibri"/>
      <family val="2"/>
      <scheme val="minor"/>
    </font>
    <font>
      <sz val="10"/>
      <name val="Arial MT"/>
    </font>
    <font>
      <b/>
      <u/>
      <sz val="12"/>
      <name val="Calibri"/>
      <family val="2"/>
      <scheme val="minor"/>
    </font>
    <font>
      <sz val="12"/>
      <color theme="1"/>
      <name val="Calibri"/>
      <family val="2"/>
      <scheme val="minor"/>
    </font>
    <font>
      <b/>
      <sz val="12"/>
      <name val="Calibri"/>
      <family val="2"/>
      <scheme val="minor"/>
    </font>
    <font>
      <sz val="12"/>
      <name val="Calibri"/>
      <family val="2"/>
      <scheme val="minor"/>
    </font>
    <font>
      <sz val="12"/>
      <color rgb="FFFF0000"/>
      <name val="Calibri"/>
      <family val="2"/>
      <scheme val="minor"/>
    </font>
    <font>
      <b/>
      <sz val="9"/>
      <color indexed="81"/>
      <name val="Tahoma"/>
      <family val="2"/>
    </font>
    <font>
      <u/>
      <sz val="11"/>
      <color theme="10"/>
      <name val="Calibri"/>
      <family val="2"/>
      <scheme val="minor"/>
    </font>
    <font>
      <b/>
      <sz val="12"/>
      <color indexed="81"/>
      <name val="Calibri Light"/>
      <family val="2"/>
      <scheme val="major"/>
    </font>
    <font>
      <u/>
      <sz val="12"/>
      <color theme="10"/>
      <name val="Calibri"/>
      <family val="2"/>
      <scheme val="minor"/>
    </font>
    <font>
      <u/>
      <sz val="12"/>
      <name val="Calibri"/>
      <family val="2"/>
      <scheme val="minor"/>
    </font>
    <font>
      <b/>
      <sz val="12"/>
      <color theme="1"/>
      <name val="Calibri"/>
      <family val="2"/>
      <scheme val="minor"/>
    </font>
    <font>
      <sz val="12"/>
      <color theme="2"/>
      <name val="Calibri"/>
      <family val="2"/>
      <scheme val="minor"/>
    </font>
    <font>
      <sz val="12"/>
      <color theme="0"/>
      <name val="Calibri"/>
      <family val="2"/>
      <scheme val="minor"/>
    </font>
    <font>
      <b/>
      <sz val="12"/>
      <color theme="0"/>
      <name val="Calibri"/>
      <family val="2"/>
      <scheme val="minor"/>
    </font>
    <font>
      <u/>
      <sz val="12"/>
      <color theme="1"/>
      <name val="Calibri"/>
      <family val="2"/>
      <scheme val="minor"/>
    </font>
    <font>
      <sz val="12"/>
      <color indexed="8"/>
      <name val="Calibri"/>
      <family val="2"/>
      <scheme val="minor"/>
    </font>
    <font>
      <sz val="8"/>
      <color rgb="FF000000"/>
      <name val="Segoe UI"/>
      <family val="2"/>
    </font>
    <font>
      <sz val="8"/>
      <name val="Calibri"/>
      <family val="2"/>
      <scheme val="minor"/>
    </font>
    <font>
      <b/>
      <u/>
      <sz val="14"/>
      <color theme="1"/>
      <name val="Calibri"/>
      <family val="2"/>
      <scheme val="minor"/>
    </font>
    <font>
      <b/>
      <u/>
      <sz val="11"/>
      <color theme="1"/>
      <name val="Calibri"/>
      <family val="2"/>
      <scheme val="minor"/>
    </font>
    <font>
      <i/>
      <sz val="12"/>
      <color theme="1"/>
      <name val="Calibri"/>
      <family val="2"/>
      <scheme val="minor"/>
    </font>
    <font>
      <i/>
      <sz val="12"/>
      <color rgb="FFC00000"/>
      <name val="Calibri"/>
      <family val="2"/>
      <scheme val="minor"/>
    </font>
    <font>
      <b/>
      <i/>
      <sz val="12"/>
      <color rgb="FFC00000"/>
      <name val="Calibri"/>
      <family val="2"/>
      <scheme val="minor"/>
    </font>
    <font>
      <sz val="12"/>
      <color theme="8" tint="-0.249977111117893"/>
      <name val="Calibri"/>
      <family val="2"/>
      <scheme val="minor"/>
    </font>
    <font>
      <b/>
      <sz val="12"/>
      <color theme="8" tint="-0.249977111117893"/>
      <name val="Calibri"/>
      <family val="2"/>
      <scheme val="minor"/>
    </font>
    <font>
      <sz val="12"/>
      <color rgb="FFC4A760"/>
      <name val="Calibri"/>
      <family val="2"/>
      <scheme val="minor"/>
    </font>
    <font>
      <b/>
      <sz val="12"/>
      <color rgb="FFC4A760"/>
      <name val="Calibri"/>
      <family val="2"/>
      <scheme val="minor"/>
    </font>
    <font>
      <sz val="12"/>
      <color theme="0" tint="-4.9989318521683403E-2"/>
      <name val="Calibri"/>
      <family val="2"/>
      <scheme val="minor"/>
    </font>
    <font>
      <sz val="11"/>
      <color rgb="FF000000"/>
      <name val="Calibri"/>
      <family val="2"/>
    </font>
    <font>
      <sz val="10"/>
      <color theme="1"/>
      <name val="Calibri"/>
      <family val="2"/>
      <scheme val="minor"/>
    </font>
    <font>
      <u/>
      <sz val="10"/>
      <name val="Calibri"/>
      <family val="2"/>
      <scheme val="minor"/>
    </font>
    <font>
      <u/>
      <sz val="11"/>
      <name val="Calibri"/>
      <family val="2"/>
      <scheme val="minor"/>
    </font>
    <font>
      <b/>
      <sz val="11"/>
      <color indexed="81"/>
      <name val="Arial"/>
      <family val="2"/>
    </font>
    <font>
      <b/>
      <u/>
      <sz val="14"/>
      <color theme="10"/>
      <name val="Calibri"/>
      <family val="2"/>
      <scheme val="minor"/>
    </font>
    <font>
      <b/>
      <sz val="14"/>
      <color theme="1"/>
      <name val="Calibri"/>
      <family val="2"/>
      <scheme val="minor"/>
    </font>
  </fonts>
  <fills count="3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rgb="FFCFB87C"/>
        <bgColor indexed="64"/>
      </patternFill>
    </fill>
    <fill>
      <patternFill patternType="solid">
        <fgColor rgb="FFDCCBA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rgb="FFE1D2AD"/>
        <bgColor indexed="64"/>
      </patternFill>
    </fill>
    <fill>
      <patternFill patternType="solid">
        <fgColor rgb="FFECE3CC"/>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EBF6"/>
        <bgColor indexed="64"/>
      </patternFill>
    </fill>
    <fill>
      <patternFill patternType="solid">
        <fgColor rgb="FFF5F0E3"/>
        <bgColor indexed="64"/>
      </patternFill>
    </fill>
    <fill>
      <patternFill patternType="solid">
        <fgColor theme="0" tint="-4.9989318521683403E-2"/>
        <bgColor indexed="64"/>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9" tint="0.59999389629810485"/>
        <bgColor indexed="65"/>
      </patternFill>
    </fill>
    <fill>
      <patternFill patternType="solid">
        <fgColor theme="9" tint="0.59999389629810485"/>
        <bgColor indexed="64"/>
      </patternFill>
    </fill>
    <fill>
      <patternFill patternType="solid">
        <fgColor rgb="FFFFFFCC"/>
      </patternFill>
    </fill>
  </fills>
  <borders count="69">
    <border>
      <left/>
      <right/>
      <top/>
      <bottom/>
      <diagonal/>
    </border>
    <border>
      <left/>
      <right/>
      <top/>
      <bottom style="dotted">
        <color indexed="64"/>
      </bottom>
      <diagonal/>
    </border>
    <border>
      <left style="dotted">
        <color indexed="64"/>
      </left>
      <right/>
      <top/>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style="dotted">
        <color indexed="64"/>
      </left>
      <right/>
      <top/>
      <bottom style="dotted">
        <color indexed="64"/>
      </bottom>
      <diagonal/>
    </border>
    <border>
      <left style="dotted">
        <color indexed="64"/>
      </left>
      <right style="dotted">
        <color indexed="64"/>
      </right>
      <top/>
      <bottom style="dotted">
        <color indexed="64"/>
      </bottom>
      <diagonal/>
    </border>
    <border>
      <left style="dotted">
        <color indexed="64"/>
      </left>
      <right/>
      <top/>
      <bottom style="thin">
        <color indexed="64"/>
      </bottom>
      <diagonal/>
    </border>
    <border>
      <left/>
      <right/>
      <top style="thin">
        <color indexed="64"/>
      </top>
      <bottom/>
      <diagonal/>
    </border>
    <border>
      <left style="dotted">
        <color indexed="64"/>
      </left>
      <right/>
      <top style="thin">
        <color indexed="64"/>
      </top>
      <bottom/>
      <diagonal/>
    </border>
    <border>
      <left style="dotted">
        <color indexed="64"/>
      </left>
      <right style="dotted">
        <color indexed="64"/>
      </right>
      <top style="thin">
        <color indexed="64"/>
      </top>
      <bottom/>
      <diagonal/>
    </border>
    <border>
      <left/>
      <right/>
      <top/>
      <bottom style="thin">
        <color auto="1"/>
      </bottom>
      <diagonal/>
    </border>
    <border>
      <left style="dotted">
        <color indexed="64"/>
      </left>
      <right style="dotted">
        <color indexed="64"/>
      </right>
      <top/>
      <bottom style="thin">
        <color indexed="64"/>
      </bottom>
      <diagonal/>
    </border>
    <border>
      <left/>
      <right/>
      <top style="thin">
        <color indexed="64"/>
      </top>
      <bottom style="double">
        <color indexed="64"/>
      </bottom>
      <diagonal/>
    </border>
    <border>
      <left style="dotted">
        <color indexed="64"/>
      </left>
      <right/>
      <top style="thin">
        <color indexed="64"/>
      </top>
      <bottom style="double">
        <color indexed="64"/>
      </bottom>
      <diagonal/>
    </border>
    <border>
      <left style="dotted">
        <color indexed="64"/>
      </left>
      <right style="dotted">
        <color indexed="64"/>
      </right>
      <top style="thin">
        <color indexed="64"/>
      </top>
      <bottom style="double">
        <color indexed="64"/>
      </bottom>
      <diagonal/>
    </border>
    <border>
      <left/>
      <right/>
      <top style="double">
        <color indexed="64"/>
      </top>
      <bottom/>
      <diagonal/>
    </border>
    <border>
      <left/>
      <right style="dotted">
        <color indexed="64"/>
      </right>
      <top/>
      <bottom style="dotted">
        <color indexed="64"/>
      </bottom>
      <diagonal/>
    </border>
    <border>
      <left/>
      <right style="dotted">
        <color indexed="64"/>
      </right>
      <top/>
      <bottom/>
      <diagonal/>
    </border>
    <border>
      <left/>
      <right/>
      <top style="thin">
        <color indexed="64"/>
      </top>
      <bottom style="thin">
        <color indexed="64"/>
      </bottom>
      <diagonal/>
    </border>
    <border>
      <left style="dotted">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thin">
        <color indexed="64"/>
      </top>
      <bottom style="dotted">
        <color indexed="64"/>
      </bottom>
      <diagonal/>
    </border>
    <border>
      <left style="dotted">
        <color indexed="64"/>
      </left>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right style="dotted">
        <color indexed="64"/>
      </right>
      <top style="thin">
        <color indexed="64"/>
      </top>
      <bottom style="thin">
        <color indexed="64"/>
      </bottom>
      <diagonal/>
    </border>
    <border>
      <left/>
      <right/>
      <top style="double">
        <color indexed="64"/>
      </top>
      <bottom style="thin">
        <color auto="1"/>
      </bottom>
      <diagonal/>
    </border>
    <border>
      <left style="dotted">
        <color indexed="64"/>
      </left>
      <right style="dotted">
        <color indexed="64"/>
      </right>
      <top style="dotted">
        <color indexed="64"/>
      </top>
      <bottom style="thin">
        <color indexed="64"/>
      </bottom>
      <diagonal/>
    </border>
    <border>
      <left/>
      <right/>
      <top style="dott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double">
        <color indexed="64"/>
      </bottom>
      <diagonal/>
    </border>
    <border>
      <left style="thin">
        <color rgb="FF000000"/>
      </left>
      <right style="thin">
        <color rgb="FF000000"/>
      </right>
      <top style="thin">
        <color rgb="FF000000"/>
      </top>
      <bottom style="thin">
        <color rgb="FF000000"/>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dotted">
        <color indexed="64"/>
      </right>
      <top style="dotted">
        <color indexed="64"/>
      </top>
      <bottom/>
      <diagonal/>
    </border>
    <border>
      <left/>
      <right style="dotted">
        <color indexed="64"/>
      </right>
      <top style="thin">
        <color indexed="64"/>
      </top>
      <bottom/>
      <diagonal/>
    </border>
    <border>
      <left/>
      <right style="dotted">
        <color indexed="64"/>
      </right>
      <top/>
      <bottom style="thin">
        <color auto="1"/>
      </bottom>
      <diagonal/>
    </border>
    <border>
      <left/>
      <right style="dotted">
        <color indexed="64"/>
      </right>
      <top style="thin">
        <color indexed="64"/>
      </top>
      <bottom style="double">
        <color indexed="64"/>
      </bottom>
      <diagonal/>
    </border>
    <border>
      <left/>
      <right style="dotted">
        <color indexed="64"/>
      </right>
      <top style="thin">
        <color indexed="64"/>
      </top>
      <bottom style="dotted">
        <color indexed="64"/>
      </bottom>
      <diagonal/>
    </border>
    <border>
      <left/>
      <right style="thin">
        <color indexed="64"/>
      </right>
      <top/>
      <bottom style="thin">
        <color rgb="FF000000"/>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dotted">
        <color indexed="64"/>
      </bottom>
      <diagonal/>
    </border>
    <border>
      <left/>
      <right style="thin">
        <color indexed="64"/>
      </right>
      <top style="thin">
        <color indexed="64"/>
      </top>
      <bottom style="double">
        <color indexed="64"/>
      </bottom>
      <diagonal/>
    </border>
    <border>
      <left/>
      <right style="thin">
        <color indexed="64"/>
      </right>
      <top style="thin">
        <color indexed="64"/>
      </top>
      <bottom style="dotted">
        <color indexed="64"/>
      </bottom>
      <diagonal/>
    </border>
    <border>
      <left style="dotted">
        <color indexed="64"/>
      </left>
      <right style="thin">
        <color indexed="64"/>
      </right>
      <top style="thin">
        <color auto="1"/>
      </top>
      <bottom style="double">
        <color indexed="64"/>
      </bottom>
      <diagonal/>
    </border>
    <border>
      <left style="dotted">
        <color indexed="64"/>
      </left>
      <right style="thin">
        <color indexed="64"/>
      </right>
      <top style="thin">
        <color auto="1"/>
      </top>
      <bottom/>
      <diagonal/>
    </border>
    <border>
      <left style="dotted">
        <color indexed="64"/>
      </left>
      <right style="thin">
        <color indexed="64"/>
      </right>
      <top/>
      <bottom/>
      <diagonal/>
    </border>
    <border>
      <left style="dotted">
        <color indexed="64"/>
      </left>
      <right style="thin">
        <color indexed="64"/>
      </right>
      <top/>
      <bottom style="dotted">
        <color indexed="64"/>
      </bottom>
      <diagonal/>
    </border>
    <border>
      <left style="dotted">
        <color indexed="64"/>
      </left>
      <right style="thin">
        <color indexed="64"/>
      </right>
      <top style="thin">
        <color indexed="64"/>
      </top>
      <bottom style="thin">
        <color indexed="64"/>
      </bottom>
      <diagonal/>
    </border>
    <border>
      <left style="dotted">
        <color indexed="64"/>
      </left>
      <right style="thin">
        <color indexed="64"/>
      </right>
      <top style="thin">
        <color indexed="64"/>
      </top>
      <bottom style="dotted">
        <color indexed="64"/>
      </bottom>
      <diagonal/>
    </border>
    <border>
      <left/>
      <right style="thin">
        <color indexed="64"/>
      </right>
      <top style="thin">
        <color rgb="FF000000"/>
      </top>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indexed="64"/>
      </right>
      <top style="thin">
        <color rgb="FF000000"/>
      </top>
      <bottom style="thin">
        <color rgb="FF000000"/>
      </bottom>
      <diagonal/>
    </border>
    <border>
      <left/>
      <right style="thin">
        <color rgb="FF000000"/>
      </right>
      <top style="thin">
        <color rgb="FF000000"/>
      </top>
      <bottom style="thin">
        <color rgb="FF000000"/>
      </bottom>
      <diagonal/>
    </border>
  </borders>
  <cellStyleXfs count="16">
    <xf numFmtId="0" fontId="0" fillId="0" borderId="0"/>
    <xf numFmtId="9" fontId="1" fillId="0" borderId="0" applyFont="0" applyFill="0" applyBorder="0" applyAlignment="0" applyProtection="0"/>
    <xf numFmtId="0" fontId="3" fillId="0" borderId="0"/>
    <xf numFmtId="9" fontId="3" fillId="0" borderId="0" applyFont="0" applyFill="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0" fontId="3" fillId="0" borderId="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1" borderId="48" applyNumberFormat="0" applyFont="0" applyAlignment="0" applyProtection="0"/>
  </cellStyleXfs>
  <cellXfs count="515">
    <xf numFmtId="0" fontId="0" fillId="0" borderId="0" xfId="0"/>
    <xf numFmtId="164" fontId="2" fillId="0" borderId="0" xfId="0" applyNumberFormat="1" applyFont="1" applyAlignment="1">
      <alignment horizontal="center"/>
    </xf>
    <xf numFmtId="0" fontId="5" fillId="0" borderId="2" xfId="0" applyFont="1" applyBorder="1"/>
    <xf numFmtId="0" fontId="6" fillId="3" borderId="13" xfId="2" applyFont="1" applyFill="1" applyBorder="1" applyAlignment="1">
      <alignment horizontal="right"/>
    </xf>
    <xf numFmtId="42" fontId="7" fillId="3" borderId="14" xfId="2" applyNumberFormat="1" applyFont="1" applyFill="1" applyBorder="1"/>
    <xf numFmtId="165" fontId="7" fillId="3" borderId="13" xfId="1" applyNumberFormat="1" applyFont="1" applyFill="1" applyBorder="1" applyAlignment="1">
      <alignment horizontal="center" vertical="center"/>
    </xf>
    <xf numFmtId="1" fontId="8" fillId="3" borderId="15" xfId="2" applyNumberFormat="1" applyFont="1" applyFill="1" applyBorder="1" applyAlignment="1">
      <alignment horizontal="center" vertical="center"/>
    </xf>
    <xf numFmtId="0" fontId="4" fillId="0" borderId="0" xfId="2" applyFont="1" applyAlignment="1">
      <alignment horizontal="left"/>
    </xf>
    <xf numFmtId="0" fontId="2" fillId="0" borderId="1" xfId="0" applyFont="1" applyBorder="1" applyAlignment="1">
      <alignment horizontal="left"/>
    </xf>
    <xf numFmtId="0" fontId="6" fillId="0" borderId="13" xfId="2" applyFont="1" applyBorder="1" applyAlignment="1">
      <alignment horizontal="right"/>
    </xf>
    <xf numFmtId="42" fontId="7" fillId="3" borderId="15" xfId="2" applyNumberFormat="1" applyFont="1" applyFill="1" applyBorder="1"/>
    <xf numFmtId="42" fontId="7" fillId="3" borderId="13" xfId="2" applyNumberFormat="1" applyFont="1" applyFill="1" applyBorder="1"/>
    <xf numFmtId="0" fontId="2" fillId="0" borderId="0" xfId="0" applyFont="1" applyAlignment="1">
      <alignment horizontal="left"/>
    </xf>
    <xf numFmtId="0" fontId="0" fillId="0" borderId="0" xfId="0"/>
    <xf numFmtId="165" fontId="7" fillId="3" borderId="45" xfId="1" applyNumberFormat="1" applyFont="1" applyFill="1" applyBorder="1" applyAlignment="1">
      <alignment horizontal="center" vertical="center"/>
    </xf>
    <xf numFmtId="42" fontId="7" fillId="3" borderId="15" xfId="1" applyNumberFormat="1" applyFont="1" applyFill="1" applyBorder="1" applyAlignment="1">
      <alignment horizontal="center" vertical="center"/>
    </xf>
    <xf numFmtId="42" fontId="7" fillId="3" borderId="13" xfId="1" applyNumberFormat="1" applyFont="1" applyFill="1" applyBorder="1" applyAlignment="1">
      <alignment horizontal="center" vertical="center"/>
    </xf>
    <xf numFmtId="42" fontId="7" fillId="0" borderId="2" xfId="2" applyNumberFormat="1" applyFont="1" applyBorder="1" applyAlignment="1">
      <alignment horizontal="center"/>
    </xf>
    <xf numFmtId="165" fontId="7" fillId="0" borderId="42" xfId="2" applyNumberFormat="1" applyFont="1" applyBorder="1" applyAlignment="1">
      <alignment horizontal="center" vertical="center"/>
    </xf>
    <xf numFmtId="42" fontId="7" fillId="0" borderId="3" xfId="2" applyNumberFormat="1" applyFont="1" applyBorder="1" applyAlignment="1">
      <alignment horizontal="center" vertical="center"/>
    </xf>
    <xf numFmtId="42" fontId="7" fillId="0" borderId="0" xfId="2" applyNumberFormat="1" applyFont="1" applyAlignment="1">
      <alignment horizontal="center" vertical="center"/>
    </xf>
    <xf numFmtId="165" fontId="7" fillId="0" borderId="0" xfId="2" applyNumberFormat="1" applyFont="1" applyAlignment="1">
      <alignment horizontal="center" vertical="center"/>
    </xf>
    <xf numFmtId="166" fontId="13" fillId="0" borderId="0" xfId="2" applyNumberFormat="1" applyFont="1" applyAlignment="1">
      <alignment vertical="center"/>
    </xf>
    <xf numFmtId="42" fontId="4" fillId="0" borderId="2" xfId="2" applyNumberFormat="1" applyFont="1" applyBorder="1" applyAlignment="1">
      <alignment horizontal="center"/>
    </xf>
    <xf numFmtId="165" fontId="4" fillId="0" borderId="18" xfId="2" applyNumberFormat="1" applyFont="1" applyBorder="1" applyAlignment="1">
      <alignment horizontal="center" vertical="center"/>
    </xf>
    <xf numFmtId="165" fontId="4" fillId="0" borderId="0" xfId="2" applyNumberFormat="1" applyFont="1" applyAlignment="1">
      <alignment horizontal="center" vertical="center"/>
    </xf>
    <xf numFmtId="0" fontId="13" fillId="0" borderId="0" xfId="2" applyFont="1" applyAlignment="1">
      <alignment horizontal="center"/>
    </xf>
    <xf numFmtId="0" fontId="13" fillId="0" borderId="1" xfId="2" applyFont="1" applyBorder="1" applyAlignment="1">
      <alignment horizontal="right"/>
    </xf>
    <xf numFmtId="42" fontId="7" fillId="0" borderId="5" xfId="2" applyNumberFormat="1" applyFont="1" applyBorder="1" applyAlignment="1">
      <alignment horizontal="center"/>
    </xf>
    <xf numFmtId="165" fontId="7" fillId="0" borderId="17" xfId="2" applyNumberFormat="1" applyFont="1" applyBorder="1" applyAlignment="1">
      <alignment horizontal="center" vertical="center"/>
    </xf>
    <xf numFmtId="42" fontId="7" fillId="0" borderId="6" xfId="2" applyNumberFormat="1" applyFont="1" applyBorder="1" applyAlignment="1">
      <alignment horizontal="center" vertical="center"/>
    </xf>
    <xf numFmtId="42" fontId="7" fillId="0" borderId="1" xfId="2" applyNumberFormat="1" applyFont="1" applyBorder="1" applyAlignment="1">
      <alignment horizontal="center" vertical="center"/>
    </xf>
    <xf numFmtId="165" fontId="7" fillId="0" borderId="1" xfId="2" applyNumberFormat="1" applyFont="1" applyBorder="1" applyAlignment="1">
      <alignment horizontal="center" vertical="center"/>
    </xf>
    <xf numFmtId="0" fontId="6" fillId="0" borderId="0" xfId="2" applyFont="1" applyAlignment="1">
      <alignment horizontal="left"/>
    </xf>
    <xf numFmtId="42" fontId="7" fillId="0" borderId="7" xfId="2" applyNumberFormat="1" applyFont="1" applyBorder="1"/>
    <xf numFmtId="42" fontId="7" fillId="0" borderId="7" xfId="2" applyNumberFormat="1" applyFont="1" applyBorder="1" applyAlignment="1">
      <alignment horizontal="right"/>
    </xf>
    <xf numFmtId="165" fontId="7" fillId="0" borderId="18" xfId="2" applyNumberFormat="1" applyFont="1" applyBorder="1" applyAlignment="1">
      <alignment horizontal="center" vertical="center"/>
    </xf>
    <xf numFmtId="42" fontId="7" fillId="0" borderId="2" xfId="2" applyNumberFormat="1" applyFont="1" applyBorder="1"/>
    <xf numFmtId="42" fontId="7" fillId="0" borderId="4" xfId="2" applyNumberFormat="1" applyFont="1" applyBorder="1" applyAlignment="1">
      <alignment horizontal="center" vertical="center"/>
    </xf>
    <xf numFmtId="0" fontId="7" fillId="0" borderId="4" xfId="2" applyFont="1" applyBorder="1" applyAlignment="1">
      <alignment horizontal="center" vertical="center"/>
    </xf>
    <xf numFmtId="0" fontId="7" fillId="2" borderId="8" xfId="2" applyFont="1" applyFill="1" applyBorder="1" applyAlignment="1">
      <alignment horizontal="left" indent="1"/>
    </xf>
    <xf numFmtId="165" fontId="7" fillId="2" borderId="43" xfId="1" applyNumberFormat="1" applyFont="1" applyFill="1" applyBorder="1" applyAlignment="1">
      <alignment horizontal="center" vertical="center"/>
    </xf>
    <xf numFmtId="165" fontId="7" fillId="2" borderId="8" xfId="1" applyNumberFormat="1" applyFont="1" applyFill="1" applyBorder="1" applyAlignment="1">
      <alignment horizontal="center" vertical="center"/>
    </xf>
    <xf numFmtId="0" fontId="8" fillId="2" borderId="10" xfId="2" applyFont="1" applyFill="1" applyBorder="1" applyAlignment="1">
      <alignment horizontal="center" vertical="center"/>
    </xf>
    <xf numFmtId="0" fontId="7" fillId="2" borderId="0" xfId="2" applyFont="1" applyFill="1" applyAlignment="1">
      <alignment horizontal="left" indent="1"/>
    </xf>
    <xf numFmtId="165" fontId="7" fillId="2" borderId="18" xfId="1" applyNumberFormat="1" applyFont="1" applyFill="1" applyBorder="1" applyAlignment="1">
      <alignment horizontal="center" vertical="center"/>
    </xf>
    <xf numFmtId="165" fontId="7" fillId="2" borderId="0" xfId="1" applyNumberFormat="1" applyFont="1" applyFill="1" applyBorder="1" applyAlignment="1">
      <alignment horizontal="center" vertical="center"/>
    </xf>
    <xf numFmtId="1" fontId="8" fillId="2" borderId="4" xfId="2" applyNumberFormat="1" applyFont="1" applyFill="1" applyBorder="1" applyAlignment="1">
      <alignment horizontal="center" vertical="center"/>
    </xf>
    <xf numFmtId="0" fontId="7" fillId="2" borderId="11" xfId="2" applyFont="1" applyFill="1" applyBorder="1" applyAlignment="1">
      <alignment horizontal="left" indent="1"/>
    </xf>
    <xf numFmtId="165" fontId="7" fillId="2" borderId="44" xfId="1" applyNumberFormat="1" applyFont="1" applyFill="1" applyBorder="1" applyAlignment="1">
      <alignment horizontal="center" vertical="center"/>
    </xf>
    <xf numFmtId="165" fontId="7" fillId="2" borderId="11" xfId="1" applyNumberFormat="1" applyFont="1" applyFill="1" applyBorder="1" applyAlignment="1">
      <alignment horizontal="center" vertical="center"/>
    </xf>
    <xf numFmtId="1" fontId="8" fillId="2" borderId="12" xfId="2" applyNumberFormat="1" applyFont="1" applyFill="1" applyBorder="1" applyAlignment="1">
      <alignment horizontal="center" vertical="center"/>
    </xf>
    <xf numFmtId="0" fontId="7" fillId="0" borderId="0" xfId="2" applyFont="1" applyAlignment="1">
      <alignment horizontal="left"/>
    </xf>
    <xf numFmtId="42" fontId="7" fillId="0" borderId="16" xfId="2" applyNumberFormat="1" applyFont="1" applyBorder="1"/>
    <xf numFmtId="42" fontId="7" fillId="0" borderId="0" xfId="2" applyNumberFormat="1" applyFont="1" applyBorder="1"/>
    <xf numFmtId="42" fontId="7" fillId="0" borderId="0" xfId="2" applyNumberFormat="1" applyFont="1"/>
    <xf numFmtId="165" fontId="7" fillId="0" borderId="16" xfId="1" applyNumberFormat="1" applyFont="1" applyFill="1" applyBorder="1" applyAlignment="1">
      <alignment horizontal="center" vertical="center"/>
    </xf>
    <xf numFmtId="42" fontId="7" fillId="0" borderId="16" xfId="1" applyNumberFormat="1" applyFont="1" applyFill="1" applyBorder="1" applyAlignment="1">
      <alignment horizontal="center" vertical="center"/>
    </xf>
    <xf numFmtId="1" fontId="7" fillId="0" borderId="16" xfId="2" applyNumberFormat="1" applyFont="1" applyBorder="1" applyAlignment="1">
      <alignment horizontal="center" vertical="center"/>
    </xf>
    <xf numFmtId="42" fontId="7" fillId="0" borderId="11" xfId="2" applyNumberFormat="1" applyFont="1" applyBorder="1"/>
    <xf numFmtId="165" fontId="7" fillId="0" borderId="11" xfId="1" applyNumberFormat="1" applyFont="1" applyFill="1" applyBorder="1" applyAlignment="1">
      <alignment horizontal="center" vertical="center"/>
    </xf>
    <xf numFmtId="42" fontId="7" fillId="0" borderId="11" xfId="1" applyNumberFormat="1" applyFont="1" applyFill="1" applyBorder="1" applyAlignment="1">
      <alignment horizontal="center" vertical="center"/>
    </xf>
    <xf numFmtId="1" fontId="7" fillId="0" borderId="11" xfId="2" applyNumberFormat="1" applyFont="1" applyBorder="1" applyAlignment="1">
      <alignment horizontal="center" vertical="center"/>
    </xf>
    <xf numFmtId="1" fontId="8" fillId="2" borderId="10" xfId="2" applyNumberFormat="1" applyFont="1" applyFill="1" applyBorder="1" applyAlignment="1">
      <alignment horizontal="center" vertical="center"/>
    </xf>
    <xf numFmtId="0" fontId="7" fillId="2" borderId="17" xfId="2" applyFont="1" applyFill="1" applyBorder="1" applyAlignment="1">
      <alignment horizontal="left" indent="1"/>
    </xf>
    <xf numFmtId="165" fontId="7" fillId="2" borderId="17" xfId="1" applyNumberFormat="1" applyFont="1" applyFill="1" applyBorder="1" applyAlignment="1">
      <alignment horizontal="center" vertical="center"/>
    </xf>
    <xf numFmtId="1" fontId="8" fillId="2" borderId="6" xfId="2" applyNumberFormat="1" applyFont="1" applyFill="1" applyBorder="1" applyAlignment="1">
      <alignment horizontal="center" vertical="center"/>
    </xf>
    <xf numFmtId="0" fontId="6" fillId="0" borderId="19" xfId="2" applyFont="1" applyBorder="1" applyAlignment="1">
      <alignment horizontal="right"/>
    </xf>
    <xf numFmtId="42" fontId="7" fillId="0" borderId="20" xfId="2" applyNumberFormat="1" applyFont="1" applyBorder="1"/>
    <xf numFmtId="42" fontId="7" fillId="0" borderId="20" xfId="2" quotePrefix="1" applyNumberFormat="1" applyFont="1" applyBorder="1"/>
    <xf numFmtId="165" fontId="7" fillId="0" borderId="25" xfId="1" applyNumberFormat="1" applyFont="1" applyFill="1" applyBorder="1" applyAlignment="1">
      <alignment horizontal="center" vertical="center"/>
    </xf>
    <xf numFmtId="42" fontId="7" fillId="0" borderId="21" xfId="1" applyNumberFormat="1" applyFont="1" applyFill="1" applyBorder="1" applyAlignment="1">
      <alignment horizontal="center" vertical="center"/>
    </xf>
    <xf numFmtId="42" fontId="7" fillId="0" borderId="19" xfId="1" applyNumberFormat="1" applyFont="1" applyFill="1" applyBorder="1" applyAlignment="1">
      <alignment horizontal="center" vertical="center"/>
    </xf>
    <xf numFmtId="165" fontId="7" fillId="0" borderId="19" xfId="1" applyNumberFormat="1" applyFont="1" applyFill="1" applyBorder="1" applyAlignment="1">
      <alignment horizontal="center" vertical="center"/>
    </xf>
    <xf numFmtId="0" fontId="8" fillId="0" borderId="21" xfId="0" applyFont="1" applyBorder="1" applyAlignment="1">
      <alignment horizontal="center" vertical="center"/>
    </xf>
    <xf numFmtId="0" fontId="6" fillId="0" borderId="19" xfId="2" applyFont="1" applyBorder="1" applyAlignment="1">
      <alignment horizontal="left"/>
    </xf>
    <xf numFmtId="42" fontId="5" fillId="0" borderId="19" xfId="0" applyNumberFormat="1" applyFont="1" applyBorder="1"/>
    <xf numFmtId="165" fontId="5" fillId="0" borderId="19" xfId="1" applyNumberFormat="1" applyFont="1" applyFill="1" applyBorder="1" applyAlignment="1">
      <alignment horizontal="center" vertical="center"/>
    </xf>
    <xf numFmtId="42" fontId="5" fillId="0" borderId="19" xfId="1" applyNumberFormat="1" applyFont="1" applyFill="1" applyBorder="1" applyAlignment="1">
      <alignment horizontal="center" vertical="center"/>
    </xf>
    <xf numFmtId="0" fontId="5" fillId="0" borderId="19" xfId="0" applyFont="1" applyBorder="1" applyAlignment="1">
      <alignment horizontal="center" vertical="center"/>
    </xf>
    <xf numFmtId="0" fontId="7" fillId="2" borderId="22" xfId="2" applyFont="1" applyFill="1" applyBorder="1" applyAlignment="1">
      <alignment horizontal="left" indent="1"/>
    </xf>
    <xf numFmtId="165" fontId="7" fillId="2" borderId="46" xfId="1" applyNumberFormat="1" applyFont="1" applyFill="1" applyBorder="1" applyAlignment="1">
      <alignment horizontal="center" vertical="center"/>
    </xf>
    <xf numFmtId="165" fontId="7" fillId="2" borderId="22" xfId="1" applyNumberFormat="1" applyFont="1" applyFill="1" applyBorder="1" applyAlignment="1">
      <alignment horizontal="center" vertical="center"/>
    </xf>
    <xf numFmtId="1" fontId="8" fillId="2" borderId="24" xfId="2" applyNumberFormat="1" applyFont="1" applyFill="1" applyBorder="1" applyAlignment="1">
      <alignment horizontal="center" vertical="center"/>
    </xf>
    <xf numFmtId="42" fontId="7" fillId="0" borderId="21" xfId="2" applyNumberFormat="1" applyFont="1" applyBorder="1"/>
    <xf numFmtId="1" fontId="8" fillId="0" borderId="21" xfId="2" applyNumberFormat="1" applyFont="1" applyBorder="1" applyAlignment="1">
      <alignment horizontal="center" vertical="center"/>
    </xf>
    <xf numFmtId="42" fontId="7" fillId="0" borderId="19" xfId="2" applyNumberFormat="1" applyFont="1" applyBorder="1"/>
    <xf numFmtId="0" fontId="7" fillId="0" borderId="19" xfId="2" applyFont="1" applyBorder="1" applyAlignment="1">
      <alignment horizontal="center" vertical="center"/>
    </xf>
    <xf numFmtId="165" fontId="7" fillId="0" borderId="0" xfId="1" applyNumberFormat="1" applyFont="1" applyFill="1" applyBorder="1" applyAlignment="1">
      <alignment horizontal="center" vertical="center"/>
    </xf>
    <xf numFmtId="42" fontId="7" fillId="0" borderId="0" xfId="1" applyNumberFormat="1" applyFont="1" applyFill="1" applyBorder="1" applyAlignment="1">
      <alignment horizontal="center" vertical="center"/>
    </xf>
    <xf numFmtId="0" fontId="7" fillId="2" borderId="1" xfId="2" applyFont="1" applyFill="1" applyBorder="1" applyAlignment="1">
      <alignment horizontal="left" indent="1"/>
    </xf>
    <xf numFmtId="165" fontId="7" fillId="2" borderId="1" xfId="1" applyNumberFormat="1" applyFont="1" applyFill="1" applyBorder="1" applyAlignment="1">
      <alignment horizontal="center" vertical="center"/>
    </xf>
    <xf numFmtId="0" fontId="6" fillId="0" borderId="25" xfId="2" applyFont="1" applyBorder="1" applyAlignment="1">
      <alignment horizontal="right"/>
    </xf>
    <xf numFmtId="0" fontId="6" fillId="0" borderId="26" xfId="2" applyFont="1" applyBorder="1" applyAlignment="1">
      <alignment horizontal="left"/>
    </xf>
    <xf numFmtId="42" fontId="7" fillId="0" borderId="26" xfId="2" applyNumberFormat="1" applyFont="1" applyBorder="1"/>
    <xf numFmtId="165" fontId="7" fillId="0" borderId="26" xfId="1" applyNumberFormat="1" applyFont="1" applyFill="1" applyBorder="1" applyAlignment="1">
      <alignment horizontal="center" vertical="center"/>
    </xf>
    <xf numFmtId="42" fontId="7" fillId="0" borderId="26" xfId="1" applyNumberFormat="1" applyFont="1" applyFill="1" applyBorder="1" applyAlignment="1">
      <alignment horizontal="center" vertical="center"/>
    </xf>
    <xf numFmtId="0" fontId="7" fillId="0" borderId="26" xfId="2" applyFont="1" applyBorder="1" applyAlignment="1">
      <alignment horizontal="center" vertical="center"/>
    </xf>
    <xf numFmtId="0" fontId="6" fillId="0" borderId="0" xfId="2" applyFont="1" applyAlignment="1">
      <alignment horizontal="right"/>
    </xf>
    <xf numFmtId="42" fontId="7" fillId="0" borderId="2" xfId="2" quotePrefix="1" applyNumberFormat="1" applyFont="1" applyBorder="1"/>
    <xf numFmtId="165" fontId="7" fillId="0" borderId="18" xfId="1" applyNumberFormat="1" applyFont="1" applyFill="1" applyBorder="1" applyAlignment="1">
      <alignment horizontal="center" vertical="center"/>
    </xf>
    <xf numFmtId="42" fontId="7" fillId="0" borderId="4" xfId="1" applyNumberFormat="1" applyFont="1" applyFill="1" applyBorder="1" applyAlignment="1">
      <alignment horizontal="center" vertical="center"/>
    </xf>
    <xf numFmtId="1" fontId="8" fillId="0" borderId="4" xfId="2" applyNumberFormat="1" applyFont="1" applyBorder="1" applyAlignment="1">
      <alignment horizontal="center" vertical="center"/>
    </xf>
    <xf numFmtId="0" fontId="5" fillId="0" borderId="16" xfId="0" applyFont="1" applyBorder="1"/>
    <xf numFmtId="165" fontId="7" fillId="0" borderId="16" xfId="2" applyNumberFormat="1" applyFont="1" applyBorder="1" applyAlignment="1">
      <alignment horizontal="center" vertical="center"/>
    </xf>
    <xf numFmtId="42" fontId="7" fillId="0" borderId="16" xfId="2" applyNumberFormat="1" applyFont="1" applyBorder="1" applyAlignment="1">
      <alignment horizontal="center" vertical="center"/>
    </xf>
    <xf numFmtId="0" fontId="5" fillId="0" borderId="0" xfId="0" applyFont="1" applyAlignment="1">
      <alignment horizontal="center" vertical="center"/>
    </xf>
    <xf numFmtId="0" fontId="7" fillId="0" borderId="16" xfId="2" applyFont="1" applyBorder="1" applyAlignment="1">
      <alignment horizontal="center" vertical="center"/>
    </xf>
    <xf numFmtId="42" fontId="5" fillId="0" borderId="0" xfId="0" applyNumberFormat="1" applyFont="1" applyAlignment="1">
      <alignment horizontal="center" vertical="center"/>
    </xf>
    <xf numFmtId="0" fontId="14" fillId="0" borderId="0" xfId="0" applyFont="1" applyAlignment="1">
      <alignment horizontal="right"/>
    </xf>
    <xf numFmtId="0" fontId="14" fillId="0" borderId="0" xfId="0" applyFont="1" applyAlignment="1">
      <alignment horizontal="right" vertical="center"/>
    </xf>
    <xf numFmtId="0" fontId="14" fillId="0" borderId="0" xfId="0" applyFont="1" applyAlignment="1">
      <alignment horizontal="left" vertical="top"/>
    </xf>
    <xf numFmtId="0" fontId="2" fillId="0" borderId="0" xfId="0" applyFont="1" applyAlignment="1">
      <alignment horizontal="center" vertical="center"/>
    </xf>
    <xf numFmtId="42" fontId="4" fillId="0" borderId="4" xfId="2" applyNumberFormat="1" applyFont="1" applyBorder="1" applyAlignment="1">
      <alignment horizontal="center" vertical="center"/>
    </xf>
    <xf numFmtId="42" fontId="4" fillId="0" borderId="0" xfId="2" applyNumberFormat="1" applyFont="1" applyAlignment="1">
      <alignment horizontal="center" vertical="center"/>
    </xf>
    <xf numFmtId="42" fontId="4" fillId="0" borderId="3" xfId="2" applyNumberFormat="1" applyFont="1" applyBorder="1" applyAlignment="1">
      <alignment horizontal="center" vertical="center"/>
    </xf>
    <xf numFmtId="42" fontId="4" fillId="0" borderId="4" xfId="2" applyNumberFormat="1" applyFont="1" applyBorder="1" applyAlignment="1">
      <alignment horizontal="center"/>
    </xf>
    <xf numFmtId="42" fontId="4" fillId="0" borderId="0" xfId="2" applyNumberFormat="1" applyFont="1" applyAlignment="1">
      <alignment horizontal="center"/>
    </xf>
    <xf numFmtId="0" fontId="13" fillId="0" borderId="18" xfId="2" applyFont="1" applyBorder="1" applyAlignment="1">
      <alignment horizontal="right"/>
    </xf>
    <xf numFmtId="42" fontId="7" fillId="0" borderId="4" xfId="2" applyNumberFormat="1" applyFont="1" applyBorder="1" applyAlignment="1">
      <alignment horizontal="center"/>
    </xf>
    <xf numFmtId="42" fontId="7" fillId="0" borderId="0" xfId="2" applyNumberFormat="1" applyFont="1" applyAlignment="1">
      <alignment horizontal="center"/>
    </xf>
    <xf numFmtId="42" fontId="7" fillId="0" borderId="27" xfId="2" applyNumberFormat="1" applyFont="1" applyBorder="1"/>
    <xf numFmtId="42" fontId="7" fillId="0" borderId="28" xfId="2" applyNumberFormat="1" applyFont="1" applyBorder="1"/>
    <xf numFmtId="0" fontId="7" fillId="0" borderId="8" xfId="2" applyFont="1" applyBorder="1" applyAlignment="1">
      <alignment horizontal="left" indent="1"/>
    </xf>
    <xf numFmtId="0" fontId="7" fillId="0" borderId="0" xfId="2" applyFont="1" applyAlignment="1">
      <alignment horizontal="left" indent="1"/>
    </xf>
    <xf numFmtId="0" fontId="7" fillId="0" borderId="11" xfId="2" applyFont="1" applyBorder="1" applyAlignment="1">
      <alignment horizontal="left" indent="1"/>
    </xf>
    <xf numFmtId="0" fontId="7" fillId="0" borderId="0" xfId="2" applyFont="1" applyAlignment="1">
      <alignment horizontal="center"/>
    </xf>
    <xf numFmtId="0" fontId="7" fillId="0" borderId="1" xfId="2" applyFont="1" applyBorder="1" applyAlignment="1">
      <alignment horizontal="left" indent="1"/>
    </xf>
    <xf numFmtId="42" fontId="7" fillId="0" borderId="19" xfId="2" quotePrefix="1" applyNumberFormat="1" applyFont="1" applyBorder="1"/>
    <xf numFmtId="42" fontId="7" fillId="0" borderId="0" xfId="2" quotePrefix="1" applyNumberFormat="1" applyFont="1"/>
    <xf numFmtId="42" fontId="7" fillId="0" borderId="21" xfId="2" quotePrefix="1" applyNumberFormat="1" applyFont="1" applyBorder="1"/>
    <xf numFmtId="42" fontId="7" fillId="0" borderId="12" xfId="2" applyNumberFormat="1" applyFont="1" applyBorder="1"/>
    <xf numFmtId="42" fontId="7" fillId="0" borderId="4" xfId="2" quotePrefix="1" applyNumberFormat="1" applyFont="1" applyBorder="1"/>
    <xf numFmtId="42" fontId="7" fillId="0" borderId="4" xfId="2" applyNumberFormat="1" applyFont="1" applyBorder="1"/>
    <xf numFmtId="0" fontId="14" fillId="0" borderId="0" xfId="0" applyFont="1"/>
    <xf numFmtId="0" fontId="14" fillId="0" borderId="0" xfId="0" applyFont="1" applyAlignment="1">
      <alignment horizontal="center" vertical="center"/>
    </xf>
    <xf numFmtId="164" fontId="5" fillId="0" borderId="0" xfId="0" applyNumberFormat="1" applyFont="1" applyAlignment="1">
      <alignment horizontal="center" vertical="center"/>
    </xf>
    <xf numFmtId="42" fontId="5" fillId="0" borderId="13" xfId="0" applyNumberFormat="1" applyFont="1" applyBorder="1"/>
    <xf numFmtId="42" fontId="5" fillId="0" borderId="0" xfId="0" applyNumberFormat="1" applyFont="1"/>
    <xf numFmtId="42" fontId="5" fillId="0" borderId="11" xfId="0" applyNumberFormat="1" applyFont="1" applyBorder="1"/>
    <xf numFmtId="42" fontId="5" fillId="0" borderId="34" xfId="0" applyNumberFormat="1" applyFont="1" applyBorder="1"/>
    <xf numFmtId="0" fontId="15" fillId="0" borderId="0" xfId="0" applyFont="1"/>
    <xf numFmtId="0" fontId="5" fillId="0" borderId="11" xfId="0" applyFont="1" applyBorder="1"/>
    <xf numFmtId="0" fontId="14" fillId="0" borderId="0" xfId="0" applyFont="1" applyAlignment="1">
      <alignment horizontal="center"/>
    </xf>
    <xf numFmtId="0" fontId="5" fillId="0" borderId="0" xfId="0" applyFont="1" applyAlignment="1">
      <alignment horizontal="center"/>
    </xf>
    <xf numFmtId="0" fontId="6" fillId="0" borderId="0" xfId="5" applyNumberFormat="1" applyFont="1" applyFill="1" applyBorder="1" applyAlignment="1">
      <alignment horizontal="right"/>
    </xf>
    <xf numFmtId="42" fontId="6" fillId="0" borderId="30" xfId="6" applyNumberFormat="1" applyFont="1" applyBorder="1" applyAlignment="1">
      <alignment horizontal="center"/>
    </xf>
    <xf numFmtId="42" fontId="14" fillId="0" borderId="31" xfId="6" applyNumberFormat="1" applyFont="1" applyBorder="1" applyAlignment="1">
      <alignment horizontal="center"/>
    </xf>
    <xf numFmtId="42" fontId="6" fillId="0" borderId="8" xfId="6" applyNumberFormat="1" applyFont="1" applyBorder="1" applyAlignment="1">
      <alignment horizontal="center"/>
    </xf>
    <xf numFmtId="42" fontId="14" fillId="0" borderId="8" xfId="6" applyNumberFormat="1" applyFont="1" applyBorder="1" applyAlignment="1">
      <alignment horizontal="center"/>
    </xf>
    <xf numFmtId="165" fontId="14" fillId="0" borderId="31" xfId="1" applyNumberFormat="1" applyFont="1" applyBorder="1" applyAlignment="1">
      <alignment horizontal="center"/>
    </xf>
    <xf numFmtId="42" fontId="14" fillId="0" borderId="31" xfId="0" applyNumberFormat="1" applyFont="1" applyBorder="1" applyAlignment="1">
      <alignment horizontal="center"/>
    </xf>
    <xf numFmtId="0" fontId="5" fillId="0" borderId="0" xfId="0" applyFont="1" applyAlignment="1">
      <alignment horizontal="left" indent="1"/>
    </xf>
    <xf numFmtId="0" fontId="16" fillId="0" borderId="0" xfId="0" applyFont="1" applyAlignment="1">
      <alignment horizontal="left" indent="1"/>
    </xf>
    <xf numFmtId="0" fontId="5" fillId="0" borderId="0" xfId="0" applyFont="1" applyAlignment="1" applyProtection="1">
      <alignment horizontal="left" indent="1"/>
      <protection locked="0"/>
    </xf>
    <xf numFmtId="0" fontId="5" fillId="0" borderId="0" xfId="0" applyFont="1" applyAlignment="1" applyProtection="1">
      <alignment horizontal="center"/>
      <protection locked="0"/>
    </xf>
    <xf numFmtId="0" fontId="17" fillId="0" borderId="0" xfId="0" applyFont="1" applyAlignment="1">
      <alignment horizontal="center"/>
    </xf>
    <xf numFmtId="0" fontId="2" fillId="0" borderId="0" xfId="0" applyFont="1" applyAlignment="1" applyProtection="1">
      <alignment horizontal="center"/>
      <protection locked="0"/>
    </xf>
    <xf numFmtId="0" fontId="5" fillId="6" borderId="0" xfId="0" applyFont="1" applyFill="1"/>
    <xf numFmtId="0" fontId="14" fillId="6" borderId="0" xfId="0" applyFont="1" applyFill="1" applyAlignment="1">
      <alignment horizontal="right"/>
    </xf>
    <xf numFmtId="0" fontId="5" fillId="7" borderId="0" xfId="0" applyFont="1" applyFill="1" applyAlignment="1" applyProtection="1">
      <alignment horizontal="center"/>
      <protection locked="0"/>
    </xf>
    <xf numFmtId="0" fontId="5" fillId="8" borderId="0" xfId="0" applyFont="1" applyFill="1"/>
    <xf numFmtId="0" fontId="14" fillId="8" borderId="0" xfId="0" applyFont="1" applyFill="1" applyAlignment="1">
      <alignment horizontal="right"/>
    </xf>
    <xf numFmtId="0" fontId="5" fillId="9" borderId="0" xfId="0" applyFont="1" applyFill="1" applyAlignment="1" applyProtection="1">
      <alignment horizontal="center"/>
      <protection locked="0"/>
    </xf>
    <xf numFmtId="0" fontId="14" fillId="0" borderId="29" xfId="0" applyFont="1" applyBorder="1" applyAlignment="1">
      <alignment horizontal="right"/>
    </xf>
    <xf numFmtId="0" fontId="14" fillId="0" borderId="35" xfId="0" applyFont="1" applyFill="1" applyBorder="1" applyAlignment="1">
      <alignment horizontal="center"/>
    </xf>
    <xf numFmtId="0" fontId="14" fillId="0" borderId="0" xfId="0" applyFont="1" applyFill="1" applyBorder="1" applyAlignment="1">
      <alignment horizontal="center"/>
    </xf>
    <xf numFmtId="0" fontId="5" fillId="0" borderId="0" xfId="0" applyFont="1" applyBorder="1"/>
    <xf numFmtId="9" fontId="5" fillId="0" borderId="35" xfId="1" applyFont="1" applyFill="1" applyBorder="1" applyAlignment="1" applyProtection="1">
      <alignment horizontal="center"/>
      <protection locked="0"/>
    </xf>
    <xf numFmtId="9" fontId="5" fillId="0" borderId="0" xfId="1" applyFont="1" applyFill="1" applyBorder="1" applyAlignment="1" applyProtection="1">
      <alignment horizontal="center"/>
      <protection locked="0"/>
    </xf>
    <xf numFmtId="0" fontId="5" fillId="10" borderId="0" xfId="0" applyFont="1" applyFill="1"/>
    <xf numFmtId="0" fontId="14" fillId="10" borderId="0" xfId="0" applyFont="1" applyFill="1" applyAlignment="1">
      <alignment horizontal="right"/>
    </xf>
    <xf numFmtId="0" fontId="5" fillId="11" borderId="0" xfId="0" applyFont="1" applyFill="1" applyAlignment="1" applyProtection="1">
      <alignment horizontal="center"/>
      <protection locked="0"/>
    </xf>
    <xf numFmtId="0" fontId="14" fillId="12" borderId="29" xfId="0" applyFont="1" applyFill="1" applyBorder="1" applyAlignment="1">
      <alignment horizontal="center"/>
    </xf>
    <xf numFmtId="42" fontId="6" fillId="0" borderId="32" xfId="6" applyNumberFormat="1" applyFont="1" applyBorder="1" applyAlignment="1">
      <alignment horizontal="center"/>
    </xf>
    <xf numFmtId="42" fontId="6" fillId="0" borderId="33" xfId="6" applyNumberFormat="1" applyFont="1" applyBorder="1" applyAlignment="1">
      <alignment horizontal="center"/>
    </xf>
    <xf numFmtId="42" fontId="6" fillId="0" borderId="0" xfId="6" applyNumberFormat="1" applyFont="1" applyBorder="1" applyAlignment="1">
      <alignment horizontal="center"/>
    </xf>
    <xf numFmtId="165" fontId="6" fillId="0" borderId="33" xfId="1" applyNumberFormat="1" applyFont="1" applyBorder="1" applyAlignment="1">
      <alignment horizontal="center"/>
    </xf>
    <xf numFmtId="42" fontId="14" fillId="0" borderId="33" xfId="0" applyNumberFormat="1" applyFont="1" applyBorder="1" applyAlignment="1">
      <alignment horizontal="center" vertical="center"/>
    </xf>
    <xf numFmtId="15" fontId="14" fillId="0" borderId="0" xfId="0" applyNumberFormat="1" applyFont="1" applyAlignment="1">
      <alignment horizontal="center"/>
    </xf>
    <xf numFmtId="0" fontId="19" fillId="0" borderId="0" xfId="4" applyFont="1" applyBorder="1" applyAlignment="1">
      <alignment horizontal="left"/>
    </xf>
    <xf numFmtId="42" fontId="19" fillId="0" borderId="0" xfId="0" applyNumberFormat="1" applyFont="1" applyBorder="1" applyAlignment="1">
      <alignment horizontal="left"/>
    </xf>
    <xf numFmtId="165" fontId="19" fillId="0" borderId="0" xfId="1" applyNumberFormat="1" applyFont="1" applyBorder="1" applyAlignment="1">
      <alignment horizontal="center"/>
    </xf>
    <xf numFmtId="0" fontId="19" fillId="0" borderId="0" xfId="0" applyFont="1" applyBorder="1" applyAlignment="1">
      <alignment horizontal="left"/>
    </xf>
    <xf numFmtId="0" fontId="2" fillId="0" borderId="0" xfId="0" applyFont="1" applyAlignment="1">
      <alignment horizontal="right" indent="1"/>
    </xf>
    <xf numFmtId="1" fontId="5" fillId="13" borderId="36" xfId="0" applyNumberFormat="1" applyFont="1" applyFill="1" applyBorder="1" applyAlignment="1">
      <alignment horizontal="center"/>
    </xf>
    <xf numFmtId="1" fontId="5" fillId="0" borderId="0" xfId="0" applyNumberFormat="1" applyFont="1" applyAlignment="1">
      <alignment horizontal="center"/>
    </xf>
    <xf numFmtId="0" fontId="5" fillId="0" borderId="0" xfId="0" applyFont="1" applyAlignment="1">
      <alignment horizontal="right" indent="1"/>
    </xf>
    <xf numFmtId="0" fontId="14" fillId="0" borderId="0" xfId="0" applyFont="1" applyAlignment="1">
      <alignment horizontal="left" indent="2"/>
    </xf>
    <xf numFmtId="0" fontId="14" fillId="0" borderId="0" xfId="0" applyFont="1" applyAlignment="1">
      <alignment horizontal="left"/>
    </xf>
    <xf numFmtId="0" fontId="16" fillId="0" borderId="0" xfId="0" applyFont="1"/>
    <xf numFmtId="0" fontId="5" fillId="0" borderId="0" xfId="0" applyFont="1" applyAlignment="1">
      <alignment horizontal="left"/>
    </xf>
    <xf numFmtId="0" fontId="14" fillId="0" borderId="47" xfId="0" applyFont="1" applyBorder="1"/>
    <xf numFmtId="0" fontId="5" fillId="0" borderId="0" xfId="0" applyNumberFormat="1" applyFont="1" applyAlignment="1">
      <alignment horizontal="left" indent="1"/>
    </xf>
    <xf numFmtId="0" fontId="5" fillId="0" borderId="0" xfId="0" applyFont="1" applyAlignment="1">
      <alignment horizontal="left" indent="2"/>
    </xf>
    <xf numFmtId="3" fontId="5" fillId="0" borderId="0" xfId="0" applyNumberFormat="1" applyFont="1"/>
    <xf numFmtId="0" fontId="5" fillId="0" borderId="0" xfId="0" applyFont="1"/>
    <xf numFmtId="0" fontId="5" fillId="3" borderId="0" xfId="0" applyFont="1" applyFill="1"/>
    <xf numFmtId="0" fontId="14" fillId="3" borderId="0" xfId="0" applyFont="1" applyFill="1" applyAlignment="1">
      <alignment horizontal="right"/>
    </xf>
    <xf numFmtId="0" fontId="5" fillId="30" borderId="0" xfId="0" applyFont="1" applyFill="1" applyAlignment="1">
      <alignment horizontal="center"/>
    </xf>
    <xf numFmtId="164" fontId="2" fillId="0" borderId="0" xfId="0" applyNumberFormat="1" applyFont="1" applyAlignment="1">
      <alignment horizontal="left"/>
    </xf>
    <xf numFmtId="42" fontId="4" fillId="0" borderId="42" xfId="2" applyNumberFormat="1" applyFont="1" applyBorder="1" applyAlignment="1">
      <alignment horizontal="center" vertical="center"/>
    </xf>
    <xf numFmtId="42" fontId="4" fillId="0" borderId="18" xfId="2" applyNumberFormat="1" applyFont="1" applyBorder="1" applyAlignment="1">
      <alignment horizontal="center"/>
    </xf>
    <xf numFmtId="0" fontId="2" fillId="0" borderId="42" xfId="0" applyFont="1" applyBorder="1" applyAlignment="1">
      <alignment horizontal="center" vertical="center"/>
    </xf>
    <xf numFmtId="166" fontId="13" fillId="0" borderId="18" xfId="2" applyNumberFormat="1" applyFont="1" applyBorder="1" applyAlignment="1">
      <alignment vertical="center"/>
    </xf>
    <xf numFmtId="0" fontId="7" fillId="0" borderId="0" xfId="2" applyFont="1" applyFill="1" applyAlignment="1">
      <alignment horizontal="left" indent="1"/>
    </xf>
    <xf numFmtId="0" fontId="7" fillId="0" borderId="1" xfId="2" applyFont="1" applyFill="1" applyBorder="1" applyAlignment="1">
      <alignment horizontal="left" indent="1"/>
    </xf>
    <xf numFmtId="0" fontId="5" fillId="0" borderId="19" xfId="0" applyFont="1" applyBorder="1"/>
    <xf numFmtId="42" fontId="14" fillId="3" borderId="13" xfId="0" applyNumberFormat="1" applyFont="1" applyFill="1" applyBorder="1"/>
    <xf numFmtId="42" fontId="14" fillId="0" borderId="19" xfId="0" applyNumberFormat="1" applyFont="1" applyBorder="1"/>
    <xf numFmtId="42" fontId="14" fillId="0" borderId="8" xfId="0" applyNumberFormat="1" applyFont="1" applyBorder="1"/>
    <xf numFmtId="0" fontId="6" fillId="0" borderId="11" xfId="2" applyFont="1" applyBorder="1" applyAlignment="1">
      <alignment horizontal="left"/>
    </xf>
    <xf numFmtId="0" fontId="7" fillId="0" borderId="0" xfId="2" applyFont="1" applyFill="1" applyBorder="1" applyAlignment="1">
      <alignment horizontal="left" indent="1"/>
    </xf>
    <xf numFmtId="0" fontId="5" fillId="0" borderId="26" xfId="0" applyFont="1" applyBorder="1"/>
    <xf numFmtId="42" fontId="14" fillId="6" borderId="19" xfId="0" applyNumberFormat="1" applyFont="1" applyFill="1" applyBorder="1"/>
    <xf numFmtId="42" fontId="14" fillId="6" borderId="8" xfId="0" applyNumberFormat="1" applyFont="1" applyFill="1" applyBorder="1"/>
    <xf numFmtId="42" fontId="14" fillId="23" borderId="19" xfId="8" applyNumberFormat="1" applyFont="1" applyBorder="1"/>
    <xf numFmtId="42" fontId="14" fillId="24" borderId="19" xfId="9" applyNumberFormat="1" applyFont="1" applyBorder="1"/>
    <xf numFmtId="42" fontId="14" fillId="25" borderId="19" xfId="10" applyNumberFormat="1" applyFont="1" applyBorder="1"/>
    <xf numFmtId="42" fontId="14" fillId="26" borderId="19" xfId="11" applyNumberFormat="1" applyFont="1" applyBorder="1"/>
    <xf numFmtId="42" fontId="14" fillId="27" borderId="19" xfId="12" applyNumberFormat="1" applyFont="1" applyBorder="1"/>
    <xf numFmtId="42" fontId="14" fillId="28" borderId="19" xfId="13" applyNumberFormat="1" applyFont="1" applyBorder="1"/>
    <xf numFmtId="42" fontId="14" fillId="29" borderId="19" xfId="14" applyNumberFormat="1" applyFont="1" applyBorder="1"/>
    <xf numFmtId="42" fontId="14" fillId="22" borderId="19" xfId="7" applyNumberFormat="1" applyFont="1" applyBorder="1"/>
    <xf numFmtId="0" fontId="2" fillId="0" borderId="0" xfId="0" applyFont="1"/>
    <xf numFmtId="0" fontId="5" fillId="0" borderId="11" xfId="0" applyFont="1" applyBorder="1" applyAlignment="1">
      <alignment horizontal="center"/>
    </xf>
    <xf numFmtId="42" fontId="5" fillId="3" borderId="13" xfId="0" applyNumberFormat="1" applyFont="1" applyFill="1" applyBorder="1"/>
    <xf numFmtId="41" fontId="5" fillId="0" borderId="0" xfId="0" applyNumberFormat="1" applyFont="1"/>
    <xf numFmtId="41" fontId="7" fillId="20" borderId="9" xfId="2" applyNumberFormat="1" applyFont="1" applyFill="1" applyBorder="1"/>
    <xf numFmtId="41" fontId="7" fillId="15" borderId="9" xfId="2" applyNumberFormat="1" applyFont="1" applyFill="1" applyBorder="1"/>
    <xf numFmtId="41" fontId="7" fillId="14" borderId="9" xfId="2" applyNumberFormat="1" applyFont="1" applyFill="1" applyBorder="1"/>
    <xf numFmtId="41" fontId="7" fillId="4" borderId="9" xfId="2" applyNumberFormat="1" applyFont="1" applyFill="1" applyBorder="1"/>
    <xf numFmtId="41" fontId="7" fillId="20" borderId="2" xfId="2" applyNumberFormat="1" applyFont="1" applyFill="1" applyBorder="1"/>
    <xf numFmtId="41" fontId="7" fillId="15" borderId="2" xfId="2" applyNumberFormat="1" applyFont="1" applyFill="1" applyBorder="1"/>
    <xf numFmtId="41" fontId="7" fillId="14" borderId="2" xfId="2" applyNumberFormat="1" applyFont="1" applyFill="1" applyBorder="1"/>
    <xf numFmtId="41" fontId="7" fillId="4" borderId="2" xfId="2" applyNumberFormat="1" applyFont="1" applyFill="1" applyBorder="1"/>
    <xf numFmtId="41" fontId="7" fillId="20" borderId="7" xfId="2" applyNumberFormat="1" applyFont="1" applyFill="1" applyBorder="1"/>
    <xf numFmtId="41" fontId="7" fillId="15" borderId="7" xfId="2" applyNumberFormat="1" applyFont="1" applyFill="1" applyBorder="1"/>
    <xf numFmtId="41" fontId="7" fillId="14" borderId="7" xfId="2" applyNumberFormat="1" applyFont="1" applyFill="1" applyBorder="1"/>
    <xf numFmtId="41" fontId="7" fillId="4" borderId="7" xfId="2" applyNumberFormat="1" applyFont="1" applyFill="1" applyBorder="1"/>
    <xf numFmtId="41" fontId="7" fillId="20" borderId="6" xfId="2" applyNumberFormat="1" applyFont="1" applyFill="1" applyBorder="1"/>
    <xf numFmtId="41" fontId="7" fillId="15" borderId="5" xfId="2" applyNumberFormat="1" applyFont="1" applyFill="1" applyBorder="1"/>
    <xf numFmtId="41" fontId="7" fillId="14" borderId="5" xfId="2" applyNumberFormat="1" applyFont="1" applyFill="1" applyBorder="1"/>
    <xf numFmtId="41" fontId="7" fillId="4" borderId="5" xfId="2" applyNumberFormat="1" applyFont="1" applyFill="1" applyBorder="1"/>
    <xf numFmtId="41" fontId="7" fillId="20" borderId="23" xfId="2" applyNumberFormat="1" applyFont="1" applyFill="1" applyBorder="1"/>
    <xf numFmtId="41" fontId="7" fillId="15" borderId="23" xfId="2" applyNumberFormat="1" applyFont="1" applyFill="1" applyBorder="1"/>
    <xf numFmtId="41" fontId="7" fillId="14" borderId="23" xfId="2" applyNumberFormat="1" applyFont="1" applyFill="1" applyBorder="1"/>
    <xf numFmtId="41" fontId="7" fillId="4" borderId="23" xfId="2" applyNumberFormat="1" applyFont="1" applyFill="1" applyBorder="1"/>
    <xf numFmtId="41" fontId="7" fillId="20" borderId="5" xfId="2" applyNumberFormat="1" applyFont="1" applyFill="1" applyBorder="1"/>
    <xf numFmtId="41" fontId="7" fillId="19" borderId="9" xfId="2" applyNumberFormat="1" applyFont="1" applyFill="1" applyBorder="1"/>
    <xf numFmtId="41" fontId="7" fillId="16" borderId="10" xfId="1" applyNumberFormat="1" applyFont="1" applyFill="1" applyBorder="1" applyAlignment="1">
      <alignment horizontal="center" vertical="center"/>
    </xf>
    <xf numFmtId="41" fontId="7" fillId="17" borderId="10" xfId="1" applyNumberFormat="1" applyFont="1" applyFill="1" applyBorder="1" applyAlignment="1">
      <alignment horizontal="center" vertical="center"/>
    </xf>
    <xf numFmtId="41" fontId="7" fillId="18" borderId="8" xfId="1" applyNumberFormat="1" applyFont="1" applyFill="1" applyBorder="1" applyAlignment="1">
      <alignment horizontal="center" vertical="center"/>
    </xf>
    <xf numFmtId="41" fontId="7" fillId="2" borderId="9" xfId="2" applyNumberFormat="1" applyFont="1" applyFill="1" applyBorder="1"/>
    <xf numFmtId="41" fontId="7" fillId="19" borderId="2" xfId="2" applyNumberFormat="1" applyFont="1" applyFill="1" applyBorder="1"/>
    <xf numFmtId="41" fontId="7" fillId="16" borderId="4" xfId="1" applyNumberFormat="1" applyFont="1" applyFill="1" applyBorder="1" applyAlignment="1">
      <alignment horizontal="center" vertical="center"/>
    </xf>
    <xf numFmtId="41" fontId="7" fillId="17" borderId="4" xfId="1" applyNumberFormat="1" applyFont="1" applyFill="1" applyBorder="1" applyAlignment="1">
      <alignment horizontal="center" vertical="center"/>
    </xf>
    <xf numFmtId="41" fontId="7" fillId="18" borderId="0" xfId="1" applyNumberFormat="1" applyFont="1" applyFill="1" applyBorder="1" applyAlignment="1">
      <alignment horizontal="center" vertical="center"/>
    </xf>
    <xf numFmtId="41" fontId="7" fillId="2" borderId="2" xfId="2" applyNumberFormat="1" applyFont="1" applyFill="1" applyBorder="1"/>
    <xf numFmtId="41" fontId="7" fillId="19" borderId="7" xfId="2" applyNumberFormat="1" applyFont="1" applyFill="1" applyBorder="1"/>
    <xf numFmtId="41" fontId="7" fillId="16" borderId="12" xfId="1" applyNumberFormat="1" applyFont="1" applyFill="1" applyBorder="1" applyAlignment="1">
      <alignment horizontal="center" vertical="center"/>
    </xf>
    <xf numFmtId="41" fontId="7" fillId="17" borderId="12" xfId="1" applyNumberFormat="1" applyFont="1" applyFill="1" applyBorder="1" applyAlignment="1">
      <alignment horizontal="center" vertical="center"/>
    </xf>
    <xf numFmtId="41" fontId="7" fillId="18" borderId="11" xfId="1" applyNumberFormat="1" applyFont="1" applyFill="1" applyBorder="1" applyAlignment="1">
      <alignment horizontal="center" vertical="center"/>
    </xf>
    <xf numFmtId="41" fontId="7" fillId="2" borderId="7" xfId="2" applyNumberFormat="1" applyFont="1" applyFill="1" applyBorder="1"/>
    <xf numFmtId="41" fontId="7" fillId="19" borderId="6" xfId="2" applyNumberFormat="1" applyFont="1" applyFill="1" applyBorder="1"/>
    <xf numFmtId="41" fontId="7" fillId="16" borderId="6" xfId="1" applyNumberFormat="1" applyFont="1" applyFill="1" applyBorder="1" applyAlignment="1">
      <alignment horizontal="center" vertical="center"/>
    </xf>
    <xf numFmtId="41" fontId="7" fillId="17" borderId="6" xfId="1" applyNumberFormat="1" applyFont="1" applyFill="1" applyBorder="1" applyAlignment="1">
      <alignment horizontal="center" vertical="center"/>
    </xf>
    <xf numFmtId="41" fontId="7" fillId="18" borderId="17" xfId="1" applyNumberFormat="1" applyFont="1" applyFill="1" applyBorder="1" applyAlignment="1">
      <alignment horizontal="center" vertical="center"/>
    </xf>
    <xf numFmtId="41" fontId="7" fillId="2" borderId="5" xfId="2" applyNumberFormat="1" applyFont="1" applyFill="1" applyBorder="1"/>
    <xf numFmtId="41" fontId="7" fillId="19" borderId="23" xfId="2" applyNumberFormat="1" applyFont="1" applyFill="1" applyBorder="1"/>
    <xf numFmtId="41" fontId="7" fillId="16" borderId="24" xfId="1" applyNumberFormat="1" applyFont="1" applyFill="1" applyBorder="1" applyAlignment="1">
      <alignment horizontal="center" vertical="center"/>
    </xf>
    <xf numFmtId="41" fontId="7" fillId="17" borderId="24" xfId="1" applyNumberFormat="1" applyFont="1" applyFill="1" applyBorder="1" applyAlignment="1">
      <alignment horizontal="center" vertical="center"/>
    </xf>
    <xf numFmtId="41" fontId="7" fillId="18" borderId="22" xfId="1" applyNumberFormat="1" applyFont="1" applyFill="1" applyBorder="1" applyAlignment="1">
      <alignment horizontal="center" vertical="center"/>
    </xf>
    <xf numFmtId="41" fontId="7" fillId="2" borderId="23" xfId="2" applyNumberFormat="1" applyFont="1" applyFill="1" applyBorder="1"/>
    <xf numFmtId="41" fontId="7" fillId="19" borderId="5" xfId="2" applyNumberFormat="1" applyFont="1" applyFill="1" applyBorder="1"/>
    <xf numFmtId="41" fontId="7" fillId="18" borderId="1" xfId="1" applyNumberFormat="1" applyFont="1" applyFill="1" applyBorder="1" applyAlignment="1">
      <alignment horizontal="center" vertical="center"/>
    </xf>
    <xf numFmtId="41" fontId="7" fillId="2" borderId="2" xfId="2" applyNumberFormat="1" applyFont="1" applyFill="1" applyBorder="1" applyAlignment="1">
      <alignment horizontal="right"/>
    </xf>
    <xf numFmtId="41" fontId="7" fillId="2" borderId="7" xfId="2" applyNumberFormat="1" applyFont="1" applyFill="1" applyBorder="1" applyAlignment="1">
      <alignment horizontal="right"/>
    </xf>
    <xf numFmtId="41" fontId="7" fillId="4" borderId="4" xfId="2" applyNumberFormat="1" applyFont="1" applyFill="1" applyBorder="1"/>
    <xf numFmtId="41" fontId="7" fillId="2" borderId="0" xfId="2" applyNumberFormat="1" applyFont="1" applyFill="1"/>
    <xf numFmtId="41" fontId="7" fillId="5" borderId="4" xfId="2" applyNumberFormat="1" applyFont="1" applyFill="1" applyBorder="1"/>
    <xf numFmtId="41" fontId="7" fillId="2" borderId="4" xfId="2" applyNumberFormat="1" applyFont="1" applyFill="1" applyBorder="1"/>
    <xf numFmtId="41" fontId="7" fillId="2" borderId="0" xfId="2" applyNumberFormat="1" applyFont="1" applyFill="1" applyAlignment="1">
      <alignment horizontal="right"/>
    </xf>
    <xf numFmtId="41" fontId="7" fillId="2" borderId="4" xfId="2" applyNumberFormat="1" applyFont="1" applyFill="1" applyBorder="1" applyAlignment="1">
      <alignment horizontal="right"/>
    </xf>
    <xf numFmtId="41" fontId="7" fillId="4" borderId="12" xfId="2" applyNumberFormat="1" applyFont="1" applyFill="1" applyBorder="1"/>
    <xf numFmtId="41" fontId="7" fillId="5" borderId="12" xfId="2" applyNumberFormat="1" applyFont="1" applyFill="1" applyBorder="1"/>
    <xf numFmtId="41" fontId="7" fillId="4" borderId="10" xfId="2" applyNumberFormat="1" applyFont="1" applyFill="1" applyBorder="1"/>
    <xf numFmtId="41" fontId="7" fillId="2" borderId="10" xfId="2" applyNumberFormat="1" applyFont="1" applyFill="1" applyBorder="1"/>
    <xf numFmtId="41" fontId="7" fillId="4" borderId="6" xfId="2" applyNumberFormat="1" applyFont="1" applyFill="1" applyBorder="1"/>
    <xf numFmtId="41" fontId="7" fillId="2" borderId="1" xfId="2" applyNumberFormat="1" applyFont="1" applyFill="1" applyBorder="1"/>
    <xf numFmtId="41" fontId="7" fillId="5" borderId="6" xfId="2" applyNumberFormat="1" applyFont="1" applyFill="1" applyBorder="1"/>
    <xf numFmtId="41" fontId="7" fillId="2" borderId="6" xfId="2" applyNumberFormat="1" applyFont="1" applyFill="1" applyBorder="1"/>
    <xf numFmtId="41" fontId="7" fillId="2" borderId="11" xfId="2" applyNumberFormat="1" applyFont="1" applyFill="1" applyBorder="1"/>
    <xf numFmtId="41" fontId="7" fillId="2" borderId="12" xfId="2" applyNumberFormat="1" applyFont="1" applyFill="1" applyBorder="1"/>
    <xf numFmtId="41" fontId="5" fillId="23" borderId="0" xfId="8" applyNumberFormat="1" applyFont="1" applyBorder="1"/>
    <xf numFmtId="41" fontId="5" fillId="24" borderId="0" xfId="9" applyNumberFormat="1" applyFont="1" applyBorder="1"/>
    <xf numFmtId="41" fontId="5" fillId="25" borderId="0" xfId="10" applyNumberFormat="1" applyFont="1" applyBorder="1"/>
    <xf numFmtId="41" fontId="5" fillId="6" borderId="0" xfId="0" applyNumberFormat="1" applyFont="1" applyFill="1" applyBorder="1"/>
    <xf numFmtId="41" fontId="5" fillId="26" borderId="0" xfId="11" applyNumberFormat="1" applyFont="1" applyBorder="1"/>
    <xf numFmtId="41" fontId="5" fillId="27" borderId="0" xfId="12" applyNumberFormat="1" applyFont="1" applyBorder="1"/>
    <xf numFmtId="41" fontId="5" fillId="28" borderId="0" xfId="13" applyNumberFormat="1" applyFont="1" applyBorder="1"/>
    <xf numFmtId="41" fontId="5" fillId="29" borderId="0" xfId="14" applyNumberFormat="1" applyFont="1" applyBorder="1"/>
    <xf numFmtId="41" fontId="5" fillId="22" borderId="0" xfId="7" applyNumberFormat="1" applyFont="1" applyBorder="1"/>
    <xf numFmtId="41" fontId="5" fillId="0" borderId="0" xfId="0" applyNumberFormat="1" applyFont="1" applyBorder="1"/>
    <xf numFmtId="41" fontId="5" fillId="23" borderId="1" xfId="8" applyNumberFormat="1" applyFont="1" applyBorder="1"/>
    <xf numFmtId="41" fontId="5" fillId="24" borderId="1" xfId="9" applyNumberFormat="1" applyFont="1" applyBorder="1"/>
    <xf numFmtId="41" fontId="5" fillId="25" borderId="1" xfId="10" applyNumberFormat="1" applyFont="1" applyBorder="1"/>
    <xf numFmtId="41" fontId="5" fillId="6" borderId="1" xfId="0" applyNumberFormat="1" applyFont="1" applyFill="1" applyBorder="1"/>
    <xf numFmtId="41" fontId="5" fillId="26" borderId="1" xfId="11" applyNumberFormat="1" applyFont="1" applyBorder="1"/>
    <xf numFmtId="41" fontId="5" fillId="27" borderId="1" xfId="12" applyNumberFormat="1" applyFont="1" applyBorder="1"/>
    <xf numFmtId="41" fontId="5" fillId="28" borderId="1" xfId="13" applyNumberFormat="1" applyFont="1" applyBorder="1"/>
    <xf numFmtId="41" fontId="5" fillId="29" borderId="1" xfId="14" applyNumberFormat="1" applyFont="1" applyBorder="1"/>
    <xf numFmtId="41" fontId="5" fillId="22" borderId="1" xfId="7" applyNumberFormat="1" applyFont="1" applyBorder="1"/>
    <xf numFmtId="41" fontId="5" fillId="0" borderId="1" xfId="0" applyNumberFormat="1" applyFont="1" applyBorder="1"/>
    <xf numFmtId="41" fontId="5" fillId="23" borderId="22" xfId="8" applyNumberFormat="1" applyFont="1" applyBorder="1"/>
    <xf numFmtId="41" fontId="5" fillId="24" borderId="22" xfId="9" applyNumberFormat="1" applyFont="1" applyBorder="1"/>
    <xf numFmtId="41" fontId="5" fillId="25" borderId="22" xfId="10" applyNumberFormat="1" applyFont="1" applyBorder="1"/>
    <xf numFmtId="41" fontId="5" fillId="6" borderId="22" xfId="0" applyNumberFormat="1" applyFont="1" applyFill="1" applyBorder="1"/>
    <xf numFmtId="41" fontId="5" fillId="26" borderId="22" xfId="11" applyNumberFormat="1" applyFont="1" applyBorder="1"/>
    <xf numFmtId="41" fontId="5" fillId="27" borderId="22" xfId="12" applyNumberFormat="1" applyFont="1" applyBorder="1"/>
    <xf numFmtId="41" fontId="5" fillId="28" borderId="22" xfId="13" applyNumberFormat="1" applyFont="1" applyBorder="1"/>
    <xf numFmtId="41" fontId="5" fillId="29" borderId="22" xfId="14" applyNumberFormat="1" applyFont="1" applyBorder="1"/>
    <xf numFmtId="41" fontId="5" fillId="22" borderId="22" xfId="7" applyNumberFormat="1" applyFont="1" applyBorder="1"/>
    <xf numFmtId="41" fontId="5" fillId="0" borderId="22" xfId="0" applyNumberFormat="1" applyFont="1" applyBorder="1"/>
    <xf numFmtId="0" fontId="5" fillId="31" borderId="48" xfId="15" applyFont="1" applyAlignment="1">
      <alignment horizontal="center" wrapText="1"/>
    </xf>
    <xf numFmtId="0" fontId="13" fillId="0" borderId="1" xfId="2" applyFont="1" applyBorder="1" applyAlignment="1">
      <alignment horizontal="right" vertical="center"/>
    </xf>
    <xf numFmtId="41" fontId="19" fillId="0" borderId="0" xfId="0" applyNumberFormat="1" applyFont="1" applyBorder="1" applyAlignment="1">
      <alignment horizontal="left"/>
    </xf>
    <xf numFmtId="0" fontId="5" fillId="0" borderId="0" xfId="0" applyFont="1"/>
    <xf numFmtId="0" fontId="5" fillId="0" borderId="0" xfId="0" applyFont="1" applyAlignment="1">
      <alignment horizontal="right"/>
    </xf>
    <xf numFmtId="0" fontId="5" fillId="0" borderId="0" xfId="0" applyFont="1"/>
    <xf numFmtId="0" fontId="2" fillId="0" borderId="0" xfId="0" applyFont="1" applyAlignment="1">
      <alignment horizontal="center"/>
    </xf>
    <xf numFmtId="0" fontId="4" fillId="0" borderId="0" xfId="2" applyFont="1" applyAlignment="1">
      <alignment horizontal="center"/>
    </xf>
    <xf numFmtId="0" fontId="2" fillId="0" borderId="1" xfId="0" applyFont="1" applyBorder="1" applyAlignment="1">
      <alignment horizontal="center"/>
    </xf>
    <xf numFmtId="0" fontId="2" fillId="0" borderId="1" xfId="0" applyFont="1" applyBorder="1" applyAlignment="1">
      <alignment horizontal="center"/>
    </xf>
    <xf numFmtId="0" fontId="10" fillId="0" borderId="0" xfId="4" applyAlignment="1" applyProtection="1">
      <alignment horizontal="left" indent="1"/>
      <protection locked="0"/>
    </xf>
    <xf numFmtId="10" fontId="0" fillId="0" borderId="0" xfId="1" applyNumberFormat="1" applyFont="1"/>
    <xf numFmtId="0" fontId="23" fillId="0" borderId="0" xfId="0" applyFont="1"/>
    <xf numFmtId="10" fontId="0" fillId="0" borderId="0" xfId="1" applyNumberFormat="1" applyFont="1" applyAlignment="1">
      <alignment horizontal="center"/>
    </xf>
    <xf numFmtId="0" fontId="5" fillId="0" borderId="0" xfId="0" applyFont="1"/>
    <xf numFmtId="41" fontId="5" fillId="0" borderId="33" xfId="0" applyNumberFormat="1" applyFont="1" applyBorder="1"/>
    <xf numFmtId="0" fontId="5" fillId="0" borderId="8" xfId="0" applyFont="1" applyBorder="1"/>
    <xf numFmtId="0" fontId="14" fillId="0" borderId="8" xfId="0" applyFont="1" applyBorder="1" applyAlignment="1">
      <alignment horizontal="right"/>
    </xf>
    <xf numFmtId="0" fontId="5" fillId="0" borderId="8" xfId="0" applyFont="1" applyBorder="1" applyAlignment="1">
      <alignment horizontal="center"/>
    </xf>
    <xf numFmtId="0" fontId="5" fillId="0" borderId="0" xfId="0" applyFont="1"/>
    <xf numFmtId="0" fontId="5" fillId="0" borderId="19" xfId="0" applyFont="1" applyBorder="1"/>
    <xf numFmtId="0" fontId="25" fillId="0" borderId="0" xfId="0" applyFont="1"/>
    <xf numFmtId="0" fontId="25" fillId="0" borderId="11" xfId="0" applyFont="1" applyBorder="1"/>
    <xf numFmtId="41" fontId="25" fillId="0" borderId="0" xfId="0" applyNumberFormat="1" applyFont="1" applyFill="1" applyBorder="1"/>
    <xf numFmtId="42" fontId="26" fillId="3" borderId="13" xfId="0" applyNumberFormat="1" applyFont="1" applyFill="1" applyBorder="1"/>
    <xf numFmtId="41" fontId="25" fillId="0" borderId="1" xfId="0" applyNumberFormat="1" applyFont="1" applyFill="1" applyBorder="1"/>
    <xf numFmtId="42" fontId="26" fillId="0" borderId="19" xfId="0" applyNumberFormat="1" applyFont="1" applyFill="1" applyBorder="1"/>
    <xf numFmtId="0" fontId="25" fillId="0" borderId="19" xfId="0" applyFont="1" applyBorder="1"/>
    <xf numFmtId="41" fontId="25" fillId="0" borderId="22" xfId="0" applyNumberFormat="1" applyFont="1" applyFill="1" applyBorder="1"/>
    <xf numFmtId="0" fontId="25" fillId="0" borderId="26" xfId="0" applyFont="1" applyBorder="1"/>
    <xf numFmtId="42" fontId="26" fillId="0" borderId="8" xfId="0" applyNumberFormat="1" applyFont="1" applyFill="1" applyBorder="1"/>
    <xf numFmtId="0" fontId="27" fillId="0" borderId="0" xfId="0" applyFont="1"/>
    <xf numFmtId="0" fontId="27" fillId="0" borderId="11" xfId="0" applyFont="1" applyBorder="1"/>
    <xf numFmtId="41" fontId="27" fillId="0" borderId="0" xfId="0" applyNumberFormat="1" applyFont="1" applyFill="1" applyBorder="1"/>
    <xf numFmtId="42" fontId="28" fillId="3" borderId="13" xfId="0" applyNumberFormat="1" applyFont="1" applyFill="1" applyBorder="1"/>
    <xf numFmtId="41" fontId="27" fillId="0" borderId="1" xfId="0" applyNumberFormat="1" applyFont="1" applyFill="1" applyBorder="1"/>
    <xf numFmtId="42" fontId="28" fillId="0" borderId="19" xfId="0" applyNumberFormat="1" applyFont="1" applyFill="1" applyBorder="1"/>
    <xf numFmtId="0" fontId="27" fillId="0" borderId="19" xfId="0" applyFont="1" applyBorder="1"/>
    <xf numFmtId="41" fontId="27" fillId="0" borderId="22" xfId="0" applyNumberFormat="1" applyFont="1" applyFill="1" applyBorder="1"/>
    <xf numFmtId="0" fontId="27" fillId="0" borderId="26" xfId="0" applyFont="1" applyBorder="1"/>
    <xf numFmtId="42" fontId="28" fillId="0" borderId="8" xfId="0" applyNumberFormat="1" applyFont="1" applyFill="1" applyBorder="1"/>
    <xf numFmtId="164" fontId="14" fillId="0" borderId="0" xfId="0" applyNumberFormat="1" applyFont="1" applyAlignment="1">
      <alignment horizontal="center"/>
    </xf>
    <xf numFmtId="164" fontId="26"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14" fillId="0" borderId="1" xfId="0" applyFont="1" applyBorder="1" applyAlignment="1">
      <alignment horizontal="center"/>
    </xf>
    <xf numFmtId="0" fontId="26" fillId="0" borderId="1" xfId="0" applyFont="1" applyBorder="1" applyAlignment="1">
      <alignment horizontal="center"/>
    </xf>
    <xf numFmtId="164" fontId="28" fillId="0" borderId="1" xfId="0" applyNumberFormat="1" applyFont="1" applyBorder="1" applyAlignment="1">
      <alignment horizontal="center"/>
    </xf>
    <xf numFmtId="0" fontId="14" fillId="0" borderId="1" xfId="0" quotePrefix="1" applyFont="1" applyBorder="1" applyAlignment="1">
      <alignment horizontal="center"/>
    </xf>
    <xf numFmtId="0" fontId="6" fillId="0" borderId="0" xfId="0" applyFont="1" applyAlignment="1">
      <alignment horizontal="right"/>
    </xf>
    <xf numFmtId="0" fontId="29" fillId="0" borderId="0" xfId="0" applyFont="1"/>
    <xf numFmtId="0" fontId="29" fillId="0" borderId="11" xfId="0" applyFont="1" applyBorder="1"/>
    <xf numFmtId="0" fontId="29" fillId="0" borderId="19" xfId="0" applyFont="1" applyBorder="1"/>
    <xf numFmtId="0" fontId="29" fillId="0" borderId="26" xfId="0" applyFont="1" applyBorder="1"/>
    <xf numFmtId="164" fontId="14" fillId="0" borderId="31" xfId="0" applyNumberFormat="1" applyFont="1" applyBorder="1" applyAlignment="1">
      <alignment horizontal="center"/>
    </xf>
    <xf numFmtId="0" fontId="14" fillId="0" borderId="33" xfId="0" applyFont="1" applyBorder="1" applyAlignment="1">
      <alignment horizontal="center"/>
    </xf>
    <xf numFmtId="0" fontId="14" fillId="0" borderId="52" xfId="0" applyFont="1" applyBorder="1" applyAlignment="1">
      <alignment horizontal="center"/>
    </xf>
    <xf numFmtId="42" fontId="14" fillId="3" borderId="53" xfId="0" applyNumberFormat="1" applyFont="1" applyFill="1" applyBorder="1"/>
    <xf numFmtId="41" fontId="5" fillId="0" borderId="52" xfId="0" applyNumberFormat="1" applyFont="1" applyBorder="1"/>
    <xf numFmtId="42" fontId="14" fillId="0" borderId="51" xfId="0" applyNumberFormat="1" applyFont="1" applyBorder="1"/>
    <xf numFmtId="41" fontId="5" fillId="0" borderId="54" xfId="0" applyNumberFormat="1" applyFont="1" applyBorder="1"/>
    <xf numFmtId="164" fontId="14" fillId="0" borderId="33" xfId="0" applyNumberFormat="1" applyFont="1" applyBorder="1" applyAlignment="1">
      <alignment horizontal="center"/>
    </xf>
    <xf numFmtId="42" fontId="14" fillId="0" borderId="31" xfId="0" applyNumberFormat="1" applyFont="1" applyBorder="1"/>
    <xf numFmtId="0" fontId="24" fillId="0" borderId="11" xfId="0" applyFont="1" applyBorder="1" applyAlignment="1">
      <alignment horizontal="center"/>
    </xf>
    <xf numFmtId="166" fontId="13" fillId="0" borderId="33" xfId="2" applyNumberFormat="1" applyFont="1" applyBorder="1" applyAlignment="1">
      <alignment horizontal="center" vertical="center"/>
    </xf>
    <xf numFmtId="0" fontId="13" fillId="0" borderId="33" xfId="2" applyFont="1" applyBorder="1" applyAlignment="1">
      <alignment horizontal="center"/>
    </xf>
    <xf numFmtId="0" fontId="13" fillId="0" borderId="52" xfId="2" applyFont="1" applyBorder="1" applyAlignment="1">
      <alignment horizontal="center"/>
    </xf>
    <xf numFmtId="0" fontId="7" fillId="0" borderId="33" xfId="2" applyFont="1" applyFill="1" applyBorder="1" applyAlignment="1">
      <alignment horizontal="left" indent="1"/>
    </xf>
    <xf numFmtId="0" fontId="7" fillId="0" borderId="40" xfId="2" applyFont="1" applyFill="1" applyBorder="1" applyAlignment="1">
      <alignment horizontal="left" indent="1"/>
    </xf>
    <xf numFmtId="0" fontId="6" fillId="3" borderId="53" xfId="2" applyFont="1" applyFill="1" applyBorder="1" applyAlignment="1">
      <alignment horizontal="right"/>
    </xf>
    <xf numFmtId="0" fontId="7" fillId="0" borderId="52" xfId="2" applyFont="1" applyFill="1" applyBorder="1" applyAlignment="1">
      <alignment horizontal="left" indent="1"/>
    </xf>
    <xf numFmtId="0" fontId="6" fillId="0" borderId="51" xfId="2" applyFont="1" applyBorder="1" applyAlignment="1">
      <alignment horizontal="right"/>
    </xf>
    <xf numFmtId="0" fontId="7" fillId="0" borderId="54" xfId="2" applyFont="1" applyFill="1" applyBorder="1" applyAlignment="1">
      <alignment horizontal="left" indent="1"/>
    </xf>
    <xf numFmtId="0" fontId="7" fillId="0" borderId="31" xfId="2" applyFont="1" applyFill="1" applyBorder="1" applyAlignment="1">
      <alignment horizontal="left" indent="1"/>
    </xf>
    <xf numFmtId="0" fontId="6" fillId="0" borderId="33" xfId="2" applyFont="1" applyBorder="1" applyAlignment="1">
      <alignment horizontal="right"/>
    </xf>
    <xf numFmtId="41" fontId="5" fillId="0" borderId="33" xfId="0" applyNumberFormat="1" applyFont="1" applyFill="1" applyBorder="1"/>
    <xf numFmtId="41" fontId="5" fillId="0" borderId="52" xfId="0" applyNumberFormat="1" applyFont="1" applyFill="1" applyBorder="1"/>
    <xf numFmtId="42" fontId="14" fillId="0" borderId="51" xfId="0" applyNumberFormat="1" applyFont="1" applyFill="1" applyBorder="1"/>
    <xf numFmtId="41" fontId="5" fillId="0" borderId="54" xfId="0" applyNumberFormat="1" applyFont="1" applyFill="1" applyBorder="1"/>
    <xf numFmtId="42" fontId="14" fillId="0" borderId="31" xfId="0" applyNumberFormat="1" applyFont="1" applyFill="1" applyBorder="1"/>
    <xf numFmtId="0" fontId="14" fillId="0" borderId="31" xfId="0" applyFont="1" applyBorder="1" applyAlignment="1">
      <alignment horizontal="center"/>
    </xf>
    <xf numFmtId="41" fontId="5" fillId="0" borderId="33" xfId="11" applyNumberFormat="1" applyFont="1" applyFill="1" applyBorder="1"/>
    <xf numFmtId="41" fontId="5" fillId="0" borderId="52" xfId="11" applyNumberFormat="1" applyFont="1" applyFill="1" applyBorder="1"/>
    <xf numFmtId="42" fontId="14" fillId="0" borderId="51" xfId="11" applyNumberFormat="1" applyFont="1" applyFill="1" applyBorder="1"/>
    <xf numFmtId="41" fontId="5" fillId="0" borderId="54" xfId="11" applyNumberFormat="1" applyFont="1" applyFill="1" applyBorder="1"/>
    <xf numFmtId="42" fontId="14" fillId="0" borderId="31" xfId="11" applyNumberFormat="1" applyFont="1" applyFill="1" applyBorder="1"/>
    <xf numFmtId="0" fontId="30" fillId="0" borderId="56" xfId="0" applyFont="1" applyBorder="1" applyAlignment="1">
      <alignment horizontal="center"/>
    </xf>
    <xf numFmtId="0" fontId="30" fillId="0" borderId="57" xfId="0" applyFont="1" applyBorder="1" applyAlignment="1">
      <alignment horizontal="center"/>
    </xf>
    <xf numFmtId="0" fontId="30" fillId="0" borderId="58" xfId="0" quotePrefix="1" applyFont="1" applyBorder="1" applyAlignment="1">
      <alignment horizontal="center"/>
    </xf>
    <xf numFmtId="41" fontId="29" fillId="0" borderId="57" xfId="0" applyNumberFormat="1" applyFont="1" applyBorder="1"/>
    <xf numFmtId="42" fontId="30" fillId="3" borderId="55" xfId="0" applyNumberFormat="1" applyFont="1" applyFill="1" applyBorder="1"/>
    <xf numFmtId="41" fontId="29" fillId="0" borderId="58" xfId="0" applyNumberFormat="1" applyFont="1" applyBorder="1"/>
    <xf numFmtId="42" fontId="30" fillId="0" borderId="59" xfId="0" applyNumberFormat="1" applyFont="1" applyBorder="1"/>
    <xf numFmtId="41" fontId="29" fillId="0" borderId="60" xfId="0" applyNumberFormat="1" applyFont="1" applyBorder="1"/>
    <xf numFmtId="42" fontId="30" fillId="0" borderId="56" xfId="0" applyNumberFormat="1" applyFont="1" applyBorder="1"/>
    <xf numFmtId="0" fontId="7" fillId="0" borderId="16" xfId="2" applyFont="1" applyBorder="1" applyAlignment="1">
      <alignment horizontal="left"/>
    </xf>
    <xf numFmtId="0" fontId="29" fillId="0" borderId="16" xfId="0" applyFont="1" applyBorder="1"/>
    <xf numFmtId="0" fontId="6" fillId="0" borderId="28" xfId="2" applyFont="1" applyBorder="1" applyAlignment="1">
      <alignment horizontal="left"/>
    </xf>
    <xf numFmtId="0" fontId="5" fillId="0" borderId="28" xfId="0" applyFont="1" applyBorder="1"/>
    <xf numFmtId="0" fontId="27" fillId="0" borderId="28" xfId="0" applyFont="1" applyBorder="1"/>
    <xf numFmtId="0" fontId="29" fillId="0" borderId="28" xfId="0" applyFont="1" applyBorder="1"/>
    <xf numFmtId="0" fontId="14" fillId="0" borderId="1" xfId="0" applyFont="1" applyBorder="1" applyAlignment="1">
      <alignment horizontal="left"/>
    </xf>
    <xf numFmtId="0" fontId="5" fillId="0" borderId="0" xfId="0" applyFont="1" applyBorder="1" applyAlignment="1">
      <alignment horizontal="left"/>
    </xf>
    <xf numFmtId="0" fontId="31" fillId="0" borderId="0" xfId="0" applyFont="1" applyAlignment="1">
      <alignment horizontal="left"/>
    </xf>
    <xf numFmtId="0" fontId="28" fillId="0" borderId="0" xfId="0" quotePrefix="1" applyFont="1" applyAlignment="1">
      <alignment horizontal="center"/>
    </xf>
    <xf numFmtId="0" fontId="14" fillId="12" borderId="29" xfId="0" applyFont="1" applyFill="1" applyBorder="1" applyAlignment="1">
      <alignment horizontal="center" vertical="center" wrapText="1"/>
    </xf>
    <xf numFmtId="0" fontId="33" fillId="31" borderId="48" xfId="15" applyFont="1" applyAlignment="1">
      <alignment horizontal="center" wrapText="1"/>
    </xf>
    <xf numFmtId="0" fontId="34" fillId="0" borderId="0" xfId="2" applyFont="1" applyAlignment="1">
      <alignment horizontal="right" vertical="center"/>
    </xf>
    <xf numFmtId="0" fontId="33" fillId="0" borderId="0" xfId="0" applyFont="1"/>
    <xf numFmtId="0" fontId="14" fillId="12" borderId="37" xfId="0" applyFont="1" applyFill="1" applyBorder="1" applyAlignment="1">
      <alignment vertical="center"/>
    </xf>
    <xf numFmtId="0" fontId="14" fillId="12" borderId="37" xfId="0" applyFont="1" applyFill="1" applyBorder="1" applyAlignment="1">
      <alignment horizontal="center"/>
    </xf>
    <xf numFmtId="0" fontId="5" fillId="12" borderId="30" xfId="0" applyFont="1" applyFill="1" applyBorder="1" applyAlignment="1">
      <alignment vertical="center"/>
    </xf>
    <xf numFmtId="0" fontId="5" fillId="12" borderId="8" xfId="0" applyFont="1" applyFill="1" applyBorder="1" applyAlignment="1">
      <alignment vertical="center"/>
    </xf>
    <xf numFmtId="0" fontId="5" fillId="12" borderId="31" xfId="0" applyFont="1" applyFill="1" applyBorder="1" applyAlignment="1">
      <alignment vertical="center"/>
    </xf>
    <xf numFmtId="0" fontId="5" fillId="0" borderId="0" xfId="0" applyFont="1" applyAlignment="1">
      <alignment horizontal="right"/>
    </xf>
    <xf numFmtId="0" fontId="5" fillId="0" borderId="0" xfId="0" applyFont="1"/>
    <xf numFmtId="0" fontId="1" fillId="31" borderId="49" xfId="15" applyFont="1" applyBorder="1" applyAlignment="1">
      <alignment horizontal="center" wrapText="1"/>
    </xf>
    <xf numFmtId="166" fontId="35" fillId="0" borderId="0" xfId="2" applyNumberFormat="1" applyFont="1" applyAlignment="1">
      <alignment horizontal="right" vertical="center"/>
    </xf>
    <xf numFmtId="0" fontId="1" fillId="0" borderId="0" xfId="0" applyFont="1"/>
    <xf numFmtId="0" fontId="5" fillId="0" borderId="0" xfId="0" applyFont="1"/>
    <xf numFmtId="0" fontId="5" fillId="0" borderId="0" xfId="0" pivotButton="1" applyFont="1"/>
    <xf numFmtId="3" fontId="5" fillId="0" borderId="0" xfId="0" pivotButton="1" applyNumberFormat="1" applyFont="1"/>
    <xf numFmtId="168" fontId="5" fillId="0" borderId="0" xfId="0" applyNumberFormat="1" applyFont="1"/>
    <xf numFmtId="168" fontId="5" fillId="0" borderId="0" xfId="0" pivotButton="1" applyNumberFormat="1" applyFont="1"/>
    <xf numFmtId="0" fontId="5" fillId="0" borderId="0" xfId="0" applyFont="1"/>
    <xf numFmtId="0" fontId="12" fillId="0" borderId="0" xfId="4" applyFont="1"/>
    <xf numFmtId="41" fontId="5" fillId="0" borderId="63" xfId="0" applyNumberFormat="1" applyFont="1" applyBorder="1"/>
    <xf numFmtId="41" fontId="5" fillId="0" borderId="61" xfId="0" applyNumberFormat="1" applyFont="1" applyBorder="1"/>
    <xf numFmtId="41" fontId="5" fillId="0" borderId="62" xfId="0" applyNumberFormat="1" applyFont="1" applyBorder="1"/>
    <xf numFmtId="0" fontId="38" fillId="0" borderId="0" xfId="0" applyFont="1"/>
    <xf numFmtId="0" fontId="5" fillId="0" borderId="65" xfId="0" applyFont="1" applyBorder="1" applyAlignment="1">
      <alignment horizontal="right"/>
    </xf>
    <xf numFmtId="42" fontId="5" fillId="0" borderId="66" xfId="0" applyNumberFormat="1" applyFont="1" applyBorder="1"/>
    <xf numFmtId="42" fontId="5" fillId="0" borderId="67" xfId="0" applyNumberFormat="1" applyFont="1" applyBorder="1"/>
    <xf numFmtId="42" fontId="5" fillId="0" borderId="65" xfId="0" applyNumberFormat="1" applyFont="1" applyBorder="1"/>
    <xf numFmtId="0" fontId="5" fillId="0" borderId="0" xfId="0" applyFont="1"/>
    <xf numFmtId="0" fontId="5" fillId="0" borderId="0" xfId="0" applyFont="1" applyAlignment="1">
      <alignment horizontal="right"/>
    </xf>
    <xf numFmtId="0" fontId="5" fillId="0" borderId="0" xfId="0" applyFont="1" applyAlignment="1">
      <alignment horizontal="right"/>
    </xf>
    <xf numFmtId="0" fontId="5" fillId="0" borderId="0" xfId="0" applyFont="1"/>
    <xf numFmtId="167" fontId="5" fillId="0" borderId="0" xfId="0" applyNumberFormat="1" applyFont="1" applyAlignment="1">
      <alignment horizontal="left"/>
    </xf>
    <xf numFmtId="0" fontId="5" fillId="12" borderId="29" xfId="0" applyFont="1" applyFill="1" applyBorder="1" applyAlignment="1">
      <alignment vertical="center" wrapText="1"/>
    </xf>
    <xf numFmtId="0" fontId="5" fillId="12" borderId="30" xfId="0" applyFont="1" applyFill="1" applyBorder="1" applyAlignment="1">
      <alignment vertical="center" wrapText="1"/>
    </xf>
    <xf numFmtId="0" fontId="5" fillId="12" borderId="8" xfId="0" applyFont="1" applyFill="1" applyBorder="1" applyAlignment="1">
      <alignment vertical="center" wrapText="1"/>
    </xf>
    <xf numFmtId="0" fontId="5" fillId="12" borderId="31" xfId="0" applyFont="1" applyFill="1" applyBorder="1" applyAlignment="1">
      <alignment vertical="center" wrapText="1"/>
    </xf>
    <xf numFmtId="0" fontId="5" fillId="12" borderId="32" xfId="0" applyFont="1" applyFill="1" applyBorder="1" applyAlignment="1">
      <alignment vertical="center" wrapText="1"/>
    </xf>
    <xf numFmtId="0" fontId="5" fillId="12" borderId="0" xfId="0" applyFont="1" applyFill="1" applyBorder="1" applyAlignment="1">
      <alignment vertical="center" wrapText="1"/>
    </xf>
    <xf numFmtId="0" fontId="5" fillId="12" borderId="33" xfId="0" applyFont="1" applyFill="1" applyBorder="1" applyAlignment="1">
      <alignment vertical="center" wrapText="1"/>
    </xf>
    <xf numFmtId="0" fontId="5" fillId="12" borderId="39" xfId="0" applyFont="1" applyFill="1" applyBorder="1" applyAlignment="1">
      <alignment vertical="center" wrapText="1"/>
    </xf>
    <xf numFmtId="0" fontId="5" fillId="12" borderId="11" xfId="0" applyFont="1" applyFill="1" applyBorder="1" applyAlignment="1">
      <alignment vertical="center" wrapText="1"/>
    </xf>
    <xf numFmtId="0" fontId="5" fillId="12" borderId="40" xfId="0" applyFont="1" applyFill="1" applyBorder="1" applyAlignment="1">
      <alignment vertical="center" wrapText="1"/>
    </xf>
    <xf numFmtId="0" fontId="2" fillId="0" borderId="0" xfId="0" applyFont="1" applyAlignment="1">
      <alignment horizontal="center"/>
    </xf>
    <xf numFmtId="0" fontId="5" fillId="12" borderId="29" xfId="0" applyFont="1" applyFill="1" applyBorder="1" applyAlignment="1">
      <alignment vertical="center"/>
    </xf>
    <xf numFmtId="0" fontId="14" fillId="12" borderId="29" xfId="0" applyFont="1" applyFill="1" applyBorder="1" applyAlignment="1">
      <alignment horizontal="center" vertical="center" wrapText="1"/>
    </xf>
    <xf numFmtId="0" fontId="14" fillId="12" borderId="29" xfId="0" applyFont="1" applyFill="1" applyBorder="1" applyAlignment="1">
      <alignment horizontal="center" vertical="center"/>
    </xf>
    <xf numFmtId="0" fontId="5" fillId="12" borderId="0" xfId="0" applyFont="1" applyFill="1"/>
    <xf numFmtId="0" fontId="14" fillId="12" borderId="37" xfId="0" applyFont="1" applyFill="1" applyBorder="1" applyAlignment="1">
      <alignment horizontal="center" vertical="center" wrapText="1"/>
    </xf>
    <xf numFmtId="0" fontId="14" fillId="12" borderId="41" xfId="0" applyFont="1" applyFill="1" applyBorder="1" applyAlignment="1">
      <alignment horizontal="center" vertical="center" wrapText="1"/>
    </xf>
    <xf numFmtId="0" fontId="14" fillId="12" borderId="38" xfId="0" applyFont="1" applyFill="1" applyBorder="1" applyAlignment="1">
      <alignment horizontal="center" vertical="center" wrapText="1"/>
    </xf>
    <xf numFmtId="0" fontId="14" fillId="12" borderId="37" xfId="0" applyFont="1" applyFill="1" applyBorder="1" applyAlignment="1">
      <alignment horizontal="center" vertical="center"/>
    </xf>
    <xf numFmtId="0" fontId="14" fillId="12" borderId="38" xfId="0" applyFont="1" applyFill="1" applyBorder="1" applyAlignment="1">
      <alignment horizontal="center" vertical="center"/>
    </xf>
    <xf numFmtId="0" fontId="5" fillId="12" borderId="50" xfId="0" applyFont="1" applyFill="1" applyBorder="1" applyAlignment="1">
      <alignment vertical="center" wrapText="1"/>
    </xf>
    <xf numFmtId="0" fontId="5" fillId="12" borderId="19" xfId="0" applyFont="1" applyFill="1" applyBorder="1" applyAlignment="1">
      <alignment vertical="center" wrapText="1"/>
    </xf>
    <xf numFmtId="0" fontId="5" fillId="12" borderId="51" xfId="0" applyFont="1" applyFill="1" applyBorder="1" applyAlignment="1">
      <alignment vertical="center" wrapText="1"/>
    </xf>
    <xf numFmtId="0" fontId="5" fillId="0" borderId="29" xfId="0" applyFont="1" applyBorder="1"/>
    <xf numFmtId="0" fontId="5" fillId="0" borderId="0" xfId="0" applyFont="1" applyBorder="1" applyAlignment="1">
      <alignment horizontal="left" vertical="top"/>
    </xf>
    <xf numFmtId="0" fontId="14" fillId="12" borderId="0" xfId="0" applyFont="1" applyFill="1"/>
    <xf numFmtId="0" fontId="5" fillId="12" borderId="0" xfId="0" applyFont="1" applyFill="1" applyAlignment="1">
      <alignment horizontal="left"/>
    </xf>
    <xf numFmtId="0" fontId="5" fillId="12" borderId="0" xfId="0" applyFont="1" applyFill="1" applyAlignment="1">
      <alignment horizontal="left" indent="2"/>
    </xf>
    <xf numFmtId="0" fontId="14" fillId="0" borderId="29" xfId="0" applyFont="1" applyBorder="1" applyAlignment="1">
      <alignment horizontal="right" vertical="center"/>
    </xf>
    <xf numFmtId="0" fontId="5" fillId="0" borderId="50" xfId="0" applyFont="1" applyBorder="1"/>
    <xf numFmtId="0" fontId="5" fillId="0" borderId="19" xfId="0" applyFont="1" applyBorder="1"/>
    <xf numFmtId="0" fontId="5" fillId="0" borderId="51" xfId="0" applyFont="1" applyBorder="1"/>
    <xf numFmtId="0" fontId="2" fillId="0" borderId="11" xfId="0" applyFont="1" applyBorder="1" applyAlignment="1">
      <alignment horizontal="center"/>
    </xf>
    <xf numFmtId="0" fontId="22" fillId="12" borderId="0" xfId="0" applyFont="1" applyFill="1" applyAlignment="1">
      <alignment horizontal="center"/>
    </xf>
    <xf numFmtId="0" fontId="5" fillId="0" borderId="29" xfId="0" applyFont="1" applyBorder="1" applyAlignment="1">
      <alignment horizontal="left" wrapText="1"/>
    </xf>
    <xf numFmtId="0" fontId="4" fillId="0" borderId="0" xfId="2" applyFont="1" applyAlignment="1">
      <alignment horizontal="center"/>
    </xf>
    <xf numFmtId="0" fontId="2" fillId="0" borderId="1" xfId="0" applyFont="1" applyBorder="1" applyAlignment="1">
      <alignment horizontal="center"/>
    </xf>
    <xf numFmtId="0" fontId="7" fillId="0" borderId="3" xfId="2" applyFont="1" applyBorder="1" applyAlignment="1">
      <alignment horizontal="center" textRotation="90"/>
    </xf>
    <xf numFmtId="0" fontId="7" fillId="0" borderId="4" xfId="2" applyFont="1" applyBorder="1" applyAlignment="1">
      <alignment horizontal="center" textRotation="90"/>
    </xf>
    <xf numFmtId="0" fontId="7" fillId="0" borderId="6" xfId="2" applyFont="1" applyBorder="1" applyAlignment="1">
      <alignment horizontal="center" textRotation="90"/>
    </xf>
    <xf numFmtId="0" fontId="14" fillId="0" borderId="0" xfId="0" applyFont="1" applyAlignment="1">
      <alignment vertical="top" wrapText="1"/>
    </xf>
    <xf numFmtId="15" fontId="14" fillId="0" borderId="0" xfId="0" applyNumberFormat="1" applyFont="1" applyAlignment="1">
      <alignment horizontal="left"/>
    </xf>
    <xf numFmtId="0" fontId="2" fillId="21" borderId="0" xfId="0" applyFont="1" applyFill="1" applyAlignment="1">
      <alignment horizontal="left"/>
    </xf>
    <xf numFmtId="42" fontId="14" fillId="0" borderId="0" xfId="0" applyNumberFormat="1" applyFont="1" applyAlignment="1">
      <alignment horizontal="center"/>
    </xf>
    <xf numFmtId="41" fontId="5" fillId="0" borderId="11" xfId="0" applyNumberFormat="1" applyFont="1" applyBorder="1"/>
    <xf numFmtId="165" fontId="5" fillId="0" borderId="61" xfId="0" applyNumberFormat="1" applyFont="1" applyBorder="1"/>
    <xf numFmtId="165" fontId="5" fillId="0" borderId="64" xfId="0" applyNumberFormat="1" applyFont="1" applyBorder="1"/>
    <xf numFmtId="165" fontId="5" fillId="0" borderId="67" xfId="0" applyNumberFormat="1" applyFont="1" applyBorder="1"/>
    <xf numFmtId="165" fontId="5" fillId="0" borderId="68" xfId="0" applyNumberFormat="1" applyFont="1" applyBorder="1"/>
    <xf numFmtId="164" fontId="22" fillId="0" borderId="0" xfId="0" applyNumberFormat="1" applyFont="1" applyAlignment="1">
      <alignment horizontal="center"/>
    </xf>
    <xf numFmtId="0" fontId="22" fillId="0" borderId="1" xfId="0" applyFont="1" applyBorder="1" applyAlignment="1">
      <alignment horizontal="center"/>
    </xf>
    <xf numFmtId="0" fontId="37" fillId="0" borderId="0" xfId="4" applyFont="1" applyAlignment="1">
      <alignment horizontal="center"/>
    </xf>
  </cellXfs>
  <cellStyles count="16">
    <cellStyle name="20% - Accent3" xfId="8" builtinId="38"/>
    <cellStyle name="20% - Accent4" xfId="11" builtinId="42"/>
    <cellStyle name="40% - Accent2" xfId="7" builtinId="35"/>
    <cellStyle name="40% - Accent3" xfId="9" builtinId="39"/>
    <cellStyle name="40% - Accent4" xfId="12" builtinId="43"/>
    <cellStyle name="40% - Accent6" xfId="14" builtinId="51"/>
    <cellStyle name="60% - Accent3" xfId="10" builtinId="40"/>
    <cellStyle name="60% - Accent4" xfId="13" builtinId="44"/>
    <cellStyle name="Comma 2" xfId="5" xr:uid="{0263C870-0C48-4492-99FA-4F562F325CCA}"/>
    <cellStyle name="Hyperlink" xfId="4" builtinId="8"/>
    <cellStyle name="Normal" xfId="0" builtinId="0"/>
    <cellStyle name="Normal 2" xfId="2" xr:uid="{6DD55FB8-F0C0-4841-93AF-E979BD3517E7}"/>
    <cellStyle name="Normal 3" xfId="6" xr:uid="{B2B946BE-0032-42F3-B194-F2032A326D24}"/>
    <cellStyle name="Note" xfId="15" builtinId="10"/>
    <cellStyle name="Percent" xfId="1" builtinId="5"/>
    <cellStyle name="Percent 2" xfId="3" xr:uid="{4928C4C9-2F1B-4C7F-B8C7-12C6246FFC5D}"/>
  </cellStyles>
  <dxfs count="52">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font>
        <b/>
        <strike val="0"/>
        <outline val="0"/>
        <shadow val="0"/>
        <u val="none"/>
        <vertAlign val="baseline"/>
        <sz val="12"/>
        <color theme="1"/>
        <name val="Calibri"/>
        <family val="2"/>
        <scheme val="minor"/>
      </font>
    </dxf>
    <dxf>
      <numFmt numFmtId="168" formatCode="###0"/>
    </dxf>
    <dxf>
      <numFmt numFmtId="168" formatCode="###0"/>
    </dxf>
    <dxf>
      <numFmt numFmtId="168" formatCode="###0"/>
    </dxf>
    <dxf>
      <numFmt numFmtId="168" formatCode="###0"/>
    </dxf>
    <dxf>
      <numFmt numFmtId="168" formatCode="###0"/>
    </dxf>
    <dxf>
      <numFmt numFmtId="3" formatCode="#,##0"/>
    </dxf>
    <dxf>
      <numFmt numFmtId="3" formatCode="#,##0"/>
    </dxf>
    <dxf>
      <numFmt numFmtId="3" formatCode="#,##0"/>
    </dxf>
    <dxf>
      <numFmt numFmtId="3" formatCode="#,##0"/>
    </dxf>
    <dxf>
      <numFmt numFmtId="3" formatCode="#,##0"/>
    </dxf>
    <dxf>
      <fill>
        <patternFill>
          <bgColor rgb="FFFFC7CE"/>
        </patternFill>
      </fill>
    </dxf>
    <dxf>
      <fill>
        <patternFill>
          <bgColor rgb="FFFFC7CE"/>
        </patternFill>
      </fill>
    </dxf>
    <dxf>
      <font>
        <color rgb="FF9C0006"/>
      </font>
    </dxf>
    <dxf>
      <font>
        <strike val="0"/>
        <outline val="0"/>
        <shadow val="0"/>
        <u val="none"/>
        <vertAlign val="baseline"/>
        <sz val="12"/>
        <color theme="1"/>
        <name val="Calibri"/>
        <family val="2"/>
        <scheme val="minor"/>
      </font>
      <alignment horizontal="center" vertical="bottom" textRotation="0" wrapText="0" indent="0" justifyLastLine="0" shrinkToFit="0" readingOrder="0"/>
    </dxf>
    <dxf>
      <font>
        <strike val="0"/>
        <outline val="0"/>
        <shadow val="0"/>
        <u val="none"/>
        <vertAlign val="baseline"/>
        <sz val="12"/>
        <color theme="1"/>
        <name val="Calibri"/>
        <family val="2"/>
        <scheme val="minor"/>
      </font>
      <alignment horizontal="left" vertical="bottom" textRotation="0" wrapText="0" indent="2" justifyLastLine="0" shrinkToFit="0" readingOrder="0"/>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0" formatCode="General"/>
      <alignment horizontal="left" vertical="bottom" textRotation="0" wrapText="0" relativeIndent="1" justifyLastLine="0" shrinkToFit="0" readingOrder="0"/>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i val="0"/>
        <strike val="0"/>
        <condense val="0"/>
        <extend val="0"/>
        <outline val="0"/>
        <shadow val="0"/>
        <u val="none"/>
        <vertAlign val="baseline"/>
        <sz val="12"/>
        <color theme="1"/>
        <name val="Calibri"/>
        <family val="2"/>
        <scheme val="minor"/>
      </font>
    </dxf>
    <dxf>
      <font>
        <strike val="0"/>
        <outline val="0"/>
        <shadow val="0"/>
        <vertAlign val="baseline"/>
        <sz val="12"/>
        <color theme="1"/>
        <name val="Calibri"/>
        <family val="2"/>
        <scheme val="minor"/>
      </font>
      <numFmt numFmtId="1" formatCode="0"/>
      <alignment horizontal="center" vertical="bottom" textRotation="0" wrapText="0" indent="0" justifyLastLine="0" shrinkToFit="0" readingOrder="0"/>
    </dxf>
    <dxf>
      <font>
        <strike val="0"/>
        <outline val="0"/>
        <shadow val="0"/>
        <vertAlign val="baseline"/>
        <sz val="12"/>
        <color theme="1"/>
        <name val="Calibri"/>
        <family val="2"/>
        <scheme val="minor"/>
      </font>
      <numFmt numFmtId="1" formatCode="0"/>
      <alignment horizontal="center" vertical="bottom" textRotation="0" wrapText="0" indent="0" justifyLastLine="0" shrinkToFit="0" readingOrder="0"/>
    </dxf>
    <dxf>
      <font>
        <strike val="0"/>
        <outline val="0"/>
        <shadow val="0"/>
        <vertAlign val="baseline"/>
        <sz val="12"/>
        <color theme="1"/>
        <name val="Calibri"/>
        <family val="2"/>
        <scheme val="minor"/>
      </font>
      <alignment horizontal="left" vertical="bottom" textRotation="0" wrapText="0" relativeIndent="1" justifyLastLine="0" shrinkToFit="0" readingOrder="0"/>
    </dxf>
    <dxf>
      <font>
        <b/>
        <i val="0"/>
        <strike val="0"/>
        <condense val="0"/>
        <extend val="0"/>
        <outline val="0"/>
        <shadow val="0"/>
        <u/>
        <vertAlign val="baseline"/>
        <sz val="12"/>
        <color theme="1"/>
        <name val="Calibri"/>
        <family val="2"/>
        <scheme val="minor"/>
      </font>
      <alignment horizontal="right" vertical="bottom" textRotation="0" wrapText="0" relativeIndent="1" justifyLastLine="0" shrinkToFit="0" readingOrder="0"/>
    </dxf>
    <dxf>
      <font>
        <strike val="0"/>
        <outline val="0"/>
        <shadow val="0"/>
        <vertAlign val="baseline"/>
        <sz val="12"/>
        <color theme="1"/>
        <name val="Calibri"/>
        <family val="2"/>
        <scheme val="minor"/>
      </font>
      <alignment horizontal="right" vertical="bottom" textRotation="0" wrapText="0" indent="0" justifyLastLine="0" shrinkToFit="0" readingOrder="0"/>
    </dxf>
    <dxf>
      <font>
        <strike val="0"/>
        <outline val="0"/>
        <shadow val="0"/>
        <vertAlign val="baseline"/>
        <sz val="12"/>
        <color theme="1"/>
        <name val="Calibri"/>
        <family val="2"/>
        <scheme val="minor"/>
      </font>
    </dxf>
    <dxf>
      <font>
        <b/>
        <i val="0"/>
        <strike val="0"/>
        <condense val="0"/>
        <extend val="0"/>
        <outline val="0"/>
        <shadow val="0"/>
        <u/>
        <vertAlign val="baseline"/>
        <sz val="12"/>
        <color theme="1"/>
        <name val="Calibri"/>
        <family val="2"/>
        <scheme val="minor"/>
      </font>
      <alignment horizontal="left" vertical="bottom" textRotation="0" wrapText="0" indent="0" justifyLastLine="0" shrinkToFit="0" readingOrder="0"/>
    </dxf>
  </dxfs>
  <tableStyles count="1" defaultTableStyle="TableStyleMedium2" defaultPivotStyle="PivotStyleLight16">
    <tableStyle name="Invisible" pivot="0" table="0" count="0" xr9:uid="{300064B6-8530-4285-AA70-53F56B21FB00}"/>
  </tableStyles>
  <colors>
    <mruColors>
      <color rgb="FFC4A760"/>
      <color rgb="FFAB8C3F"/>
      <color rgb="FFBFA051"/>
      <color rgb="FFCFB87C"/>
      <color rgb="FFF5F0E3"/>
      <color rgb="FFECE3CC"/>
      <color rgb="FFE6EBF6"/>
      <color rgb="FFD7DFF1"/>
      <color rgb="FFE1D2AD"/>
      <color rgb="FFADB9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289560</xdr:colOff>
          <xdr:row>2</xdr:row>
          <xdr:rowOff>38100</xdr:rowOff>
        </xdr:from>
        <xdr:to>
          <xdr:col>2</xdr:col>
          <xdr:colOff>525780</xdr:colOff>
          <xdr:row>4</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Quarterly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274320</xdr:colOff>
          <xdr:row>7</xdr:row>
          <xdr:rowOff>114300</xdr:rowOff>
        </xdr:from>
        <xdr:to>
          <xdr:col>2</xdr:col>
          <xdr:colOff>518160</xdr:colOff>
          <xdr:row>9</xdr:row>
          <xdr:rowOff>76200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Seasonal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2</xdr:row>
          <xdr:rowOff>121920</xdr:rowOff>
        </xdr:from>
        <xdr:to>
          <xdr:col>9</xdr:col>
          <xdr:colOff>175260</xdr:colOff>
          <xdr:row>4</xdr:row>
          <xdr:rowOff>83820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Report</a:t>
              </a:r>
            </a:p>
          </xdr:txBody>
        </xdr:sp>
        <xdr:clientData fPrintsWithSheet="0"/>
      </xdr:twoCellAnchor>
    </mc:Choice>
    <mc:Fallback/>
  </mc:AlternateContent>
  <xdr:twoCellAnchor>
    <xdr:from>
      <xdr:col>4</xdr:col>
      <xdr:colOff>861060</xdr:colOff>
      <xdr:row>8</xdr:row>
      <xdr:rowOff>0</xdr:rowOff>
    </xdr:from>
    <xdr:to>
      <xdr:col>6</xdr:col>
      <xdr:colOff>15240</xdr:colOff>
      <xdr:row>8</xdr:row>
      <xdr:rowOff>167640</xdr:rowOff>
    </xdr:to>
    <xdr:cxnSp macro="">
      <xdr:nvCxnSpPr>
        <xdr:cNvPr id="7" name="Connector: Elbow 6">
          <a:extLst>
            <a:ext uri="{FF2B5EF4-FFF2-40B4-BE49-F238E27FC236}">
              <a16:creationId xmlns:a16="http://schemas.microsoft.com/office/drawing/2014/main" id="{00000000-0008-0000-0000-000007000000}"/>
            </a:ext>
          </a:extLst>
        </xdr:cNvPr>
        <xdr:cNvCxnSpPr/>
      </xdr:nvCxnSpPr>
      <xdr:spPr>
        <a:xfrm flipV="1">
          <a:off x="4427220" y="1493520"/>
          <a:ext cx="632460" cy="167640"/>
        </a:xfrm>
        <a:prstGeom prst="bentConnector3">
          <a:avLst/>
        </a:prstGeom>
        <a:ln w="1270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251460</xdr:colOff>
          <xdr:row>3</xdr:row>
          <xdr:rowOff>175260</xdr:rowOff>
        </xdr:from>
        <xdr:to>
          <xdr:col>2</xdr:col>
          <xdr:colOff>821055</xdr:colOff>
          <xdr:row>5</xdr:row>
          <xdr:rowOff>15240</xdr:rowOff>
        </xdr:to>
        <xdr:sp macro="" textlink="">
          <xdr:nvSpPr>
            <xdr:cNvPr id="4128" name="chkSAW"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Import Data From Student Affairs Workbook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274320</xdr:colOff>
          <xdr:row>12</xdr:row>
          <xdr:rowOff>114300</xdr:rowOff>
        </xdr:from>
        <xdr:to>
          <xdr:col>2</xdr:col>
          <xdr:colOff>518160</xdr:colOff>
          <xdr:row>14</xdr:row>
          <xdr:rowOff>76200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Annual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754380</xdr:colOff>
          <xdr:row>5</xdr:row>
          <xdr:rowOff>7620</xdr:rowOff>
        </xdr:from>
        <xdr:to>
          <xdr:col>12</xdr:col>
          <xdr:colOff>0</xdr:colOff>
          <xdr:row>6</xdr:row>
          <xdr:rowOff>167640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Enable Word Doc Library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rega/Google%20Drive/CUSG/Quarterly%20Report%20Generator/Quarterly%20Report%20Generator%20v.6.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reate Report"/>
      <sheetName val="Account Codes"/>
      <sheetName val="Consolidation Lists"/>
      <sheetName val="Draft"/>
      <sheetName val="Fund Balance"/>
      <sheetName val="Rev.Exp All Pgms"/>
      <sheetName val="Roll Up"/>
      <sheetName val="Administration"/>
      <sheetName val="Bear Creek Rec"/>
      <sheetName val="Building Services"/>
      <sheetName val="Capital"/>
      <sheetName val="Check-Out "/>
      <sheetName val="Equipment Services"/>
      <sheetName val="Events-Facilities Svcs"/>
      <sheetName val="FitWell Programs"/>
      <sheetName val="Inclusive Sports Summit"/>
      <sheetName val="Intramural"/>
      <sheetName val="IT"/>
      <sheetName val="Lockers"/>
      <sheetName val="Maintenance"/>
      <sheetName val="Marketing"/>
      <sheetName val="Membership"/>
      <sheetName val="Outdoor Programs"/>
      <sheetName val="Pools"/>
      <sheetName val="Pro Shop-Vending"/>
      <sheetName val="Rec Fields"/>
      <sheetName val="Rink"/>
      <sheetName val="SF Rev (2011 Expansion)"/>
      <sheetName val="SF Rev (Pre-2011 Expansion)"/>
      <sheetName val="Special Events"/>
      <sheetName val="Student Fee Sport Clubs"/>
      <sheetName val="Training Room"/>
    </sheetNames>
    <sheetDataSet>
      <sheetData sheetId="0" refreshError="1"/>
      <sheetData sheetId="1">
        <row r="3">
          <cell r="F3" t="str">
            <v>SLS</v>
          </cell>
        </row>
        <row r="4">
          <cell r="F4">
            <v>4</v>
          </cell>
        </row>
        <row r="5">
          <cell r="F5">
            <v>20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ga" refreshedDate="44255.842777199075" createdVersion="6" refreshedVersion="6" minRefreshableVersion="3" recordCount="1507" xr:uid="{C164DE9B-2E58-409E-826F-41ADDD9529D6}">
  <cacheSource type="worksheet">
    <worksheetSource ref="A1:H1508" sheet="Data"/>
  </cacheSource>
  <cacheFields count="8">
    <cacheField name="PROGRAM" numFmtId="0">
      <sharedItems count="1">
        <s v="KVCU Operations"/>
      </sharedItems>
    </cacheField>
    <cacheField name="FY" numFmtId="0">
      <sharedItems containsSemiMixedTypes="0" containsString="0" containsNumber="1" containsInteger="1" minValue="2018" maxValue="2021" count="4">
        <n v="2018"/>
        <n v="2019"/>
        <n v="2020"/>
        <n v="2021"/>
      </sharedItems>
    </cacheField>
    <cacheField name="QUARTER" numFmtId="0">
      <sharedItems containsSemiMixedTypes="0" containsString="0" containsNumber="1" containsInteger="1" minValue="1" maxValue="4" count="4">
        <n v="1"/>
        <n v="2"/>
        <n v="3"/>
        <n v="4"/>
      </sharedItems>
    </cacheField>
    <cacheField name="ROW" numFmtId="0">
      <sharedItems containsSemiMixedTypes="0" containsString="0" containsNumber="1" containsInteger="1" minValue="8" maxValue="45" count="18">
        <n v="8"/>
        <n v="17"/>
        <n v="20"/>
        <n v="23"/>
        <n v="28"/>
        <n v="25"/>
        <n v="29"/>
        <n v="32"/>
        <n v="38"/>
        <n v="40"/>
        <n v="41"/>
        <n v="45"/>
        <n v="26"/>
        <n v="27"/>
        <n v="11"/>
        <n v="33"/>
        <n v="24"/>
        <n v="37"/>
      </sharedItems>
    </cacheField>
    <cacheField name="ACCT" numFmtId="0">
      <sharedItems/>
    </cacheField>
    <cacheField name="SPEEDTYPE" numFmtId="0">
      <sharedItems/>
    </cacheField>
    <cacheField name="BUDGET" numFmtId="3">
      <sharedItems containsString="0" containsBlank="1" containsNumber="1" containsInteger="1" minValue="-147042" maxValue="80188"/>
    </cacheField>
    <cacheField name="ACTUALS" numFmtId="3">
      <sharedItems containsString="0" containsBlank="1" containsNumber="1" minValue="-73521" maxValue="57834.1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x v="0"/>
    <x v="0"/>
    <x v="0"/>
    <x v="0"/>
    <s v="220100 -- STUDENT ACTIVITY FEES"/>
    <s v="12010513 -- KVCU"/>
    <n v="-143892"/>
    <m/>
  </r>
  <r>
    <x v="0"/>
    <x v="0"/>
    <x v="0"/>
    <x v="0"/>
    <s v="220100 -- STUDENT ACTIVITY FEES"/>
    <s v="12010513 -- KVCU"/>
    <m/>
    <n v="-71946"/>
  </r>
  <r>
    <x v="0"/>
    <x v="0"/>
    <x v="0"/>
    <x v="1"/>
    <s v="407500 -- STD HR PAY GEN BDG"/>
    <s v="12010513 -- KVCU"/>
    <n v="78707"/>
    <m/>
  </r>
  <r>
    <x v="0"/>
    <x v="0"/>
    <x v="0"/>
    <x v="1"/>
    <s v="407600 -- STD HR PAY"/>
    <s v="12010513 -- KVCU"/>
    <m/>
    <n v="216.4"/>
  </r>
  <r>
    <x v="0"/>
    <x v="0"/>
    <x v="0"/>
    <x v="1"/>
    <s v="407600 -- STD HR PAY"/>
    <s v="12010513 -- KVCU"/>
    <m/>
    <n v="75.739999999999995"/>
  </r>
  <r>
    <x v="0"/>
    <x v="0"/>
    <x v="0"/>
    <x v="1"/>
    <s v="407600 -- STD HR PAY"/>
    <s v="12010513 -- KVCU"/>
    <m/>
    <n v="324.60000000000002"/>
  </r>
  <r>
    <x v="0"/>
    <x v="0"/>
    <x v="0"/>
    <x v="1"/>
    <s v="407600 -- STD HR PAY"/>
    <s v="12010513 -- KVCU"/>
    <m/>
    <n v="151.47999999999999"/>
  </r>
  <r>
    <x v="0"/>
    <x v="0"/>
    <x v="0"/>
    <x v="1"/>
    <s v="407600 -- STD HR PAY"/>
    <s v="12010513 -- KVCU"/>
    <m/>
    <n v="117.84"/>
  </r>
  <r>
    <x v="0"/>
    <x v="0"/>
    <x v="0"/>
    <x v="1"/>
    <s v="407600 -- STD HR PAY"/>
    <s v="12010513 -- KVCU"/>
    <m/>
    <n v="176.76"/>
  </r>
  <r>
    <x v="0"/>
    <x v="0"/>
    <x v="0"/>
    <x v="1"/>
    <s v="407600 -- STD HR PAY"/>
    <s v="12010513 -- KVCU"/>
    <m/>
    <n v="147.30000000000001"/>
  </r>
  <r>
    <x v="0"/>
    <x v="0"/>
    <x v="0"/>
    <x v="1"/>
    <s v="407600 -- STD HR PAY"/>
    <s v="12010513 -- KVCU"/>
    <m/>
    <n v="88.38"/>
  </r>
  <r>
    <x v="0"/>
    <x v="0"/>
    <x v="0"/>
    <x v="1"/>
    <s v="407600 -- STD HR PAY"/>
    <s v="12010513 -- KVCU"/>
    <m/>
    <n v="58.92"/>
  </r>
  <r>
    <x v="0"/>
    <x v="0"/>
    <x v="0"/>
    <x v="1"/>
    <s v="407600 -- STD HR PAY"/>
    <s v="12010513 -- KVCU"/>
    <m/>
    <n v="90.84"/>
  </r>
  <r>
    <x v="0"/>
    <x v="0"/>
    <x v="0"/>
    <x v="1"/>
    <s v="407600 -- STD HR PAY"/>
    <s v="12010513 -- KVCU"/>
    <m/>
    <n v="88.38"/>
  </r>
  <r>
    <x v="0"/>
    <x v="0"/>
    <x v="0"/>
    <x v="1"/>
    <s v="407600 -- STD HR PAY"/>
    <s v="12010513 -- KVCU"/>
    <m/>
    <n v="117.84"/>
  </r>
  <r>
    <x v="0"/>
    <x v="0"/>
    <x v="0"/>
    <x v="1"/>
    <s v="407600 -- STD HR PAY"/>
    <s v="12010513 -- KVCU"/>
    <m/>
    <n v="117.84"/>
  </r>
  <r>
    <x v="0"/>
    <x v="0"/>
    <x v="0"/>
    <x v="1"/>
    <s v="407600 -- STD HR PAY"/>
    <s v="12010513 -- KVCU"/>
    <m/>
    <n v="117.84"/>
  </r>
  <r>
    <x v="0"/>
    <x v="0"/>
    <x v="0"/>
    <x v="1"/>
    <s v="407600 -- STD HR PAY"/>
    <s v="12010513 -- KVCU"/>
    <m/>
    <n v="94.68"/>
  </r>
  <r>
    <x v="0"/>
    <x v="0"/>
    <x v="0"/>
    <x v="1"/>
    <s v="407600 -- STD HR PAY"/>
    <s v="12010513 -- KVCU"/>
    <m/>
    <n v="97.38"/>
  </r>
  <r>
    <x v="0"/>
    <x v="0"/>
    <x v="0"/>
    <x v="1"/>
    <s v="407600 -- STD HR PAY"/>
    <s v="12010513 -- KVCU"/>
    <m/>
    <n v="59.51"/>
  </r>
  <r>
    <x v="0"/>
    <x v="0"/>
    <x v="0"/>
    <x v="1"/>
    <s v="407600 -- STD HR PAY"/>
    <s v="12010513 -- KVCU"/>
    <m/>
    <n v="129.84"/>
  </r>
  <r>
    <x v="0"/>
    <x v="0"/>
    <x v="0"/>
    <x v="1"/>
    <s v="407600 -- STD HR PAY"/>
    <s v="12010513 -- KVCU"/>
    <m/>
    <n v="275.91000000000003"/>
  </r>
  <r>
    <x v="0"/>
    <x v="0"/>
    <x v="0"/>
    <x v="1"/>
    <s v="407600 -- STD HR PAY"/>
    <s v="12010513 -- KVCU"/>
    <m/>
    <n v="183.94"/>
  </r>
  <r>
    <x v="0"/>
    <x v="0"/>
    <x v="0"/>
    <x v="1"/>
    <s v="407600 -- STD HR PAY"/>
    <s v="12010513 -- KVCU"/>
    <m/>
    <n v="238.04"/>
  </r>
  <r>
    <x v="0"/>
    <x v="0"/>
    <x v="0"/>
    <x v="1"/>
    <s v="407600 -- STD HR PAY"/>
    <s v="12010513 -- KVCU"/>
    <m/>
    <n v="270.5"/>
  </r>
  <r>
    <x v="0"/>
    <x v="0"/>
    <x v="0"/>
    <x v="1"/>
    <s v="407600 -- STD HR PAY"/>
    <s v="12010513 -- KVCU"/>
    <m/>
    <n v="54.1"/>
  </r>
  <r>
    <x v="0"/>
    <x v="0"/>
    <x v="0"/>
    <x v="1"/>
    <s v="407600 -- STD HR PAY"/>
    <s v="12010513 -- KVCU"/>
    <m/>
    <n v="21.64"/>
  </r>
  <r>
    <x v="0"/>
    <x v="0"/>
    <x v="0"/>
    <x v="1"/>
    <s v="407600 -- STD HR PAY"/>
    <s v="12010513 -- KVCU"/>
    <m/>
    <n v="156.88999999999999"/>
  </r>
  <r>
    <x v="0"/>
    <x v="0"/>
    <x v="0"/>
    <x v="1"/>
    <s v="407600 -- STD HR PAY"/>
    <s v="12010513 -- KVCU"/>
    <m/>
    <n v="259.68"/>
  </r>
  <r>
    <x v="0"/>
    <x v="0"/>
    <x v="0"/>
    <x v="1"/>
    <s v="407600 -- STD HR PAY"/>
    <s v="12010513 -- KVCU"/>
    <m/>
    <n v="21.64"/>
  </r>
  <r>
    <x v="0"/>
    <x v="0"/>
    <x v="0"/>
    <x v="1"/>
    <s v="407600 -- STD HR PAY"/>
    <s v="12010513 -- KVCU"/>
    <m/>
    <n v="43.28"/>
  </r>
  <r>
    <x v="0"/>
    <x v="0"/>
    <x v="0"/>
    <x v="1"/>
    <s v="407600 -- STD HR PAY"/>
    <s v="12010513 -- KVCU"/>
    <m/>
    <n v="43.28"/>
  </r>
  <r>
    <x v="0"/>
    <x v="0"/>
    <x v="0"/>
    <x v="1"/>
    <s v="407600 -- STD HR PAY"/>
    <s v="12010513 -- KVCU"/>
    <m/>
    <n v="113.61"/>
  </r>
  <r>
    <x v="0"/>
    <x v="0"/>
    <x v="0"/>
    <x v="1"/>
    <s v="407600 -- STD HR PAY"/>
    <s v="12010513 -- KVCU"/>
    <m/>
    <n v="183.94"/>
  </r>
  <r>
    <x v="0"/>
    <x v="0"/>
    <x v="0"/>
    <x v="1"/>
    <s v="407600 -- STD HR PAY"/>
    <s v="12010513 -- KVCU"/>
    <m/>
    <n v="59.51"/>
  </r>
  <r>
    <x v="0"/>
    <x v="0"/>
    <x v="0"/>
    <x v="1"/>
    <s v="407600 -- STD HR PAY"/>
    <s v="12010513 -- KVCU"/>
    <m/>
    <n v="35.17"/>
  </r>
  <r>
    <x v="0"/>
    <x v="0"/>
    <x v="0"/>
    <x v="1"/>
    <s v="407600 -- STD HR PAY"/>
    <s v="12010513 -- KVCU"/>
    <m/>
    <n v="54.1"/>
  </r>
  <r>
    <x v="0"/>
    <x v="0"/>
    <x v="0"/>
    <x v="1"/>
    <s v="407600 -- STD HR PAY"/>
    <s v="12010513 -- KVCU"/>
    <m/>
    <n v="110.91"/>
  </r>
  <r>
    <x v="0"/>
    <x v="0"/>
    <x v="0"/>
    <x v="1"/>
    <s v="407600 -- STD HR PAY"/>
    <s v="12010513 -- KVCU"/>
    <m/>
    <n v="51.4"/>
  </r>
  <r>
    <x v="0"/>
    <x v="0"/>
    <x v="0"/>
    <x v="1"/>
    <s v="407600 -- STD HR PAY"/>
    <s v="12010513 -- KVCU"/>
    <m/>
    <n v="35.17"/>
  </r>
  <r>
    <x v="0"/>
    <x v="0"/>
    <x v="0"/>
    <x v="1"/>
    <s v="407600 -- STD HR PAY"/>
    <s v="12010513 -- KVCU"/>
    <m/>
    <n v="64.92"/>
  </r>
  <r>
    <x v="0"/>
    <x v="0"/>
    <x v="0"/>
    <x v="1"/>
    <s v="407600 -- STD HR PAY"/>
    <s v="12010513 -- KVCU"/>
    <m/>
    <n v="18.940000000000001"/>
  </r>
  <r>
    <x v="0"/>
    <x v="0"/>
    <x v="0"/>
    <x v="1"/>
    <s v="407600 -- STD HR PAY"/>
    <s v="12010513 -- KVCU"/>
    <m/>
    <n v="137.96"/>
  </r>
  <r>
    <x v="0"/>
    <x v="0"/>
    <x v="0"/>
    <x v="1"/>
    <s v="407600 -- STD HR PAY"/>
    <s v="12010513 -- KVCU"/>
    <m/>
    <n v="40.58"/>
  </r>
  <r>
    <x v="0"/>
    <x v="0"/>
    <x v="0"/>
    <x v="1"/>
    <s v="407600 -- STD HR PAY"/>
    <s v="12010513 -- KVCU"/>
    <m/>
    <n v="75.739999999999995"/>
  </r>
  <r>
    <x v="0"/>
    <x v="0"/>
    <x v="0"/>
    <x v="1"/>
    <s v="407600 -- STD HR PAY"/>
    <s v="12010513 -- KVCU"/>
    <m/>
    <n v="21.64"/>
  </r>
  <r>
    <x v="0"/>
    <x v="0"/>
    <x v="0"/>
    <x v="1"/>
    <s v="407600 -- STD HR PAY"/>
    <s v="12010513 -- KVCU"/>
    <m/>
    <n v="75.739999999999995"/>
  </r>
  <r>
    <x v="0"/>
    <x v="0"/>
    <x v="0"/>
    <x v="1"/>
    <s v="407600 -- STD HR PAY"/>
    <s v="12010513 -- KVCU"/>
    <m/>
    <n v="146.07"/>
  </r>
  <r>
    <x v="0"/>
    <x v="0"/>
    <x v="0"/>
    <x v="1"/>
    <s v="407600 -- STD HR PAY"/>
    <s v="12010513 -- KVCU"/>
    <m/>
    <n v="86.56"/>
  </r>
  <r>
    <x v="0"/>
    <x v="0"/>
    <x v="0"/>
    <x v="1"/>
    <s v="407600 -- STD HR PAY"/>
    <s v="12010513 -- KVCU"/>
    <m/>
    <n v="151.47999999999999"/>
  </r>
  <r>
    <x v="0"/>
    <x v="0"/>
    <x v="0"/>
    <x v="1"/>
    <s v="407600 -- STD HR PAY"/>
    <s v="12010513 -- KVCU"/>
    <m/>
    <n v="243.45"/>
  </r>
  <r>
    <x v="0"/>
    <x v="0"/>
    <x v="0"/>
    <x v="1"/>
    <s v="407600 -- STD HR PAY"/>
    <s v="12010513 -- KVCU"/>
    <m/>
    <n v="197.47"/>
  </r>
  <r>
    <x v="0"/>
    <x v="0"/>
    <x v="0"/>
    <x v="1"/>
    <s v="407600 -- STD HR PAY"/>
    <s v="12010513 -- KVCU"/>
    <m/>
    <n v="432.8"/>
  </r>
  <r>
    <x v="0"/>
    <x v="0"/>
    <x v="0"/>
    <x v="1"/>
    <s v="407600 -- STD HR PAY"/>
    <s v="12010513 -- KVCU"/>
    <m/>
    <n v="183.94"/>
  </r>
  <r>
    <x v="0"/>
    <x v="0"/>
    <x v="0"/>
    <x v="1"/>
    <s v="407600 -- STD HR PAY"/>
    <s v="12010513 -- KVCU"/>
    <m/>
    <n v="357.06"/>
  </r>
  <r>
    <x v="0"/>
    <x v="0"/>
    <x v="0"/>
    <x v="1"/>
    <s v="407600 -- STD HR PAY"/>
    <s v="12010513 -- KVCU"/>
    <m/>
    <n v="248.86"/>
  </r>
  <r>
    <x v="0"/>
    <x v="0"/>
    <x v="0"/>
    <x v="1"/>
    <s v="407600 -- STD HR PAY"/>
    <s v="12010513 -- KVCU"/>
    <m/>
    <n v="324.60000000000002"/>
  </r>
  <r>
    <x v="0"/>
    <x v="0"/>
    <x v="0"/>
    <x v="2"/>
    <s v="427500 -- STD HR BEN GEN BDG"/>
    <s v="12010513 -- KVCU"/>
    <n v="787"/>
    <m/>
  </r>
  <r>
    <x v="0"/>
    <x v="0"/>
    <x v="0"/>
    <x v="2"/>
    <s v="428301 -- ALL STD/OTH PER FRINGE BEN"/>
    <s v="12010513 -- KVCU"/>
    <m/>
    <n v="15.23"/>
  </r>
  <r>
    <x v="0"/>
    <x v="0"/>
    <x v="0"/>
    <x v="2"/>
    <s v="428301 -- ALL STD/OTH PER FRINGE BEN"/>
    <s v="12010513 -- KVCU"/>
    <m/>
    <n v="24.45"/>
  </r>
  <r>
    <x v="0"/>
    <x v="0"/>
    <x v="0"/>
    <x v="2"/>
    <s v="428301 -- ALL STD/OTH PER FRINGE BEN"/>
    <s v="12010513 -- KVCU"/>
    <m/>
    <n v="33.229999999999997"/>
  </r>
  <r>
    <x v="0"/>
    <x v="0"/>
    <x v="0"/>
    <x v="3"/>
    <s v="460000 -- OPERATING EXPENSE GEN BUDGET"/>
    <s v="12010513 -- KVCU"/>
    <n v="35377"/>
    <m/>
  </r>
  <r>
    <x v="0"/>
    <x v="0"/>
    <x v="0"/>
    <x v="4"/>
    <s v="487602 -- PRT/PUB/REPRO SERVICES"/>
    <s v="12010513 -- KVCU"/>
    <m/>
    <n v="1.62"/>
  </r>
  <r>
    <x v="0"/>
    <x v="0"/>
    <x v="0"/>
    <x v="5"/>
    <s v="500214 -- IT CONNECTIVITY FEE"/>
    <s v="12010513 -- KVCU"/>
    <m/>
    <n v="48.91"/>
  </r>
  <r>
    <x v="0"/>
    <x v="0"/>
    <x v="0"/>
    <x v="5"/>
    <s v="500214 -- IT CONNECTIVITY FEE"/>
    <s v="12010513 -- KVCU"/>
    <m/>
    <m/>
  </r>
  <r>
    <x v="0"/>
    <x v="0"/>
    <x v="0"/>
    <x v="5"/>
    <s v="500214 -- IT CONNECTIVITY FEE"/>
    <s v="12010513 -- KVCU"/>
    <m/>
    <m/>
  </r>
  <r>
    <x v="0"/>
    <x v="0"/>
    <x v="0"/>
    <x v="5"/>
    <s v="500214 -- IT CONNECTIVITY FEE"/>
    <s v="12010513 -- KVCU"/>
    <m/>
    <n v="48.91"/>
  </r>
  <r>
    <x v="0"/>
    <x v="0"/>
    <x v="0"/>
    <x v="5"/>
    <s v="500214 -- IT CONNECTIVITY FEE"/>
    <s v="12010513 -- KVCU"/>
    <m/>
    <m/>
  </r>
  <r>
    <x v="0"/>
    <x v="0"/>
    <x v="0"/>
    <x v="5"/>
    <s v="500214 -- IT CONNECTIVITY FEE"/>
    <s v="12010513 -- KVCU"/>
    <m/>
    <n v="48.91"/>
  </r>
  <r>
    <x v="0"/>
    <x v="0"/>
    <x v="0"/>
    <x v="5"/>
    <s v="500214 -- IT CONNECTIVITY FEE"/>
    <s v="12010513 -- KVCU"/>
    <m/>
    <m/>
  </r>
  <r>
    <x v="0"/>
    <x v="0"/>
    <x v="0"/>
    <x v="5"/>
    <s v="500400 -- IT SOFTWARE LICENSES"/>
    <s v="12010513 -- KVCU"/>
    <m/>
    <n v="-2415"/>
  </r>
  <r>
    <x v="0"/>
    <x v="0"/>
    <x v="0"/>
    <x v="5"/>
    <s v="500400 -- IT SOFTWARE LICENSES"/>
    <s v="12010513 -- KVCU"/>
    <m/>
    <n v="227.53"/>
  </r>
  <r>
    <x v="0"/>
    <x v="0"/>
    <x v="0"/>
    <x v="5"/>
    <s v="500400 -- IT SOFTWARE LICENSES"/>
    <s v="12010513 -- KVCU"/>
    <m/>
    <n v="2415"/>
  </r>
  <r>
    <x v="0"/>
    <x v="0"/>
    <x v="0"/>
    <x v="5"/>
    <s v="500500 -- IT MAINTENANCE AGREEMENTS"/>
    <s v="12010513 -- KVCU"/>
    <m/>
    <n v="1800"/>
  </r>
  <r>
    <x v="0"/>
    <x v="0"/>
    <x v="0"/>
    <x v="5"/>
    <s v="501200 -- OTHER IT HARDWARE &lt; $5000"/>
    <s v="12010513 -- KVCU"/>
    <m/>
    <n v="451.44"/>
  </r>
  <r>
    <x v="0"/>
    <x v="0"/>
    <x v="0"/>
    <x v="6"/>
    <s v="510100 -- DUES/MEMBER-PROF ORGANIZATIONS"/>
    <s v="12010513 -- KVCU"/>
    <m/>
    <n v="150"/>
  </r>
  <r>
    <x v="0"/>
    <x v="0"/>
    <x v="0"/>
    <x v="6"/>
    <s v="510100 -- DUES/MEMBER-PROF ORGANIZATIONS"/>
    <s v="12010512 -- KVCU"/>
    <m/>
    <n v="-150"/>
  </r>
  <r>
    <x v="0"/>
    <x v="0"/>
    <x v="0"/>
    <x v="6"/>
    <s v="510100 -- DUES/MEMBER-PROF ORGANIZATIONS"/>
    <s v="12010512 -- KVCU"/>
    <m/>
    <n v="150"/>
  </r>
  <r>
    <x v="0"/>
    <x v="0"/>
    <x v="0"/>
    <x v="6"/>
    <s v="537603 -- FURNITURE &lt; $5000"/>
    <s v="12010513 -- KVCU"/>
    <m/>
    <n v="399.98"/>
  </r>
  <r>
    <x v="0"/>
    <x v="0"/>
    <x v="0"/>
    <x v="6"/>
    <s v="552603 -- OTHR OPERATING EQUIP RENTAL"/>
    <s v="12010513 -- KVCU"/>
    <m/>
    <m/>
  </r>
  <r>
    <x v="0"/>
    <x v="0"/>
    <x v="0"/>
    <x v="6"/>
    <s v="552603 -- OTHR OPERATING EQUIP RENTAL"/>
    <s v="12010513 -- KVCU"/>
    <m/>
    <n v="-600"/>
  </r>
  <r>
    <x v="0"/>
    <x v="0"/>
    <x v="0"/>
    <x v="6"/>
    <s v="552603 -- OTHR OPERATING EQUIP RENTAL"/>
    <s v="12010513 -- KVCU"/>
    <m/>
    <m/>
  </r>
  <r>
    <x v="0"/>
    <x v="0"/>
    <x v="0"/>
    <x v="6"/>
    <s v="552603 -- OTHR OPERATING EQUIP RENTAL"/>
    <s v="12010513 -- KVCU"/>
    <m/>
    <n v="600"/>
  </r>
  <r>
    <x v="0"/>
    <x v="0"/>
    <x v="0"/>
    <x v="6"/>
    <s v="552603 -- OTHR OPERATING EQUIP RENTAL"/>
    <s v="12010513 -- KVCU"/>
    <m/>
    <m/>
  </r>
  <r>
    <x v="0"/>
    <x v="0"/>
    <x v="0"/>
    <x v="6"/>
    <s v="552603 -- OTHR OPERATING EQUIP RENTAL"/>
    <s v="12010513 -- KVCU"/>
    <m/>
    <n v="600"/>
  </r>
  <r>
    <x v="0"/>
    <x v="0"/>
    <x v="0"/>
    <x v="6"/>
    <s v="552603 -- OTHR OPERATING EQUIP RENTAL"/>
    <s v="12010513 -- KVCU"/>
    <m/>
    <m/>
  </r>
  <r>
    <x v="0"/>
    <x v="0"/>
    <x v="0"/>
    <x v="6"/>
    <s v="552603 -- OTHR OPERATING EQUIP RENTAL"/>
    <s v="12010513 -- KVCU"/>
    <m/>
    <n v="600"/>
  </r>
  <r>
    <x v="0"/>
    <x v="0"/>
    <x v="0"/>
    <x v="6"/>
    <s v="552603 -- OTHR OPERATING EQUIP RENTAL"/>
    <s v="12010513 -- KVCU"/>
    <m/>
    <m/>
  </r>
  <r>
    <x v="0"/>
    <x v="0"/>
    <x v="0"/>
    <x v="6"/>
    <s v="552603 -- OTHR OPERATING EQUIP RENTAL"/>
    <s v="12010513 -- KVCU"/>
    <m/>
    <n v="600"/>
  </r>
  <r>
    <x v="0"/>
    <x v="0"/>
    <x v="0"/>
    <x v="7"/>
    <s v="700000 -- TRAVEL GENERAL BUDGET"/>
    <s v="12010513 -- KVCU"/>
    <n v="1500"/>
    <m/>
  </r>
  <r>
    <x v="0"/>
    <x v="0"/>
    <x v="0"/>
    <x v="8"/>
    <s v="810000 -- FIXED ASSETS GENERAL BUDGET"/>
    <s v="12010513 -- KVCU"/>
    <n v="18688"/>
    <m/>
  </r>
  <r>
    <x v="0"/>
    <x v="0"/>
    <x v="0"/>
    <x v="9"/>
    <s v="960100 -- GENERAL ADMIN RECHARGE"/>
    <s v="12010513 -- KVCU"/>
    <n v="8158"/>
    <m/>
  </r>
  <r>
    <x v="0"/>
    <x v="0"/>
    <x v="0"/>
    <x v="9"/>
    <s v="960100 -- GENERAL ADMIN RECHARGE"/>
    <s v="12010513 -- KVCU"/>
    <m/>
    <n v="7.16"/>
  </r>
  <r>
    <x v="0"/>
    <x v="0"/>
    <x v="0"/>
    <x v="9"/>
    <s v="960100 -- GENERAL ADMIN RECHARGE"/>
    <s v="12010513 -- KVCU"/>
    <m/>
    <n v="-14.31"/>
  </r>
  <r>
    <x v="0"/>
    <x v="0"/>
    <x v="0"/>
    <x v="9"/>
    <s v="960100 -- GENERAL ADMIN RECHARGE"/>
    <s v="12010513 -- KVCU"/>
    <m/>
    <n v="-233.13"/>
  </r>
  <r>
    <x v="0"/>
    <x v="0"/>
    <x v="0"/>
    <x v="9"/>
    <s v="960100 -- GENERAL ADMIN RECHARGE"/>
    <s v="12010512 -- KVCU"/>
    <m/>
    <n v="-4.72"/>
  </r>
  <r>
    <x v="0"/>
    <x v="0"/>
    <x v="0"/>
    <x v="9"/>
    <s v="960100 -- GENERAL ADMIN RECHARGE"/>
    <s v="12010513 -- KVCU"/>
    <m/>
    <n v="466.26"/>
  </r>
  <r>
    <x v="0"/>
    <x v="0"/>
    <x v="0"/>
    <x v="9"/>
    <s v="960100 -- GENERAL ADMIN RECHARGE"/>
    <s v="12010512 -- KVCU"/>
    <m/>
    <n v="9.44"/>
  </r>
  <r>
    <x v="0"/>
    <x v="0"/>
    <x v="0"/>
    <x v="9"/>
    <s v="960100 -- GENERAL ADMIN RECHARGE"/>
    <s v="12010513 -- KVCU"/>
    <m/>
    <n v="-162.19"/>
  </r>
  <r>
    <x v="0"/>
    <x v="0"/>
    <x v="0"/>
    <x v="9"/>
    <s v="960100 -- GENERAL ADMIN RECHARGE"/>
    <s v="12010512 -- KVCU"/>
    <m/>
    <n v="4.72"/>
  </r>
  <r>
    <x v="0"/>
    <x v="0"/>
    <x v="0"/>
    <x v="9"/>
    <s v="960100 -- GENERAL ADMIN RECHARGE"/>
    <s v="12010513 -- KVCU"/>
    <m/>
    <n v="324.38"/>
  </r>
  <r>
    <x v="0"/>
    <x v="0"/>
    <x v="0"/>
    <x v="9"/>
    <s v="960100 -- GENERAL ADMIN RECHARGE"/>
    <s v="12010512 -- KVCU"/>
    <m/>
    <n v="-9.44"/>
  </r>
  <r>
    <x v="0"/>
    <x v="0"/>
    <x v="0"/>
    <x v="10"/>
    <s v="960200 -- GENERAL INFRASTRUCT RECHARGE"/>
    <s v="12010513 -- KVCU"/>
    <n v="675"/>
    <m/>
  </r>
  <r>
    <x v="0"/>
    <x v="0"/>
    <x v="0"/>
    <x v="10"/>
    <s v="960200 -- GENERAL INFRASTRUCT RECHARGE"/>
    <s v="12010513 -- KVCU"/>
    <m/>
    <n v="-1.1599999999999999"/>
  </r>
  <r>
    <x v="0"/>
    <x v="0"/>
    <x v="0"/>
    <x v="10"/>
    <s v="960200 -- GENERAL INFRASTRUCT RECHARGE"/>
    <s v="12010513 -- KVCU"/>
    <m/>
    <n v="37.81"/>
  </r>
  <r>
    <x v="0"/>
    <x v="0"/>
    <x v="0"/>
    <x v="10"/>
    <s v="960200 -- GENERAL INFRASTRUCT RECHARGE"/>
    <s v="12010512 -- KVCU"/>
    <m/>
    <n v="0.77"/>
  </r>
  <r>
    <x v="0"/>
    <x v="0"/>
    <x v="0"/>
    <x v="10"/>
    <s v="960200 -- GENERAL INFRASTRUCT RECHARGE"/>
    <s v="12010513 -- KVCU"/>
    <m/>
    <n v="26.3"/>
  </r>
  <r>
    <x v="0"/>
    <x v="0"/>
    <x v="0"/>
    <x v="10"/>
    <s v="960200 -- GENERAL INFRASTRUCT RECHARGE"/>
    <s v="12010512 -- KVCU"/>
    <m/>
    <n v="-0.77"/>
  </r>
  <r>
    <x v="0"/>
    <x v="0"/>
    <x v="0"/>
    <x v="8"/>
    <s v="960402 -- CSI GENERAL ADMIN RECHARGE"/>
    <s v="12010513 -- KVCU"/>
    <m/>
    <n v="-7.16"/>
  </r>
  <r>
    <x v="0"/>
    <x v="0"/>
    <x v="0"/>
    <x v="8"/>
    <s v="960402 -- CSI GENERAL ADMIN RECHARGE"/>
    <s v="12010513 -- KVCU"/>
    <m/>
    <n v="233.13"/>
  </r>
  <r>
    <x v="0"/>
    <x v="0"/>
    <x v="0"/>
    <x v="8"/>
    <s v="960402 -- CSI GENERAL ADMIN RECHARGE"/>
    <s v="12010512 -- KVCU"/>
    <m/>
    <n v="4.72"/>
  </r>
  <r>
    <x v="0"/>
    <x v="0"/>
    <x v="0"/>
    <x v="8"/>
    <s v="960402 -- CSI GENERAL ADMIN RECHARGE"/>
    <s v="12010513 -- KVCU"/>
    <m/>
    <n v="162.19"/>
  </r>
  <r>
    <x v="0"/>
    <x v="0"/>
    <x v="0"/>
    <x v="8"/>
    <s v="960402 -- CSI GENERAL ADMIN RECHARGE"/>
    <s v="12010512 -- KVCU"/>
    <m/>
    <n v="-4.72"/>
  </r>
  <r>
    <x v="0"/>
    <x v="0"/>
    <x v="0"/>
    <x v="11"/>
    <s v="997100 -- CASH TRANSFER OUT W/IN CAMPUS"/>
    <s v="12010512 -- KVCU"/>
    <m/>
    <n v="12436"/>
  </r>
  <r>
    <x v="0"/>
    <x v="0"/>
    <x v="1"/>
    <x v="1"/>
    <s v="407600 -- STD HR PAY"/>
    <s v="12010513 -- KVCU"/>
    <m/>
    <n v="166.94"/>
  </r>
  <r>
    <x v="0"/>
    <x v="0"/>
    <x v="1"/>
    <x v="1"/>
    <s v="407600 -- STD HR PAY"/>
    <s v="12010513 -- KVCU"/>
    <m/>
    <n v="166.94"/>
  </r>
  <r>
    <x v="0"/>
    <x v="0"/>
    <x v="1"/>
    <x v="1"/>
    <s v="407600 -- STD HR PAY"/>
    <s v="12010513 -- KVCU"/>
    <m/>
    <n v="117.84"/>
  </r>
  <r>
    <x v="0"/>
    <x v="0"/>
    <x v="1"/>
    <x v="1"/>
    <s v="407600 -- STD HR PAY"/>
    <s v="12010513 -- KVCU"/>
    <m/>
    <n v="174.31"/>
  </r>
  <r>
    <x v="0"/>
    <x v="0"/>
    <x v="1"/>
    <x v="1"/>
    <s v="407600 -- STD HR PAY"/>
    <s v="12010513 -- KVCU"/>
    <m/>
    <n v="174.31"/>
  </r>
  <r>
    <x v="0"/>
    <x v="0"/>
    <x v="1"/>
    <x v="1"/>
    <s v="407600 -- STD HR PAY"/>
    <s v="12010513 -- KVCU"/>
    <m/>
    <n v="88.38"/>
  </r>
  <r>
    <x v="0"/>
    <x v="0"/>
    <x v="1"/>
    <x v="1"/>
    <s v="407600 -- STD HR PAY"/>
    <s v="12010513 -- KVCU"/>
    <m/>
    <n v="169.4"/>
  </r>
  <r>
    <x v="0"/>
    <x v="0"/>
    <x v="1"/>
    <x v="1"/>
    <s v="407600 -- STD HR PAY"/>
    <s v="12010513 -- KVCU"/>
    <m/>
    <n v="117.84"/>
  </r>
  <r>
    <x v="0"/>
    <x v="0"/>
    <x v="1"/>
    <x v="1"/>
    <s v="407600 -- STD HR PAY"/>
    <s v="12010513 -- KVCU"/>
    <m/>
    <n v="112.93"/>
  </r>
  <r>
    <x v="0"/>
    <x v="0"/>
    <x v="1"/>
    <x v="1"/>
    <s v="407600 -- STD HR PAY"/>
    <s v="12010513 -- KVCU"/>
    <m/>
    <n v="117.84"/>
  </r>
  <r>
    <x v="0"/>
    <x v="0"/>
    <x v="1"/>
    <x v="1"/>
    <s v="407600 -- STD HR PAY"/>
    <s v="12010513 -- KVCU"/>
    <m/>
    <n v="83.47"/>
  </r>
  <r>
    <x v="0"/>
    <x v="0"/>
    <x v="1"/>
    <x v="1"/>
    <s v="407600 -- STD HR PAY"/>
    <s v="12010513 -- KVCU"/>
    <m/>
    <n v="112.93"/>
  </r>
  <r>
    <x v="0"/>
    <x v="0"/>
    <x v="1"/>
    <x v="1"/>
    <s v="407600 -- STD HR PAY"/>
    <s v="12010513 -- KVCU"/>
    <m/>
    <n v="88.38"/>
  </r>
  <r>
    <x v="0"/>
    <x v="0"/>
    <x v="1"/>
    <x v="1"/>
    <s v="407600 -- STD HR PAY"/>
    <s v="12010513 -- KVCU"/>
    <m/>
    <n v="103.11"/>
  </r>
  <r>
    <x v="0"/>
    <x v="0"/>
    <x v="1"/>
    <x v="1"/>
    <s v="407600 -- STD HR PAY"/>
    <s v="12010513 -- KVCU"/>
    <m/>
    <n v="124.43"/>
  </r>
  <r>
    <x v="0"/>
    <x v="0"/>
    <x v="1"/>
    <x v="1"/>
    <s v="407600 -- STD HR PAY"/>
    <s v="12010513 -- KVCU"/>
    <m/>
    <n v="127.14"/>
  </r>
  <r>
    <x v="0"/>
    <x v="0"/>
    <x v="1"/>
    <x v="1"/>
    <s v="407600 -- STD HR PAY"/>
    <s v="12010513 -- KVCU"/>
    <m/>
    <n v="129.84"/>
  </r>
  <r>
    <x v="0"/>
    <x v="0"/>
    <x v="1"/>
    <x v="1"/>
    <s v="407600 -- STD HR PAY"/>
    <s v="12010513 -- KVCU"/>
    <m/>
    <n v="129.84"/>
  </r>
  <r>
    <x v="0"/>
    <x v="0"/>
    <x v="1"/>
    <x v="1"/>
    <s v="407600 -- STD HR PAY"/>
    <s v="12010513 -- KVCU"/>
    <m/>
    <n v="124.43"/>
  </r>
  <r>
    <x v="0"/>
    <x v="0"/>
    <x v="1"/>
    <x v="1"/>
    <s v="407600 -- STD HR PAY"/>
    <s v="12010513 -- KVCU"/>
    <m/>
    <n v="94.68"/>
  </r>
  <r>
    <x v="0"/>
    <x v="0"/>
    <x v="1"/>
    <x v="1"/>
    <s v="407600 -- STD HR PAY"/>
    <s v="12010513 -- KVCU"/>
    <m/>
    <n v="78.45"/>
  </r>
  <r>
    <x v="0"/>
    <x v="0"/>
    <x v="1"/>
    <x v="1"/>
    <s v="407600 -- STD HR PAY"/>
    <s v="12010513 -- KVCU"/>
    <m/>
    <n v="270.5"/>
  </r>
  <r>
    <x v="0"/>
    <x v="0"/>
    <x v="1"/>
    <x v="1"/>
    <s v="407600 -- STD HR PAY"/>
    <s v="12010513 -- KVCU"/>
    <m/>
    <n v="346.24"/>
  </r>
  <r>
    <x v="0"/>
    <x v="0"/>
    <x v="1"/>
    <x v="1"/>
    <s v="407600 -- STD HR PAY"/>
    <s v="12010513 -- KVCU"/>
    <m/>
    <n v="367.88"/>
  </r>
  <r>
    <x v="0"/>
    <x v="0"/>
    <x v="1"/>
    <x v="1"/>
    <s v="407600 -- STD HR PAY"/>
    <s v="12010513 -- KVCU"/>
    <m/>
    <n v="400.34"/>
  </r>
  <r>
    <x v="0"/>
    <x v="0"/>
    <x v="1"/>
    <x v="1"/>
    <s v="407600 -- STD HR PAY"/>
    <s v="12010513 -- KVCU"/>
    <m/>
    <n v="281.32"/>
  </r>
  <r>
    <x v="0"/>
    <x v="0"/>
    <x v="1"/>
    <x v="1"/>
    <s v="407600 -- STD HR PAY"/>
    <s v="12010513 -- KVCU"/>
    <m/>
    <n v="162.30000000000001"/>
  </r>
  <r>
    <x v="0"/>
    <x v="0"/>
    <x v="1"/>
    <x v="1"/>
    <s v="407600 -- STD HR PAY"/>
    <s v="12010513 -- KVCU"/>
    <m/>
    <n v="216.4"/>
  </r>
  <r>
    <x v="0"/>
    <x v="0"/>
    <x v="1"/>
    <x v="1"/>
    <s v="407600 -- STD HR PAY"/>
    <s v="12010513 -- KVCU"/>
    <m/>
    <n v="59.51"/>
  </r>
  <r>
    <x v="0"/>
    <x v="0"/>
    <x v="1"/>
    <x v="1"/>
    <s v="407600 -- STD HR PAY"/>
    <s v="12010513 -- KVCU"/>
    <m/>
    <n v="108.2"/>
  </r>
  <r>
    <x v="0"/>
    <x v="0"/>
    <x v="1"/>
    <x v="1"/>
    <s v="407600 -- STD HR PAY"/>
    <s v="12010513 -- KVCU"/>
    <m/>
    <n v="108.2"/>
  </r>
  <r>
    <x v="0"/>
    <x v="0"/>
    <x v="1"/>
    <x v="1"/>
    <s v="407600 -- STD HR PAY"/>
    <s v="12010513 -- KVCU"/>
    <m/>
    <n v="73.040000000000006"/>
  </r>
  <r>
    <x v="0"/>
    <x v="0"/>
    <x v="1"/>
    <x v="1"/>
    <s v="407600 -- STD HR PAY"/>
    <s v="12010513 -- KVCU"/>
    <m/>
    <n v="129.84"/>
  </r>
  <r>
    <x v="0"/>
    <x v="0"/>
    <x v="1"/>
    <x v="1"/>
    <s v="407600 -- STD HR PAY"/>
    <s v="12010513 -- KVCU"/>
    <m/>
    <n v="32.46"/>
  </r>
  <r>
    <x v="0"/>
    <x v="0"/>
    <x v="1"/>
    <x v="1"/>
    <s v="407600 -- STD HR PAY"/>
    <s v="12010513 -- KVCU"/>
    <m/>
    <n v="43.28"/>
  </r>
  <r>
    <x v="0"/>
    <x v="0"/>
    <x v="1"/>
    <x v="1"/>
    <s v="407600 -- STD HR PAY"/>
    <s v="12010513 -- KVCU"/>
    <m/>
    <n v="232.63"/>
  </r>
  <r>
    <x v="0"/>
    <x v="0"/>
    <x v="1"/>
    <x v="1"/>
    <s v="407600 -- STD HR PAY"/>
    <s v="12010513 -- KVCU"/>
    <m/>
    <n v="259.68"/>
  </r>
  <r>
    <x v="0"/>
    <x v="0"/>
    <x v="1"/>
    <x v="1"/>
    <s v="407600 -- STD HR PAY"/>
    <s v="12010513 -- KVCU"/>
    <m/>
    <n v="91.97"/>
  </r>
  <r>
    <x v="0"/>
    <x v="0"/>
    <x v="1"/>
    <x v="1"/>
    <s v="407600 -- STD HR PAY"/>
    <s v="12010513 -- KVCU"/>
    <m/>
    <n v="91.97"/>
  </r>
  <r>
    <x v="0"/>
    <x v="0"/>
    <x v="1"/>
    <x v="1"/>
    <s v="407600 -- STD HR PAY"/>
    <s v="12010513 -- KVCU"/>
    <m/>
    <n v="108.2"/>
  </r>
  <r>
    <x v="0"/>
    <x v="0"/>
    <x v="1"/>
    <x v="1"/>
    <s v="407600 -- STD HR PAY"/>
    <s v="12010513 -- KVCU"/>
    <m/>
    <n v="75.739999999999995"/>
  </r>
  <r>
    <x v="0"/>
    <x v="0"/>
    <x v="1"/>
    <x v="1"/>
    <s v="407600 -- STD HR PAY"/>
    <s v="12010513 -- KVCU"/>
    <m/>
    <n v="64.92"/>
  </r>
  <r>
    <x v="0"/>
    <x v="0"/>
    <x v="1"/>
    <x v="1"/>
    <s v="407600 -- STD HR PAY"/>
    <s v="12010513 -- KVCU"/>
    <m/>
    <n v="192.06"/>
  </r>
  <r>
    <x v="0"/>
    <x v="0"/>
    <x v="1"/>
    <x v="1"/>
    <s v="407600 -- STD HR PAY"/>
    <s v="12010513 -- KVCU"/>
    <m/>
    <n v="189.35"/>
  </r>
  <r>
    <x v="0"/>
    <x v="0"/>
    <x v="1"/>
    <x v="1"/>
    <s v="407600 -- STD HR PAY"/>
    <s v="12010513 -- KVCU"/>
    <m/>
    <n v="216.4"/>
  </r>
  <r>
    <x v="0"/>
    <x v="0"/>
    <x v="1"/>
    <x v="1"/>
    <s v="407600 -- STD HR PAY"/>
    <s v="12010513 -- KVCU"/>
    <m/>
    <n v="213.7"/>
  </r>
  <r>
    <x v="0"/>
    <x v="0"/>
    <x v="1"/>
    <x v="1"/>
    <s v="407600 -- STD HR PAY"/>
    <s v="12010513 -- KVCU"/>
    <m/>
    <n v="162.30000000000001"/>
  </r>
  <r>
    <x v="0"/>
    <x v="0"/>
    <x v="1"/>
    <x v="1"/>
    <s v="407600 -- STD HR PAY"/>
    <s v="12010513 -- KVCU"/>
    <m/>
    <n v="108.2"/>
  </r>
  <r>
    <x v="0"/>
    <x v="0"/>
    <x v="1"/>
    <x v="1"/>
    <s v="407600 -- STD HR PAY"/>
    <s v="12010513 -- KVCU"/>
    <m/>
    <n v="151.47999999999999"/>
  </r>
  <r>
    <x v="0"/>
    <x v="0"/>
    <x v="1"/>
    <x v="1"/>
    <s v="407600 -- STD HR PAY"/>
    <s v="12010513 -- KVCU"/>
    <m/>
    <n v="37.869999999999997"/>
  </r>
  <r>
    <x v="0"/>
    <x v="0"/>
    <x v="1"/>
    <x v="1"/>
    <s v="407600 -- STD HR PAY"/>
    <s v="12010513 -- KVCU"/>
    <m/>
    <n v="51.4"/>
  </r>
  <r>
    <x v="0"/>
    <x v="0"/>
    <x v="1"/>
    <x v="1"/>
    <s v="407600 -- STD HR PAY"/>
    <s v="12010513 -- KVCU"/>
    <m/>
    <n v="29.76"/>
  </r>
  <r>
    <x v="0"/>
    <x v="0"/>
    <x v="1"/>
    <x v="1"/>
    <s v="407600 -- STD HR PAY"/>
    <s v="12010513 -- KVCU"/>
    <m/>
    <n v="27.05"/>
  </r>
  <r>
    <x v="0"/>
    <x v="0"/>
    <x v="1"/>
    <x v="1"/>
    <s v="407600 -- STD HR PAY"/>
    <s v="12010513 -- KVCU"/>
    <m/>
    <n v="35.17"/>
  </r>
  <r>
    <x v="0"/>
    <x v="0"/>
    <x v="1"/>
    <x v="1"/>
    <s v="407600 -- STD HR PAY"/>
    <s v="12010513 -- KVCU"/>
    <m/>
    <n v="40.58"/>
  </r>
  <r>
    <x v="0"/>
    <x v="0"/>
    <x v="1"/>
    <x v="1"/>
    <s v="407600 -- STD HR PAY"/>
    <s v="12010513 -- KVCU"/>
    <m/>
    <n v="91.97"/>
  </r>
  <r>
    <x v="0"/>
    <x v="0"/>
    <x v="1"/>
    <x v="1"/>
    <s v="407600 -- STD HR PAY"/>
    <s v="12010513 -- KVCU"/>
    <m/>
    <n v="167.71"/>
  </r>
  <r>
    <x v="0"/>
    <x v="0"/>
    <x v="1"/>
    <x v="1"/>
    <s v="407600 -- STD HR PAY"/>
    <s v="12010513 -- KVCU"/>
    <m/>
    <n v="100.09"/>
  </r>
  <r>
    <x v="0"/>
    <x v="0"/>
    <x v="1"/>
    <x v="1"/>
    <s v="407600 -- STD HR PAY"/>
    <s v="12010513 -- KVCU"/>
    <m/>
    <n v="146.07"/>
  </r>
  <r>
    <x v="0"/>
    <x v="0"/>
    <x v="1"/>
    <x v="1"/>
    <s v="407600 -- STD HR PAY"/>
    <s v="12010513 -- KVCU"/>
    <m/>
    <n v="119.02"/>
  </r>
  <r>
    <x v="0"/>
    <x v="0"/>
    <x v="1"/>
    <x v="1"/>
    <s v="407600 -- STD HR PAY"/>
    <s v="12010513 -- KVCU"/>
    <m/>
    <n v="83.86"/>
  </r>
  <r>
    <x v="0"/>
    <x v="0"/>
    <x v="1"/>
    <x v="1"/>
    <s v="407600 -- STD HR PAY"/>
    <s v="12010513 -- KVCU"/>
    <m/>
    <n v="62.22"/>
  </r>
  <r>
    <x v="0"/>
    <x v="0"/>
    <x v="1"/>
    <x v="1"/>
    <s v="407600 -- STD HR PAY"/>
    <s v="12010513 -- KVCU"/>
    <m/>
    <n v="86.56"/>
  </r>
  <r>
    <x v="0"/>
    <x v="0"/>
    <x v="1"/>
    <x v="1"/>
    <s v="407600 -- STD HR PAY"/>
    <s v="12010513 -- KVCU"/>
    <m/>
    <n v="108.2"/>
  </r>
  <r>
    <x v="0"/>
    <x v="0"/>
    <x v="1"/>
    <x v="1"/>
    <s v="407600 -- STD HR PAY"/>
    <s v="12010513 -- KVCU"/>
    <m/>
    <n v="108.2"/>
  </r>
  <r>
    <x v="0"/>
    <x v="0"/>
    <x v="1"/>
    <x v="1"/>
    <s v="407600 -- STD HR PAY"/>
    <s v="12010513 -- KVCU"/>
    <m/>
    <n v="86.56"/>
  </r>
  <r>
    <x v="0"/>
    <x v="0"/>
    <x v="1"/>
    <x v="1"/>
    <s v="407600 -- STD HR PAY"/>
    <s v="12010513 -- KVCU"/>
    <m/>
    <n v="97.38"/>
  </r>
  <r>
    <x v="0"/>
    <x v="0"/>
    <x v="1"/>
    <x v="1"/>
    <s v="407600 -- STD HR PAY"/>
    <s v="12010513 -- KVCU"/>
    <m/>
    <n v="81.150000000000006"/>
  </r>
  <r>
    <x v="0"/>
    <x v="0"/>
    <x v="1"/>
    <x v="1"/>
    <s v="407600 -- STD HR PAY"/>
    <s v="12010513 -- KVCU"/>
    <m/>
    <n v="70.33"/>
  </r>
  <r>
    <x v="0"/>
    <x v="0"/>
    <x v="1"/>
    <x v="1"/>
    <s v="407600 -- STD HR PAY"/>
    <s v="12010513 -- KVCU"/>
    <m/>
    <n v="162.30000000000001"/>
  </r>
  <r>
    <x v="0"/>
    <x v="0"/>
    <x v="1"/>
    <x v="1"/>
    <s v="407600 -- STD HR PAY"/>
    <s v="12010513 -- KVCU"/>
    <m/>
    <n v="210.99"/>
  </r>
  <r>
    <x v="0"/>
    <x v="0"/>
    <x v="1"/>
    <x v="1"/>
    <s v="407600 -- STD HR PAY"/>
    <s v="12010513 -- KVCU"/>
    <m/>
    <n v="194.76"/>
  </r>
  <r>
    <x v="0"/>
    <x v="0"/>
    <x v="1"/>
    <x v="1"/>
    <s v="407600 -- STD HR PAY"/>
    <s v="12010513 -- KVCU"/>
    <m/>
    <n v="200.17"/>
  </r>
  <r>
    <x v="0"/>
    <x v="0"/>
    <x v="1"/>
    <x v="1"/>
    <s v="407600 -- STD HR PAY"/>
    <s v="12010513 -- KVCU"/>
    <m/>
    <n v="175.83"/>
  </r>
  <r>
    <x v="0"/>
    <x v="0"/>
    <x v="1"/>
    <x v="1"/>
    <s v="407600 -- STD HR PAY"/>
    <s v="12010513 -- KVCU"/>
    <m/>
    <n v="48.69"/>
  </r>
  <r>
    <x v="0"/>
    <x v="0"/>
    <x v="1"/>
    <x v="1"/>
    <s v="407600 -- STD HR PAY"/>
    <s v="12010513 -- KVCU"/>
    <m/>
    <n v="367.88"/>
  </r>
  <r>
    <x v="0"/>
    <x v="0"/>
    <x v="1"/>
    <x v="1"/>
    <s v="407600 -- STD HR PAY"/>
    <s v="12010513 -- KVCU"/>
    <m/>
    <n v="389.52"/>
  </r>
  <r>
    <x v="0"/>
    <x v="0"/>
    <x v="1"/>
    <x v="1"/>
    <s v="407600 -- STD HR PAY"/>
    <s v="12010513 -- KVCU"/>
    <m/>
    <n v="411.16"/>
  </r>
  <r>
    <x v="0"/>
    <x v="0"/>
    <x v="1"/>
    <x v="1"/>
    <s v="407600 -- STD HR PAY"/>
    <s v="12010513 -- KVCU"/>
    <m/>
    <n v="432.8"/>
  </r>
  <r>
    <x v="0"/>
    <x v="0"/>
    <x v="1"/>
    <x v="1"/>
    <s v="407600 -- STD HR PAY"/>
    <s v="12010513 -- KVCU"/>
    <m/>
    <n v="313.77999999999997"/>
  </r>
  <r>
    <x v="0"/>
    <x v="0"/>
    <x v="1"/>
    <x v="1"/>
    <s v="407600 -- STD HR PAY"/>
    <s v="12010513 -- KVCU"/>
    <m/>
    <n v="246.16"/>
  </r>
  <r>
    <x v="0"/>
    <x v="0"/>
    <x v="1"/>
    <x v="2"/>
    <s v="428301 -- ALL STD/OTH PER FRINGE BEN"/>
    <s v="12010513 -- KVCU"/>
    <m/>
    <n v="42.57"/>
  </r>
  <r>
    <x v="0"/>
    <x v="0"/>
    <x v="1"/>
    <x v="2"/>
    <s v="428301 -- ALL STD/OTH PER FRINGE BEN"/>
    <s v="12010513 -- KVCU"/>
    <m/>
    <n v="36.42"/>
  </r>
  <r>
    <x v="0"/>
    <x v="0"/>
    <x v="1"/>
    <x v="2"/>
    <s v="428301 -- ALL STD/OTH PER FRINGE BEN"/>
    <s v="12010513 -- KVCU"/>
    <m/>
    <n v="42.48"/>
  </r>
  <r>
    <x v="0"/>
    <x v="0"/>
    <x v="1"/>
    <x v="5"/>
    <s v="482602 -- TELECOMM SERVICES"/>
    <s v="12010513 -- KVCU"/>
    <m/>
    <n v="135"/>
  </r>
  <r>
    <x v="0"/>
    <x v="0"/>
    <x v="1"/>
    <x v="4"/>
    <s v="487602 -- PRT/PUB/REPRO SERVICES"/>
    <s v="12010513 -- KVCU"/>
    <m/>
    <n v="9.36"/>
  </r>
  <r>
    <x v="0"/>
    <x v="0"/>
    <x v="1"/>
    <x v="5"/>
    <s v="500214 -- IT CONNECTIVITY FEE"/>
    <s v="12010513 -- KVCU"/>
    <m/>
    <n v="48.91"/>
  </r>
  <r>
    <x v="0"/>
    <x v="0"/>
    <x v="1"/>
    <x v="5"/>
    <s v="500214 -- IT CONNECTIVITY FEE"/>
    <s v="12010513 -- KVCU"/>
    <m/>
    <m/>
  </r>
  <r>
    <x v="0"/>
    <x v="0"/>
    <x v="1"/>
    <x v="5"/>
    <s v="500214 -- IT CONNECTIVITY FEE"/>
    <s v="12010513 -- KVCU"/>
    <m/>
    <n v="48.91"/>
  </r>
  <r>
    <x v="0"/>
    <x v="0"/>
    <x v="1"/>
    <x v="5"/>
    <s v="500214 -- IT CONNECTIVITY FEE"/>
    <s v="12010513 -- KVCU"/>
    <m/>
    <m/>
  </r>
  <r>
    <x v="0"/>
    <x v="0"/>
    <x v="1"/>
    <x v="5"/>
    <s v="500214 -- IT CONNECTIVITY FEE"/>
    <s v="12010513 -- KVCU"/>
    <m/>
    <m/>
  </r>
  <r>
    <x v="0"/>
    <x v="0"/>
    <x v="1"/>
    <x v="5"/>
    <s v="500214 -- IT CONNECTIVITY FEE"/>
    <s v="12010513 -- KVCU"/>
    <m/>
    <n v="48.91"/>
  </r>
  <r>
    <x v="0"/>
    <x v="0"/>
    <x v="1"/>
    <x v="5"/>
    <s v="500400 -- IT SOFTWARE LICENSES"/>
    <s v="12010513 -- KVCU"/>
    <m/>
    <n v="759"/>
  </r>
  <r>
    <x v="0"/>
    <x v="0"/>
    <x v="1"/>
    <x v="4"/>
    <s v="508715 -- PROMOTIONS"/>
    <s v="12010513 -- KVCU"/>
    <m/>
    <n v="2360.3000000000002"/>
  </r>
  <r>
    <x v="0"/>
    <x v="0"/>
    <x v="1"/>
    <x v="6"/>
    <s v="537600 -- EQUIPMENT &lt; $5000"/>
    <s v="12010513 -- KVCU"/>
    <m/>
    <n v="4135"/>
  </r>
  <r>
    <x v="0"/>
    <x v="0"/>
    <x v="1"/>
    <x v="12"/>
    <s v="550300 -- STUDENT FUNCTIONS"/>
    <s v="12010513 -- KVCU"/>
    <m/>
    <n v="47"/>
  </r>
  <r>
    <x v="0"/>
    <x v="0"/>
    <x v="1"/>
    <x v="6"/>
    <s v="552603 -- OTHR OPERATING EQUIP RENTAL"/>
    <s v="12010513 -- KVCU"/>
    <m/>
    <m/>
  </r>
  <r>
    <x v="0"/>
    <x v="0"/>
    <x v="1"/>
    <x v="6"/>
    <s v="552603 -- OTHR OPERATING EQUIP RENTAL"/>
    <s v="12010513 -- KVCU"/>
    <m/>
    <n v="600"/>
  </r>
  <r>
    <x v="0"/>
    <x v="0"/>
    <x v="1"/>
    <x v="6"/>
    <s v="552603 -- OTHR OPERATING EQUIP RENTAL"/>
    <s v="12010513 -- KVCU"/>
    <m/>
    <m/>
  </r>
  <r>
    <x v="0"/>
    <x v="0"/>
    <x v="1"/>
    <x v="6"/>
    <s v="552603 -- OTHR OPERATING EQUIP RENTAL"/>
    <s v="12010513 -- KVCU"/>
    <m/>
    <n v="600"/>
  </r>
  <r>
    <x v="0"/>
    <x v="0"/>
    <x v="1"/>
    <x v="9"/>
    <s v="960100 -- GENERAL ADMIN RECHARGE"/>
    <s v="12010513 -- KVCU"/>
    <m/>
    <n v="-136.76"/>
  </r>
  <r>
    <x v="0"/>
    <x v="0"/>
    <x v="1"/>
    <x v="9"/>
    <s v="960100 -- GENERAL ADMIN RECHARGE"/>
    <s v="12010513 -- KVCU"/>
    <m/>
    <n v="273.52"/>
  </r>
  <r>
    <x v="0"/>
    <x v="0"/>
    <x v="1"/>
    <x v="9"/>
    <s v="960100 -- GENERAL ADMIN RECHARGE"/>
    <s v="12010513 -- KVCU"/>
    <m/>
    <n v="-369.97"/>
  </r>
  <r>
    <x v="0"/>
    <x v="0"/>
    <x v="1"/>
    <x v="9"/>
    <s v="960100 -- GENERAL ADMIN RECHARGE"/>
    <s v="12010513 -- KVCU"/>
    <m/>
    <n v="739.94"/>
  </r>
  <r>
    <x v="0"/>
    <x v="0"/>
    <x v="1"/>
    <x v="9"/>
    <s v="960100 -- GENERAL ADMIN RECHARGE"/>
    <s v="12010513 -- KVCU"/>
    <m/>
    <n v="-155.63"/>
  </r>
  <r>
    <x v="0"/>
    <x v="0"/>
    <x v="1"/>
    <x v="9"/>
    <s v="960100 -- GENERAL ADMIN RECHARGE"/>
    <s v="12010513 -- KVCU"/>
    <m/>
    <n v="311.25"/>
  </r>
  <r>
    <x v="0"/>
    <x v="0"/>
    <x v="1"/>
    <x v="10"/>
    <s v="960200 -- GENERAL INFRASTRUCT RECHARGE"/>
    <s v="12010513 -- KVCU"/>
    <m/>
    <n v="22.18"/>
  </r>
  <r>
    <x v="0"/>
    <x v="0"/>
    <x v="1"/>
    <x v="10"/>
    <s v="960200 -- GENERAL INFRASTRUCT RECHARGE"/>
    <s v="12010513 -- KVCU"/>
    <m/>
    <n v="60"/>
  </r>
  <r>
    <x v="0"/>
    <x v="0"/>
    <x v="1"/>
    <x v="10"/>
    <s v="960200 -- GENERAL INFRASTRUCT RECHARGE"/>
    <s v="12010513 -- KVCU"/>
    <m/>
    <n v="25.24"/>
  </r>
  <r>
    <x v="0"/>
    <x v="0"/>
    <x v="1"/>
    <x v="8"/>
    <s v="960402 -- CSI GENERAL ADMIN RECHARGE"/>
    <s v="12010513 -- KVCU"/>
    <m/>
    <n v="136.76"/>
  </r>
  <r>
    <x v="0"/>
    <x v="0"/>
    <x v="1"/>
    <x v="8"/>
    <s v="960402 -- CSI GENERAL ADMIN RECHARGE"/>
    <s v="12010513 -- KVCU"/>
    <m/>
    <n v="369.97"/>
  </r>
  <r>
    <x v="0"/>
    <x v="0"/>
    <x v="1"/>
    <x v="8"/>
    <s v="960402 -- CSI GENERAL ADMIN RECHARGE"/>
    <s v="12010513 -- KVCU"/>
    <m/>
    <n v="155.63"/>
  </r>
  <r>
    <x v="0"/>
    <x v="0"/>
    <x v="2"/>
    <x v="0"/>
    <s v="220100 -- STUDENT ACTIVITY FEES"/>
    <s v="12010513 -- KVCU"/>
    <m/>
    <n v="-71946"/>
  </r>
  <r>
    <x v="0"/>
    <x v="0"/>
    <x v="2"/>
    <x v="1"/>
    <s v="407600 -- STD HR PAY"/>
    <s v="12010513 -- KVCU"/>
    <m/>
    <n v="324.60000000000002"/>
  </r>
  <r>
    <x v="0"/>
    <x v="0"/>
    <x v="2"/>
    <x v="1"/>
    <s v="407600 -- STD HR PAY"/>
    <s v="12010513 -- KVCU"/>
    <m/>
    <n v="227.22"/>
  </r>
  <r>
    <x v="0"/>
    <x v="0"/>
    <x v="2"/>
    <x v="1"/>
    <s v="407600 -- STD HR PAY"/>
    <s v="12010513 -- KVCU"/>
    <m/>
    <n v="29.46"/>
  </r>
  <r>
    <x v="0"/>
    <x v="0"/>
    <x v="2"/>
    <x v="1"/>
    <s v="407600 -- STD HR PAY"/>
    <s v="12010513 -- KVCU"/>
    <m/>
    <n v="9.1199999999999992"/>
  </r>
  <r>
    <x v="0"/>
    <x v="0"/>
    <x v="2"/>
    <x v="1"/>
    <s v="407600 -- STD HR PAY"/>
    <s v="12010513 -- KVCU"/>
    <m/>
    <n v="117.84"/>
  </r>
  <r>
    <x v="0"/>
    <x v="0"/>
    <x v="2"/>
    <x v="1"/>
    <s v="407600 -- STD HR PAY"/>
    <s v="12010513 -- KVCU"/>
    <m/>
    <n v="326.39999999999998"/>
  </r>
  <r>
    <x v="0"/>
    <x v="0"/>
    <x v="2"/>
    <x v="1"/>
    <s v="407600 -- STD HR PAY"/>
    <s v="12010513 -- KVCU"/>
    <m/>
    <n v="178.5"/>
  </r>
  <r>
    <x v="0"/>
    <x v="0"/>
    <x v="2"/>
    <x v="1"/>
    <s v="407600 -- STD HR PAY"/>
    <s v="12010513 -- KVCU"/>
    <m/>
    <n v="183.6"/>
  </r>
  <r>
    <x v="0"/>
    <x v="0"/>
    <x v="2"/>
    <x v="1"/>
    <s v="407600 -- STD HR PAY"/>
    <s v="12010513 -- KVCU"/>
    <m/>
    <n v="227.22"/>
  </r>
  <r>
    <x v="0"/>
    <x v="0"/>
    <x v="2"/>
    <x v="1"/>
    <s v="407600 -- STD HR PAY"/>
    <s v="12010513 -- KVCU"/>
    <m/>
    <n v="302.95999999999998"/>
  </r>
  <r>
    <x v="0"/>
    <x v="0"/>
    <x v="2"/>
    <x v="1"/>
    <s v="407600 -- STD HR PAY"/>
    <s v="12010513 -- KVCU"/>
    <m/>
    <n v="216.4"/>
  </r>
  <r>
    <x v="0"/>
    <x v="0"/>
    <x v="2"/>
    <x v="1"/>
    <s v="407600 -- STD HR PAY"/>
    <s v="12010513 -- KVCU"/>
    <m/>
    <n v="173.12"/>
  </r>
  <r>
    <x v="0"/>
    <x v="0"/>
    <x v="2"/>
    <x v="1"/>
    <s v="407600 -- STD HR PAY"/>
    <s v="12010513 -- KVCU"/>
    <m/>
    <n v="75.739999999999995"/>
  </r>
  <r>
    <x v="0"/>
    <x v="0"/>
    <x v="2"/>
    <x v="1"/>
    <s v="407600 -- STD HR PAY"/>
    <s v="12010513 -- KVCU"/>
    <m/>
    <n v="83.86"/>
  </r>
  <r>
    <x v="0"/>
    <x v="0"/>
    <x v="2"/>
    <x v="1"/>
    <s v="407600 -- STD HR PAY"/>
    <s v="12010513 -- KVCU"/>
    <m/>
    <n v="78.45"/>
  </r>
  <r>
    <x v="0"/>
    <x v="0"/>
    <x v="2"/>
    <x v="1"/>
    <s v="407600 -- STD HR PAY"/>
    <s v="12010513 -- KVCU"/>
    <m/>
    <n v="216.4"/>
  </r>
  <r>
    <x v="0"/>
    <x v="0"/>
    <x v="2"/>
    <x v="1"/>
    <s v="407600 -- STD HR PAY"/>
    <s v="12010513 -- KVCU"/>
    <m/>
    <n v="162.30000000000001"/>
  </r>
  <r>
    <x v="0"/>
    <x v="0"/>
    <x v="2"/>
    <x v="1"/>
    <s v="407600 -- STD HR PAY"/>
    <s v="12010513 -- KVCU"/>
    <m/>
    <n v="81.150000000000006"/>
  </r>
  <r>
    <x v="0"/>
    <x v="0"/>
    <x v="2"/>
    <x v="1"/>
    <s v="407600 -- STD HR PAY"/>
    <s v="12010513 -- KVCU"/>
    <m/>
    <n v="59.51"/>
  </r>
  <r>
    <x v="0"/>
    <x v="0"/>
    <x v="2"/>
    <x v="1"/>
    <s v="407600 -- STD HR PAY"/>
    <s v="12010513 -- KVCU"/>
    <m/>
    <n v="54.1"/>
  </r>
  <r>
    <x v="0"/>
    <x v="0"/>
    <x v="2"/>
    <x v="1"/>
    <s v="407600 -- STD HR PAY"/>
    <s v="12010513 -- KVCU"/>
    <m/>
    <n v="189.35"/>
  </r>
  <r>
    <x v="0"/>
    <x v="0"/>
    <x v="2"/>
    <x v="1"/>
    <s v="407600 -- STD HR PAY"/>
    <s v="12010513 -- KVCU"/>
    <m/>
    <n v="156.88999999999999"/>
  </r>
  <r>
    <x v="0"/>
    <x v="0"/>
    <x v="2"/>
    <x v="1"/>
    <s v="407600 -- STD HR PAY"/>
    <s v="12010513 -- KVCU"/>
    <m/>
    <n v="224.52"/>
  </r>
  <r>
    <x v="0"/>
    <x v="0"/>
    <x v="2"/>
    <x v="1"/>
    <s v="407600 -- STD HR PAY"/>
    <s v="12010513 -- KVCU"/>
    <m/>
    <n v="294.85000000000002"/>
  </r>
  <r>
    <x v="0"/>
    <x v="0"/>
    <x v="2"/>
    <x v="1"/>
    <s v="407600 -- STD HR PAY"/>
    <s v="12010513 -- KVCU"/>
    <m/>
    <n v="151.47999999999999"/>
  </r>
  <r>
    <x v="0"/>
    <x v="0"/>
    <x v="2"/>
    <x v="1"/>
    <s v="407600 -- STD HR PAY"/>
    <s v="12010513 -- KVCU"/>
    <m/>
    <n v="29.76"/>
  </r>
  <r>
    <x v="0"/>
    <x v="0"/>
    <x v="2"/>
    <x v="1"/>
    <s v="407600 -- STD HR PAY"/>
    <s v="12010513 -- KVCU"/>
    <m/>
    <n v="32.46"/>
  </r>
  <r>
    <x v="0"/>
    <x v="0"/>
    <x v="2"/>
    <x v="1"/>
    <s v="407600 -- STD HR PAY"/>
    <s v="12010513 -- KVCU"/>
    <m/>
    <n v="54.1"/>
  </r>
  <r>
    <x v="0"/>
    <x v="0"/>
    <x v="2"/>
    <x v="1"/>
    <s v="407600 -- STD HR PAY"/>
    <s v="12010513 -- KVCU"/>
    <m/>
    <n v="32.46"/>
  </r>
  <r>
    <x v="0"/>
    <x v="0"/>
    <x v="2"/>
    <x v="1"/>
    <s v="407600 -- STD HR PAY"/>
    <s v="12010513 -- KVCU"/>
    <m/>
    <n v="48.69"/>
  </r>
  <r>
    <x v="0"/>
    <x v="0"/>
    <x v="2"/>
    <x v="1"/>
    <s v="407600 -- STD HR PAY"/>
    <s v="12010513 -- KVCU"/>
    <m/>
    <n v="67.63"/>
  </r>
  <r>
    <x v="0"/>
    <x v="0"/>
    <x v="2"/>
    <x v="1"/>
    <s v="407600 -- STD HR PAY"/>
    <s v="12010513 -- KVCU"/>
    <m/>
    <n v="81.150000000000006"/>
  </r>
  <r>
    <x v="0"/>
    <x v="0"/>
    <x v="2"/>
    <x v="1"/>
    <s v="407600 -- STD HR PAY"/>
    <s v="12010513 -- KVCU"/>
    <m/>
    <n v="62.22"/>
  </r>
  <r>
    <x v="0"/>
    <x v="0"/>
    <x v="2"/>
    <x v="1"/>
    <s v="407600 -- STD HR PAY"/>
    <s v="12010513 -- KVCU"/>
    <m/>
    <n v="62.22"/>
  </r>
  <r>
    <x v="0"/>
    <x v="0"/>
    <x v="2"/>
    <x v="1"/>
    <s v="407600 -- STD HR PAY"/>
    <s v="12010513 -- KVCU"/>
    <m/>
    <n v="86.56"/>
  </r>
  <r>
    <x v="0"/>
    <x v="0"/>
    <x v="2"/>
    <x v="1"/>
    <s v="407600 -- STD HR PAY"/>
    <s v="12010513 -- KVCU"/>
    <m/>
    <n v="75.739999999999995"/>
  </r>
  <r>
    <x v="0"/>
    <x v="0"/>
    <x v="2"/>
    <x v="1"/>
    <s v="407600 -- STD HR PAY"/>
    <s v="12010513 -- KVCU"/>
    <m/>
    <n v="119.02"/>
  </r>
  <r>
    <x v="0"/>
    <x v="0"/>
    <x v="2"/>
    <x v="1"/>
    <s v="407600 -- STD HR PAY"/>
    <s v="12010513 -- KVCU"/>
    <m/>
    <n v="129.84"/>
  </r>
  <r>
    <x v="0"/>
    <x v="0"/>
    <x v="2"/>
    <x v="1"/>
    <s v="407600 -- STD HR PAY"/>
    <s v="12010513 -- KVCU"/>
    <m/>
    <n v="100.09"/>
  </r>
  <r>
    <x v="0"/>
    <x v="0"/>
    <x v="2"/>
    <x v="1"/>
    <s v="407600 -- STD HR PAY"/>
    <s v="12010513 -- KVCU"/>
    <m/>
    <n v="159.6"/>
  </r>
  <r>
    <x v="0"/>
    <x v="0"/>
    <x v="2"/>
    <x v="1"/>
    <s v="407600 -- STD HR PAY"/>
    <s v="12010513 -- KVCU"/>
    <m/>
    <n v="194.76"/>
  </r>
  <r>
    <x v="0"/>
    <x v="0"/>
    <x v="2"/>
    <x v="1"/>
    <s v="407600 -- STD HR PAY"/>
    <s v="12010513 -- KVCU"/>
    <m/>
    <n v="194.76"/>
  </r>
  <r>
    <x v="0"/>
    <x v="0"/>
    <x v="2"/>
    <x v="1"/>
    <s v="407600 -- STD HR PAY"/>
    <s v="12010513 -- KVCU"/>
    <m/>
    <n v="411.16"/>
  </r>
  <r>
    <x v="0"/>
    <x v="0"/>
    <x v="2"/>
    <x v="1"/>
    <s v="407600 -- STD HR PAY"/>
    <s v="12010513 -- KVCU"/>
    <m/>
    <n v="432.8"/>
  </r>
  <r>
    <x v="0"/>
    <x v="0"/>
    <x v="2"/>
    <x v="1"/>
    <s v="407600 -- STD HR PAY"/>
    <s v="12010513 -- KVCU"/>
    <m/>
    <n v="432.8"/>
  </r>
  <r>
    <x v="0"/>
    <x v="0"/>
    <x v="2"/>
    <x v="1"/>
    <s v="407600 -- STD HR PAY"/>
    <s v="12010513 -- KVCU"/>
    <m/>
    <n v="96.9"/>
  </r>
  <r>
    <x v="0"/>
    <x v="0"/>
    <x v="2"/>
    <x v="1"/>
    <s v="407600 -- STD HR PAY"/>
    <s v="12010513 -- KVCU"/>
    <m/>
    <n v="122.4"/>
  </r>
  <r>
    <x v="0"/>
    <x v="0"/>
    <x v="2"/>
    <x v="1"/>
    <s v="407600 -- STD HR PAY"/>
    <s v="12010513 -- KVCU"/>
    <m/>
    <n v="122.4"/>
  </r>
  <r>
    <x v="0"/>
    <x v="0"/>
    <x v="2"/>
    <x v="1"/>
    <s v="407600 -- STD HR PAY"/>
    <s v="12010513 -- KVCU"/>
    <m/>
    <n v="-122.4"/>
  </r>
  <r>
    <x v="0"/>
    <x v="0"/>
    <x v="2"/>
    <x v="2"/>
    <s v="428301 -- ALL STD/OTH PER FRINGE BEN"/>
    <s v="12010513 -- KVCU"/>
    <m/>
    <n v="2.4"/>
  </r>
  <r>
    <x v="0"/>
    <x v="0"/>
    <x v="2"/>
    <x v="2"/>
    <s v="428301 -- ALL STD/OTH PER FRINGE BEN"/>
    <s v="12010513 -- KVCU"/>
    <m/>
    <n v="28.92"/>
  </r>
  <r>
    <x v="0"/>
    <x v="0"/>
    <x v="2"/>
    <x v="2"/>
    <s v="428301 -- ALL STD/OTH PER FRINGE BEN"/>
    <s v="12010513 -- KVCU"/>
    <m/>
    <n v="40.4"/>
  </r>
  <r>
    <x v="0"/>
    <x v="0"/>
    <x v="2"/>
    <x v="5"/>
    <s v="480101 -- OFFICE SUPPLIES"/>
    <s v="12010513 -- KVCU"/>
    <m/>
    <n v="24.38"/>
  </r>
  <r>
    <x v="0"/>
    <x v="0"/>
    <x v="2"/>
    <x v="5"/>
    <s v="480101 -- OFFICE SUPPLIES"/>
    <s v="12010513 -- KVCU"/>
    <m/>
    <n v="5.48"/>
  </r>
  <r>
    <x v="0"/>
    <x v="0"/>
    <x v="2"/>
    <x v="5"/>
    <s v="480101 -- OFFICE SUPPLIES"/>
    <s v="12010513 -- KVCU"/>
    <m/>
    <n v="5.51"/>
  </r>
  <r>
    <x v="0"/>
    <x v="0"/>
    <x v="2"/>
    <x v="5"/>
    <s v="480116 -- PAPER"/>
    <s v="12010513 -- KVCU"/>
    <m/>
    <n v="13.6"/>
  </r>
  <r>
    <x v="0"/>
    <x v="0"/>
    <x v="2"/>
    <x v="4"/>
    <s v="487602 -- PRT/PUB/REPRO SERVICES"/>
    <s v="12010513 -- KVCU"/>
    <m/>
    <n v="9.7200000000000006"/>
  </r>
  <r>
    <x v="0"/>
    <x v="0"/>
    <x v="2"/>
    <x v="5"/>
    <s v="500214 -- IT CONNECTIVITY FEE"/>
    <s v="12010513 -- KVCU"/>
    <m/>
    <n v="48.91"/>
  </r>
  <r>
    <x v="0"/>
    <x v="0"/>
    <x v="2"/>
    <x v="5"/>
    <s v="500214 -- IT CONNECTIVITY FEE"/>
    <s v="12010513 -- KVCU"/>
    <m/>
    <m/>
  </r>
  <r>
    <x v="0"/>
    <x v="0"/>
    <x v="2"/>
    <x v="5"/>
    <s v="500214 -- IT CONNECTIVITY FEE"/>
    <s v="12010513 -- KVCU"/>
    <m/>
    <n v="48.91"/>
  </r>
  <r>
    <x v="0"/>
    <x v="0"/>
    <x v="2"/>
    <x v="5"/>
    <s v="500214 -- IT CONNECTIVITY FEE"/>
    <s v="12010513 -- KVCU"/>
    <m/>
    <m/>
  </r>
  <r>
    <x v="0"/>
    <x v="0"/>
    <x v="2"/>
    <x v="5"/>
    <s v="500214 -- IT CONNECTIVITY FEE"/>
    <s v="12010513 -- KVCU"/>
    <m/>
    <m/>
  </r>
  <r>
    <x v="0"/>
    <x v="0"/>
    <x v="2"/>
    <x v="5"/>
    <s v="500214 -- IT CONNECTIVITY FEE"/>
    <s v="12010513 -- KVCU"/>
    <m/>
    <n v="48.91"/>
  </r>
  <r>
    <x v="0"/>
    <x v="0"/>
    <x v="2"/>
    <x v="4"/>
    <s v="508715 -- PROMOTIONS"/>
    <s v="12010513 -- KVCU"/>
    <m/>
    <n v="2607.6"/>
  </r>
  <r>
    <x v="0"/>
    <x v="0"/>
    <x v="2"/>
    <x v="6"/>
    <s v="552603 -- OTHR OPERATING EQUIP RENTAL"/>
    <s v="12010513 -- KVCU"/>
    <m/>
    <m/>
  </r>
  <r>
    <x v="0"/>
    <x v="0"/>
    <x v="2"/>
    <x v="6"/>
    <s v="552603 -- OTHR OPERATING EQUIP RENTAL"/>
    <s v="12010513 -- KVCU"/>
    <m/>
    <n v="600"/>
  </r>
  <r>
    <x v="0"/>
    <x v="0"/>
    <x v="2"/>
    <x v="6"/>
    <s v="552603 -- OTHR OPERATING EQUIP RENTAL"/>
    <s v="12010513 -- KVCU"/>
    <m/>
    <m/>
  </r>
  <r>
    <x v="0"/>
    <x v="0"/>
    <x v="2"/>
    <x v="6"/>
    <s v="552603 -- OTHR OPERATING EQUIP RENTAL"/>
    <s v="12010513 -- KVCU"/>
    <m/>
    <n v="600"/>
  </r>
  <r>
    <x v="0"/>
    <x v="0"/>
    <x v="2"/>
    <x v="6"/>
    <s v="552603 -- OTHR OPERATING EQUIP RENTAL"/>
    <s v="12010513 -- KVCU"/>
    <m/>
    <m/>
  </r>
  <r>
    <x v="0"/>
    <x v="0"/>
    <x v="2"/>
    <x v="6"/>
    <s v="552603 -- OTHR OPERATING EQUIP RENTAL"/>
    <s v="12010513 -- KVCU"/>
    <m/>
    <n v="600"/>
  </r>
  <r>
    <x v="0"/>
    <x v="0"/>
    <x v="2"/>
    <x v="6"/>
    <s v="553000 -- CONFERENCE REGISTRATION FEES"/>
    <s v="12010513 -- KVCU"/>
    <m/>
    <n v="700"/>
  </r>
  <r>
    <x v="0"/>
    <x v="0"/>
    <x v="2"/>
    <x v="6"/>
    <s v="553000 -- CONFERENCE REGISTRATION FEES"/>
    <s v="12010513 -- KVCU"/>
    <m/>
    <n v="700"/>
  </r>
  <r>
    <x v="0"/>
    <x v="0"/>
    <x v="2"/>
    <x v="6"/>
    <s v="553000 -- CONFERENCE REGISTRATION FEES"/>
    <s v="12010513 -- KVCU"/>
    <m/>
    <n v="700"/>
  </r>
  <r>
    <x v="0"/>
    <x v="0"/>
    <x v="2"/>
    <x v="6"/>
    <s v="553000 -- CONFERENCE REGISTRATION FEES"/>
    <s v="12010513 -- KVCU"/>
    <m/>
    <n v="700"/>
  </r>
  <r>
    <x v="0"/>
    <x v="0"/>
    <x v="2"/>
    <x v="6"/>
    <s v="553000 -- CONFERENCE REGISTRATION FEES"/>
    <s v="12010513 -- KVCU"/>
    <m/>
    <n v="700"/>
  </r>
  <r>
    <x v="0"/>
    <x v="0"/>
    <x v="2"/>
    <x v="9"/>
    <s v="960100 -- GENERAL ADMIN RECHARGE"/>
    <s v="12010513 -- KVCU"/>
    <m/>
    <n v="-110.05"/>
  </r>
  <r>
    <x v="0"/>
    <x v="0"/>
    <x v="2"/>
    <x v="9"/>
    <s v="960100 -- GENERAL ADMIN RECHARGE"/>
    <s v="12010513 -- KVCU"/>
    <m/>
    <n v="220.1"/>
  </r>
  <r>
    <x v="0"/>
    <x v="0"/>
    <x v="2"/>
    <x v="9"/>
    <s v="960100 -- GENERAL ADMIN RECHARGE"/>
    <s v="12010513 -- KVCU"/>
    <m/>
    <n v="-112.57"/>
  </r>
  <r>
    <x v="0"/>
    <x v="0"/>
    <x v="2"/>
    <x v="9"/>
    <s v="960100 -- GENERAL ADMIN RECHARGE"/>
    <s v="12010513 -- KVCU"/>
    <m/>
    <n v="225.15"/>
  </r>
  <r>
    <x v="0"/>
    <x v="0"/>
    <x v="2"/>
    <x v="9"/>
    <s v="960100 -- GENERAL ADMIN RECHARGE"/>
    <s v="12010513 -- KVCU"/>
    <m/>
    <n v="-260.35000000000002"/>
  </r>
  <r>
    <x v="0"/>
    <x v="0"/>
    <x v="2"/>
    <x v="9"/>
    <s v="960100 -- GENERAL ADMIN RECHARGE"/>
    <s v="12010513 -- KVCU"/>
    <m/>
    <n v="520.71"/>
  </r>
  <r>
    <x v="0"/>
    <x v="0"/>
    <x v="2"/>
    <x v="10"/>
    <s v="960200 -- GENERAL INFRASTRUCT RECHARGE"/>
    <s v="12010513 -- KVCU"/>
    <m/>
    <n v="17.850000000000001"/>
  </r>
  <r>
    <x v="0"/>
    <x v="0"/>
    <x v="2"/>
    <x v="10"/>
    <s v="960200 -- GENERAL INFRASTRUCT RECHARGE"/>
    <s v="12010513 -- KVCU"/>
    <m/>
    <n v="18.260000000000002"/>
  </r>
  <r>
    <x v="0"/>
    <x v="0"/>
    <x v="2"/>
    <x v="10"/>
    <s v="960200 -- GENERAL INFRASTRUCT RECHARGE"/>
    <s v="12010513 -- KVCU"/>
    <m/>
    <n v="42.22"/>
  </r>
  <r>
    <x v="0"/>
    <x v="0"/>
    <x v="2"/>
    <x v="8"/>
    <s v="960402 -- CSI GENERAL ADMIN RECHARGE"/>
    <s v="12010513 -- KVCU"/>
    <m/>
    <n v="110.05"/>
  </r>
  <r>
    <x v="0"/>
    <x v="0"/>
    <x v="2"/>
    <x v="8"/>
    <s v="960402 -- CSI GENERAL ADMIN RECHARGE"/>
    <s v="12010513 -- KVCU"/>
    <m/>
    <n v="112.57"/>
  </r>
  <r>
    <x v="0"/>
    <x v="0"/>
    <x v="2"/>
    <x v="8"/>
    <s v="960402 -- CSI GENERAL ADMIN RECHARGE"/>
    <s v="12010513 -- KVCU"/>
    <m/>
    <n v="260.35000000000002"/>
  </r>
  <r>
    <x v="0"/>
    <x v="0"/>
    <x v="3"/>
    <x v="1"/>
    <s v="407600 -- STD HR PAY"/>
    <s v="12010513 -- KVCU"/>
    <m/>
    <n v="324.60000000000002"/>
  </r>
  <r>
    <x v="0"/>
    <x v="0"/>
    <x v="3"/>
    <x v="1"/>
    <s v="407600 -- STD HR PAY"/>
    <s v="12010513 -- KVCU"/>
    <m/>
    <n v="324.60000000000002"/>
  </r>
  <r>
    <x v="0"/>
    <x v="0"/>
    <x v="3"/>
    <x v="1"/>
    <s v="407600 -- STD HR PAY"/>
    <s v="12010513 -- KVCU"/>
    <m/>
    <n v="324.60000000000002"/>
  </r>
  <r>
    <x v="0"/>
    <x v="0"/>
    <x v="3"/>
    <x v="1"/>
    <s v="407600 -- STD HR PAY"/>
    <s v="12010513 -- KVCU"/>
    <m/>
    <n v="324.60000000000002"/>
  </r>
  <r>
    <x v="0"/>
    <x v="0"/>
    <x v="3"/>
    <x v="1"/>
    <s v="407600 -- STD HR PAY"/>
    <s v="12010513 -- KVCU"/>
    <m/>
    <n v="324.60000000000002"/>
  </r>
  <r>
    <x v="0"/>
    <x v="0"/>
    <x v="3"/>
    <x v="1"/>
    <s v="407600 -- STD HR PAY"/>
    <s v="12010513 -- KVCU"/>
    <m/>
    <n v="183.6"/>
  </r>
  <r>
    <x v="0"/>
    <x v="0"/>
    <x v="3"/>
    <x v="1"/>
    <s v="407600 -- STD HR PAY"/>
    <s v="12010513 -- KVCU"/>
    <m/>
    <n v="122.4"/>
  </r>
  <r>
    <x v="0"/>
    <x v="0"/>
    <x v="3"/>
    <x v="1"/>
    <s v="407600 -- STD HR PAY"/>
    <s v="12010513 -- KVCU"/>
    <m/>
    <n v="153"/>
  </r>
  <r>
    <x v="0"/>
    <x v="0"/>
    <x v="3"/>
    <x v="1"/>
    <s v="407600 -- STD HR PAY"/>
    <s v="12010513 -- KVCU"/>
    <m/>
    <n v="147.9"/>
  </r>
  <r>
    <x v="0"/>
    <x v="0"/>
    <x v="3"/>
    <x v="1"/>
    <s v="407600 -- STD HR PAY"/>
    <s v="12010513 -- KVCU"/>
    <m/>
    <n v="216.4"/>
  </r>
  <r>
    <x v="0"/>
    <x v="0"/>
    <x v="3"/>
    <x v="1"/>
    <s v="407600 -- STD HR PAY"/>
    <s v="12010513 -- KVCU"/>
    <m/>
    <n v="83.86"/>
  </r>
  <r>
    <x v="0"/>
    <x v="0"/>
    <x v="3"/>
    <x v="1"/>
    <s v="407600 -- STD HR PAY"/>
    <s v="12010513 -- KVCU"/>
    <m/>
    <n v="108.2"/>
  </r>
  <r>
    <x v="0"/>
    <x v="0"/>
    <x v="3"/>
    <x v="1"/>
    <s v="407600 -- STD HR PAY"/>
    <s v="12010513 -- KVCU"/>
    <m/>
    <n v="110.91"/>
  </r>
  <r>
    <x v="0"/>
    <x v="0"/>
    <x v="3"/>
    <x v="1"/>
    <s v="407600 -- STD HR PAY"/>
    <s v="12010513 -- KVCU"/>
    <m/>
    <n v="43.28"/>
  </r>
  <r>
    <x v="0"/>
    <x v="0"/>
    <x v="3"/>
    <x v="1"/>
    <s v="407600 -- STD HR PAY"/>
    <s v="12010513 -- KVCU"/>
    <m/>
    <n v="43.28"/>
  </r>
  <r>
    <x v="0"/>
    <x v="0"/>
    <x v="3"/>
    <x v="1"/>
    <s v="407600 -- STD HR PAY"/>
    <s v="12010513 -- KVCU"/>
    <m/>
    <n v="75.739999999999995"/>
  </r>
  <r>
    <x v="0"/>
    <x v="0"/>
    <x v="3"/>
    <x v="1"/>
    <s v="407600 -- STD HR PAY"/>
    <s v="12010513 -- KVCU"/>
    <m/>
    <n v="32.46"/>
  </r>
  <r>
    <x v="0"/>
    <x v="0"/>
    <x v="3"/>
    <x v="1"/>
    <s v="407600 -- STD HR PAY"/>
    <s v="12010513 -- KVCU"/>
    <m/>
    <n v="205.58"/>
  </r>
  <r>
    <x v="0"/>
    <x v="0"/>
    <x v="3"/>
    <x v="1"/>
    <s v="407600 -- STD HR PAY"/>
    <s v="12010513 -- KVCU"/>
    <m/>
    <n v="324.60000000000002"/>
  </r>
  <r>
    <x v="0"/>
    <x v="0"/>
    <x v="3"/>
    <x v="1"/>
    <s v="407600 -- STD HR PAY"/>
    <s v="12010513 -- KVCU"/>
    <m/>
    <n v="121.73"/>
  </r>
  <r>
    <x v="0"/>
    <x v="0"/>
    <x v="3"/>
    <x v="1"/>
    <s v="407600 -- STD HR PAY"/>
    <s v="12010513 -- KVCU"/>
    <m/>
    <n v="392.23"/>
  </r>
  <r>
    <x v="0"/>
    <x v="0"/>
    <x v="3"/>
    <x v="1"/>
    <s v="407600 -- STD HR PAY"/>
    <s v="12010513 -- KVCU"/>
    <m/>
    <n v="278.62"/>
  </r>
  <r>
    <x v="0"/>
    <x v="0"/>
    <x v="3"/>
    <x v="1"/>
    <s v="407600 -- STD HR PAY"/>
    <s v="12010513 -- KVCU"/>
    <m/>
    <n v="419.28"/>
  </r>
  <r>
    <x v="0"/>
    <x v="0"/>
    <x v="3"/>
    <x v="1"/>
    <s v="407600 -- STD HR PAY"/>
    <s v="12010513 -- KVCU"/>
    <m/>
    <n v="500.43"/>
  </r>
  <r>
    <x v="0"/>
    <x v="0"/>
    <x v="3"/>
    <x v="1"/>
    <s v="407600 -- STD HR PAY"/>
    <s v="12010513 -- KVCU"/>
    <m/>
    <n v="173.12"/>
  </r>
  <r>
    <x v="0"/>
    <x v="0"/>
    <x v="3"/>
    <x v="1"/>
    <s v="407600 -- STD HR PAY"/>
    <s v="12010513 -- KVCU"/>
    <m/>
    <n v="129.84"/>
  </r>
  <r>
    <x v="0"/>
    <x v="0"/>
    <x v="3"/>
    <x v="1"/>
    <s v="407600 -- STD HR PAY"/>
    <s v="12010513 -- KVCU"/>
    <m/>
    <n v="146.07"/>
  </r>
  <r>
    <x v="0"/>
    <x v="0"/>
    <x v="3"/>
    <x v="1"/>
    <s v="407600 -- STD HR PAY"/>
    <s v="12010513 -- KVCU"/>
    <m/>
    <n v="43.28"/>
  </r>
  <r>
    <x v="0"/>
    <x v="0"/>
    <x v="3"/>
    <x v="1"/>
    <s v="407600 -- STD HR PAY"/>
    <s v="12010513 -- KVCU"/>
    <m/>
    <n v="8.1199999999999992"/>
  </r>
  <r>
    <x v="0"/>
    <x v="0"/>
    <x v="3"/>
    <x v="1"/>
    <s v="407600 -- STD HR PAY"/>
    <s v="12010513 -- KVCU"/>
    <m/>
    <n v="16.23"/>
  </r>
  <r>
    <x v="0"/>
    <x v="0"/>
    <x v="3"/>
    <x v="1"/>
    <s v="407600 -- STD HR PAY"/>
    <s v="12010513 -- KVCU"/>
    <m/>
    <n v="124.44"/>
  </r>
  <r>
    <x v="0"/>
    <x v="0"/>
    <x v="3"/>
    <x v="1"/>
    <s v="407600 -- STD HR PAY"/>
    <s v="12010513 -- KVCU"/>
    <m/>
    <n v="78.45"/>
  </r>
  <r>
    <x v="0"/>
    <x v="0"/>
    <x v="3"/>
    <x v="1"/>
    <s v="407600 -- STD HR PAY"/>
    <s v="12010513 -- KVCU"/>
    <m/>
    <n v="32.46"/>
  </r>
  <r>
    <x v="0"/>
    <x v="0"/>
    <x v="3"/>
    <x v="1"/>
    <s v="407600 -- STD HR PAY"/>
    <s v="12010513 -- KVCU"/>
    <m/>
    <n v="27.05"/>
  </r>
  <r>
    <x v="0"/>
    <x v="0"/>
    <x v="3"/>
    <x v="1"/>
    <s v="407600 -- STD HR PAY"/>
    <s v="12010513 -- KVCU"/>
    <m/>
    <n v="18.940000000000001"/>
  </r>
  <r>
    <x v="0"/>
    <x v="0"/>
    <x v="3"/>
    <x v="1"/>
    <s v="407600 -- STD HR PAY"/>
    <s v="12010513 -- KVCU"/>
    <m/>
    <n v="73.040000000000006"/>
  </r>
  <r>
    <x v="0"/>
    <x v="0"/>
    <x v="3"/>
    <x v="1"/>
    <s v="407600 -- STD HR PAY"/>
    <s v="12010513 -- KVCU"/>
    <m/>
    <n v="32.46"/>
  </r>
  <r>
    <x v="0"/>
    <x v="0"/>
    <x v="3"/>
    <x v="1"/>
    <s v="407600 -- STD HR PAY"/>
    <s v="12010513 -- KVCU"/>
    <m/>
    <n v="48.69"/>
  </r>
  <r>
    <x v="0"/>
    <x v="0"/>
    <x v="3"/>
    <x v="1"/>
    <s v="407600 -- STD HR PAY"/>
    <s v="12010513 -- KVCU"/>
    <m/>
    <n v="35.17"/>
  </r>
  <r>
    <x v="0"/>
    <x v="0"/>
    <x v="3"/>
    <x v="1"/>
    <s v="407600 -- STD HR PAY"/>
    <s v="12010513 -- KVCU"/>
    <m/>
    <n v="100.09"/>
  </r>
  <r>
    <x v="0"/>
    <x v="0"/>
    <x v="3"/>
    <x v="1"/>
    <s v="407600 -- STD HR PAY"/>
    <s v="12010513 -- KVCU"/>
    <m/>
    <n v="205.58"/>
  </r>
  <r>
    <x v="0"/>
    <x v="0"/>
    <x v="3"/>
    <x v="1"/>
    <s v="407600 -- STD HR PAY"/>
    <s v="12010513 -- KVCU"/>
    <m/>
    <n v="119.02"/>
  </r>
  <r>
    <x v="0"/>
    <x v="0"/>
    <x v="3"/>
    <x v="1"/>
    <s v="407600 -- STD HR PAY"/>
    <s v="12010513 -- KVCU"/>
    <m/>
    <n v="173.12"/>
  </r>
  <r>
    <x v="0"/>
    <x v="0"/>
    <x v="3"/>
    <x v="1"/>
    <s v="407600 -- STD HR PAY"/>
    <s v="12010513 -- KVCU"/>
    <m/>
    <n v="108.2"/>
  </r>
  <r>
    <x v="0"/>
    <x v="0"/>
    <x v="3"/>
    <x v="1"/>
    <s v="407600 -- STD HR PAY"/>
    <s v="12010513 -- KVCU"/>
    <m/>
    <n v="238.04"/>
  </r>
  <r>
    <x v="0"/>
    <x v="0"/>
    <x v="3"/>
    <x v="1"/>
    <s v="407600 -- STD HR PAY"/>
    <s v="12010513 -- KVCU"/>
    <m/>
    <n v="367.88"/>
  </r>
  <r>
    <x v="0"/>
    <x v="0"/>
    <x v="3"/>
    <x v="1"/>
    <s v="407600 -- STD HR PAY"/>
    <s v="12010513 -- KVCU"/>
    <m/>
    <n v="400.34"/>
  </r>
  <r>
    <x v="0"/>
    <x v="0"/>
    <x v="3"/>
    <x v="1"/>
    <s v="407600 -- STD HR PAY"/>
    <s v="12010513 -- KVCU"/>
    <m/>
    <n v="497.72"/>
  </r>
  <r>
    <x v="0"/>
    <x v="0"/>
    <x v="3"/>
    <x v="1"/>
    <s v="407600 -- STD HR PAY"/>
    <s v="12010513 -- KVCU"/>
    <m/>
    <n v="259.68"/>
  </r>
  <r>
    <x v="0"/>
    <x v="0"/>
    <x v="3"/>
    <x v="1"/>
    <s v="407600 -- STD HR PAY"/>
    <s v="12010513 -- KVCU"/>
    <m/>
    <n v="62.22"/>
  </r>
  <r>
    <x v="0"/>
    <x v="0"/>
    <x v="3"/>
    <x v="1"/>
    <s v="407600 -- STD HR PAY"/>
    <s v="12010513 -- KVCU"/>
    <m/>
    <n v="105.5"/>
  </r>
  <r>
    <x v="0"/>
    <x v="0"/>
    <x v="3"/>
    <x v="1"/>
    <s v="407600 -- STD HR PAY"/>
    <s v="12010513 -- KVCU"/>
    <m/>
    <n v="35.17"/>
  </r>
  <r>
    <x v="0"/>
    <x v="0"/>
    <x v="3"/>
    <x v="1"/>
    <s v="407600 -- STD HR PAY"/>
    <s v="12010513 -- KVCU"/>
    <m/>
    <n v="43.28"/>
  </r>
  <r>
    <x v="0"/>
    <x v="0"/>
    <x v="3"/>
    <x v="1"/>
    <s v="407600 -- STD HR PAY"/>
    <s v="12010513 -- KVCU"/>
    <m/>
    <n v="530.17999999999995"/>
  </r>
  <r>
    <x v="0"/>
    <x v="0"/>
    <x v="3"/>
    <x v="1"/>
    <s v="407600 -- STD HR PAY"/>
    <s v="12010513 -- KVCU"/>
    <m/>
    <n v="454.44"/>
  </r>
  <r>
    <x v="0"/>
    <x v="0"/>
    <x v="3"/>
    <x v="1"/>
    <s v="407600 -- STD HR PAY"/>
    <s v="12010513 -- KVCU"/>
    <m/>
    <n v="159.6"/>
  </r>
  <r>
    <x v="0"/>
    <x v="0"/>
    <x v="3"/>
    <x v="1"/>
    <s v="407600 -- STD HR PAY"/>
    <s v="12010513 -- KVCU"/>
    <m/>
    <n v="530.17999999999995"/>
  </r>
  <r>
    <x v="0"/>
    <x v="0"/>
    <x v="3"/>
    <x v="1"/>
    <s v="407600 -- STD HR PAY"/>
    <s v="12010513 -- KVCU"/>
    <m/>
    <n v="232.63"/>
  </r>
  <r>
    <x v="0"/>
    <x v="0"/>
    <x v="3"/>
    <x v="1"/>
    <s v="407600 -- STD HR PAY"/>
    <s v="12010513 -- KVCU"/>
    <m/>
    <n v="140.66"/>
  </r>
  <r>
    <x v="0"/>
    <x v="0"/>
    <x v="3"/>
    <x v="2"/>
    <s v="428301 -- ALL STD/OTH PER FRINGE BEN"/>
    <s v="12010513 -- KVCU"/>
    <m/>
    <n v="29.87"/>
  </r>
  <r>
    <x v="0"/>
    <x v="0"/>
    <x v="3"/>
    <x v="2"/>
    <s v="428301 -- ALL STD/OTH PER FRINGE BEN"/>
    <s v="12010513 -- KVCU"/>
    <m/>
    <n v="28.38"/>
  </r>
  <r>
    <x v="0"/>
    <x v="0"/>
    <x v="3"/>
    <x v="2"/>
    <s v="428301 -- ALL STD/OTH PER FRINGE BEN"/>
    <s v="12010513 -- KVCU"/>
    <m/>
    <n v="42.79"/>
  </r>
  <r>
    <x v="0"/>
    <x v="0"/>
    <x v="3"/>
    <x v="2"/>
    <s v="428301 -- ALL STD/OTH PER FRINGE BEN"/>
    <s v="12010513 -- KVCU"/>
    <m/>
    <n v="8.33"/>
  </r>
  <r>
    <x v="0"/>
    <x v="0"/>
    <x v="3"/>
    <x v="5"/>
    <s v="480101 -- OFFICE SUPPLIES"/>
    <s v="12010513 -- KVCU"/>
    <m/>
    <n v="-24.38"/>
  </r>
  <r>
    <x v="0"/>
    <x v="0"/>
    <x v="3"/>
    <x v="5"/>
    <s v="480101 -- OFFICE SUPPLIES"/>
    <s v="12010513 -- KVCU"/>
    <m/>
    <n v="-5.48"/>
  </r>
  <r>
    <x v="0"/>
    <x v="0"/>
    <x v="3"/>
    <x v="5"/>
    <s v="480101 -- OFFICE SUPPLIES"/>
    <s v="12010513 -- KVCU"/>
    <m/>
    <n v="-5.51"/>
  </r>
  <r>
    <x v="0"/>
    <x v="0"/>
    <x v="3"/>
    <x v="5"/>
    <s v="480101 -- OFFICE SUPPLIES"/>
    <s v="12010513 -- KVCU"/>
    <m/>
    <n v="5.48"/>
  </r>
  <r>
    <x v="0"/>
    <x v="0"/>
    <x v="3"/>
    <x v="5"/>
    <s v="480101 -- OFFICE SUPPLIES"/>
    <s v="12010513 -- KVCU"/>
    <m/>
    <n v="5.51"/>
  </r>
  <r>
    <x v="0"/>
    <x v="0"/>
    <x v="3"/>
    <x v="5"/>
    <s v="480101 -- OFFICE SUPPLIES"/>
    <s v="12010513 -- KVCU"/>
    <m/>
    <n v="24.38"/>
  </r>
  <r>
    <x v="0"/>
    <x v="0"/>
    <x v="3"/>
    <x v="5"/>
    <s v="480116 -- PAPER"/>
    <s v="12010513 -- KVCU"/>
    <m/>
    <n v="-13.6"/>
  </r>
  <r>
    <x v="0"/>
    <x v="0"/>
    <x v="3"/>
    <x v="5"/>
    <s v="480116 -- PAPER"/>
    <s v="12010513 -- KVCU"/>
    <m/>
    <n v="13.6"/>
  </r>
  <r>
    <x v="0"/>
    <x v="0"/>
    <x v="3"/>
    <x v="4"/>
    <s v="487602 -- PRT/PUB/REPRO SERVICES"/>
    <s v="12010513 -- KVCU"/>
    <m/>
    <n v="1.8"/>
  </r>
  <r>
    <x v="0"/>
    <x v="0"/>
    <x v="3"/>
    <x v="5"/>
    <s v="500200 -- IT SERVICES"/>
    <s v="12010513 -- KVCU"/>
    <m/>
    <n v="192"/>
  </r>
  <r>
    <x v="0"/>
    <x v="0"/>
    <x v="3"/>
    <x v="5"/>
    <s v="500214 -- IT CONNECTIVITY FEE"/>
    <s v="12010513 -- KVCU"/>
    <m/>
    <m/>
  </r>
  <r>
    <x v="0"/>
    <x v="0"/>
    <x v="3"/>
    <x v="5"/>
    <s v="500214 -- IT CONNECTIVITY FEE"/>
    <s v="12010513 -- KVCU"/>
    <m/>
    <n v="48.91"/>
  </r>
  <r>
    <x v="0"/>
    <x v="0"/>
    <x v="3"/>
    <x v="5"/>
    <s v="500214 -- IT CONNECTIVITY FEE"/>
    <s v="12010513 -- KVCU"/>
    <m/>
    <n v="48.91"/>
  </r>
  <r>
    <x v="0"/>
    <x v="0"/>
    <x v="3"/>
    <x v="5"/>
    <s v="500214 -- IT CONNECTIVITY FEE"/>
    <s v="12010513 -- KVCU"/>
    <m/>
    <m/>
  </r>
  <r>
    <x v="0"/>
    <x v="0"/>
    <x v="3"/>
    <x v="5"/>
    <s v="500214 -- IT CONNECTIVITY FEE"/>
    <s v="12010513 -- KVCU"/>
    <m/>
    <n v="48.91"/>
  </r>
  <r>
    <x v="0"/>
    <x v="0"/>
    <x v="3"/>
    <x v="5"/>
    <s v="500214 -- IT CONNECTIVITY FEE"/>
    <s v="12010513 -- KVCU"/>
    <m/>
    <m/>
  </r>
  <r>
    <x v="0"/>
    <x v="0"/>
    <x v="3"/>
    <x v="5"/>
    <s v="500400 -- IT SOFTWARE LICENSES"/>
    <s v="12010513 -- KVCU"/>
    <m/>
    <n v="2415"/>
  </r>
  <r>
    <x v="0"/>
    <x v="0"/>
    <x v="3"/>
    <x v="5"/>
    <s v="500500 -- IT MAINTENANCE AGREEMENTS"/>
    <s v="12010513 -- KVCU"/>
    <m/>
    <n v="357"/>
  </r>
  <r>
    <x v="0"/>
    <x v="0"/>
    <x v="3"/>
    <x v="5"/>
    <s v="500800 -- COMPUTERS (BUNDLED&lt; $5000)"/>
    <s v="12010513 -- KVCU"/>
    <m/>
    <n v="1759"/>
  </r>
  <r>
    <x v="0"/>
    <x v="0"/>
    <x v="3"/>
    <x v="5"/>
    <s v="500800 -- COMPUTERS (BUNDLED&lt; $5000)"/>
    <s v="12010513 -- KVCU"/>
    <m/>
    <n v="2458"/>
  </r>
  <r>
    <x v="0"/>
    <x v="0"/>
    <x v="3"/>
    <x v="13"/>
    <s v="502899 -- ID RENTALS"/>
    <s v="12010513 -- KVCU"/>
    <m/>
    <n v="284.75"/>
  </r>
  <r>
    <x v="0"/>
    <x v="0"/>
    <x v="3"/>
    <x v="6"/>
    <s v="510100 -- DUES/MEMBER-PROF ORGANIZATIONS"/>
    <s v="12010513 -- KVCU"/>
    <m/>
    <n v="360"/>
  </r>
  <r>
    <x v="0"/>
    <x v="0"/>
    <x v="3"/>
    <x v="6"/>
    <s v="510300 -- LICENSES"/>
    <s v="12010513 -- KVCU"/>
    <m/>
    <n v="908"/>
  </r>
  <r>
    <x v="0"/>
    <x v="0"/>
    <x v="3"/>
    <x v="6"/>
    <s v="537600 -- EQUIPMENT &lt; $5000"/>
    <s v="12010513 -- KVCU"/>
    <m/>
    <n v="1091.51"/>
  </r>
  <r>
    <x v="0"/>
    <x v="0"/>
    <x v="3"/>
    <x v="12"/>
    <s v="552499 -- ID OFFICIAL FUNCTIONS"/>
    <s v="12010513 -- KVCU"/>
    <m/>
    <n v="201.2"/>
  </r>
  <r>
    <x v="0"/>
    <x v="0"/>
    <x v="3"/>
    <x v="6"/>
    <s v="552601 -- OTHER OPERATING SUPPLIES"/>
    <s v="12010513 -- KVCU"/>
    <m/>
    <n v="10.79"/>
  </r>
  <r>
    <x v="0"/>
    <x v="0"/>
    <x v="3"/>
    <x v="6"/>
    <s v="552601 -- OTHER OPERATING SUPPLIES"/>
    <s v="12010513 -- KVCU"/>
    <m/>
    <n v="29.99"/>
  </r>
  <r>
    <x v="0"/>
    <x v="0"/>
    <x v="3"/>
    <x v="6"/>
    <s v="552601 -- OTHER OPERATING SUPPLIES"/>
    <s v="12010513 -- KVCU"/>
    <m/>
    <n v="5.69"/>
  </r>
  <r>
    <x v="0"/>
    <x v="0"/>
    <x v="3"/>
    <x v="6"/>
    <s v="552601 -- OTHER OPERATING SUPPLIES"/>
    <s v="12010513 -- KVCU"/>
    <m/>
    <n v="48.75"/>
  </r>
  <r>
    <x v="0"/>
    <x v="0"/>
    <x v="3"/>
    <x v="6"/>
    <s v="552603 -- OTHR OPERATING EQUIP RENTAL"/>
    <s v="12010513 -- KVCU"/>
    <m/>
    <m/>
  </r>
  <r>
    <x v="0"/>
    <x v="0"/>
    <x v="3"/>
    <x v="6"/>
    <s v="552603 -- OTHR OPERATING EQUIP RENTAL"/>
    <s v="12010513 -- KVCU"/>
    <m/>
    <n v="600"/>
  </r>
  <r>
    <x v="0"/>
    <x v="0"/>
    <x v="3"/>
    <x v="6"/>
    <s v="552603 -- OTHR OPERATING EQUIP RENTAL"/>
    <s v="12010513 -- KVCU"/>
    <m/>
    <m/>
  </r>
  <r>
    <x v="0"/>
    <x v="0"/>
    <x v="3"/>
    <x v="6"/>
    <s v="552603 -- OTHR OPERATING EQUIP RENTAL"/>
    <s v="12010513 -- KVCU"/>
    <m/>
    <n v="600"/>
  </r>
  <r>
    <x v="0"/>
    <x v="0"/>
    <x v="3"/>
    <x v="6"/>
    <s v="552603 -- OTHR OPERATING EQUIP RENTAL"/>
    <s v="12010513 -- KVCU"/>
    <m/>
    <m/>
  </r>
  <r>
    <x v="0"/>
    <x v="0"/>
    <x v="3"/>
    <x v="6"/>
    <s v="552603 -- OTHR OPERATING EQUIP RENTAL"/>
    <s v="12010513 -- KVCU"/>
    <m/>
    <m/>
  </r>
  <r>
    <x v="0"/>
    <x v="0"/>
    <x v="3"/>
    <x v="6"/>
    <s v="552603 -- OTHR OPERATING EQUIP RENTAL"/>
    <s v="12010513 -- KVCU"/>
    <m/>
    <n v="600"/>
  </r>
  <r>
    <x v="0"/>
    <x v="0"/>
    <x v="3"/>
    <x v="6"/>
    <s v="552603 -- OTHR OPERATING EQUIP RENTAL"/>
    <s v="12010513 -- KVCU"/>
    <m/>
    <n v="600"/>
  </r>
  <r>
    <x v="0"/>
    <x v="0"/>
    <x v="3"/>
    <x v="6"/>
    <s v="552605 -- OTHR OPERATING CNTRCT SERVICES"/>
    <s v="12010513 -- KVCU"/>
    <m/>
    <n v="250"/>
  </r>
  <r>
    <x v="0"/>
    <x v="0"/>
    <x v="3"/>
    <x v="6"/>
    <s v="552626 -- FEES/LICENSES"/>
    <s v="12010513 -- KVCU"/>
    <m/>
    <n v="155"/>
  </r>
  <r>
    <x v="0"/>
    <x v="0"/>
    <x v="3"/>
    <x v="7"/>
    <s v="700200 -- EMPLOYEE TRAVEL - OUT-OF-STATE"/>
    <s v="12010513 -- KVCU"/>
    <m/>
    <n v="926.1"/>
  </r>
  <r>
    <x v="0"/>
    <x v="0"/>
    <x v="3"/>
    <x v="7"/>
    <s v="700200 -- EMPLOYEE TRAVEL - OUT-OF-STATE"/>
    <s v="12010513 -- KVCU"/>
    <m/>
    <n v="62.75"/>
  </r>
  <r>
    <x v="0"/>
    <x v="0"/>
    <x v="3"/>
    <x v="7"/>
    <s v="700200 -- EMPLOYEE TRAVEL - OUT-OF-STATE"/>
    <s v="12010513 -- KVCU"/>
    <m/>
    <n v="175"/>
  </r>
  <r>
    <x v="0"/>
    <x v="0"/>
    <x v="3"/>
    <x v="7"/>
    <s v="700200 -- EMPLOYEE TRAVEL - OUT-OF-STATE"/>
    <s v="12010513 -- KVCU"/>
    <m/>
    <n v="926.1"/>
  </r>
  <r>
    <x v="0"/>
    <x v="0"/>
    <x v="3"/>
    <x v="9"/>
    <s v="960100 -- GENERAL ADMIN RECHARGE"/>
    <s v="12010513 -- KVCU"/>
    <m/>
    <n v="-130.99"/>
  </r>
  <r>
    <x v="0"/>
    <x v="0"/>
    <x v="3"/>
    <x v="9"/>
    <s v="960100 -- GENERAL ADMIN RECHARGE"/>
    <s v="12010513 -- KVCU"/>
    <m/>
    <n v="261.97000000000003"/>
  </r>
  <r>
    <x v="0"/>
    <x v="0"/>
    <x v="3"/>
    <x v="9"/>
    <s v="960100 -- GENERAL ADMIN RECHARGE"/>
    <s v="12010513 -- KVCU"/>
    <m/>
    <n v="-216.17"/>
  </r>
  <r>
    <x v="0"/>
    <x v="0"/>
    <x v="3"/>
    <x v="9"/>
    <s v="960100 -- GENERAL ADMIN RECHARGE"/>
    <s v="12010513 -- KVCU"/>
    <m/>
    <n v="432.34"/>
  </r>
  <r>
    <x v="0"/>
    <x v="0"/>
    <x v="3"/>
    <x v="9"/>
    <s v="960100 -- GENERAL ADMIN RECHARGE"/>
    <s v="12010513 -- KVCU"/>
    <m/>
    <n v="-431.87"/>
  </r>
  <r>
    <x v="0"/>
    <x v="0"/>
    <x v="3"/>
    <x v="9"/>
    <s v="960100 -- GENERAL ADMIN RECHARGE"/>
    <s v="12010513 -- KVCU"/>
    <m/>
    <n v="863.75"/>
  </r>
  <r>
    <x v="0"/>
    <x v="0"/>
    <x v="3"/>
    <x v="9"/>
    <s v="960100 -- GENERAL ADMIN RECHARGE"/>
    <s v="12010513 -- KVCU"/>
    <m/>
    <n v="-45.34"/>
  </r>
  <r>
    <x v="0"/>
    <x v="0"/>
    <x v="3"/>
    <x v="9"/>
    <s v="960100 -- GENERAL ADMIN RECHARGE"/>
    <s v="12010513 -- KVCU"/>
    <m/>
    <n v="90.67"/>
  </r>
  <r>
    <x v="0"/>
    <x v="0"/>
    <x v="3"/>
    <x v="10"/>
    <s v="960200 -- GENERAL INFRASTRUCT RECHARGE"/>
    <s v="12010513 -- KVCU"/>
    <m/>
    <n v="21.24"/>
  </r>
  <r>
    <x v="0"/>
    <x v="0"/>
    <x v="3"/>
    <x v="10"/>
    <s v="960200 -- GENERAL INFRASTRUCT RECHARGE"/>
    <s v="12010513 -- KVCU"/>
    <m/>
    <n v="35.06"/>
  </r>
  <r>
    <x v="0"/>
    <x v="0"/>
    <x v="3"/>
    <x v="10"/>
    <s v="960200 -- GENERAL INFRASTRUCT RECHARGE"/>
    <s v="12010513 -- KVCU"/>
    <m/>
    <n v="70.03"/>
  </r>
  <r>
    <x v="0"/>
    <x v="0"/>
    <x v="3"/>
    <x v="10"/>
    <s v="960200 -- GENERAL INFRASTRUCT RECHARGE"/>
    <s v="12010513 -- KVCU"/>
    <m/>
    <n v="7.35"/>
  </r>
  <r>
    <x v="0"/>
    <x v="0"/>
    <x v="3"/>
    <x v="8"/>
    <s v="960402 -- CSI GENERAL ADMIN RECHARGE"/>
    <s v="12010513 -- KVCU"/>
    <m/>
    <n v="130.99"/>
  </r>
  <r>
    <x v="0"/>
    <x v="0"/>
    <x v="3"/>
    <x v="8"/>
    <s v="960402 -- CSI GENERAL ADMIN RECHARGE"/>
    <s v="12010513 -- KVCU"/>
    <m/>
    <n v="216.17"/>
  </r>
  <r>
    <x v="0"/>
    <x v="0"/>
    <x v="3"/>
    <x v="8"/>
    <s v="960402 -- CSI GENERAL ADMIN RECHARGE"/>
    <s v="12010513 -- KVCU"/>
    <m/>
    <n v="431.87"/>
  </r>
  <r>
    <x v="0"/>
    <x v="0"/>
    <x v="3"/>
    <x v="8"/>
    <s v="960402 -- CSI GENERAL ADMIN RECHARGE"/>
    <s v="12010513 -- KVCU"/>
    <m/>
    <n v="45.34"/>
  </r>
  <r>
    <x v="0"/>
    <x v="0"/>
    <x v="3"/>
    <x v="14"/>
    <s v="995100 -- CASH TRANSFER IN W/IN CAMPUS"/>
    <s v="12010512 -- KVCU"/>
    <m/>
    <n v="-57834.18"/>
  </r>
  <r>
    <x v="0"/>
    <x v="0"/>
    <x v="3"/>
    <x v="14"/>
    <s v="995100 -- CASH TRANSFER IN W/IN CAMPUS"/>
    <s v="12012397 -- KVCU CAPITAL"/>
    <m/>
    <n v="-5988"/>
  </r>
  <r>
    <x v="0"/>
    <x v="0"/>
    <x v="3"/>
    <x v="11"/>
    <s v="997100 -- CASH TRANSFER OUT W/IN CAMPUS"/>
    <s v="12010513 -- KVCU"/>
    <m/>
    <n v="57834.18"/>
  </r>
  <r>
    <x v="0"/>
    <x v="0"/>
    <x v="3"/>
    <x v="11"/>
    <s v="997100 -- CASH TRANSFER OUT W/IN CAMPUS"/>
    <s v="12010513 -- KVCU"/>
    <m/>
    <n v="5988"/>
  </r>
  <r>
    <x v="0"/>
    <x v="1"/>
    <x v="0"/>
    <x v="0"/>
    <s v="220100 -- STUDENT ACTIVITY FEES"/>
    <s v="12010513 -- KVCU"/>
    <n v="-145841"/>
    <m/>
  </r>
  <r>
    <x v="0"/>
    <x v="1"/>
    <x v="0"/>
    <x v="0"/>
    <s v="220100 -- STUDENT ACTIVITY FEES"/>
    <s v="12010513 -- KVCU"/>
    <m/>
    <n v="-72920"/>
  </r>
  <r>
    <x v="0"/>
    <x v="1"/>
    <x v="0"/>
    <x v="1"/>
    <s v="407500 -- STD HR PAY GEN BDG"/>
    <s v="12010513 -- KVCU"/>
    <n v="80188"/>
    <m/>
  </r>
  <r>
    <x v="0"/>
    <x v="1"/>
    <x v="0"/>
    <x v="1"/>
    <s v="407600 -- STD HR PAY"/>
    <s v="12010513 -- KVCU"/>
    <m/>
    <n v="432.8"/>
  </r>
  <r>
    <x v="0"/>
    <x v="1"/>
    <x v="0"/>
    <x v="1"/>
    <s v="407600 -- STD HR PAY"/>
    <s v="12010513 -- KVCU"/>
    <m/>
    <n v="216.4"/>
  </r>
  <r>
    <x v="0"/>
    <x v="1"/>
    <x v="0"/>
    <x v="1"/>
    <s v="407600 -- STD HR PAY"/>
    <s v="12010513 -- KVCU"/>
    <m/>
    <n v="173.12"/>
  </r>
  <r>
    <x v="0"/>
    <x v="1"/>
    <x v="0"/>
    <x v="1"/>
    <s v="407600 -- STD HR PAY"/>
    <s v="12010513 -- KVCU"/>
    <m/>
    <n v="56.81"/>
  </r>
  <r>
    <x v="0"/>
    <x v="1"/>
    <x v="0"/>
    <x v="1"/>
    <s v="407600 -- STD HR PAY"/>
    <s v="12010513 -- KVCU"/>
    <m/>
    <n v="54.1"/>
  </r>
  <r>
    <x v="0"/>
    <x v="1"/>
    <x v="0"/>
    <x v="1"/>
    <s v="407600 -- STD HR PAY"/>
    <s v="12010513 -- KVCU"/>
    <m/>
    <n v="100.09"/>
  </r>
  <r>
    <x v="0"/>
    <x v="1"/>
    <x v="0"/>
    <x v="1"/>
    <s v="407600 -- STD HR PAY"/>
    <s v="12010513 -- KVCU"/>
    <m/>
    <n v="189.35"/>
  </r>
  <r>
    <x v="0"/>
    <x v="1"/>
    <x v="0"/>
    <x v="1"/>
    <s v="407600 -- STD HR PAY"/>
    <s v="12010513 -- KVCU"/>
    <m/>
    <n v="183.94"/>
  </r>
  <r>
    <x v="0"/>
    <x v="1"/>
    <x v="0"/>
    <x v="1"/>
    <s v="407600 -- STD HR PAY"/>
    <s v="12010513 -- KVCU"/>
    <m/>
    <n v="129.84"/>
  </r>
  <r>
    <x v="0"/>
    <x v="1"/>
    <x v="0"/>
    <x v="1"/>
    <s v="407600 -- STD HR PAY"/>
    <s v="12010513 -- KVCU"/>
    <m/>
    <n v="0"/>
  </r>
  <r>
    <x v="0"/>
    <x v="1"/>
    <x v="0"/>
    <x v="1"/>
    <s v="407600 -- STD HR PAY"/>
    <s v="12010513 -- KVCU"/>
    <m/>
    <n v="443.62"/>
  </r>
  <r>
    <x v="0"/>
    <x v="1"/>
    <x v="0"/>
    <x v="1"/>
    <s v="407600 -- STD HR PAY"/>
    <s v="12010513 -- KVCU"/>
    <m/>
    <n v="476.08"/>
  </r>
  <r>
    <x v="0"/>
    <x v="1"/>
    <x v="0"/>
    <x v="1"/>
    <s v="407600 -- STD HR PAY"/>
    <s v="12010513 -- KVCU"/>
    <m/>
    <n v="505.84"/>
  </r>
  <r>
    <x v="0"/>
    <x v="1"/>
    <x v="0"/>
    <x v="1"/>
    <s v="407600 -- STD HR PAY"/>
    <s v="12010513 -- KVCU"/>
    <m/>
    <n v="432.8"/>
  </r>
  <r>
    <x v="0"/>
    <x v="1"/>
    <x v="0"/>
    <x v="1"/>
    <s v="407600 -- STD HR PAY"/>
    <s v="12010513 -- KVCU"/>
    <m/>
    <n v="21.64"/>
  </r>
  <r>
    <x v="0"/>
    <x v="1"/>
    <x v="0"/>
    <x v="1"/>
    <s v="407600 -- STD HR PAY"/>
    <s v="12010513 -- KVCU"/>
    <m/>
    <n v="27.05"/>
  </r>
  <r>
    <x v="0"/>
    <x v="1"/>
    <x v="0"/>
    <x v="1"/>
    <s v="407600 -- STD HR PAY"/>
    <s v="12010513 -- KVCU"/>
    <m/>
    <n v="59.51"/>
  </r>
  <r>
    <x v="0"/>
    <x v="1"/>
    <x v="0"/>
    <x v="1"/>
    <s v="407600 -- STD HR PAY"/>
    <s v="12010513 -- KVCU"/>
    <m/>
    <n v="100.09"/>
  </r>
  <r>
    <x v="0"/>
    <x v="1"/>
    <x v="0"/>
    <x v="1"/>
    <s v="407600 -- STD HR PAY"/>
    <s v="12010513 -- KVCU"/>
    <m/>
    <n v="24.35"/>
  </r>
  <r>
    <x v="0"/>
    <x v="1"/>
    <x v="0"/>
    <x v="1"/>
    <s v="407600 -- STD HR PAY"/>
    <s v="12010513 -- KVCU"/>
    <m/>
    <n v="48.69"/>
  </r>
  <r>
    <x v="0"/>
    <x v="1"/>
    <x v="0"/>
    <x v="1"/>
    <s v="407600 -- STD HR PAY"/>
    <s v="12010513 -- KVCU"/>
    <m/>
    <n v="21.64"/>
  </r>
  <r>
    <x v="0"/>
    <x v="1"/>
    <x v="0"/>
    <x v="1"/>
    <s v="407600 -- STD HR PAY"/>
    <s v="12010513 -- KVCU"/>
    <m/>
    <n v="5.41"/>
  </r>
  <r>
    <x v="0"/>
    <x v="1"/>
    <x v="0"/>
    <x v="1"/>
    <s v="407600 -- STD HR PAY"/>
    <s v="12010513 -- KVCU"/>
    <m/>
    <n v="32.46"/>
  </r>
  <r>
    <x v="0"/>
    <x v="1"/>
    <x v="0"/>
    <x v="1"/>
    <s v="407600 -- STD HR PAY"/>
    <s v="12010513 -- KVCU"/>
    <m/>
    <n v="116.32"/>
  </r>
  <r>
    <x v="0"/>
    <x v="1"/>
    <x v="0"/>
    <x v="1"/>
    <s v="407600 -- STD HR PAY"/>
    <s v="12010513 -- KVCU"/>
    <m/>
    <n v="94.68"/>
  </r>
  <r>
    <x v="0"/>
    <x v="1"/>
    <x v="0"/>
    <x v="1"/>
    <s v="407600 -- STD HR PAY"/>
    <s v="12010513 -- KVCU"/>
    <m/>
    <n v="238.04"/>
  </r>
  <r>
    <x v="0"/>
    <x v="1"/>
    <x v="0"/>
    <x v="1"/>
    <s v="407600 -- STD HR PAY"/>
    <s v="12010513 -- KVCU"/>
    <m/>
    <n v="129.84"/>
  </r>
  <r>
    <x v="0"/>
    <x v="1"/>
    <x v="0"/>
    <x v="1"/>
    <s v="407600 -- STD HR PAY"/>
    <s v="12010513 -- KVCU"/>
    <m/>
    <n v="64.92"/>
  </r>
  <r>
    <x v="0"/>
    <x v="1"/>
    <x v="0"/>
    <x v="1"/>
    <s v="407600 -- STD HR PAY"/>
    <s v="12010513 -- KVCU"/>
    <m/>
    <n v="140.66"/>
  </r>
  <r>
    <x v="0"/>
    <x v="1"/>
    <x v="0"/>
    <x v="1"/>
    <s v="407600 -- STD HR PAY"/>
    <s v="12010513 -- KVCU"/>
    <m/>
    <n v="227.22"/>
  </r>
  <r>
    <x v="0"/>
    <x v="1"/>
    <x v="0"/>
    <x v="1"/>
    <s v="407600 -- STD HR PAY"/>
    <s v="12010513 -- KVCU"/>
    <m/>
    <n v="183.94"/>
  </r>
  <r>
    <x v="0"/>
    <x v="1"/>
    <x v="0"/>
    <x v="1"/>
    <s v="407600 -- STD HR PAY"/>
    <s v="12010513 -- KVCU"/>
    <m/>
    <n v="78.45"/>
  </r>
  <r>
    <x v="0"/>
    <x v="1"/>
    <x v="0"/>
    <x v="1"/>
    <s v="407600 -- STD HR PAY"/>
    <s v="12010513 -- KVCU"/>
    <m/>
    <n v="54.1"/>
  </r>
  <r>
    <x v="0"/>
    <x v="1"/>
    <x v="0"/>
    <x v="1"/>
    <s v="407600 -- STD HR PAY"/>
    <s v="12010513 -- KVCU"/>
    <m/>
    <n v="-474"/>
  </r>
  <r>
    <x v="0"/>
    <x v="1"/>
    <x v="0"/>
    <x v="1"/>
    <s v="407600 -- STD HR PAY"/>
    <s v="12010513 -- KVCU"/>
    <m/>
    <n v="474"/>
  </r>
  <r>
    <x v="0"/>
    <x v="1"/>
    <x v="0"/>
    <x v="1"/>
    <s v="407600 -- STD HR PAY"/>
    <s v="12010513 -- KVCU"/>
    <m/>
    <n v="163.19999999999999"/>
  </r>
  <r>
    <x v="0"/>
    <x v="1"/>
    <x v="0"/>
    <x v="1"/>
    <s v="407600 -- STD HR PAY"/>
    <s v="12010513 -- KVCU"/>
    <m/>
    <n v="367.2"/>
  </r>
  <r>
    <x v="0"/>
    <x v="1"/>
    <x v="0"/>
    <x v="1"/>
    <s v="407600 -- STD HR PAY"/>
    <s v="12010513 -- KVCU"/>
    <m/>
    <n v="224.93"/>
  </r>
  <r>
    <x v="0"/>
    <x v="1"/>
    <x v="0"/>
    <x v="2"/>
    <s v="427500 -- STD HR BEN GEN BDG"/>
    <s v="12010513 -- KVCU"/>
    <n v="802"/>
    <m/>
  </r>
  <r>
    <x v="0"/>
    <x v="1"/>
    <x v="0"/>
    <x v="2"/>
    <s v="428301 -- ALL STD/OTH PER FRINGE BEN"/>
    <s v="12010513 -- KVCU"/>
    <m/>
    <n v="14.15"/>
  </r>
  <r>
    <x v="0"/>
    <x v="1"/>
    <x v="0"/>
    <x v="2"/>
    <s v="428301 -- ALL STD/OTH PER FRINGE BEN"/>
    <s v="12010513 -- KVCU"/>
    <m/>
    <n v="10.76"/>
  </r>
  <r>
    <x v="0"/>
    <x v="1"/>
    <x v="0"/>
    <x v="2"/>
    <s v="428301 -- ALL STD/OTH PER FRINGE BEN"/>
    <s v="12010513 -- KVCU"/>
    <m/>
    <n v="21.65"/>
  </r>
  <r>
    <x v="0"/>
    <x v="1"/>
    <x v="0"/>
    <x v="3"/>
    <s v="460000 -- OPERATING EXPENSE GEN BUDGET"/>
    <s v="12010513 -- KVCU"/>
    <n v="44065"/>
    <m/>
  </r>
  <r>
    <x v="0"/>
    <x v="1"/>
    <x v="0"/>
    <x v="4"/>
    <s v="487602 -- PRT/PUB/REPRO SERVICES"/>
    <s v="12010513 -- KVCU"/>
    <m/>
    <n v="2.4300000000000002"/>
  </r>
  <r>
    <x v="0"/>
    <x v="1"/>
    <x v="0"/>
    <x v="5"/>
    <s v="500214 -- IT CONNECTIVITY FEE"/>
    <s v="12010513 -- KVCU"/>
    <m/>
    <m/>
  </r>
  <r>
    <x v="0"/>
    <x v="1"/>
    <x v="0"/>
    <x v="5"/>
    <s v="500214 -- IT CONNECTIVITY FEE"/>
    <s v="12010513 -- KVCU"/>
    <m/>
    <n v="58.08"/>
  </r>
  <r>
    <x v="0"/>
    <x v="1"/>
    <x v="0"/>
    <x v="5"/>
    <s v="500214 -- IT CONNECTIVITY FEE"/>
    <s v="12010513 -- KVCU"/>
    <m/>
    <m/>
  </r>
  <r>
    <x v="0"/>
    <x v="1"/>
    <x v="0"/>
    <x v="5"/>
    <s v="500214 -- IT CONNECTIVITY FEE"/>
    <s v="12010513 -- KVCU"/>
    <m/>
    <n v="58.08"/>
  </r>
  <r>
    <x v="0"/>
    <x v="1"/>
    <x v="0"/>
    <x v="5"/>
    <s v="500214 -- IT CONNECTIVITY FEE"/>
    <s v="12010513 -- KVCU"/>
    <m/>
    <m/>
  </r>
  <r>
    <x v="0"/>
    <x v="1"/>
    <x v="0"/>
    <x v="5"/>
    <s v="500214 -- IT CONNECTIVITY FEE"/>
    <s v="12010513 -- KVCU"/>
    <m/>
    <m/>
  </r>
  <r>
    <x v="0"/>
    <x v="1"/>
    <x v="0"/>
    <x v="5"/>
    <s v="500214 -- IT CONNECTIVITY FEE"/>
    <s v="12010513 -- KVCU"/>
    <m/>
    <n v="58.08"/>
  </r>
  <r>
    <x v="0"/>
    <x v="1"/>
    <x v="0"/>
    <x v="6"/>
    <s v="510100 -- DUES/MEMBER-PROF ORGANIZATIONS"/>
    <s v="12010513 -- KVCU"/>
    <m/>
    <n v="150"/>
  </r>
  <r>
    <x v="0"/>
    <x v="1"/>
    <x v="0"/>
    <x v="6"/>
    <s v="552603 -- OTHR OPERATING EQUIP RENTAL"/>
    <s v="12010513 -- KVCU"/>
    <m/>
    <n v="-600"/>
  </r>
  <r>
    <x v="0"/>
    <x v="1"/>
    <x v="0"/>
    <x v="6"/>
    <s v="552603 -- OTHR OPERATING EQUIP RENTAL"/>
    <s v="12010513 -- KVCU"/>
    <m/>
    <n v="600"/>
  </r>
  <r>
    <x v="0"/>
    <x v="1"/>
    <x v="0"/>
    <x v="6"/>
    <s v="552603 -- OTHR OPERATING EQUIP RENTAL"/>
    <s v="12010513 -- KVCU"/>
    <m/>
    <m/>
  </r>
  <r>
    <x v="0"/>
    <x v="1"/>
    <x v="0"/>
    <x v="6"/>
    <s v="552603 -- OTHR OPERATING EQUIP RENTAL"/>
    <s v="12010513 -- KVCU"/>
    <m/>
    <m/>
  </r>
  <r>
    <x v="0"/>
    <x v="1"/>
    <x v="0"/>
    <x v="6"/>
    <s v="552603 -- OTHR OPERATING EQUIP RENTAL"/>
    <s v="12010513 -- KVCU"/>
    <m/>
    <n v="600"/>
  </r>
  <r>
    <x v="0"/>
    <x v="1"/>
    <x v="0"/>
    <x v="7"/>
    <s v="700000 -- TRAVEL GENERAL BUDGET"/>
    <s v="12010513 -- KVCU"/>
    <n v="1500"/>
    <m/>
  </r>
  <r>
    <x v="0"/>
    <x v="1"/>
    <x v="0"/>
    <x v="8"/>
    <s v="810000 -- FIXED ASSETS GENERAL BUDGET"/>
    <s v="12010513 -- KVCU"/>
    <n v="10000"/>
    <m/>
  </r>
  <r>
    <x v="0"/>
    <x v="1"/>
    <x v="0"/>
    <x v="9"/>
    <s v="960100 -- GENERAL ADMIN RECHARGE"/>
    <s v="12010513 -- KVCU"/>
    <n v="8589"/>
    <m/>
  </r>
  <r>
    <x v="0"/>
    <x v="1"/>
    <x v="0"/>
    <x v="9"/>
    <s v="960100 -- GENERAL ADMIN RECHARGE"/>
    <s v="12010513 -- KVCU"/>
    <m/>
    <n v="-67.28"/>
  </r>
  <r>
    <x v="0"/>
    <x v="1"/>
    <x v="0"/>
    <x v="9"/>
    <s v="960100 -- GENERAL ADMIN RECHARGE"/>
    <s v="12010513 -- KVCU"/>
    <m/>
    <n v="134.57"/>
  </r>
  <r>
    <x v="0"/>
    <x v="1"/>
    <x v="0"/>
    <x v="9"/>
    <s v="960100 -- GENERAL ADMIN RECHARGE"/>
    <s v="12010513 -- KVCU"/>
    <m/>
    <n v="-47.77"/>
  </r>
  <r>
    <x v="0"/>
    <x v="1"/>
    <x v="0"/>
    <x v="9"/>
    <s v="960100 -- GENERAL ADMIN RECHARGE"/>
    <s v="12010513 -- KVCU"/>
    <m/>
    <n v="95.53"/>
  </r>
  <r>
    <x v="0"/>
    <x v="1"/>
    <x v="0"/>
    <x v="9"/>
    <s v="960100 -- GENERAL ADMIN RECHARGE"/>
    <s v="12010513 -- KVCU"/>
    <m/>
    <n v="-114.53"/>
  </r>
  <r>
    <x v="0"/>
    <x v="1"/>
    <x v="0"/>
    <x v="9"/>
    <s v="960100 -- GENERAL ADMIN RECHARGE"/>
    <s v="12010513 -- KVCU"/>
    <m/>
    <n v="229.06"/>
  </r>
  <r>
    <x v="0"/>
    <x v="1"/>
    <x v="0"/>
    <x v="10"/>
    <s v="960200 -- GENERAL INFRASTRUCT RECHARGE"/>
    <s v="12010513 -- KVCU"/>
    <n v="696"/>
    <m/>
  </r>
  <r>
    <x v="0"/>
    <x v="1"/>
    <x v="0"/>
    <x v="10"/>
    <s v="960200 -- GENERAL INFRASTRUCT RECHARGE"/>
    <s v="12010513 -- KVCU"/>
    <m/>
    <n v="12.34"/>
  </r>
  <r>
    <x v="0"/>
    <x v="1"/>
    <x v="0"/>
    <x v="10"/>
    <s v="960200 -- GENERAL INFRASTRUCT RECHARGE"/>
    <s v="12010513 -- KVCU"/>
    <m/>
    <n v="8.76"/>
  </r>
  <r>
    <x v="0"/>
    <x v="1"/>
    <x v="0"/>
    <x v="10"/>
    <s v="960200 -- GENERAL INFRASTRUCT RECHARGE"/>
    <s v="12010513 -- KVCU"/>
    <m/>
    <n v="21.01"/>
  </r>
  <r>
    <x v="0"/>
    <x v="1"/>
    <x v="0"/>
    <x v="8"/>
    <s v="960402 -- CSI GENERAL ADMIN RECHARGE"/>
    <s v="12010513 -- KVCU"/>
    <m/>
    <n v="67.28"/>
  </r>
  <r>
    <x v="0"/>
    <x v="1"/>
    <x v="0"/>
    <x v="8"/>
    <s v="960402 -- CSI GENERAL ADMIN RECHARGE"/>
    <s v="12010513 -- KVCU"/>
    <m/>
    <n v="47.77"/>
  </r>
  <r>
    <x v="0"/>
    <x v="1"/>
    <x v="0"/>
    <x v="8"/>
    <s v="960402 -- CSI GENERAL ADMIN RECHARGE"/>
    <s v="12010513 -- KVCU"/>
    <m/>
    <n v="114.53"/>
  </r>
  <r>
    <x v="0"/>
    <x v="1"/>
    <x v="0"/>
    <x v="11"/>
    <s v="997100 -- CASH TRANSFER OUT W/IN CAMPUS"/>
    <s v="12010512 -- KVCU"/>
    <m/>
    <n v="36054.658000000003"/>
  </r>
  <r>
    <x v="0"/>
    <x v="1"/>
    <x v="1"/>
    <x v="1"/>
    <s v="407600 -- STD HR PAY"/>
    <s v="12010513 -- KVCU"/>
    <m/>
    <n v="434.4"/>
  </r>
  <r>
    <x v="0"/>
    <x v="1"/>
    <x v="1"/>
    <x v="1"/>
    <s v="407600 -- STD HR PAY"/>
    <s v="12010513 -- KVCU"/>
    <m/>
    <n v="434.4"/>
  </r>
  <r>
    <x v="0"/>
    <x v="1"/>
    <x v="1"/>
    <x v="1"/>
    <s v="407600 -- STD HR PAY"/>
    <s v="12010513 -- KVCU"/>
    <m/>
    <n v="445.26"/>
  </r>
  <r>
    <x v="0"/>
    <x v="1"/>
    <x v="1"/>
    <x v="1"/>
    <s v="407600 -- STD HR PAY"/>
    <s v="12010513 -- KVCU"/>
    <m/>
    <n v="434.4"/>
  </r>
  <r>
    <x v="0"/>
    <x v="1"/>
    <x v="1"/>
    <x v="1"/>
    <s v="407600 -- STD HR PAY"/>
    <s v="12010513 -- KVCU"/>
    <m/>
    <n v="401.82"/>
  </r>
  <r>
    <x v="0"/>
    <x v="1"/>
    <x v="1"/>
    <x v="1"/>
    <s v="407600 -- STD HR PAY"/>
    <s v="12010513 -- KVCU"/>
    <m/>
    <n v="260.64"/>
  </r>
  <r>
    <x v="0"/>
    <x v="1"/>
    <x v="1"/>
    <x v="1"/>
    <s v="407600 -- STD HR PAY"/>
    <s v="12010513 -- KVCU"/>
    <m/>
    <n v="358.38"/>
  </r>
  <r>
    <x v="0"/>
    <x v="1"/>
    <x v="1"/>
    <x v="1"/>
    <s v="407600 -- STD HR PAY"/>
    <s v="12010513 -- KVCU"/>
    <m/>
    <n v="421.98"/>
  </r>
  <r>
    <x v="0"/>
    <x v="1"/>
    <x v="1"/>
    <x v="1"/>
    <s v="407600 -- STD HR PAY"/>
    <s v="12010513 -- KVCU"/>
    <m/>
    <n v="384.11"/>
  </r>
  <r>
    <x v="0"/>
    <x v="1"/>
    <x v="1"/>
    <x v="1"/>
    <s v="407600 -- STD HR PAY"/>
    <s v="12010513 -- KVCU"/>
    <m/>
    <n v="367.88"/>
  </r>
  <r>
    <x v="0"/>
    <x v="1"/>
    <x v="1"/>
    <x v="1"/>
    <s v="407600 -- STD HR PAY"/>
    <s v="12010513 -- KVCU"/>
    <m/>
    <n v="357.06"/>
  </r>
  <r>
    <x v="0"/>
    <x v="1"/>
    <x v="1"/>
    <x v="1"/>
    <s v="407600 -- STD HR PAY"/>
    <s v="12010513 -- KVCU"/>
    <m/>
    <n v="348.95"/>
  </r>
  <r>
    <x v="0"/>
    <x v="1"/>
    <x v="1"/>
    <x v="1"/>
    <s v="407600 -- STD HR PAY"/>
    <s v="12010513 -- KVCU"/>
    <m/>
    <n v="338.13"/>
  </r>
  <r>
    <x v="0"/>
    <x v="1"/>
    <x v="1"/>
    <x v="1"/>
    <s v="407600 -- STD HR PAY"/>
    <s v="12010513 -- KVCU"/>
    <m/>
    <n v="351.65"/>
  </r>
  <r>
    <x v="0"/>
    <x v="1"/>
    <x v="1"/>
    <x v="1"/>
    <s v="407600 -- STD HR PAY"/>
    <s v="12010513 -- KVCU"/>
    <m/>
    <n v="151.47999999999999"/>
  </r>
  <r>
    <x v="0"/>
    <x v="1"/>
    <x v="1"/>
    <x v="1"/>
    <s v="407600 -- STD HR PAY"/>
    <s v="12010513 -- KVCU"/>
    <m/>
    <n v="194.76"/>
  </r>
  <r>
    <x v="0"/>
    <x v="1"/>
    <x v="1"/>
    <x v="1"/>
    <s v="407600 -- STD HR PAY"/>
    <s v="12010513 -- KVCU"/>
    <m/>
    <n v="124.43"/>
  </r>
  <r>
    <x v="0"/>
    <x v="1"/>
    <x v="1"/>
    <x v="1"/>
    <s v="407600 -- STD HR PAY"/>
    <s v="12010513 -- KVCU"/>
    <m/>
    <n v="43.28"/>
  </r>
  <r>
    <x v="0"/>
    <x v="1"/>
    <x v="1"/>
    <x v="1"/>
    <s v="407600 -- STD HR PAY"/>
    <s v="12010513 -- KVCU"/>
    <m/>
    <n v="73.040000000000006"/>
  </r>
  <r>
    <x v="0"/>
    <x v="1"/>
    <x v="1"/>
    <x v="1"/>
    <s v="407600 -- STD HR PAY"/>
    <s v="12010513 -- KVCU"/>
    <m/>
    <n v="100.09"/>
  </r>
  <r>
    <x v="0"/>
    <x v="1"/>
    <x v="1"/>
    <x v="1"/>
    <s v="407600 -- STD HR PAY"/>
    <s v="12010513 -- KVCU"/>
    <m/>
    <n v="432.8"/>
  </r>
  <r>
    <x v="0"/>
    <x v="1"/>
    <x v="1"/>
    <x v="1"/>
    <s v="407600 -- STD HR PAY"/>
    <s v="12010513 -- KVCU"/>
    <m/>
    <n v="432.8"/>
  </r>
  <r>
    <x v="0"/>
    <x v="1"/>
    <x v="1"/>
    <x v="1"/>
    <s v="407600 -- STD HR PAY"/>
    <s v="12010513 -- KVCU"/>
    <m/>
    <n v="432.8"/>
  </r>
  <r>
    <x v="0"/>
    <x v="1"/>
    <x v="1"/>
    <x v="1"/>
    <s v="407600 -- STD HR PAY"/>
    <s v="12010513 -- KVCU"/>
    <m/>
    <n v="432.8"/>
  </r>
  <r>
    <x v="0"/>
    <x v="1"/>
    <x v="1"/>
    <x v="1"/>
    <s v="407600 -- STD HR PAY"/>
    <s v="12010513 -- KVCU"/>
    <m/>
    <n v="292.14"/>
  </r>
  <r>
    <x v="0"/>
    <x v="1"/>
    <x v="1"/>
    <x v="1"/>
    <s v="407600 -- STD HR PAY"/>
    <s v="12010513 -- KVCU"/>
    <m/>
    <n v="865.6"/>
  </r>
  <r>
    <x v="0"/>
    <x v="1"/>
    <x v="1"/>
    <x v="1"/>
    <s v="407600 -- STD HR PAY"/>
    <s v="12010513 -- KVCU"/>
    <m/>
    <n v="124.43"/>
  </r>
  <r>
    <x v="0"/>
    <x v="1"/>
    <x v="1"/>
    <x v="1"/>
    <s v="407600 -- STD HR PAY"/>
    <s v="12010513 -- KVCU"/>
    <m/>
    <n v="129.84"/>
  </r>
  <r>
    <x v="0"/>
    <x v="1"/>
    <x v="1"/>
    <x v="1"/>
    <s v="407600 -- STD HR PAY"/>
    <s v="12010513 -- KVCU"/>
    <m/>
    <n v="140.66"/>
  </r>
  <r>
    <x v="0"/>
    <x v="1"/>
    <x v="1"/>
    <x v="1"/>
    <s v="407600 -- STD HR PAY"/>
    <s v="12010513 -- KVCU"/>
    <m/>
    <n v="108.2"/>
  </r>
  <r>
    <x v="0"/>
    <x v="1"/>
    <x v="1"/>
    <x v="1"/>
    <s v="407600 -- STD HR PAY"/>
    <s v="12010513 -- KVCU"/>
    <m/>
    <n v="162.30000000000001"/>
  </r>
  <r>
    <x v="0"/>
    <x v="1"/>
    <x v="1"/>
    <x v="1"/>
    <s v="407600 -- STD HR PAY"/>
    <s v="12010513 -- KVCU"/>
    <m/>
    <n v="119.02"/>
  </r>
  <r>
    <x v="0"/>
    <x v="1"/>
    <x v="1"/>
    <x v="1"/>
    <s v="407600 -- STD HR PAY"/>
    <s v="12010513 -- KVCU"/>
    <m/>
    <n v="162.30000000000001"/>
  </r>
  <r>
    <x v="0"/>
    <x v="1"/>
    <x v="1"/>
    <x v="1"/>
    <s v="407600 -- STD HR PAY"/>
    <s v="12010513 -- KVCU"/>
    <m/>
    <n v="81.150000000000006"/>
  </r>
  <r>
    <x v="0"/>
    <x v="1"/>
    <x v="1"/>
    <x v="1"/>
    <s v="407600 -- STD HR PAY"/>
    <s v="12010513 -- KVCU"/>
    <m/>
    <n v="124.43"/>
  </r>
  <r>
    <x v="0"/>
    <x v="1"/>
    <x v="1"/>
    <x v="1"/>
    <s v="407600 -- STD HR PAY"/>
    <s v="12010513 -- KVCU"/>
    <m/>
    <n v="159.6"/>
  </r>
  <r>
    <x v="0"/>
    <x v="1"/>
    <x v="1"/>
    <x v="1"/>
    <s v="407600 -- STD HR PAY"/>
    <s v="12010513 -- KVCU"/>
    <m/>
    <n v="64.92"/>
  </r>
  <r>
    <x v="0"/>
    <x v="1"/>
    <x v="1"/>
    <x v="1"/>
    <s v="407600 -- STD HR PAY"/>
    <s v="12010513 -- KVCU"/>
    <m/>
    <n v="35.17"/>
  </r>
  <r>
    <x v="0"/>
    <x v="1"/>
    <x v="1"/>
    <x v="1"/>
    <s v="407600 -- STD HR PAY"/>
    <s v="12010513 -- KVCU"/>
    <m/>
    <n v="56.81"/>
  </r>
  <r>
    <x v="0"/>
    <x v="1"/>
    <x v="1"/>
    <x v="1"/>
    <s v="407600 -- STD HR PAY"/>
    <s v="12010513 -- KVCU"/>
    <m/>
    <n v="265.08999999999997"/>
  </r>
  <r>
    <x v="0"/>
    <x v="1"/>
    <x v="1"/>
    <x v="1"/>
    <s v="407600 -- STD HR PAY"/>
    <s v="12010513 -- KVCU"/>
    <m/>
    <n v="281.32"/>
  </r>
  <r>
    <x v="0"/>
    <x v="1"/>
    <x v="1"/>
    <x v="1"/>
    <s v="407600 -- STD HR PAY"/>
    <s v="12010513 -- KVCU"/>
    <m/>
    <n v="270.5"/>
  </r>
  <r>
    <x v="0"/>
    <x v="1"/>
    <x v="1"/>
    <x v="1"/>
    <s v="407600 -- STD HR PAY"/>
    <s v="12010513 -- KVCU"/>
    <m/>
    <n v="248.86"/>
  </r>
  <r>
    <x v="0"/>
    <x v="1"/>
    <x v="1"/>
    <x v="1"/>
    <s v="407600 -- STD HR PAY"/>
    <s v="12010513 -- KVCU"/>
    <m/>
    <n v="281.32"/>
  </r>
  <r>
    <x v="0"/>
    <x v="1"/>
    <x v="1"/>
    <x v="1"/>
    <s v="407600 -- STD HR PAY"/>
    <s v="12010513 -- KVCU"/>
    <m/>
    <n v="162.30000000000001"/>
  </r>
  <r>
    <x v="0"/>
    <x v="1"/>
    <x v="1"/>
    <x v="1"/>
    <s v="407600 -- STD HR PAY"/>
    <s v="12010513 -- KVCU"/>
    <m/>
    <n v="227.22"/>
  </r>
  <r>
    <x v="0"/>
    <x v="1"/>
    <x v="1"/>
    <x v="1"/>
    <s v="407600 -- STD HR PAY"/>
    <s v="12010513 -- KVCU"/>
    <m/>
    <n v="0"/>
  </r>
  <r>
    <x v="0"/>
    <x v="1"/>
    <x v="1"/>
    <x v="1"/>
    <s v="407600 -- STD HR PAY"/>
    <s v="12010513 -- KVCU"/>
    <m/>
    <n v="0"/>
  </r>
  <r>
    <x v="0"/>
    <x v="1"/>
    <x v="1"/>
    <x v="1"/>
    <s v="407600 -- STD HR PAY"/>
    <s v="12010513 -- KVCU"/>
    <m/>
    <n v="147.9"/>
  </r>
  <r>
    <x v="0"/>
    <x v="1"/>
    <x v="1"/>
    <x v="1"/>
    <s v="407600 -- STD HR PAY"/>
    <s v="12010513 -- KVCU"/>
    <m/>
    <n v="178.5"/>
  </r>
  <r>
    <x v="0"/>
    <x v="1"/>
    <x v="1"/>
    <x v="1"/>
    <s v="407600 -- STD HR PAY"/>
    <s v="12010513 -- KVCU"/>
    <m/>
    <n v="390.15"/>
  </r>
  <r>
    <x v="0"/>
    <x v="1"/>
    <x v="1"/>
    <x v="1"/>
    <s v="407600 -- STD HR PAY"/>
    <s v="12010513 -- KVCU"/>
    <m/>
    <n v="306"/>
  </r>
  <r>
    <x v="0"/>
    <x v="1"/>
    <x v="1"/>
    <x v="1"/>
    <s v="407600 -- STD HR PAY"/>
    <s v="12010513 -- KVCU"/>
    <m/>
    <n v="359.55"/>
  </r>
  <r>
    <x v="0"/>
    <x v="1"/>
    <x v="1"/>
    <x v="1"/>
    <s v="407600 -- STD HR PAY"/>
    <s v="12010513 -- KVCU"/>
    <m/>
    <n v="421.98"/>
  </r>
  <r>
    <x v="0"/>
    <x v="1"/>
    <x v="1"/>
    <x v="1"/>
    <s v="407600 -- STD HR PAY"/>
    <s v="12010513 -- KVCU"/>
    <m/>
    <n v="1850.22"/>
  </r>
  <r>
    <x v="0"/>
    <x v="1"/>
    <x v="1"/>
    <x v="1"/>
    <s v="407600 -- STD HR PAY"/>
    <s v="12010513 -- KVCU"/>
    <m/>
    <n v="432.8"/>
  </r>
  <r>
    <x v="0"/>
    <x v="1"/>
    <x v="1"/>
    <x v="1"/>
    <s v="407600 -- STD HR PAY"/>
    <s v="12010513 -- KVCU"/>
    <m/>
    <n v="346.24"/>
  </r>
  <r>
    <x v="0"/>
    <x v="1"/>
    <x v="1"/>
    <x v="1"/>
    <s v="407600 -- STD HR PAY"/>
    <s v="12010513 -- KVCU"/>
    <m/>
    <n v="367.88"/>
  </r>
  <r>
    <x v="0"/>
    <x v="1"/>
    <x v="1"/>
    <x v="1"/>
    <s v="407600 -- STD HR PAY"/>
    <s v="12010513 -- KVCU"/>
    <m/>
    <n v="186.99"/>
  </r>
  <r>
    <x v="0"/>
    <x v="1"/>
    <x v="1"/>
    <x v="1"/>
    <s v="407600 -- STD HR PAY"/>
    <s v="12010513 -- KVCU"/>
    <m/>
    <n v="186.99"/>
  </r>
  <r>
    <x v="0"/>
    <x v="1"/>
    <x v="1"/>
    <x v="1"/>
    <s v="407600 -- STD HR PAY"/>
    <s v="12010513 -- KVCU"/>
    <m/>
    <n v="73.17"/>
  </r>
  <r>
    <x v="0"/>
    <x v="1"/>
    <x v="1"/>
    <x v="1"/>
    <s v="407600 -- STD HR PAY"/>
    <s v="12010513 -- KVCU"/>
    <m/>
    <n v="89.43"/>
  </r>
  <r>
    <x v="0"/>
    <x v="1"/>
    <x v="1"/>
    <x v="1"/>
    <s v="407600 -- STD HR PAY"/>
    <s v="12010513 -- KVCU"/>
    <m/>
    <n v="140.91999999999999"/>
  </r>
  <r>
    <x v="0"/>
    <x v="1"/>
    <x v="1"/>
    <x v="1"/>
    <s v="407600 -- STD HR PAY"/>
    <s v="12010513 -- KVCU"/>
    <m/>
    <n v="70.459999999999994"/>
  </r>
  <r>
    <x v="0"/>
    <x v="1"/>
    <x v="1"/>
    <x v="1"/>
    <s v="407600 -- STD HR PAY"/>
    <s v="12010513 -- KVCU"/>
    <m/>
    <n v="170.73"/>
  </r>
  <r>
    <x v="0"/>
    <x v="1"/>
    <x v="1"/>
    <x v="1"/>
    <s v="407600 -- STD HR PAY"/>
    <s v="12010513 -- KVCU"/>
    <m/>
    <n v="257.93"/>
  </r>
  <r>
    <x v="0"/>
    <x v="1"/>
    <x v="1"/>
    <x v="1"/>
    <s v="407600 -- STD HR PAY"/>
    <s v="12010513 -- KVCU"/>
    <m/>
    <n v="157.47"/>
  </r>
  <r>
    <x v="0"/>
    <x v="1"/>
    <x v="1"/>
    <x v="1"/>
    <s v="407600 -- STD HR PAY"/>
    <s v="12010513 -- KVCU"/>
    <m/>
    <n v="195.48"/>
  </r>
  <r>
    <x v="0"/>
    <x v="1"/>
    <x v="1"/>
    <x v="1"/>
    <s v="407600 -- STD HR PAY"/>
    <s v="12010513 -- KVCU"/>
    <m/>
    <n v="86.88"/>
  </r>
  <r>
    <x v="0"/>
    <x v="1"/>
    <x v="1"/>
    <x v="1"/>
    <s v="407600 -- STD HR PAY"/>
    <s v="12010513 -- KVCU"/>
    <m/>
    <n v="146.61000000000001"/>
  </r>
  <r>
    <x v="0"/>
    <x v="1"/>
    <x v="1"/>
    <x v="1"/>
    <s v="407600 -- STD HR PAY"/>
    <s v="12010513 -- KVCU"/>
    <m/>
    <n v="76.02"/>
  </r>
  <r>
    <x v="0"/>
    <x v="1"/>
    <x v="1"/>
    <x v="1"/>
    <s v="407600 -- STD HR PAY"/>
    <s v="12010513 -- KVCU"/>
    <m/>
    <n v="157.47"/>
  </r>
  <r>
    <x v="0"/>
    <x v="1"/>
    <x v="1"/>
    <x v="1"/>
    <s v="407600 -- STD HR PAY"/>
    <s v="12010513 -- KVCU"/>
    <m/>
    <n v="550.79999999999995"/>
  </r>
  <r>
    <x v="0"/>
    <x v="1"/>
    <x v="1"/>
    <x v="2"/>
    <s v="428301 -- ALL STD/OTH PER FRINGE BEN"/>
    <s v="12010513 -- KVCU"/>
    <m/>
    <n v="35.6"/>
  </r>
  <r>
    <x v="0"/>
    <x v="1"/>
    <x v="1"/>
    <x v="2"/>
    <s v="428301 -- ALL STD/OTH PER FRINGE BEN"/>
    <s v="12010513 -- KVCU"/>
    <m/>
    <n v="76.14"/>
  </r>
  <r>
    <x v="0"/>
    <x v="1"/>
    <x v="1"/>
    <x v="2"/>
    <s v="428301 -- ALL STD/OTH PER FRINGE BEN"/>
    <s v="12010513 -- KVCU"/>
    <m/>
    <n v="44.01"/>
  </r>
  <r>
    <x v="0"/>
    <x v="1"/>
    <x v="1"/>
    <x v="5"/>
    <s v="500214 -- IT CONNECTIVITY FEE"/>
    <s v="12010513 -- KVCU"/>
    <m/>
    <n v="58.08"/>
  </r>
  <r>
    <x v="0"/>
    <x v="1"/>
    <x v="1"/>
    <x v="5"/>
    <s v="500214 -- IT CONNECTIVITY FEE"/>
    <s v="12010513 -- KVCU"/>
    <m/>
    <m/>
  </r>
  <r>
    <x v="0"/>
    <x v="1"/>
    <x v="1"/>
    <x v="5"/>
    <s v="500214 -- IT CONNECTIVITY FEE"/>
    <s v="12010513 -- KVCU"/>
    <m/>
    <n v="58.08"/>
  </r>
  <r>
    <x v="0"/>
    <x v="1"/>
    <x v="1"/>
    <x v="5"/>
    <s v="500214 -- IT CONNECTIVITY FEE"/>
    <s v="12010513 -- KVCU"/>
    <m/>
    <m/>
  </r>
  <r>
    <x v="0"/>
    <x v="1"/>
    <x v="1"/>
    <x v="5"/>
    <s v="500214 -- IT CONNECTIVITY FEE"/>
    <s v="12010513 -- KVCU"/>
    <m/>
    <n v="58.08"/>
  </r>
  <r>
    <x v="0"/>
    <x v="1"/>
    <x v="1"/>
    <x v="5"/>
    <s v="500214 -- IT CONNECTIVITY FEE"/>
    <s v="12010513 -- KVCU"/>
    <m/>
    <m/>
  </r>
  <r>
    <x v="0"/>
    <x v="1"/>
    <x v="1"/>
    <x v="5"/>
    <s v="500400 -- IT SOFTWARE LICENSES"/>
    <s v="12010513 -- KVCU"/>
    <m/>
    <n v="144"/>
  </r>
  <r>
    <x v="0"/>
    <x v="1"/>
    <x v="1"/>
    <x v="4"/>
    <s v="508715 -- PROMOTIONS"/>
    <s v="12010513 -- KVCU"/>
    <m/>
    <n v="2556.06"/>
  </r>
  <r>
    <x v="0"/>
    <x v="1"/>
    <x v="1"/>
    <x v="4"/>
    <s v="508715 -- PROMOTIONS"/>
    <s v="12010513 -- KVCU"/>
    <m/>
    <n v="3124.8"/>
  </r>
  <r>
    <x v="0"/>
    <x v="1"/>
    <x v="1"/>
    <x v="6"/>
    <s v="537600 -- EQUIPMENT &lt; $5000"/>
    <s v="12010513 -- KVCU"/>
    <m/>
    <n v="55.98"/>
  </r>
  <r>
    <x v="0"/>
    <x v="1"/>
    <x v="1"/>
    <x v="6"/>
    <s v="537600 -- EQUIPMENT &lt; $5000"/>
    <s v="12010513 -- KVCU"/>
    <m/>
    <n v="316.32"/>
  </r>
  <r>
    <x v="0"/>
    <x v="1"/>
    <x v="1"/>
    <x v="6"/>
    <s v="537600 -- EQUIPMENT &lt; $5000"/>
    <s v="12010513 -- KVCU"/>
    <m/>
    <n v="899.99"/>
  </r>
  <r>
    <x v="0"/>
    <x v="1"/>
    <x v="1"/>
    <x v="12"/>
    <s v="552499 -- ID OFFICIAL FUNCTIONS"/>
    <s v="12010513 -- KVCU"/>
    <m/>
    <n v="18.989999999999998"/>
  </r>
  <r>
    <x v="0"/>
    <x v="1"/>
    <x v="1"/>
    <x v="12"/>
    <s v="552499 -- ID OFFICIAL FUNCTIONS"/>
    <s v="12010513 -- KVCU"/>
    <m/>
    <n v="11.98"/>
  </r>
  <r>
    <x v="0"/>
    <x v="1"/>
    <x v="1"/>
    <x v="6"/>
    <s v="552601 -- OTHER OPERATING SUPPLIES"/>
    <s v="12010513 -- KVCU"/>
    <m/>
    <n v="40.99"/>
  </r>
  <r>
    <x v="0"/>
    <x v="1"/>
    <x v="1"/>
    <x v="6"/>
    <s v="552601 -- OTHER OPERATING SUPPLIES"/>
    <s v="12010513 -- KVCU"/>
    <m/>
    <n v="48.97"/>
  </r>
  <r>
    <x v="0"/>
    <x v="1"/>
    <x v="1"/>
    <x v="6"/>
    <s v="552601 -- OTHER OPERATING SUPPLIES"/>
    <s v="12010513 -- KVCU"/>
    <m/>
    <n v="70.599999999999994"/>
  </r>
  <r>
    <x v="0"/>
    <x v="1"/>
    <x v="1"/>
    <x v="6"/>
    <s v="552602 -- OTHER OPERATING SERVICES"/>
    <s v="12010513 -- KVCU"/>
    <m/>
    <n v="200"/>
  </r>
  <r>
    <x v="0"/>
    <x v="1"/>
    <x v="1"/>
    <x v="6"/>
    <s v="552603 -- OTHR OPERATING EQUIP RENTAL"/>
    <s v="12010513 -- KVCU"/>
    <m/>
    <m/>
  </r>
  <r>
    <x v="0"/>
    <x v="1"/>
    <x v="1"/>
    <x v="6"/>
    <s v="552603 -- OTHR OPERATING EQUIP RENTAL"/>
    <s v="12010513 -- KVCU"/>
    <m/>
    <n v="600"/>
  </r>
  <r>
    <x v="0"/>
    <x v="1"/>
    <x v="1"/>
    <x v="6"/>
    <s v="552603 -- OTHR OPERATING EQUIP RENTAL"/>
    <s v="12010513 -- KVCU"/>
    <m/>
    <m/>
  </r>
  <r>
    <x v="0"/>
    <x v="1"/>
    <x v="1"/>
    <x v="6"/>
    <s v="552603 -- OTHR OPERATING EQUIP RENTAL"/>
    <s v="12010513 -- KVCU"/>
    <m/>
    <n v="600"/>
  </r>
  <r>
    <x v="0"/>
    <x v="1"/>
    <x v="1"/>
    <x v="9"/>
    <s v="960100 -- GENERAL ADMIN RECHARGE"/>
    <s v="12010513 -- KVCU"/>
    <m/>
    <n v="-382.13"/>
  </r>
  <r>
    <x v="0"/>
    <x v="1"/>
    <x v="1"/>
    <x v="9"/>
    <s v="960100 -- GENERAL ADMIN RECHARGE"/>
    <s v="12010513 -- KVCU"/>
    <m/>
    <n v="764.27"/>
  </r>
  <r>
    <x v="0"/>
    <x v="1"/>
    <x v="1"/>
    <x v="9"/>
    <s v="960100 -- GENERAL ADMIN RECHARGE"/>
    <s v="12010513 -- KVCU"/>
    <m/>
    <n v="-386.07"/>
  </r>
  <r>
    <x v="0"/>
    <x v="1"/>
    <x v="1"/>
    <x v="9"/>
    <s v="960100 -- GENERAL ADMIN RECHARGE"/>
    <s v="12010513 -- KVCU"/>
    <m/>
    <n v="772.15"/>
  </r>
  <r>
    <x v="0"/>
    <x v="1"/>
    <x v="1"/>
    <x v="9"/>
    <s v="960100 -- GENERAL ADMIN RECHARGE"/>
    <s v="12010513 -- KVCU"/>
    <m/>
    <n v="-194.68"/>
  </r>
  <r>
    <x v="0"/>
    <x v="1"/>
    <x v="1"/>
    <x v="9"/>
    <s v="960100 -- GENERAL ADMIN RECHARGE"/>
    <s v="12010513 -- KVCU"/>
    <m/>
    <n v="389.36"/>
  </r>
  <r>
    <x v="0"/>
    <x v="1"/>
    <x v="1"/>
    <x v="10"/>
    <s v="960200 -- GENERAL INFRASTRUCT RECHARGE"/>
    <s v="12010513 -- KVCU"/>
    <m/>
    <n v="70.099999999999994"/>
  </r>
  <r>
    <x v="0"/>
    <x v="1"/>
    <x v="1"/>
    <x v="10"/>
    <s v="960200 -- GENERAL INFRASTRUCT RECHARGE"/>
    <s v="12010513 -- KVCU"/>
    <m/>
    <n v="70.819999999999993"/>
  </r>
  <r>
    <x v="0"/>
    <x v="1"/>
    <x v="1"/>
    <x v="10"/>
    <s v="960200 -- GENERAL INFRASTRUCT RECHARGE"/>
    <s v="12010513 -- KVCU"/>
    <m/>
    <n v="35.71"/>
  </r>
  <r>
    <x v="0"/>
    <x v="1"/>
    <x v="1"/>
    <x v="8"/>
    <s v="960402 -- CSI GENERAL ADMIN RECHARGE"/>
    <s v="12010513 -- KVCU"/>
    <m/>
    <n v="382.13"/>
  </r>
  <r>
    <x v="0"/>
    <x v="1"/>
    <x v="1"/>
    <x v="8"/>
    <s v="960402 -- CSI GENERAL ADMIN RECHARGE"/>
    <s v="12010513 -- KVCU"/>
    <m/>
    <n v="386.07"/>
  </r>
  <r>
    <x v="0"/>
    <x v="1"/>
    <x v="1"/>
    <x v="8"/>
    <s v="960402 -- CSI GENERAL ADMIN RECHARGE"/>
    <s v="12010513 -- KVCU"/>
    <m/>
    <n v="194.68"/>
  </r>
  <r>
    <x v="0"/>
    <x v="1"/>
    <x v="2"/>
    <x v="0"/>
    <s v="220100 -- STUDENT ACTIVITY FEES"/>
    <s v="12010513 -- KVCU"/>
    <m/>
    <n v="-72921"/>
  </r>
  <r>
    <x v="0"/>
    <x v="1"/>
    <x v="2"/>
    <x v="1"/>
    <s v="407600 -- STD HR PAY"/>
    <s v="12010513 -- KVCU"/>
    <m/>
    <n v="432.06"/>
  </r>
  <r>
    <x v="0"/>
    <x v="1"/>
    <x v="2"/>
    <x v="1"/>
    <s v="407600 -- STD HR PAY"/>
    <s v="12010513 -- KVCU"/>
    <m/>
    <n v="409.32"/>
  </r>
  <r>
    <x v="0"/>
    <x v="1"/>
    <x v="2"/>
    <x v="1"/>
    <s v="407600 -- STD HR PAY"/>
    <s v="12010513 -- KVCU"/>
    <m/>
    <n v="352.47"/>
  </r>
  <r>
    <x v="0"/>
    <x v="1"/>
    <x v="2"/>
    <x v="1"/>
    <s v="407600 -- STD HR PAY"/>
    <s v="12010513 -- KVCU"/>
    <m/>
    <n v="409.32"/>
  </r>
  <r>
    <x v="0"/>
    <x v="1"/>
    <x v="2"/>
    <x v="1"/>
    <s v="407600 -- STD HR PAY"/>
    <s v="12010513 -- KVCU"/>
    <m/>
    <n v="110.86"/>
  </r>
  <r>
    <x v="0"/>
    <x v="1"/>
    <x v="2"/>
    <x v="1"/>
    <s v="407600 -- STD HR PAY"/>
    <s v="12010513 -- KVCU"/>
    <m/>
    <n v="343.94"/>
  </r>
  <r>
    <x v="0"/>
    <x v="1"/>
    <x v="2"/>
    <x v="1"/>
    <s v="407600 -- STD HR PAY"/>
    <s v="12010513 -- KVCU"/>
    <m/>
    <n v="346.79"/>
  </r>
  <r>
    <x v="0"/>
    <x v="1"/>
    <x v="2"/>
    <x v="1"/>
    <s v="407600 -- STD HR PAY"/>
    <s v="12010513 -- KVCU"/>
    <m/>
    <n v="369.53"/>
  </r>
  <r>
    <x v="0"/>
    <x v="1"/>
    <x v="2"/>
    <x v="1"/>
    <s v="407600 -- STD HR PAY"/>
    <s v="12010513 -- KVCU"/>
    <m/>
    <n v="341.1"/>
  </r>
  <r>
    <x v="0"/>
    <x v="1"/>
    <x v="2"/>
    <x v="1"/>
    <s v="407600 -- STD HR PAY"/>
    <s v="12010513 -- KVCU"/>
    <m/>
    <n v="156.34"/>
  </r>
  <r>
    <x v="0"/>
    <x v="1"/>
    <x v="2"/>
    <x v="1"/>
    <s v="407600 -- STD HR PAY"/>
    <s v="12010513 -- KVCU"/>
    <m/>
    <n v="207.5"/>
  </r>
  <r>
    <x v="0"/>
    <x v="1"/>
    <x v="2"/>
    <x v="1"/>
    <s v="407600 -- STD HR PAY"/>
    <s v="12010513 -- KVCU"/>
    <m/>
    <n v="454.8"/>
  </r>
  <r>
    <x v="0"/>
    <x v="1"/>
    <x v="2"/>
    <x v="1"/>
    <s v="407600 -- STD HR PAY"/>
    <s v="12010513 -- KVCU"/>
    <m/>
    <n v="454.8"/>
  </r>
  <r>
    <x v="0"/>
    <x v="1"/>
    <x v="2"/>
    <x v="1"/>
    <s v="407600 -- STD HR PAY"/>
    <s v="12010513 -- KVCU"/>
    <m/>
    <n v="460.49"/>
  </r>
  <r>
    <x v="0"/>
    <x v="1"/>
    <x v="2"/>
    <x v="1"/>
    <s v="407600 -- STD HR PAY"/>
    <s v="12010513 -- KVCU"/>
    <m/>
    <n v="22.74"/>
  </r>
  <r>
    <x v="0"/>
    <x v="1"/>
    <x v="2"/>
    <x v="1"/>
    <s v="407600 -- STD HR PAY"/>
    <s v="12010513 -- KVCU"/>
    <m/>
    <n v="34.11"/>
  </r>
  <r>
    <x v="0"/>
    <x v="1"/>
    <x v="2"/>
    <x v="1"/>
    <s v="407600 -- STD HR PAY"/>
    <s v="12010513 -- KVCU"/>
    <m/>
    <n v="181.92"/>
  </r>
  <r>
    <x v="0"/>
    <x v="1"/>
    <x v="2"/>
    <x v="1"/>
    <s v="407600 -- STD HR PAY"/>
    <s v="12010513 -- KVCU"/>
    <m/>
    <n v="159.18"/>
  </r>
  <r>
    <x v="0"/>
    <x v="1"/>
    <x v="2"/>
    <x v="1"/>
    <s v="407600 -- STD HR PAY"/>
    <s v="12010513 -- KVCU"/>
    <m/>
    <n v="181.92"/>
  </r>
  <r>
    <x v="0"/>
    <x v="1"/>
    <x v="2"/>
    <x v="1"/>
    <s v="407600 -- STD HR PAY"/>
    <s v="12010513 -- KVCU"/>
    <m/>
    <n v="181.92"/>
  </r>
  <r>
    <x v="0"/>
    <x v="1"/>
    <x v="2"/>
    <x v="1"/>
    <s v="407600 -- STD HR PAY"/>
    <s v="12010513 -- KVCU"/>
    <m/>
    <n v="79.59"/>
  </r>
  <r>
    <x v="0"/>
    <x v="1"/>
    <x v="2"/>
    <x v="1"/>
    <s v="407600 -- STD HR PAY"/>
    <s v="12010513 -- KVCU"/>
    <m/>
    <n v="113.7"/>
  </r>
  <r>
    <x v="0"/>
    <x v="1"/>
    <x v="2"/>
    <x v="1"/>
    <s v="407600 -- STD HR PAY"/>
    <s v="12010513 -- KVCU"/>
    <m/>
    <n v="82.43"/>
  </r>
  <r>
    <x v="0"/>
    <x v="1"/>
    <x v="2"/>
    <x v="1"/>
    <s v="407600 -- STD HR PAY"/>
    <s v="12010513 -- KVCU"/>
    <m/>
    <n v="73.91"/>
  </r>
  <r>
    <x v="0"/>
    <x v="1"/>
    <x v="2"/>
    <x v="1"/>
    <s v="407600 -- STD HR PAY"/>
    <s v="12010513 -- KVCU"/>
    <m/>
    <n v="48.32"/>
  </r>
  <r>
    <x v="0"/>
    <x v="1"/>
    <x v="2"/>
    <x v="1"/>
    <s v="407600 -- STD HR PAY"/>
    <s v="12010513 -- KVCU"/>
    <m/>
    <n v="79.59"/>
  </r>
  <r>
    <x v="0"/>
    <x v="1"/>
    <x v="2"/>
    <x v="1"/>
    <s v="407600 -- STD HR PAY"/>
    <s v="12010513 -- KVCU"/>
    <m/>
    <n v="159.18"/>
  </r>
  <r>
    <x v="0"/>
    <x v="1"/>
    <x v="2"/>
    <x v="1"/>
    <s v="407600 -- STD HR PAY"/>
    <s v="12010513 -- KVCU"/>
    <m/>
    <n v="227.4"/>
  </r>
  <r>
    <x v="0"/>
    <x v="1"/>
    <x v="2"/>
    <x v="1"/>
    <s v="407600 -- STD HR PAY"/>
    <s v="12010513 -- KVCU"/>
    <m/>
    <n v="159.18"/>
  </r>
  <r>
    <x v="0"/>
    <x v="1"/>
    <x v="2"/>
    <x v="1"/>
    <s v="407600 -- STD HR PAY"/>
    <s v="12010513 -- KVCU"/>
    <m/>
    <n v="831.3"/>
  </r>
  <r>
    <x v="0"/>
    <x v="1"/>
    <x v="2"/>
    <x v="1"/>
    <s v="407600 -- STD HR PAY"/>
    <s v="12010513 -- KVCU"/>
    <m/>
    <n v="202.58"/>
  </r>
  <r>
    <x v="0"/>
    <x v="1"/>
    <x v="2"/>
    <x v="1"/>
    <s v="407600 -- STD HR PAY"/>
    <s v="12010513 -- KVCU"/>
    <m/>
    <n v="366.3"/>
  </r>
  <r>
    <x v="0"/>
    <x v="1"/>
    <x v="2"/>
    <x v="1"/>
    <s v="407600 -- STD HR PAY"/>
    <s v="12010513 -- KVCU"/>
    <m/>
    <n v="371.85"/>
  </r>
  <r>
    <x v="0"/>
    <x v="1"/>
    <x v="2"/>
    <x v="1"/>
    <s v="407600 -- STD HR PAY"/>
    <s v="12010513 -- KVCU"/>
    <m/>
    <n v="363.53"/>
  </r>
  <r>
    <x v="0"/>
    <x v="1"/>
    <x v="2"/>
    <x v="1"/>
    <s v="407600 -- STD HR PAY"/>
    <s v="12010513 -- KVCU"/>
    <m/>
    <n v="375.21"/>
  </r>
  <r>
    <x v="0"/>
    <x v="1"/>
    <x v="2"/>
    <x v="1"/>
    <s v="407600 -- STD HR PAY"/>
    <s v="12010513 -- KVCU"/>
    <m/>
    <n v="284.25"/>
  </r>
  <r>
    <x v="0"/>
    <x v="1"/>
    <x v="2"/>
    <x v="1"/>
    <s v="407600 -- STD HR PAY"/>
    <s v="12010513 -- KVCU"/>
    <m/>
    <n v="449.12"/>
  </r>
  <r>
    <x v="0"/>
    <x v="1"/>
    <x v="2"/>
    <x v="1"/>
    <s v="407600 -- STD HR PAY"/>
    <s v="12010513 -- KVCU"/>
    <m/>
    <n v="386.58"/>
  </r>
  <r>
    <x v="0"/>
    <x v="1"/>
    <x v="2"/>
    <x v="1"/>
    <s v="407600 -- STD HR PAY"/>
    <s v="12010513 -- KVCU"/>
    <m/>
    <n v="34.11"/>
  </r>
  <r>
    <x v="0"/>
    <x v="1"/>
    <x v="2"/>
    <x v="1"/>
    <s v="407600 -- STD HR PAY"/>
    <s v="12010513 -- KVCU"/>
    <m/>
    <n v="93.8"/>
  </r>
  <r>
    <x v="0"/>
    <x v="1"/>
    <x v="2"/>
    <x v="1"/>
    <s v="407600 -- STD HR PAY"/>
    <s v="12010513 -- KVCU"/>
    <m/>
    <n v="170.55"/>
  </r>
  <r>
    <x v="0"/>
    <x v="1"/>
    <x v="2"/>
    <x v="1"/>
    <s v="407600 -- STD HR PAY"/>
    <s v="12010513 -- KVCU"/>
    <m/>
    <n v="181.92"/>
  </r>
  <r>
    <x v="0"/>
    <x v="1"/>
    <x v="2"/>
    <x v="1"/>
    <s v="407600 -- STD HR PAY"/>
    <s v="12010513 -- KVCU"/>
    <m/>
    <n v="275.72000000000003"/>
  </r>
  <r>
    <x v="0"/>
    <x v="1"/>
    <x v="2"/>
    <x v="1"/>
    <s v="407600 -- STD HR PAY"/>
    <s v="12010513 -- KVCU"/>
    <m/>
    <n v="281.41000000000003"/>
  </r>
  <r>
    <x v="0"/>
    <x v="1"/>
    <x v="2"/>
    <x v="1"/>
    <s v="407600 -- STD HR PAY"/>
    <s v="12010513 -- KVCU"/>
    <m/>
    <n v="142.13"/>
  </r>
  <r>
    <x v="0"/>
    <x v="1"/>
    <x v="2"/>
    <x v="1"/>
    <s v="407600 -- STD HR PAY"/>
    <s v="12010513 -- KVCU"/>
    <m/>
    <n v="73.91"/>
  </r>
  <r>
    <x v="0"/>
    <x v="1"/>
    <x v="2"/>
    <x v="1"/>
    <s v="407600 -- STD HR PAY"/>
    <s v="12010513 -- KVCU"/>
    <m/>
    <n v="272.88"/>
  </r>
  <r>
    <x v="0"/>
    <x v="1"/>
    <x v="2"/>
    <x v="1"/>
    <s v="407600 -- STD HR PAY"/>
    <s v="12010513 -- KVCU"/>
    <m/>
    <n v="113.7"/>
  </r>
  <r>
    <x v="0"/>
    <x v="1"/>
    <x v="2"/>
    <x v="1"/>
    <s v="407600 -- STD HR PAY"/>
    <s v="12010513 -- KVCU"/>
    <m/>
    <n v="130.43"/>
  </r>
  <r>
    <x v="0"/>
    <x v="1"/>
    <x v="2"/>
    <x v="1"/>
    <s v="407600 -- STD HR PAY"/>
    <s v="12010513 -- KVCU"/>
    <m/>
    <n v="133.19999999999999"/>
  </r>
  <r>
    <x v="0"/>
    <x v="1"/>
    <x v="2"/>
    <x v="2"/>
    <s v="428301 -- ALL STD/OTH PER FRINGE BEN"/>
    <s v="12010513 -- KVCU"/>
    <m/>
    <n v="20.100000000000001"/>
  </r>
  <r>
    <x v="0"/>
    <x v="1"/>
    <x v="2"/>
    <x v="2"/>
    <s v="428301 -- ALL STD/OTH PER FRINGE BEN"/>
    <s v="12010513 -- KVCU"/>
    <m/>
    <n v="40.97"/>
  </r>
  <r>
    <x v="0"/>
    <x v="1"/>
    <x v="2"/>
    <x v="2"/>
    <s v="428301 -- ALL STD/OTH PER FRINGE BEN"/>
    <s v="12010513 -- KVCU"/>
    <m/>
    <n v="36.29"/>
  </r>
  <r>
    <x v="0"/>
    <x v="1"/>
    <x v="2"/>
    <x v="5"/>
    <s v="500214 -- IT CONNECTIVITY FEE"/>
    <s v="12010513 -- KVCU"/>
    <m/>
    <n v="58.08"/>
  </r>
  <r>
    <x v="0"/>
    <x v="1"/>
    <x v="2"/>
    <x v="5"/>
    <s v="500214 -- IT CONNECTIVITY FEE"/>
    <s v="12010513 -- KVCU"/>
    <m/>
    <m/>
  </r>
  <r>
    <x v="0"/>
    <x v="1"/>
    <x v="2"/>
    <x v="5"/>
    <s v="500214 -- IT CONNECTIVITY FEE"/>
    <s v="12010513 -- KVCU"/>
    <m/>
    <n v="58.08"/>
  </r>
  <r>
    <x v="0"/>
    <x v="1"/>
    <x v="2"/>
    <x v="5"/>
    <s v="500214 -- IT CONNECTIVITY FEE"/>
    <s v="12010513 -- KVCU"/>
    <m/>
    <m/>
  </r>
  <r>
    <x v="0"/>
    <x v="1"/>
    <x v="2"/>
    <x v="5"/>
    <s v="500214 -- IT CONNECTIVITY FEE"/>
    <s v="12010513 -- KVCU"/>
    <m/>
    <n v="58.08"/>
  </r>
  <r>
    <x v="0"/>
    <x v="1"/>
    <x v="2"/>
    <x v="5"/>
    <s v="500214 -- IT CONNECTIVITY FEE"/>
    <s v="12010513 -- KVCU"/>
    <m/>
    <m/>
  </r>
  <r>
    <x v="0"/>
    <x v="1"/>
    <x v="2"/>
    <x v="13"/>
    <s v="502899 -- ID RENTALS"/>
    <s v="12010513 -- KVCU"/>
    <m/>
    <n v="371.25"/>
  </r>
  <r>
    <x v="0"/>
    <x v="1"/>
    <x v="2"/>
    <x v="12"/>
    <s v="552499 -- ID OFFICIAL FUNCTIONS"/>
    <s v="12010513 -- KVCU"/>
    <m/>
    <n v="18.989999999999998"/>
  </r>
  <r>
    <x v="0"/>
    <x v="1"/>
    <x v="2"/>
    <x v="12"/>
    <s v="552499 -- ID OFFICIAL FUNCTIONS"/>
    <s v="12010513 -- KVCU"/>
    <m/>
    <n v="18.989999999999998"/>
  </r>
  <r>
    <x v="0"/>
    <x v="1"/>
    <x v="2"/>
    <x v="6"/>
    <s v="552603 -- OTHR OPERATING EQUIP RENTAL"/>
    <s v="12010513 -- KVCU"/>
    <m/>
    <m/>
  </r>
  <r>
    <x v="0"/>
    <x v="1"/>
    <x v="2"/>
    <x v="6"/>
    <s v="552603 -- OTHR OPERATING EQUIP RENTAL"/>
    <s v="12010513 -- KVCU"/>
    <m/>
    <n v="600"/>
  </r>
  <r>
    <x v="0"/>
    <x v="1"/>
    <x v="2"/>
    <x v="6"/>
    <s v="552603 -- OTHR OPERATING EQUIP RENTAL"/>
    <s v="12010513 -- KVCU"/>
    <m/>
    <m/>
  </r>
  <r>
    <x v="0"/>
    <x v="1"/>
    <x v="2"/>
    <x v="6"/>
    <s v="552603 -- OTHR OPERATING EQUIP RENTAL"/>
    <s v="12010513 -- KVCU"/>
    <m/>
    <n v="600"/>
  </r>
  <r>
    <x v="0"/>
    <x v="1"/>
    <x v="2"/>
    <x v="6"/>
    <s v="552603 -- OTHR OPERATING EQUIP RENTAL"/>
    <s v="12010513 -- KVCU"/>
    <m/>
    <m/>
  </r>
  <r>
    <x v="0"/>
    <x v="1"/>
    <x v="2"/>
    <x v="6"/>
    <s v="552603 -- OTHR OPERATING EQUIP RENTAL"/>
    <s v="12010513 -- KVCU"/>
    <m/>
    <n v="600"/>
  </r>
  <r>
    <x v="0"/>
    <x v="1"/>
    <x v="2"/>
    <x v="6"/>
    <s v="552603 -- OTHR OPERATING EQUIP RENTAL"/>
    <s v="12010513 -- KVCU"/>
    <m/>
    <m/>
  </r>
  <r>
    <x v="0"/>
    <x v="1"/>
    <x v="2"/>
    <x v="6"/>
    <s v="552603 -- OTHR OPERATING EQUIP RENTAL"/>
    <s v="12010513 -- KVCU"/>
    <m/>
    <m/>
  </r>
  <r>
    <x v="0"/>
    <x v="1"/>
    <x v="2"/>
    <x v="6"/>
    <s v="552603 -- OTHR OPERATING EQUIP RENTAL"/>
    <s v="12010513 -- KVCU"/>
    <m/>
    <n v="600"/>
  </r>
  <r>
    <x v="0"/>
    <x v="1"/>
    <x v="2"/>
    <x v="6"/>
    <s v="552603 -- OTHR OPERATING EQUIP RENTAL"/>
    <s v="12010513 -- KVCU"/>
    <m/>
    <n v="600"/>
  </r>
  <r>
    <x v="0"/>
    <x v="1"/>
    <x v="2"/>
    <x v="6"/>
    <s v="553000 -- CONFERENCE REGISTRATION FEES"/>
    <s v="12010513 -- KVCU"/>
    <m/>
    <n v="1925"/>
  </r>
  <r>
    <x v="0"/>
    <x v="1"/>
    <x v="2"/>
    <x v="9"/>
    <s v="960100 -- GENERAL ADMIN RECHARGE"/>
    <s v="12010513 -- KVCU"/>
    <m/>
    <n v="-120.38"/>
  </r>
  <r>
    <x v="0"/>
    <x v="1"/>
    <x v="2"/>
    <x v="9"/>
    <s v="960100 -- GENERAL ADMIN RECHARGE"/>
    <s v="12010513 -- KVCU"/>
    <m/>
    <n v="240.75"/>
  </r>
  <r>
    <x v="0"/>
    <x v="1"/>
    <x v="2"/>
    <x v="9"/>
    <s v="960100 -- GENERAL ADMIN RECHARGE"/>
    <s v="12010513 -- KVCU"/>
    <m/>
    <n v="-198.01"/>
  </r>
  <r>
    <x v="0"/>
    <x v="1"/>
    <x v="2"/>
    <x v="9"/>
    <s v="960100 -- GENERAL ADMIN RECHARGE"/>
    <s v="12010513 -- KVCU"/>
    <m/>
    <n v="396.02"/>
  </r>
  <r>
    <x v="0"/>
    <x v="1"/>
    <x v="2"/>
    <x v="9"/>
    <s v="960100 -- GENERAL ADMIN RECHARGE"/>
    <s v="12010513 -- KVCU"/>
    <m/>
    <n v="-282.39999999999998"/>
  </r>
  <r>
    <x v="0"/>
    <x v="1"/>
    <x v="2"/>
    <x v="9"/>
    <s v="960100 -- GENERAL ADMIN RECHARGE"/>
    <s v="12010513 -- KVCU"/>
    <m/>
    <n v="564.79999999999995"/>
  </r>
  <r>
    <x v="0"/>
    <x v="1"/>
    <x v="2"/>
    <x v="10"/>
    <s v="960200 -- GENERAL INFRASTRUCT RECHARGE"/>
    <s v="12010513 -- KVCU"/>
    <m/>
    <n v="22.08"/>
  </r>
  <r>
    <x v="0"/>
    <x v="1"/>
    <x v="2"/>
    <x v="10"/>
    <s v="960200 -- GENERAL INFRASTRUCT RECHARGE"/>
    <s v="12010513 -- KVCU"/>
    <m/>
    <n v="36.32"/>
  </r>
  <r>
    <x v="0"/>
    <x v="1"/>
    <x v="2"/>
    <x v="10"/>
    <s v="960200 -- GENERAL INFRASTRUCT RECHARGE"/>
    <s v="12010513 -- KVCU"/>
    <m/>
    <n v="51.8"/>
  </r>
  <r>
    <x v="0"/>
    <x v="1"/>
    <x v="2"/>
    <x v="8"/>
    <s v="960402 -- CSI GENERAL ADMIN RECHARGE"/>
    <s v="12010513 -- KVCU"/>
    <m/>
    <n v="120.38"/>
  </r>
  <r>
    <x v="0"/>
    <x v="1"/>
    <x v="2"/>
    <x v="8"/>
    <s v="960402 -- CSI GENERAL ADMIN RECHARGE"/>
    <s v="12010513 -- KVCU"/>
    <m/>
    <n v="198.01"/>
  </r>
  <r>
    <x v="0"/>
    <x v="1"/>
    <x v="2"/>
    <x v="8"/>
    <s v="960402 -- CSI GENERAL ADMIN RECHARGE"/>
    <s v="12010513 -- KVCU"/>
    <m/>
    <n v="282.3999999999999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375.21"/>
  </r>
  <r>
    <x v="0"/>
    <x v="1"/>
    <x v="3"/>
    <x v="1"/>
    <s v="407600 -- STD HR PAY"/>
    <s v="12010513 -- KVCU"/>
    <m/>
    <n v="397.95"/>
  </r>
  <r>
    <x v="0"/>
    <x v="1"/>
    <x v="3"/>
    <x v="1"/>
    <s v="407600 -- STD HR PAY"/>
    <s v="12010513 -- KVCU"/>
    <m/>
    <n v="352.47"/>
  </r>
  <r>
    <x v="0"/>
    <x v="1"/>
    <x v="3"/>
    <x v="1"/>
    <s v="407600 -- STD HR PAY"/>
    <s v="12010513 -- KVCU"/>
    <m/>
    <n v="534.39"/>
  </r>
  <r>
    <x v="0"/>
    <x v="1"/>
    <x v="3"/>
    <x v="1"/>
    <s v="407600 -- STD HR PAY"/>
    <s v="12010513 -- KVCU"/>
    <m/>
    <n v="420.69"/>
  </r>
  <r>
    <x v="0"/>
    <x v="1"/>
    <x v="3"/>
    <x v="1"/>
    <s v="407600 -- STD HR PAY"/>
    <s v="12010513 -- KVCU"/>
    <m/>
    <n v="304.1499999999999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454.8"/>
  </r>
  <r>
    <x v="0"/>
    <x v="1"/>
    <x v="3"/>
    <x v="1"/>
    <s v="407600 -- STD HR PAY"/>
    <s v="12010513 -- KVCU"/>
    <m/>
    <n v="335.42"/>
  </r>
  <r>
    <x v="0"/>
    <x v="1"/>
    <x v="3"/>
    <x v="1"/>
    <s v="407600 -- STD HR PAY"/>
    <s v="12010513 -- KVCU"/>
    <m/>
    <n v="682.2"/>
  </r>
  <r>
    <x v="0"/>
    <x v="1"/>
    <x v="3"/>
    <x v="1"/>
    <s v="407600 -- STD HR PAY"/>
    <s v="12010513 -- KVCU"/>
    <m/>
    <n v="662.3"/>
  </r>
  <r>
    <x v="0"/>
    <x v="1"/>
    <x v="3"/>
    <x v="1"/>
    <s v="407600 -- STD HR PAY"/>
    <s v="12010513 -- KVCU"/>
    <m/>
    <n v="181.92"/>
  </r>
  <r>
    <x v="0"/>
    <x v="1"/>
    <x v="3"/>
    <x v="1"/>
    <s v="407600 -- STD HR PAY"/>
    <s v="12010513 -- KVCU"/>
    <m/>
    <n v="113.7"/>
  </r>
  <r>
    <x v="0"/>
    <x v="1"/>
    <x v="3"/>
    <x v="1"/>
    <s v="407600 -- STD HR PAY"/>
    <s v="12010513 -- KVCU"/>
    <m/>
    <n v="204.66"/>
  </r>
  <r>
    <x v="0"/>
    <x v="1"/>
    <x v="3"/>
    <x v="1"/>
    <s v="407600 -- STD HR PAY"/>
    <s v="12010513 -- KVCU"/>
    <m/>
    <n v="170.55"/>
  </r>
  <r>
    <x v="0"/>
    <x v="1"/>
    <x v="3"/>
    <x v="1"/>
    <s v="407600 -- STD HR PAY"/>
    <s v="12010513 -- KVCU"/>
    <m/>
    <n v="82.43"/>
  </r>
  <r>
    <x v="0"/>
    <x v="1"/>
    <x v="3"/>
    <x v="1"/>
    <s v="407600 -- STD HR PAY"/>
    <s v="12010513 -- KVCU"/>
    <m/>
    <n v="59.69"/>
  </r>
  <r>
    <x v="0"/>
    <x v="1"/>
    <x v="3"/>
    <x v="1"/>
    <s v="407600 -- STD HR PAY"/>
    <s v="12010513 -- KVCU"/>
    <m/>
    <n v="93.8"/>
  </r>
  <r>
    <x v="0"/>
    <x v="1"/>
    <x v="3"/>
    <x v="1"/>
    <s v="407600 -- STD HR PAY"/>
    <s v="12010513 -- KVCU"/>
    <m/>
    <n v="306.99"/>
  </r>
  <r>
    <x v="0"/>
    <x v="1"/>
    <x v="3"/>
    <x v="1"/>
    <s v="407600 -- STD HR PAY"/>
    <s v="12010513 -- KVCU"/>
    <m/>
    <n v="181.92"/>
  </r>
  <r>
    <x v="0"/>
    <x v="1"/>
    <x v="3"/>
    <x v="1"/>
    <s v="407600 -- STD HR PAY"/>
    <s v="12010513 -- KVCU"/>
    <m/>
    <n v="204.66"/>
  </r>
  <r>
    <x v="0"/>
    <x v="1"/>
    <x v="3"/>
    <x v="1"/>
    <s v="407600 -- STD HR PAY"/>
    <s v="12010513 -- KVCU"/>
    <m/>
    <n v="318.36"/>
  </r>
  <r>
    <x v="0"/>
    <x v="1"/>
    <x v="3"/>
    <x v="1"/>
    <s v="407600 -- STD HR PAY"/>
    <s v="12010513 -- KVCU"/>
    <m/>
    <n v="125.07"/>
  </r>
  <r>
    <x v="0"/>
    <x v="1"/>
    <x v="3"/>
    <x v="1"/>
    <s v="407600 -- STD HR PAY"/>
    <s v="12010513 -- KVCU"/>
    <m/>
    <n v="238.77"/>
  </r>
  <r>
    <x v="0"/>
    <x v="1"/>
    <x v="3"/>
    <x v="1"/>
    <s v="407600 -- STD HR PAY"/>
    <s v="12010513 -- KVCU"/>
    <m/>
    <n v="250.14"/>
  </r>
  <r>
    <x v="0"/>
    <x v="1"/>
    <x v="3"/>
    <x v="1"/>
    <s v="407600 -- STD HR PAY"/>
    <s v="12010513 -- KVCU"/>
    <m/>
    <n v="91.2"/>
  </r>
  <r>
    <x v="0"/>
    <x v="1"/>
    <x v="3"/>
    <x v="1"/>
    <s v="407600 -- STD HR PAY"/>
    <s v="12010513 -- KVCU"/>
    <m/>
    <n v="450.3"/>
  </r>
  <r>
    <x v="0"/>
    <x v="1"/>
    <x v="3"/>
    <x v="1"/>
    <s v="407600 -- STD HR PAY"/>
    <s v="12010513 -- KVCU"/>
    <m/>
    <n v="344.11"/>
  </r>
  <r>
    <x v="0"/>
    <x v="1"/>
    <x v="3"/>
    <x v="1"/>
    <s v="407600 -- STD HR PAY"/>
    <s v="12010513 -- KVCU"/>
    <m/>
    <n v="777"/>
  </r>
  <r>
    <x v="0"/>
    <x v="1"/>
    <x v="3"/>
    <x v="1"/>
    <s v="407600 -- STD HR PAY"/>
    <s v="12010513 -- KVCU"/>
    <m/>
    <n v="163.72999999999999"/>
  </r>
  <r>
    <x v="0"/>
    <x v="1"/>
    <x v="3"/>
    <x v="1"/>
    <s v="407600 -- STD HR PAY"/>
    <s v="12010513 -- KVCU"/>
    <m/>
    <n v="280.27999999999997"/>
  </r>
  <r>
    <x v="0"/>
    <x v="1"/>
    <x v="3"/>
    <x v="1"/>
    <s v="407600 -- STD HR PAY"/>
    <s v="12010513 -- KVCU"/>
    <m/>
    <n v="371.85"/>
  </r>
  <r>
    <x v="0"/>
    <x v="1"/>
    <x v="3"/>
    <x v="1"/>
    <s v="407600 -- STD HR PAY"/>
    <s v="12010513 -- KVCU"/>
    <m/>
    <n v="222"/>
  </r>
  <r>
    <x v="0"/>
    <x v="1"/>
    <x v="3"/>
    <x v="1"/>
    <s v="407600 -- STD HR PAY"/>
    <s v="12010513 -- KVCU"/>
    <m/>
    <n v="754.8"/>
  </r>
  <r>
    <x v="0"/>
    <x v="1"/>
    <x v="3"/>
    <x v="1"/>
    <s v="407600 -- STD HR PAY"/>
    <s v="12010513 -- KVCU"/>
    <m/>
    <n v="740.93"/>
  </r>
  <r>
    <x v="0"/>
    <x v="1"/>
    <x v="3"/>
    <x v="1"/>
    <s v="407600 -- STD HR PAY"/>
    <s v="12010513 -- KVCU"/>
    <m/>
    <n v="352.47"/>
  </r>
  <r>
    <x v="0"/>
    <x v="1"/>
    <x v="3"/>
    <x v="1"/>
    <s v="407600 -- STD HR PAY"/>
    <s v="12010513 -- KVCU"/>
    <m/>
    <n v="136.44"/>
  </r>
  <r>
    <x v="0"/>
    <x v="1"/>
    <x v="3"/>
    <x v="1"/>
    <s v="407600 -- STD HR PAY"/>
    <s v="12010513 -- KVCU"/>
    <m/>
    <n v="386.58"/>
  </r>
  <r>
    <x v="0"/>
    <x v="1"/>
    <x v="3"/>
    <x v="1"/>
    <s v="407600 -- STD HR PAY"/>
    <s v="12010513 -- KVCU"/>
    <m/>
    <n v="90.96"/>
  </r>
  <r>
    <x v="0"/>
    <x v="1"/>
    <x v="3"/>
    <x v="1"/>
    <s v="407600 -- STD HR PAY"/>
    <s v="12010513 -- KVCU"/>
    <m/>
    <n v="338.26"/>
  </r>
  <r>
    <x v="0"/>
    <x v="1"/>
    <x v="3"/>
    <x v="1"/>
    <s v="407600 -- STD HR PAY"/>
    <s v="12010513 -- KVCU"/>
    <m/>
    <n v="162.02000000000001"/>
  </r>
  <r>
    <x v="0"/>
    <x v="1"/>
    <x v="3"/>
    <x v="1"/>
    <s v="407600 -- STD HR PAY"/>
    <s v="12010513 -- KVCU"/>
    <m/>
    <n v="292.77999999999997"/>
  </r>
  <r>
    <x v="0"/>
    <x v="1"/>
    <x v="3"/>
    <x v="1"/>
    <s v="407600 -- STD HR PAY"/>
    <s v="12010513 -- KVCU"/>
    <m/>
    <n v="267.2"/>
  </r>
  <r>
    <x v="0"/>
    <x v="1"/>
    <x v="3"/>
    <x v="1"/>
    <s v="407600 -- STD HR PAY"/>
    <s v="12010513 -- KVCU"/>
    <m/>
    <n v="39.799999999999997"/>
  </r>
  <r>
    <x v="0"/>
    <x v="1"/>
    <x v="3"/>
    <x v="1"/>
    <s v="407600 -- STD HR PAY"/>
    <s v="12010513 -- KVCU"/>
    <m/>
    <n v="34.11"/>
  </r>
  <r>
    <x v="0"/>
    <x v="1"/>
    <x v="3"/>
    <x v="1"/>
    <s v="407600 -- STD HR PAY"/>
    <s v="12010513 -- KVCU"/>
    <m/>
    <n v="216.03"/>
  </r>
  <r>
    <x v="0"/>
    <x v="1"/>
    <x v="3"/>
    <x v="1"/>
    <s v="407600 -- STD HR PAY"/>
    <s v="12010513 -- KVCU"/>
    <m/>
    <n v="250.14"/>
  </r>
  <r>
    <x v="0"/>
    <x v="1"/>
    <x v="3"/>
    <x v="1"/>
    <s v="407600 -- STD HR PAY"/>
    <s v="12010513 -- KVCU"/>
    <m/>
    <n v="136.44"/>
  </r>
  <r>
    <x v="0"/>
    <x v="1"/>
    <x v="3"/>
    <x v="1"/>
    <s v="407600 -- STD HR PAY"/>
    <s v="12010513 -- KVCU"/>
    <m/>
    <n v="284.25"/>
  </r>
  <r>
    <x v="0"/>
    <x v="1"/>
    <x v="3"/>
    <x v="1"/>
    <s v="407600 -- STD HR PAY"/>
    <s v="12010513 -- KVCU"/>
    <m/>
    <n v="255.83"/>
  </r>
  <r>
    <x v="0"/>
    <x v="1"/>
    <x v="3"/>
    <x v="1"/>
    <s v="407600 -- STD HR PAY"/>
    <s v="12010513 -- KVCU"/>
    <m/>
    <n v="164.87"/>
  </r>
  <r>
    <x v="0"/>
    <x v="1"/>
    <x v="3"/>
    <x v="1"/>
    <s v="407600 -- STD HR PAY"/>
    <s v="12010513 -- KVCU"/>
    <m/>
    <n v="176.24"/>
  </r>
  <r>
    <x v="0"/>
    <x v="1"/>
    <x v="3"/>
    <x v="1"/>
    <s v="407600 -- STD HR PAY"/>
    <s v="12010513 -- KVCU"/>
    <m/>
    <n v="271.95"/>
  </r>
  <r>
    <x v="0"/>
    <x v="1"/>
    <x v="3"/>
    <x v="1"/>
    <s v="407600 -- STD HR PAY"/>
    <s v="12010513 -- KVCU"/>
    <m/>
    <n v="399.6"/>
  </r>
  <r>
    <x v="0"/>
    <x v="1"/>
    <x v="3"/>
    <x v="1"/>
    <s v="407600 -- STD HR PAY"/>
    <s v="12010513 -- KVCU"/>
    <m/>
    <n v="66.599999999999994"/>
  </r>
  <r>
    <x v="0"/>
    <x v="1"/>
    <x v="3"/>
    <x v="1"/>
    <s v="407600 -- STD HR PAY"/>
    <s v="12010513 -- KVCU"/>
    <m/>
    <n v="133.19999999999999"/>
  </r>
  <r>
    <x v="0"/>
    <x v="1"/>
    <x v="3"/>
    <x v="1"/>
    <s v="407600 -- STD HR PAY"/>
    <s v="12010513 -- KVCU"/>
    <m/>
    <n v="133.19999999999999"/>
  </r>
  <r>
    <x v="0"/>
    <x v="1"/>
    <x v="3"/>
    <x v="1"/>
    <s v="407600 -- STD HR PAY"/>
    <s v="12010513 -- KVCU"/>
    <m/>
    <n v="66.599999999999994"/>
  </r>
  <r>
    <x v="0"/>
    <x v="1"/>
    <x v="3"/>
    <x v="1"/>
    <s v="407600 -- STD HR PAY"/>
    <s v="12010513 -- KVCU"/>
    <m/>
    <n v="199.8"/>
  </r>
  <r>
    <x v="0"/>
    <x v="1"/>
    <x v="3"/>
    <x v="1"/>
    <s v="407600 -- STD HR PAY"/>
    <s v="12010513 -- KVCU"/>
    <m/>
    <n v="183.15"/>
  </r>
  <r>
    <x v="0"/>
    <x v="1"/>
    <x v="3"/>
    <x v="1"/>
    <s v="407600 -- STD HR PAY"/>
    <s v="12010513 -- KVCU"/>
    <m/>
    <n v="99.75"/>
  </r>
  <r>
    <x v="0"/>
    <x v="1"/>
    <x v="3"/>
    <x v="1"/>
    <s v="407600 -- STD HR PAY"/>
    <s v="12010513 -- KVCU"/>
    <m/>
    <n v="102.6"/>
  </r>
  <r>
    <x v="0"/>
    <x v="1"/>
    <x v="3"/>
    <x v="1"/>
    <s v="407600 -- STD HR PAY"/>
    <s v="12010513 -- KVCU"/>
    <m/>
    <n v="273.60000000000002"/>
  </r>
  <r>
    <x v="0"/>
    <x v="1"/>
    <x v="3"/>
    <x v="1"/>
    <s v="407900 -- STD HR OVERTIME"/>
    <s v="12010513 -- KVCU"/>
    <m/>
    <n v="4.16"/>
  </r>
  <r>
    <x v="0"/>
    <x v="1"/>
    <x v="3"/>
    <x v="2"/>
    <s v="428301 -- ALL STD/OTH PER FRINGE BEN"/>
    <s v="12010513 -- KVCU"/>
    <m/>
    <n v="58.59"/>
  </r>
  <r>
    <x v="0"/>
    <x v="1"/>
    <x v="3"/>
    <x v="2"/>
    <s v="428301 -- ALL STD/OTH PER FRINGE BEN"/>
    <s v="12010513 -- KVCU"/>
    <m/>
    <n v="59.05"/>
  </r>
  <r>
    <x v="0"/>
    <x v="1"/>
    <x v="3"/>
    <x v="2"/>
    <s v="428301 -- ALL STD/OTH PER FRINGE BEN"/>
    <s v="12010513 -- KVCU"/>
    <m/>
    <n v="34.270000000000003"/>
  </r>
  <r>
    <x v="0"/>
    <x v="1"/>
    <x v="3"/>
    <x v="2"/>
    <s v="428301 -- ALL STD/OTH PER FRINGE BEN"/>
    <s v="12010513 -- KVCU"/>
    <m/>
    <n v="0.03"/>
  </r>
  <r>
    <x v="0"/>
    <x v="1"/>
    <x v="3"/>
    <x v="2"/>
    <s v="428301 -- ALL STD/OTH PER FRINGE BEN"/>
    <s v="12010513 -- KVCU"/>
    <m/>
    <n v="18.579999999999998"/>
  </r>
  <r>
    <x v="0"/>
    <x v="1"/>
    <x v="3"/>
    <x v="6"/>
    <s v="495100 -- HONORARIA"/>
    <s v="12010513 -- KVCU"/>
    <m/>
    <n v="350"/>
  </r>
  <r>
    <x v="0"/>
    <x v="1"/>
    <x v="3"/>
    <x v="6"/>
    <s v="495100 -- HONORARIA"/>
    <s v="12010513 -- KVCU"/>
    <m/>
    <n v="350"/>
  </r>
  <r>
    <x v="0"/>
    <x v="1"/>
    <x v="3"/>
    <x v="6"/>
    <s v="495100 -- HONORARIA"/>
    <s v="12010513 -- KVCU"/>
    <m/>
    <n v="350"/>
  </r>
  <r>
    <x v="0"/>
    <x v="1"/>
    <x v="3"/>
    <x v="6"/>
    <s v="495100 -- HONORARIA"/>
    <s v="12010513 -- KVCU"/>
    <m/>
    <n v="350"/>
  </r>
  <r>
    <x v="0"/>
    <x v="1"/>
    <x v="3"/>
    <x v="5"/>
    <s v="500100 -- IT SUPPLIES"/>
    <s v="12010513 -- KVCU"/>
    <m/>
    <n v="634.14"/>
  </r>
  <r>
    <x v="0"/>
    <x v="1"/>
    <x v="3"/>
    <x v="5"/>
    <s v="500214 -- IT CONNECTIVITY FEE"/>
    <s v="12010513 -- KVCU"/>
    <m/>
    <n v="58.08"/>
  </r>
  <r>
    <x v="0"/>
    <x v="1"/>
    <x v="3"/>
    <x v="5"/>
    <s v="500214 -- IT CONNECTIVITY FEE"/>
    <s v="12010513 -- KVCU"/>
    <m/>
    <m/>
  </r>
  <r>
    <x v="0"/>
    <x v="1"/>
    <x v="3"/>
    <x v="5"/>
    <s v="500214 -- IT CONNECTIVITY FEE"/>
    <s v="12010513 -- KVCU"/>
    <m/>
    <n v="58.08"/>
  </r>
  <r>
    <x v="0"/>
    <x v="1"/>
    <x v="3"/>
    <x v="5"/>
    <s v="500214 -- IT CONNECTIVITY FEE"/>
    <s v="12010513 -- KVCU"/>
    <m/>
    <m/>
  </r>
  <r>
    <x v="0"/>
    <x v="1"/>
    <x v="3"/>
    <x v="5"/>
    <s v="500214 -- IT CONNECTIVITY FEE"/>
    <s v="12010513 -- KVCU"/>
    <m/>
    <n v="58.08"/>
  </r>
  <r>
    <x v="0"/>
    <x v="1"/>
    <x v="3"/>
    <x v="5"/>
    <s v="500214 -- IT CONNECTIVITY FEE"/>
    <s v="12010513 -- KVCU"/>
    <m/>
    <m/>
  </r>
  <r>
    <x v="0"/>
    <x v="1"/>
    <x v="3"/>
    <x v="5"/>
    <s v="500400 -- IT SOFTWARE LICENSES"/>
    <s v="12010513 -- KVCU"/>
    <m/>
    <n v="39.700000000000003"/>
  </r>
  <r>
    <x v="0"/>
    <x v="1"/>
    <x v="3"/>
    <x v="5"/>
    <s v="500400 -- IT SOFTWARE LICENSES"/>
    <s v="12010513 -- KVCU"/>
    <m/>
    <n v="192"/>
  </r>
  <r>
    <x v="0"/>
    <x v="1"/>
    <x v="3"/>
    <x v="4"/>
    <s v="508715 -- PROMOTIONS"/>
    <s v="12010513 -- KVCU"/>
    <m/>
    <n v="6383.36"/>
  </r>
  <r>
    <x v="0"/>
    <x v="1"/>
    <x v="3"/>
    <x v="6"/>
    <s v="510100 -- DUES/MEMBER-PROF ORGANIZATIONS"/>
    <s v="12010513 -- KVCU"/>
    <m/>
    <n v="360"/>
  </r>
  <r>
    <x v="0"/>
    <x v="1"/>
    <x v="3"/>
    <x v="6"/>
    <s v="510300 -- LICENSES"/>
    <s v="12010513 -- KVCU"/>
    <m/>
    <n v="159"/>
  </r>
  <r>
    <x v="0"/>
    <x v="1"/>
    <x v="3"/>
    <x v="12"/>
    <s v="550100 -- OFFICIAL FUNCTIONS"/>
    <s v="12010513 -- KVCU"/>
    <m/>
    <n v="140.55000000000001"/>
  </r>
  <r>
    <x v="0"/>
    <x v="1"/>
    <x v="3"/>
    <x v="12"/>
    <s v="552499 -- ID OFFICIAL FUNCTIONS"/>
    <s v="12010513 -- KVCU"/>
    <m/>
    <n v="639"/>
  </r>
  <r>
    <x v="0"/>
    <x v="1"/>
    <x v="3"/>
    <x v="6"/>
    <s v="552602 -- OTHER OPERATING SERVICES"/>
    <s v="12010513 -- KVCU"/>
    <m/>
    <n v="1500"/>
  </r>
  <r>
    <x v="0"/>
    <x v="1"/>
    <x v="3"/>
    <x v="6"/>
    <s v="552602 -- OTHER OPERATING SERVICES"/>
    <s v="12010513 -- KVCU"/>
    <m/>
    <n v="1500"/>
  </r>
  <r>
    <x v="0"/>
    <x v="1"/>
    <x v="3"/>
    <x v="6"/>
    <s v="552602 -- OTHER OPERATING SERVICES"/>
    <s v="12010513 -- KVCU"/>
    <m/>
    <n v="1500"/>
  </r>
  <r>
    <x v="0"/>
    <x v="1"/>
    <x v="3"/>
    <x v="6"/>
    <s v="552602 -- OTHER OPERATING SERVICES"/>
    <s v="12010513 -- KVCU"/>
    <m/>
    <n v="1000"/>
  </r>
  <r>
    <x v="0"/>
    <x v="1"/>
    <x v="3"/>
    <x v="6"/>
    <s v="552603 -- OTHR OPERATING EQUIP RENTAL"/>
    <s v="12010513 -- KVCU"/>
    <m/>
    <m/>
  </r>
  <r>
    <x v="0"/>
    <x v="1"/>
    <x v="3"/>
    <x v="6"/>
    <s v="552603 -- OTHR OPERATING EQUIP RENTAL"/>
    <s v="12010513 -- KVCU"/>
    <m/>
    <n v="600"/>
  </r>
  <r>
    <x v="0"/>
    <x v="1"/>
    <x v="3"/>
    <x v="6"/>
    <s v="552603 -- OTHR OPERATING EQUIP RENTAL"/>
    <s v="12010513 -- KVCU"/>
    <m/>
    <m/>
  </r>
  <r>
    <x v="0"/>
    <x v="1"/>
    <x v="3"/>
    <x v="6"/>
    <s v="552603 -- OTHR OPERATING EQUIP RENTAL"/>
    <s v="12010513 -- KVCU"/>
    <m/>
    <n v="600"/>
  </r>
  <r>
    <x v="0"/>
    <x v="1"/>
    <x v="3"/>
    <x v="6"/>
    <s v="552603 -- OTHR OPERATING EQUIP RENTAL"/>
    <s v="12010513 -- KVCU"/>
    <m/>
    <m/>
  </r>
  <r>
    <x v="0"/>
    <x v="1"/>
    <x v="3"/>
    <x v="6"/>
    <s v="552603 -- OTHR OPERATING EQUIP RENTAL"/>
    <s v="12010513 -- KVCU"/>
    <m/>
    <m/>
  </r>
  <r>
    <x v="0"/>
    <x v="1"/>
    <x v="3"/>
    <x v="6"/>
    <s v="552603 -- OTHR OPERATING EQUIP RENTAL"/>
    <s v="12010513 -- KVCU"/>
    <m/>
    <n v="600"/>
  </r>
  <r>
    <x v="0"/>
    <x v="1"/>
    <x v="3"/>
    <x v="6"/>
    <s v="552603 -- OTHR OPERATING EQUIP RENTAL"/>
    <s v="12010513 -- KVCU"/>
    <m/>
    <n v="600"/>
  </r>
  <r>
    <x v="0"/>
    <x v="1"/>
    <x v="3"/>
    <x v="7"/>
    <s v="700200 -- EMPLOYEE TRAVEL - OUT-OF-STATE"/>
    <s v="12010513 -- KVCU"/>
    <m/>
    <n v="-1902.53"/>
  </r>
  <r>
    <x v="0"/>
    <x v="1"/>
    <x v="3"/>
    <x v="7"/>
    <s v="700200 -- EMPLOYEE TRAVEL - OUT-OF-STATE"/>
    <s v="12010513 -- KVCU"/>
    <m/>
    <n v="1902.53"/>
  </r>
  <r>
    <x v="0"/>
    <x v="1"/>
    <x v="3"/>
    <x v="7"/>
    <s v="700200 -- EMPLOYEE TRAVEL - OUT-OF-STATE"/>
    <s v="12010513 -- KVCU"/>
    <m/>
    <n v="2887"/>
  </r>
  <r>
    <x v="0"/>
    <x v="1"/>
    <x v="3"/>
    <x v="7"/>
    <s v="700200 -- EMPLOYEE TRAVEL - OUT-OF-STATE"/>
    <s v="12010513 -- KVCU"/>
    <m/>
    <n v="545.64"/>
  </r>
  <r>
    <x v="0"/>
    <x v="1"/>
    <x v="3"/>
    <x v="7"/>
    <s v="700200 -- EMPLOYEE TRAVEL - OUT-OF-STATE"/>
    <s v="12010513 -- KVCU"/>
    <m/>
    <n v="980.72"/>
  </r>
  <r>
    <x v="0"/>
    <x v="1"/>
    <x v="3"/>
    <x v="7"/>
    <s v="700200 -- EMPLOYEE TRAVEL - OUT-OF-STATE"/>
    <s v="12010513 -- KVCU"/>
    <m/>
    <n v="980.72"/>
  </r>
  <r>
    <x v="0"/>
    <x v="1"/>
    <x v="3"/>
    <x v="15"/>
    <s v="702000 -- NON-EMPLOYEE TRAVEL - IN STATE"/>
    <s v="12010513 -- KVCU"/>
    <m/>
    <n v="85"/>
  </r>
  <r>
    <x v="0"/>
    <x v="1"/>
    <x v="3"/>
    <x v="9"/>
    <s v="960100 -- GENERAL ADMIN RECHARGE"/>
    <s v="12010513 -- KVCU"/>
    <m/>
    <n v="-820.03"/>
  </r>
  <r>
    <x v="0"/>
    <x v="1"/>
    <x v="3"/>
    <x v="9"/>
    <s v="960100 -- GENERAL ADMIN RECHARGE"/>
    <s v="12010513 -- KVCU"/>
    <m/>
    <n v="1640.06"/>
  </r>
  <r>
    <x v="0"/>
    <x v="1"/>
    <x v="3"/>
    <x v="9"/>
    <s v="960100 -- GENERAL ADMIN RECHARGE"/>
    <s v="12010513 -- KVCU"/>
    <m/>
    <n v="-408.77"/>
  </r>
  <r>
    <x v="0"/>
    <x v="1"/>
    <x v="3"/>
    <x v="9"/>
    <s v="960100 -- GENERAL ADMIN RECHARGE"/>
    <s v="12010513 -- KVCU"/>
    <m/>
    <n v="817.54"/>
  </r>
  <r>
    <x v="0"/>
    <x v="1"/>
    <x v="3"/>
    <x v="9"/>
    <s v="960100 -- GENERAL ADMIN RECHARGE"/>
    <s v="12010513 -- KVCU"/>
    <m/>
    <n v="-192.36"/>
  </r>
  <r>
    <x v="0"/>
    <x v="1"/>
    <x v="3"/>
    <x v="9"/>
    <s v="960100 -- GENERAL ADMIN RECHARGE"/>
    <s v="12010513 -- KVCU"/>
    <m/>
    <n v="384.71"/>
  </r>
  <r>
    <x v="0"/>
    <x v="1"/>
    <x v="3"/>
    <x v="9"/>
    <s v="960100 -- GENERAL ADMIN RECHARGE"/>
    <s v="12010513 -- KVCU"/>
    <m/>
    <n v="-99.4"/>
  </r>
  <r>
    <x v="0"/>
    <x v="1"/>
    <x v="3"/>
    <x v="9"/>
    <s v="960100 -- GENERAL ADMIN RECHARGE"/>
    <s v="12010513 -- KVCU"/>
    <m/>
    <n v="198.79"/>
  </r>
  <r>
    <x v="0"/>
    <x v="1"/>
    <x v="3"/>
    <x v="10"/>
    <s v="960200 -- GENERAL INFRASTRUCT RECHARGE"/>
    <s v="12010513 -- KVCU"/>
    <m/>
    <n v="150.41999999999999"/>
  </r>
  <r>
    <x v="0"/>
    <x v="1"/>
    <x v="3"/>
    <x v="10"/>
    <s v="960200 -- GENERAL INFRASTRUCT RECHARGE"/>
    <s v="12010513 -- KVCU"/>
    <m/>
    <n v="74.98"/>
  </r>
  <r>
    <x v="0"/>
    <x v="1"/>
    <x v="3"/>
    <x v="10"/>
    <s v="960200 -- GENERAL INFRASTRUCT RECHARGE"/>
    <s v="12010513 -- KVCU"/>
    <m/>
    <n v="35.28"/>
  </r>
  <r>
    <x v="0"/>
    <x v="1"/>
    <x v="3"/>
    <x v="10"/>
    <s v="960200 -- GENERAL INFRASTRUCT RECHARGE"/>
    <s v="12010513 -- KVCU"/>
    <m/>
    <n v="18.23"/>
  </r>
  <r>
    <x v="0"/>
    <x v="1"/>
    <x v="3"/>
    <x v="8"/>
    <s v="960402 -- CSI GENERAL ADMIN RECHARGE"/>
    <s v="12010513 -- KVCU"/>
    <m/>
    <n v="820.03"/>
  </r>
  <r>
    <x v="0"/>
    <x v="1"/>
    <x v="3"/>
    <x v="8"/>
    <s v="960402 -- CSI GENERAL ADMIN RECHARGE"/>
    <s v="12010513 -- KVCU"/>
    <m/>
    <n v="408.77"/>
  </r>
  <r>
    <x v="0"/>
    <x v="1"/>
    <x v="3"/>
    <x v="8"/>
    <s v="960402 -- CSI GENERAL ADMIN RECHARGE"/>
    <s v="12010513 -- KVCU"/>
    <m/>
    <n v="192.36"/>
  </r>
  <r>
    <x v="0"/>
    <x v="1"/>
    <x v="3"/>
    <x v="8"/>
    <s v="960402 -- CSI GENERAL ADMIN RECHARGE"/>
    <s v="12010513 -- KVCU"/>
    <m/>
    <n v="99.4"/>
  </r>
  <r>
    <x v="0"/>
    <x v="1"/>
    <x v="3"/>
    <x v="14"/>
    <s v="995100 -- CASH TRANSFER IN W/IN CAMPUS"/>
    <s v="12010512 -- KVCU"/>
    <m/>
    <n v="-40564.04"/>
  </r>
  <r>
    <x v="0"/>
    <x v="1"/>
    <x v="3"/>
    <x v="14"/>
    <s v="995100 -- CASH TRANSFER IN W/IN CAMPUS"/>
    <s v="12010512 -- KVCU"/>
    <m/>
    <n v="-5988"/>
  </r>
  <r>
    <x v="0"/>
    <x v="1"/>
    <x v="3"/>
    <x v="11"/>
    <s v="997100 -- CASH TRANSFER OUT W/IN CAMPUS"/>
    <s v="12010513 -- KVCU"/>
    <m/>
    <n v="40564.04"/>
  </r>
  <r>
    <x v="0"/>
    <x v="1"/>
    <x v="3"/>
    <x v="11"/>
    <s v="997100 -- CASH TRANSFER OUT W/IN CAMPUS"/>
    <s v="12012397 -- KVCU CAPITAL"/>
    <m/>
    <n v="5988"/>
  </r>
  <r>
    <x v="0"/>
    <x v="2"/>
    <x v="0"/>
    <x v="0"/>
    <s v="220100 -- STUDENT ACTIVITY FEES"/>
    <s v="12010513 -- KVCU"/>
    <n v="-147042"/>
    <m/>
  </r>
  <r>
    <x v="0"/>
    <x v="2"/>
    <x v="0"/>
    <x v="0"/>
    <s v="220120 -- MANDATORY STUDENT FEES (CCHE)"/>
    <s v="12010513 -- KVCU"/>
    <m/>
    <n v="-73521"/>
  </r>
  <r>
    <x v="0"/>
    <x v="2"/>
    <x v="0"/>
    <x v="1"/>
    <s v="407500 -- STD HR PAY GEN BDG"/>
    <s v="12010513 -- KVCU"/>
    <n v="80188"/>
    <m/>
  </r>
  <r>
    <x v="0"/>
    <x v="2"/>
    <x v="0"/>
    <x v="1"/>
    <s v="407600 -- STD HR PAY"/>
    <s v="12010513 -- KVCU"/>
    <m/>
    <n v="201.82"/>
  </r>
  <r>
    <x v="0"/>
    <x v="2"/>
    <x v="0"/>
    <x v="1"/>
    <s v="407600 -- STD HR PAY"/>
    <s v="12010513 -- KVCU"/>
    <m/>
    <n v="355.31"/>
  </r>
  <r>
    <x v="0"/>
    <x v="2"/>
    <x v="0"/>
    <x v="1"/>
    <s v="407600 -- STD HR PAY"/>
    <s v="12010513 -- KVCU"/>
    <m/>
    <n v="1307.55"/>
  </r>
  <r>
    <x v="0"/>
    <x v="2"/>
    <x v="0"/>
    <x v="1"/>
    <s v="407600 -- STD HR PAY"/>
    <s v="12010513 -- KVCU"/>
    <m/>
    <n v="19.899999999999999"/>
  </r>
  <r>
    <x v="0"/>
    <x v="2"/>
    <x v="0"/>
    <x v="1"/>
    <s v="407600 -- STD HR PAY"/>
    <s v="12010513 -- KVCU"/>
    <m/>
    <n v="79.59"/>
  </r>
  <r>
    <x v="0"/>
    <x v="2"/>
    <x v="0"/>
    <x v="1"/>
    <s v="407600 -- STD HR PAY"/>
    <s v="12010513 -- KVCU"/>
    <m/>
    <n v="250.14"/>
  </r>
  <r>
    <x v="0"/>
    <x v="2"/>
    <x v="0"/>
    <x v="1"/>
    <s v="407600 -- STD HR PAY"/>
    <s v="12010513 -- KVCU"/>
    <m/>
    <n v="204.66"/>
  </r>
  <r>
    <x v="0"/>
    <x v="2"/>
    <x v="0"/>
    <x v="1"/>
    <s v="407600 -- STD HR PAY"/>
    <s v="12010513 -- KVCU"/>
    <m/>
    <n v="591.24"/>
  </r>
  <r>
    <x v="0"/>
    <x v="2"/>
    <x v="0"/>
    <x v="1"/>
    <s v="407600 -- STD HR PAY"/>
    <s v="12010513 -- KVCU"/>
    <m/>
    <n v="159.6"/>
  </r>
  <r>
    <x v="0"/>
    <x v="2"/>
    <x v="0"/>
    <x v="1"/>
    <s v="407600 -- STD HR PAY"/>
    <s v="12010513 -- KVCU"/>
    <m/>
    <n v="250.8"/>
  </r>
  <r>
    <x v="0"/>
    <x v="2"/>
    <x v="0"/>
    <x v="1"/>
    <s v="407600 -- STD HR PAY"/>
    <s v="12010513 -- KVCU"/>
    <m/>
    <n v="0"/>
  </r>
  <r>
    <x v="0"/>
    <x v="2"/>
    <x v="0"/>
    <x v="1"/>
    <s v="407600 -- STD HR PAY"/>
    <s v="12010513 -- KVCU"/>
    <m/>
    <n v="461.7"/>
  </r>
  <r>
    <x v="0"/>
    <x v="2"/>
    <x v="0"/>
    <x v="1"/>
    <s v="407600 -- STD HR PAY"/>
    <s v="12010513 -- KVCU"/>
    <m/>
    <n v="535.79999999999995"/>
  </r>
  <r>
    <x v="0"/>
    <x v="2"/>
    <x v="0"/>
    <x v="1"/>
    <s v="407600 -- STD HR PAY"/>
    <s v="12010513 -- KVCU"/>
    <m/>
    <n v="763.8"/>
  </r>
  <r>
    <x v="0"/>
    <x v="2"/>
    <x v="0"/>
    <x v="1"/>
    <s v="407600 -- STD HR PAY"/>
    <s v="12010513 -- KVCU"/>
    <m/>
    <n v="444.6"/>
  </r>
  <r>
    <x v="0"/>
    <x v="2"/>
    <x v="0"/>
    <x v="1"/>
    <s v="407600 -- STD HR PAY"/>
    <s v="12010513 -- KVCU"/>
    <m/>
    <n v="665.15"/>
  </r>
  <r>
    <x v="0"/>
    <x v="2"/>
    <x v="0"/>
    <x v="1"/>
    <s v="407600 -- STD HR PAY"/>
    <s v="12010513 -- KVCU"/>
    <m/>
    <n v="389.42"/>
  </r>
  <r>
    <x v="0"/>
    <x v="2"/>
    <x v="0"/>
    <x v="1"/>
    <s v="407600 -- STD HR PAY"/>
    <s v="12010513 -- KVCU"/>
    <m/>
    <n v="469.01"/>
  </r>
  <r>
    <x v="0"/>
    <x v="2"/>
    <x v="0"/>
    <x v="1"/>
    <s v="407600 -- STD HR PAY"/>
    <s v="12010513 -- KVCU"/>
    <m/>
    <n v="1387.14"/>
  </r>
  <r>
    <x v="0"/>
    <x v="2"/>
    <x v="0"/>
    <x v="1"/>
    <s v="407600 -- STD HR PAY"/>
    <s v="12010513 -- KVCU"/>
    <m/>
    <n v="272.88"/>
  </r>
  <r>
    <x v="0"/>
    <x v="2"/>
    <x v="0"/>
    <x v="1"/>
    <s v="407600 -- STD HR PAY"/>
    <s v="12010513 -- KVCU"/>
    <m/>
    <n v="250.14"/>
  </r>
  <r>
    <x v="0"/>
    <x v="2"/>
    <x v="0"/>
    <x v="1"/>
    <s v="407600 -- STD HR PAY"/>
    <s v="12010513 -- KVCU"/>
    <m/>
    <n v="181.92"/>
  </r>
  <r>
    <x v="0"/>
    <x v="2"/>
    <x v="0"/>
    <x v="1"/>
    <s v="407600 -- STD HR PAY"/>
    <s v="12010513 -- KVCU"/>
    <m/>
    <n v="352.47"/>
  </r>
  <r>
    <x v="0"/>
    <x v="2"/>
    <x v="0"/>
    <x v="1"/>
    <s v="407600 -- STD HR PAY"/>
    <s v="12010513 -- KVCU"/>
    <m/>
    <n v="153.5"/>
  </r>
  <r>
    <x v="0"/>
    <x v="2"/>
    <x v="0"/>
    <x v="1"/>
    <s v="407600 -- STD HR PAY"/>
    <s v="12010513 -- KVCU"/>
    <m/>
    <n v="415.01"/>
  </r>
  <r>
    <x v="0"/>
    <x v="2"/>
    <x v="0"/>
    <x v="1"/>
    <s v="407600 -- STD HR PAY"/>
    <s v="12010513 -- KVCU"/>
    <m/>
    <n v="283.05"/>
  </r>
  <r>
    <x v="0"/>
    <x v="2"/>
    <x v="0"/>
    <x v="1"/>
    <s v="407600 -- STD HR PAY"/>
    <s v="12010513 -- KVCU"/>
    <m/>
    <n v="333"/>
  </r>
  <r>
    <x v="0"/>
    <x v="2"/>
    <x v="0"/>
    <x v="1"/>
    <s v="407600 -- STD HR PAY"/>
    <s v="12010513 -- KVCU"/>
    <m/>
    <n v="421.8"/>
  </r>
  <r>
    <x v="0"/>
    <x v="2"/>
    <x v="0"/>
    <x v="1"/>
    <s v="407600 -- STD HR PAY"/>
    <s v="12010513 -- KVCU"/>
    <m/>
    <n v="449.55"/>
  </r>
  <r>
    <x v="0"/>
    <x v="2"/>
    <x v="0"/>
    <x v="1"/>
    <s v="407600 -- STD HR PAY"/>
    <s v="12010513 -- KVCU"/>
    <m/>
    <n v="327.45"/>
  </r>
  <r>
    <x v="0"/>
    <x v="2"/>
    <x v="0"/>
    <x v="1"/>
    <s v="407600 -- STD HR PAY"/>
    <s v="12010513 -- KVCU"/>
    <m/>
    <n v="458.85"/>
  </r>
  <r>
    <x v="0"/>
    <x v="2"/>
    <x v="0"/>
    <x v="1"/>
    <s v="407600 -- STD HR PAY"/>
    <s v="12010513 -- KVCU"/>
    <m/>
    <n v="444.6"/>
  </r>
  <r>
    <x v="0"/>
    <x v="2"/>
    <x v="0"/>
    <x v="1"/>
    <s v="407600 -- STD HR PAY"/>
    <s v="12010513 -- KVCU"/>
    <m/>
    <n v="364.8"/>
  </r>
  <r>
    <x v="0"/>
    <x v="2"/>
    <x v="0"/>
    <x v="1"/>
    <s v="407600 -- STD HR PAY"/>
    <s v="12010513 -- KVCU"/>
    <m/>
    <n v="718.2"/>
  </r>
  <r>
    <x v="0"/>
    <x v="2"/>
    <x v="0"/>
    <x v="1"/>
    <s v="407600 -- STD HR PAY"/>
    <s v="12010513 -- KVCU"/>
    <m/>
    <n v="393.3"/>
  </r>
  <r>
    <x v="0"/>
    <x v="2"/>
    <x v="0"/>
    <x v="1"/>
    <s v="407600 -- STD HR PAY"/>
    <s v="12010513 -- KVCU"/>
    <m/>
    <n v="57"/>
  </r>
  <r>
    <x v="0"/>
    <x v="2"/>
    <x v="0"/>
    <x v="1"/>
    <s v="407600 -- STD HR PAY"/>
    <s v="12010513 -- KVCU"/>
    <m/>
    <n v="60"/>
  </r>
  <r>
    <x v="0"/>
    <x v="2"/>
    <x v="0"/>
    <x v="1"/>
    <s v="407600 -- STD HR PAY"/>
    <s v="12010513 -- KVCU"/>
    <m/>
    <n v="246"/>
  </r>
  <r>
    <x v="0"/>
    <x v="2"/>
    <x v="0"/>
    <x v="2"/>
    <s v="427500 -- STD HR BEN GEN BDG"/>
    <s v="12010513 -- KVCU"/>
    <n v="882"/>
    <m/>
  </r>
  <r>
    <x v="0"/>
    <x v="2"/>
    <x v="0"/>
    <x v="2"/>
    <s v="428301 -- ALL STD/OTH PER FRINGE BEN"/>
    <s v="12010513 -- KVCU"/>
    <m/>
    <n v="32.97"/>
  </r>
  <r>
    <x v="0"/>
    <x v="2"/>
    <x v="0"/>
    <x v="2"/>
    <s v="428301 -- ALL STD/OTH PER FRINGE BEN"/>
    <s v="12010513 -- KVCU"/>
    <m/>
    <n v="31.5"/>
  </r>
  <r>
    <x v="0"/>
    <x v="2"/>
    <x v="0"/>
    <x v="2"/>
    <s v="428301 -- ALL STD/OTH PER FRINGE BEN"/>
    <s v="12010513 -- KVCU"/>
    <m/>
    <n v="97.46"/>
  </r>
  <r>
    <x v="0"/>
    <x v="2"/>
    <x v="0"/>
    <x v="16"/>
    <s v="450100 -- COST OF GOODS SOLD GEN BUDGET"/>
    <s v="12010513 -- KVCU"/>
    <n v="7652"/>
    <m/>
  </r>
  <r>
    <x v="0"/>
    <x v="2"/>
    <x v="0"/>
    <x v="3"/>
    <s v="460000 -- OPERATING EXPENSE GEN BUDGET"/>
    <s v="12010513 -- KVCU"/>
    <n v="40181"/>
    <m/>
  </r>
  <r>
    <x v="0"/>
    <x v="2"/>
    <x v="0"/>
    <x v="4"/>
    <s v="487602 -- PRT/PUB/REPRO SERVICES"/>
    <s v="12010513 -- KVCU"/>
    <m/>
    <n v="1.8"/>
  </r>
  <r>
    <x v="0"/>
    <x v="2"/>
    <x v="0"/>
    <x v="5"/>
    <s v="500214 -- IT CONNECTIVITY FEE"/>
    <s v="12010513 -- KVCU"/>
    <m/>
    <m/>
  </r>
  <r>
    <x v="0"/>
    <x v="2"/>
    <x v="0"/>
    <x v="5"/>
    <s v="500214 -- IT CONNECTIVITY FEE"/>
    <s v="12010513 -- KVCU"/>
    <m/>
    <n v="65.33"/>
  </r>
  <r>
    <x v="0"/>
    <x v="2"/>
    <x v="0"/>
    <x v="5"/>
    <s v="500214 -- IT CONNECTIVITY FEE"/>
    <s v="12010513 -- KVCU"/>
    <m/>
    <m/>
  </r>
  <r>
    <x v="0"/>
    <x v="2"/>
    <x v="0"/>
    <x v="5"/>
    <s v="500214 -- IT CONNECTIVITY FEE"/>
    <s v="12010513 -- KVCU"/>
    <m/>
    <n v="65.33"/>
  </r>
  <r>
    <x v="0"/>
    <x v="2"/>
    <x v="0"/>
    <x v="5"/>
    <s v="500214 -- IT CONNECTIVITY FEE"/>
    <s v="12010513 -- KVCU"/>
    <m/>
    <m/>
  </r>
  <r>
    <x v="0"/>
    <x v="2"/>
    <x v="0"/>
    <x v="5"/>
    <s v="500214 -- IT CONNECTIVITY FEE"/>
    <s v="12010513 -- KVCU"/>
    <m/>
    <m/>
  </r>
  <r>
    <x v="0"/>
    <x v="2"/>
    <x v="0"/>
    <x v="5"/>
    <s v="500214 -- IT CONNECTIVITY FEE"/>
    <s v="12010513 -- KVCU"/>
    <m/>
    <n v="65.33"/>
  </r>
  <r>
    <x v="0"/>
    <x v="2"/>
    <x v="0"/>
    <x v="5"/>
    <s v="500400 -- IT SOFTWARE LICENSES"/>
    <s v="12010513 -- KVCU"/>
    <m/>
    <n v="2415"/>
  </r>
  <r>
    <x v="0"/>
    <x v="2"/>
    <x v="0"/>
    <x v="5"/>
    <s v="501100 -- IT VIDEO/VOICE HRDWARE &lt; $5000"/>
    <s v="12010513 -- KVCU"/>
    <m/>
    <n v="199.99"/>
  </r>
  <r>
    <x v="0"/>
    <x v="2"/>
    <x v="0"/>
    <x v="6"/>
    <s v="510100 -- DUES/MEMBER-PROF ORGANIZATIONS"/>
    <s v="12010513 -- KVCU"/>
    <m/>
    <n v="150"/>
  </r>
  <r>
    <x v="0"/>
    <x v="2"/>
    <x v="0"/>
    <x v="6"/>
    <s v="510300 -- LICENSES"/>
    <s v="12010513 -- KVCU"/>
    <m/>
    <n v="926"/>
  </r>
  <r>
    <x v="0"/>
    <x v="2"/>
    <x v="0"/>
    <x v="6"/>
    <s v="510300 -- LICENSES"/>
    <s v="12010513 -- KVCU"/>
    <m/>
    <n v="159"/>
  </r>
  <r>
    <x v="0"/>
    <x v="2"/>
    <x v="0"/>
    <x v="6"/>
    <s v="515109 -- BUILDING MAINT AND REPAIR"/>
    <s v="12010512 -- KVCU"/>
    <m/>
    <n v="3016"/>
  </r>
  <r>
    <x v="0"/>
    <x v="2"/>
    <x v="0"/>
    <x v="6"/>
    <s v="515109 -- BUILDING MAINT AND REPAIR"/>
    <s v="12010512 -- KVCU"/>
    <m/>
    <n v="1975"/>
  </r>
  <r>
    <x v="0"/>
    <x v="2"/>
    <x v="0"/>
    <x v="6"/>
    <s v="552601 -- OTHER OPERATING SUPPLIES"/>
    <s v="12010513 -- KVCU"/>
    <m/>
    <n v="385"/>
  </r>
  <r>
    <x v="0"/>
    <x v="2"/>
    <x v="0"/>
    <x v="6"/>
    <s v="552601 -- OTHER OPERATING SUPPLIES"/>
    <s v="12010513 -- KVCU"/>
    <m/>
    <n v="158.03"/>
  </r>
  <r>
    <x v="0"/>
    <x v="2"/>
    <x v="0"/>
    <x v="6"/>
    <s v="552601 -- OTHER OPERATING SUPPLIES"/>
    <s v="12010513 -- KVCU"/>
    <m/>
    <n v="51.96"/>
  </r>
  <r>
    <x v="0"/>
    <x v="2"/>
    <x v="0"/>
    <x v="6"/>
    <s v="552603 -- OTHR OPERATING EQUIP RENTAL"/>
    <s v="12010513 -- KVCU"/>
    <m/>
    <m/>
  </r>
  <r>
    <x v="0"/>
    <x v="2"/>
    <x v="0"/>
    <x v="6"/>
    <s v="552603 -- OTHR OPERATING EQUIP RENTAL"/>
    <s v="12010513 -- KVCU"/>
    <m/>
    <n v="-600"/>
  </r>
  <r>
    <x v="0"/>
    <x v="2"/>
    <x v="0"/>
    <x v="6"/>
    <s v="552603 -- OTHR OPERATING EQUIP RENTAL"/>
    <s v="12010513 -- KVCU"/>
    <m/>
    <m/>
  </r>
  <r>
    <x v="0"/>
    <x v="2"/>
    <x v="0"/>
    <x v="6"/>
    <s v="552603 -- OTHR OPERATING EQUIP RENTAL"/>
    <s v="12010513 -- KVCU"/>
    <m/>
    <n v="600"/>
  </r>
  <r>
    <x v="0"/>
    <x v="2"/>
    <x v="0"/>
    <x v="6"/>
    <s v="552603 -- OTHR OPERATING EQUIP RENTAL"/>
    <s v="12010513 -- KVCU"/>
    <m/>
    <m/>
  </r>
  <r>
    <x v="0"/>
    <x v="2"/>
    <x v="0"/>
    <x v="6"/>
    <s v="552603 -- OTHR OPERATING EQUIP RENTAL"/>
    <s v="12010513 -- KVCU"/>
    <m/>
    <n v="600"/>
  </r>
  <r>
    <x v="0"/>
    <x v="2"/>
    <x v="0"/>
    <x v="6"/>
    <s v="552603 -- OTHR OPERATING EQUIP RENTAL"/>
    <s v="12010513 -- KVCU"/>
    <m/>
    <m/>
  </r>
  <r>
    <x v="0"/>
    <x v="2"/>
    <x v="0"/>
    <x v="6"/>
    <s v="552603 -- OTHR OPERATING EQUIP RENTAL"/>
    <s v="12010513 -- KVCU"/>
    <m/>
    <n v="600"/>
  </r>
  <r>
    <x v="0"/>
    <x v="2"/>
    <x v="0"/>
    <x v="7"/>
    <s v="700000 -- TRAVEL GENERAL BUDGET"/>
    <s v="12010513 -- KVCU"/>
    <n v="7652"/>
    <m/>
  </r>
  <r>
    <x v="0"/>
    <x v="2"/>
    <x v="0"/>
    <x v="17"/>
    <s v="750300 -- ELECTRICITY"/>
    <s v="12010513 -- KVCU"/>
    <m/>
    <n v="746.53"/>
  </r>
  <r>
    <x v="0"/>
    <x v="2"/>
    <x v="0"/>
    <x v="17"/>
    <s v="750300 -- ELECTRICITY"/>
    <s v="12010513 -- KVCU"/>
    <m/>
    <n v="730.77"/>
  </r>
  <r>
    <x v="0"/>
    <x v="2"/>
    <x v="0"/>
    <x v="9"/>
    <s v="960100 -- GENERAL ADMIN RECHARGE"/>
    <s v="12010513 -- KVCU"/>
    <n v="9640"/>
    <m/>
  </r>
  <r>
    <x v="0"/>
    <x v="2"/>
    <x v="0"/>
    <x v="9"/>
    <s v="960100 -- GENERAL ADMIN RECHARGE"/>
    <s v="12010513 -- KVCU"/>
    <m/>
    <n v="-130.44999999999999"/>
  </r>
  <r>
    <x v="0"/>
    <x v="2"/>
    <x v="0"/>
    <x v="9"/>
    <s v="960100 -- GENERAL ADMIN RECHARGE"/>
    <s v="12010513 -- KVCU"/>
    <m/>
    <n v="260.89999999999998"/>
  </r>
  <r>
    <x v="0"/>
    <x v="2"/>
    <x v="0"/>
    <x v="9"/>
    <s v="960100 -- GENERAL ADMIN RECHARGE"/>
    <s v="12010513 -- KVCU"/>
    <m/>
    <n v="-216.11"/>
  </r>
  <r>
    <x v="0"/>
    <x v="2"/>
    <x v="0"/>
    <x v="9"/>
    <s v="960100 -- GENERAL ADMIN RECHARGE"/>
    <s v="12010513 -- KVCU"/>
    <m/>
    <n v="432.22"/>
  </r>
  <r>
    <x v="0"/>
    <x v="2"/>
    <x v="0"/>
    <x v="9"/>
    <s v="960100 -- GENERAL ADMIN RECHARGE"/>
    <s v="12010513 -- KVCU"/>
    <m/>
    <n v="-437.2"/>
  </r>
  <r>
    <x v="0"/>
    <x v="2"/>
    <x v="0"/>
    <x v="9"/>
    <s v="960100 -- GENERAL ADMIN RECHARGE"/>
    <s v="12010512 -- KVCU"/>
    <m/>
    <n v="-176.18"/>
  </r>
  <r>
    <x v="0"/>
    <x v="2"/>
    <x v="0"/>
    <x v="9"/>
    <s v="960100 -- GENERAL ADMIN RECHARGE"/>
    <s v="12010513 -- KVCU"/>
    <m/>
    <n v="874.4"/>
  </r>
  <r>
    <x v="0"/>
    <x v="2"/>
    <x v="0"/>
    <x v="9"/>
    <s v="960100 -- GENERAL ADMIN RECHARGE"/>
    <s v="12010512 -- KVCU"/>
    <m/>
    <n v="352.37"/>
  </r>
  <r>
    <x v="0"/>
    <x v="2"/>
    <x v="0"/>
    <x v="10"/>
    <s v="960200 -- GENERAL INFRASTRUCT RECHARGE"/>
    <s v="12010513 -- KVCU"/>
    <n v="846"/>
    <m/>
  </r>
  <r>
    <x v="0"/>
    <x v="2"/>
    <x v="0"/>
    <x v="10"/>
    <s v="960200 -- GENERAL INFRASTRUCT RECHARGE"/>
    <s v="12010513 -- KVCU"/>
    <m/>
    <n v="22.91"/>
  </r>
  <r>
    <x v="0"/>
    <x v="2"/>
    <x v="0"/>
    <x v="10"/>
    <s v="960200 -- GENERAL INFRASTRUCT RECHARGE"/>
    <s v="12010513 -- KVCU"/>
    <m/>
    <n v="37.96"/>
  </r>
  <r>
    <x v="0"/>
    <x v="2"/>
    <x v="0"/>
    <x v="10"/>
    <s v="960200 -- GENERAL INFRASTRUCT RECHARGE"/>
    <s v="12010513 -- KVCU"/>
    <m/>
    <n v="76.790000000000006"/>
  </r>
  <r>
    <x v="0"/>
    <x v="2"/>
    <x v="0"/>
    <x v="10"/>
    <s v="960200 -- GENERAL INFRASTRUCT RECHARGE"/>
    <s v="12010512 -- KVCU"/>
    <m/>
    <n v="30.94"/>
  </r>
  <r>
    <x v="0"/>
    <x v="2"/>
    <x v="0"/>
    <x v="8"/>
    <s v="960402 -- CSI GENERAL ADMIN RECHARGE"/>
    <s v="12010513 -- KVCU"/>
    <m/>
    <n v="130.44999999999999"/>
  </r>
  <r>
    <x v="0"/>
    <x v="2"/>
    <x v="0"/>
    <x v="8"/>
    <s v="960402 -- CSI GENERAL ADMIN RECHARGE"/>
    <s v="12010513 -- KVCU"/>
    <m/>
    <n v="216.11"/>
  </r>
  <r>
    <x v="0"/>
    <x v="2"/>
    <x v="0"/>
    <x v="8"/>
    <s v="960402 -- CSI GENERAL ADMIN RECHARGE"/>
    <s v="12010513 -- KVCU"/>
    <m/>
    <n v="437.2"/>
  </r>
  <r>
    <x v="0"/>
    <x v="2"/>
    <x v="0"/>
    <x v="8"/>
    <s v="960402 -- CSI GENERAL ADMIN RECHARGE"/>
    <s v="12010512 -- KVCU"/>
    <m/>
    <n v="176.18"/>
  </r>
  <r>
    <x v="0"/>
    <x v="2"/>
    <x v="0"/>
    <x v="11"/>
    <s v="997100 -- CASH TRANSFER OUT W/IN CAMPUS"/>
    <s v="12010512 -- KVCU"/>
    <m/>
    <n v="37265"/>
  </r>
  <r>
    <x v="0"/>
    <x v="2"/>
    <x v="1"/>
    <x v="1"/>
    <s v="407600 -- STD HR PAY"/>
    <s v="12010513 -- KVCU"/>
    <m/>
    <n v="99.49"/>
  </r>
  <r>
    <x v="0"/>
    <x v="2"/>
    <x v="1"/>
    <x v="1"/>
    <s v="407600 -- STD HR PAY"/>
    <s v="12010513 -- KVCU"/>
    <m/>
    <n v="184.76"/>
  </r>
  <r>
    <x v="0"/>
    <x v="2"/>
    <x v="1"/>
    <x v="1"/>
    <s v="407600 -- STD HR PAY"/>
    <s v="12010513 -- KVCU"/>
    <m/>
    <n v="65.38"/>
  </r>
  <r>
    <x v="0"/>
    <x v="2"/>
    <x v="1"/>
    <x v="1"/>
    <s v="407600 -- STD HR PAY"/>
    <s v="12010513 -- KVCU"/>
    <m/>
    <n v="224.56"/>
  </r>
  <r>
    <x v="0"/>
    <x v="2"/>
    <x v="1"/>
    <x v="1"/>
    <s v="407600 -- STD HR PAY"/>
    <s v="12010513 -- KVCU"/>
    <m/>
    <n v="275.72000000000003"/>
  </r>
  <r>
    <x v="0"/>
    <x v="2"/>
    <x v="1"/>
    <x v="1"/>
    <s v="407600 -- STD HR PAY"/>
    <s v="12010513 -- KVCU"/>
    <m/>
    <n v="113.7"/>
  </r>
  <r>
    <x v="0"/>
    <x v="2"/>
    <x v="1"/>
    <x v="1"/>
    <s v="407600 -- STD HR PAY"/>
    <s v="12010513 -- KVCU"/>
    <m/>
    <n v="210.35"/>
  </r>
  <r>
    <x v="0"/>
    <x v="2"/>
    <x v="1"/>
    <x v="1"/>
    <s v="407600 -- STD HR PAY"/>
    <s v="12010513 -- KVCU"/>
    <m/>
    <n v="176.24"/>
  </r>
  <r>
    <x v="0"/>
    <x v="2"/>
    <x v="1"/>
    <x v="1"/>
    <s v="407600 -- STD HR PAY"/>
    <s v="12010513 -- KVCU"/>
    <m/>
    <n v="210.35"/>
  </r>
  <r>
    <x v="0"/>
    <x v="2"/>
    <x v="1"/>
    <x v="1"/>
    <s v="407600 -- STD HR PAY"/>
    <s v="12010513 -- KVCU"/>
    <m/>
    <n v="170.55"/>
  </r>
  <r>
    <x v="0"/>
    <x v="2"/>
    <x v="1"/>
    <x v="1"/>
    <s v="407600 -- STD HR PAY"/>
    <s v="12010513 -- KVCU"/>
    <m/>
    <n v="204.66"/>
  </r>
  <r>
    <x v="0"/>
    <x v="2"/>
    <x v="1"/>
    <x v="1"/>
    <s v="407600 -- STD HR PAY"/>
    <s v="12010513 -- KVCU"/>
    <m/>
    <n v="176.24"/>
  </r>
  <r>
    <x v="0"/>
    <x v="2"/>
    <x v="1"/>
    <x v="1"/>
    <s v="407600 -- STD HR PAY"/>
    <s v="12010513 -- KVCU"/>
    <m/>
    <n v="90.96"/>
  </r>
  <r>
    <x v="0"/>
    <x v="2"/>
    <x v="1"/>
    <x v="1"/>
    <s v="407600 -- STD HR PAY"/>
    <s v="12010513 -- KVCU"/>
    <m/>
    <n v="181.92"/>
  </r>
  <r>
    <x v="0"/>
    <x v="2"/>
    <x v="1"/>
    <x v="1"/>
    <s v="407600 -- STD HR PAY"/>
    <s v="12010513 -- KVCU"/>
    <m/>
    <n v="285"/>
  </r>
  <r>
    <x v="0"/>
    <x v="2"/>
    <x v="1"/>
    <x v="1"/>
    <s v="407600 -- STD HR PAY"/>
    <s v="12010513 -- KVCU"/>
    <m/>
    <n v="239.4"/>
  </r>
  <r>
    <x v="0"/>
    <x v="2"/>
    <x v="1"/>
    <x v="1"/>
    <s v="407600 -- STD HR PAY"/>
    <s v="12010513 -- KVCU"/>
    <m/>
    <n v="250.8"/>
  </r>
  <r>
    <x v="0"/>
    <x v="2"/>
    <x v="1"/>
    <x v="1"/>
    <s v="407600 -- STD HR PAY"/>
    <s v="12010513 -- KVCU"/>
    <m/>
    <n v="159.6"/>
  </r>
  <r>
    <x v="0"/>
    <x v="2"/>
    <x v="1"/>
    <x v="1"/>
    <s v="407600 -- STD HR PAY"/>
    <s v="12010513 -- KVCU"/>
    <m/>
    <n v="182.4"/>
  </r>
  <r>
    <x v="0"/>
    <x v="2"/>
    <x v="1"/>
    <x v="1"/>
    <s v="407600 -- STD HR PAY"/>
    <s v="12010513 -- KVCU"/>
    <m/>
    <n v="114"/>
  </r>
  <r>
    <x v="0"/>
    <x v="2"/>
    <x v="1"/>
    <x v="1"/>
    <s v="407600 -- STD HR PAY"/>
    <s v="12010513 -- KVCU"/>
    <m/>
    <n v="262.2"/>
  </r>
  <r>
    <x v="0"/>
    <x v="2"/>
    <x v="1"/>
    <x v="1"/>
    <s v="407600 -- STD HR PAY"/>
    <s v="12010513 -- KVCU"/>
    <m/>
    <n v="410.4"/>
  </r>
  <r>
    <x v="0"/>
    <x v="2"/>
    <x v="1"/>
    <x v="1"/>
    <s v="407600 -- STD HR PAY"/>
    <s v="12010513 -- KVCU"/>
    <m/>
    <n v="433.2"/>
  </r>
  <r>
    <x v="0"/>
    <x v="2"/>
    <x v="1"/>
    <x v="1"/>
    <s v="407600 -- STD HR PAY"/>
    <s v="12010513 -- KVCU"/>
    <m/>
    <n v="484.5"/>
  </r>
  <r>
    <x v="0"/>
    <x v="2"/>
    <x v="1"/>
    <x v="1"/>
    <s v="407600 -- STD HR PAY"/>
    <s v="12010513 -- KVCU"/>
    <m/>
    <n v="456"/>
  </r>
  <r>
    <x v="0"/>
    <x v="2"/>
    <x v="1"/>
    <x v="1"/>
    <s v="407600 -- STD HR PAY"/>
    <s v="12010513 -- KVCU"/>
    <m/>
    <n v="433.2"/>
  </r>
  <r>
    <x v="0"/>
    <x v="2"/>
    <x v="1"/>
    <x v="1"/>
    <s v="407600 -- STD HR PAY"/>
    <s v="12010513 -- KVCU"/>
    <m/>
    <n v="457.88"/>
  </r>
  <r>
    <x v="0"/>
    <x v="2"/>
    <x v="1"/>
    <x v="1"/>
    <s v="407600 -- STD HR PAY"/>
    <s v="12010513 -- KVCU"/>
    <m/>
    <n v="369.08"/>
  </r>
  <r>
    <x v="0"/>
    <x v="2"/>
    <x v="1"/>
    <x v="1"/>
    <s v="407600 -- STD HR PAY"/>
    <s v="12010513 -- KVCU"/>
    <m/>
    <n v="432.9"/>
  </r>
  <r>
    <x v="0"/>
    <x v="2"/>
    <x v="1"/>
    <x v="1"/>
    <s v="407600 -- STD HR PAY"/>
    <s v="12010513 -- KVCU"/>
    <m/>
    <n v="66.599999999999994"/>
  </r>
  <r>
    <x v="0"/>
    <x v="2"/>
    <x v="1"/>
    <x v="1"/>
    <s v="407600 -- STD HR PAY"/>
    <s v="12010513 -- KVCU"/>
    <m/>
    <n v="216.03"/>
  </r>
  <r>
    <x v="0"/>
    <x v="2"/>
    <x v="1"/>
    <x v="1"/>
    <s v="407600 -- STD HR PAY"/>
    <s v="12010513 -- KVCU"/>
    <m/>
    <n v="227.4"/>
  </r>
  <r>
    <x v="0"/>
    <x v="2"/>
    <x v="1"/>
    <x v="1"/>
    <s v="407600 -- STD HR PAY"/>
    <s v="12010513 -- KVCU"/>
    <m/>
    <n v="261.51"/>
  </r>
  <r>
    <x v="0"/>
    <x v="2"/>
    <x v="1"/>
    <x v="1"/>
    <s v="407600 -- STD HR PAY"/>
    <s v="12010513 -- KVCU"/>
    <m/>
    <n v="250.14"/>
  </r>
  <r>
    <x v="0"/>
    <x v="2"/>
    <x v="1"/>
    <x v="1"/>
    <s v="407600 -- STD HR PAY"/>
    <s v="12010513 -- KVCU"/>
    <m/>
    <n v="289.94"/>
  </r>
  <r>
    <x v="0"/>
    <x v="2"/>
    <x v="1"/>
    <x v="1"/>
    <s v="407600 -- STD HR PAY"/>
    <s v="12010513 -- KVCU"/>
    <m/>
    <n v="244.46"/>
  </r>
  <r>
    <x v="0"/>
    <x v="2"/>
    <x v="1"/>
    <x v="1"/>
    <s v="407600 -- STD HR PAY"/>
    <s v="12010513 -- KVCU"/>
    <m/>
    <n v="301.31"/>
  </r>
  <r>
    <x v="0"/>
    <x v="2"/>
    <x v="1"/>
    <x v="1"/>
    <s v="407600 -- STD HR PAY"/>
    <s v="12010513 -- KVCU"/>
    <m/>
    <n v="260.85000000000002"/>
  </r>
  <r>
    <x v="0"/>
    <x v="2"/>
    <x v="1"/>
    <x v="1"/>
    <s v="407600 -- STD HR PAY"/>
    <s v="12010513 -- KVCU"/>
    <m/>
    <n v="260.85000000000002"/>
  </r>
  <r>
    <x v="0"/>
    <x v="2"/>
    <x v="1"/>
    <x v="1"/>
    <s v="407600 -- STD HR PAY"/>
    <s v="12010513 -- KVCU"/>
    <m/>
    <n v="260.85000000000002"/>
  </r>
  <r>
    <x v="0"/>
    <x v="2"/>
    <x v="1"/>
    <x v="1"/>
    <s v="407600 -- STD HR PAY"/>
    <s v="12010513 -- KVCU"/>
    <m/>
    <n v="244.2"/>
  </r>
  <r>
    <x v="0"/>
    <x v="2"/>
    <x v="1"/>
    <x v="1"/>
    <s v="407600 -- STD HR PAY"/>
    <s v="12010513 -- KVCU"/>
    <m/>
    <n v="266.39999999999998"/>
  </r>
  <r>
    <x v="0"/>
    <x v="2"/>
    <x v="1"/>
    <x v="1"/>
    <s v="407600 -- STD HR PAY"/>
    <s v="12010513 -- KVCU"/>
    <m/>
    <n v="260.85000000000002"/>
  </r>
  <r>
    <x v="0"/>
    <x v="2"/>
    <x v="1"/>
    <x v="1"/>
    <s v="407600 -- STD HR PAY"/>
    <s v="12010513 -- KVCU"/>
    <m/>
    <n v="266.39999999999998"/>
  </r>
  <r>
    <x v="0"/>
    <x v="2"/>
    <x v="1"/>
    <x v="1"/>
    <s v="407600 -- STD HR PAY"/>
    <s v="12010513 -- KVCU"/>
    <m/>
    <n v="91.2"/>
  </r>
  <r>
    <x v="0"/>
    <x v="2"/>
    <x v="1"/>
    <x v="1"/>
    <s v="407600 -- STD HR PAY"/>
    <s v="12010513 -- KVCU"/>
    <m/>
    <n v="57"/>
  </r>
  <r>
    <x v="0"/>
    <x v="2"/>
    <x v="1"/>
    <x v="1"/>
    <s v="407600 -- STD HR PAY"/>
    <s v="12010513 -- KVCU"/>
    <m/>
    <n v="94.05"/>
  </r>
  <r>
    <x v="0"/>
    <x v="2"/>
    <x v="1"/>
    <x v="1"/>
    <s v="407600 -- STD HR PAY"/>
    <s v="12010513 -- KVCU"/>
    <m/>
    <n v="122.55"/>
  </r>
  <r>
    <x v="0"/>
    <x v="2"/>
    <x v="1"/>
    <x v="1"/>
    <s v="407600 -- STD HR PAY"/>
    <s v="12010513 -- KVCU"/>
    <m/>
    <n v="139.65"/>
  </r>
  <r>
    <x v="0"/>
    <x v="2"/>
    <x v="1"/>
    <x v="1"/>
    <s v="407600 -- STD HR PAY"/>
    <s v="12010513 -- KVCU"/>
    <m/>
    <n v="79.8"/>
  </r>
  <r>
    <x v="0"/>
    <x v="2"/>
    <x v="1"/>
    <x v="1"/>
    <s v="407600 -- STD HR PAY"/>
    <s v="12010513 -- KVCU"/>
    <m/>
    <n v="427.5"/>
  </r>
  <r>
    <x v="0"/>
    <x v="2"/>
    <x v="1"/>
    <x v="1"/>
    <s v="407600 -- STD HR PAY"/>
    <s v="12010513 -- KVCU"/>
    <m/>
    <n v="498.75"/>
  </r>
  <r>
    <x v="0"/>
    <x v="2"/>
    <x v="1"/>
    <x v="1"/>
    <s v="407600 -- STD HR PAY"/>
    <s v="12010513 -- KVCU"/>
    <m/>
    <n v="324.89999999999998"/>
  </r>
  <r>
    <x v="0"/>
    <x v="2"/>
    <x v="1"/>
    <x v="1"/>
    <s v="407600 -- STD HR PAY"/>
    <s v="12010513 -- KVCU"/>
    <m/>
    <n v="387.6"/>
  </r>
  <r>
    <x v="0"/>
    <x v="2"/>
    <x v="1"/>
    <x v="1"/>
    <s v="407600 -- STD HR PAY"/>
    <s v="12010513 -- KVCU"/>
    <m/>
    <n v="473.1"/>
  </r>
  <r>
    <x v="0"/>
    <x v="2"/>
    <x v="1"/>
    <x v="1"/>
    <s v="407600 -- STD HR PAY"/>
    <s v="12010513 -- KVCU"/>
    <m/>
    <n v="575.70000000000005"/>
  </r>
  <r>
    <x v="0"/>
    <x v="2"/>
    <x v="1"/>
    <x v="1"/>
    <s v="407600 -- STD HR PAY"/>
    <s v="12010513 -- KVCU"/>
    <m/>
    <n v="473.1"/>
  </r>
  <r>
    <x v="0"/>
    <x v="2"/>
    <x v="1"/>
    <x v="1"/>
    <s v="407600 -- STD HR PAY"/>
    <s v="12010513 -- KVCU"/>
    <m/>
    <n v="136.80000000000001"/>
  </r>
  <r>
    <x v="0"/>
    <x v="2"/>
    <x v="1"/>
    <x v="1"/>
    <s v="407600 -- STD HR PAY"/>
    <s v="12010513 -- KVCU"/>
    <m/>
    <n v="205.2"/>
  </r>
  <r>
    <x v="0"/>
    <x v="2"/>
    <x v="1"/>
    <x v="1"/>
    <s v="407600 -- STD HR PAY"/>
    <s v="12010513 -- KVCU"/>
    <m/>
    <n v="79.8"/>
  </r>
  <r>
    <x v="0"/>
    <x v="2"/>
    <x v="1"/>
    <x v="1"/>
    <s v="407600 -- STD HR PAY"/>
    <s v="12010513 -- KVCU"/>
    <m/>
    <n v="219.45"/>
  </r>
  <r>
    <x v="0"/>
    <x v="2"/>
    <x v="1"/>
    <x v="1"/>
    <s v="407600 -- STD HR PAY"/>
    <s v="12010513 -- KVCU"/>
    <m/>
    <n v="279"/>
  </r>
  <r>
    <x v="0"/>
    <x v="2"/>
    <x v="1"/>
    <x v="1"/>
    <s v="407600 -- STD HR PAY"/>
    <s v="12010513 -- KVCU"/>
    <m/>
    <n v="180"/>
  </r>
  <r>
    <x v="0"/>
    <x v="2"/>
    <x v="1"/>
    <x v="1"/>
    <s v="407600 -- STD HR PAY"/>
    <s v="12010513 -- KVCU"/>
    <m/>
    <n v="267"/>
  </r>
  <r>
    <x v="0"/>
    <x v="2"/>
    <x v="1"/>
    <x v="1"/>
    <s v="407600 -- STD HR PAY"/>
    <s v="12010513 -- KVCU"/>
    <m/>
    <n v="249"/>
  </r>
  <r>
    <x v="0"/>
    <x v="2"/>
    <x v="1"/>
    <x v="1"/>
    <s v="407600 -- STD HR PAY"/>
    <s v="12010513 -- KVCU"/>
    <m/>
    <n v="237"/>
  </r>
  <r>
    <x v="0"/>
    <x v="2"/>
    <x v="1"/>
    <x v="1"/>
    <s v="407600 -- STD HR PAY"/>
    <s v="12010513 -- KVCU"/>
    <m/>
    <n v="150"/>
  </r>
  <r>
    <x v="0"/>
    <x v="2"/>
    <x v="1"/>
    <x v="1"/>
    <s v="407600 -- STD HR PAY"/>
    <s v="12010513 -- KVCU"/>
    <m/>
    <n v="192"/>
  </r>
  <r>
    <x v="0"/>
    <x v="2"/>
    <x v="1"/>
    <x v="2"/>
    <s v="428301 -- ALL STD/OTH PER FRINGE BEN"/>
    <s v="12010513 -- KVCU"/>
    <m/>
    <n v="49.91"/>
  </r>
  <r>
    <x v="0"/>
    <x v="2"/>
    <x v="1"/>
    <x v="2"/>
    <s v="428301 -- ALL STD/OTH PER FRINGE BEN"/>
    <s v="12010513 -- KVCU"/>
    <m/>
    <n v="84.56"/>
  </r>
  <r>
    <x v="0"/>
    <x v="2"/>
    <x v="1"/>
    <x v="2"/>
    <s v="428301 -- ALL STD/OTH PER FRINGE BEN"/>
    <s v="12010513 -- KVCU"/>
    <m/>
    <n v="52.24"/>
  </r>
  <r>
    <x v="0"/>
    <x v="2"/>
    <x v="1"/>
    <x v="5"/>
    <s v="500214 -- IT CONNECTIVITY FEE"/>
    <s v="12010513 -- KVCU"/>
    <m/>
    <n v="65.33"/>
  </r>
  <r>
    <x v="0"/>
    <x v="2"/>
    <x v="1"/>
    <x v="5"/>
    <s v="500214 -- IT CONNECTIVITY FEE"/>
    <s v="12010513 -- KVCU"/>
    <m/>
    <m/>
  </r>
  <r>
    <x v="0"/>
    <x v="2"/>
    <x v="1"/>
    <x v="5"/>
    <s v="500214 -- IT CONNECTIVITY FEE"/>
    <s v="12010513 -- KVCU"/>
    <m/>
    <n v="65.33"/>
  </r>
  <r>
    <x v="0"/>
    <x v="2"/>
    <x v="1"/>
    <x v="5"/>
    <s v="500214 -- IT CONNECTIVITY FEE"/>
    <s v="12010513 -- KVCU"/>
    <m/>
    <m/>
  </r>
  <r>
    <x v="0"/>
    <x v="2"/>
    <x v="1"/>
    <x v="5"/>
    <s v="500214 -- IT CONNECTIVITY FEE"/>
    <s v="12010513 -- KVCU"/>
    <m/>
    <n v="65.33"/>
  </r>
  <r>
    <x v="0"/>
    <x v="2"/>
    <x v="1"/>
    <x v="5"/>
    <s v="500214 -- IT CONNECTIVITY FEE"/>
    <s v="12010513 -- KVCU"/>
    <m/>
    <m/>
  </r>
  <r>
    <x v="0"/>
    <x v="2"/>
    <x v="1"/>
    <x v="13"/>
    <s v="502600 -- BUILDING RENTALS"/>
    <s v="12010513 -- KVCU"/>
    <m/>
    <n v="6500"/>
  </r>
  <r>
    <x v="0"/>
    <x v="2"/>
    <x v="1"/>
    <x v="13"/>
    <s v="502899 -- ID RENTALS"/>
    <s v="12010513 -- KVCU"/>
    <m/>
    <n v="152"/>
  </r>
  <r>
    <x v="0"/>
    <x v="2"/>
    <x v="1"/>
    <x v="6"/>
    <s v="552601 -- OTHER OPERATING SUPPLIES"/>
    <s v="12010513 -- KVCU"/>
    <m/>
    <n v="123.93"/>
  </r>
  <r>
    <x v="0"/>
    <x v="2"/>
    <x v="1"/>
    <x v="6"/>
    <s v="552603 -- OTHR OPERATING EQUIP RENTAL"/>
    <s v="12010513 -- KVCU"/>
    <m/>
    <m/>
  </r>
  <r>
    <x v="0"/>
    <x v="2"/>
    <x v="1"/>
    <x v="6"/>
    <s v="552603 -- OTHR OPERATING EQUIP RENTAL"/>
    <s v="12010513 -- KVCU"/>
    <m/>
    <n v="600"/>
  </r>
  <r>
    <x v="0"/>
    <x v="2"/>
    <x v="1"/>
    <x v="6"/>
    <s v="552603 -- OTHR OPERATING EQUIP RENTAL"/>
    <s v="12010513 -- KVCU"/>
    <m/>
    <m/>
  </r>
  <r>
    <x v="0"/>
    <x v="2"/>
    <x v="1"/>
    <x v="6"/>
    <s v="552603 -- OTHR OPERATING EQUIP RENTAL"/>
    <s v="12010513 -- KVCU"/>
    <m/>
    <n v="600"/>
  </r>
  <r>
    <x v="0"/>
    <x v="2"/>
    <x v="1"/>
    <x v="6"/>
    <s v="552603 -- OTHR OPERATING EQUIP RENTAL"/>
    <s v="12010513 -- KVCU"/>
    <m/>
    <m/>
  </r>
  <r>
    <x v="0"/>
    <x v="2"/>
    <x v="1"/>
    <x v="6"/>
    <s v="552603 -- OTHR OPERATING EQUIP RENTAL"/>
    <s v="12010513 -- KVCU"/>
    <m/>
    <n v="600"/>
  </r>
  <r>
    <x v="0"/>
    <x v="2"/>
    <x v="1"/>
    <x v="17"/>
    <s v="750300 -- ELECTRICITY"/>
    <s v="12010513 -- KVCU"/>
    <m/>
    <n v="699.31"/>
  </r>
  <r>
    <x v="0"/>
    <x v="2"/>
    <x v="1"/>
    <x v="17"/>
    <s v="750300 -- ELECTRICITY"/>
    <s v="12010513 -- KVCU"/>
    <m/>
    <n v="609.29999999999995"/>
  </r>
  <r>
    <x v="0"/>
    <x v="2"/>
    <x v="1"/>
    <x v="17"/>
    <s v="750300 -- ELECTRICITY"/>
    <s v="12010513 -- KVCU"/>
    <m/>
    <n v="630.16"/>
  </r>
  <r>
    <x v="0"/>
    <x v="2"/>
    <x v="1"/>
    <x v="9"/>
    <s v="960100 -- GENERAL ADMIN RECHARGE"/>
    <s v="12010513 -- KVCU"/>
    <m/>
    <n v="-439.56"/>
  </r>
  <r>
    <x v="0"/>
    <x v="2"/>
    <x v="1"/>
    <x v="9"/>
    <s v="960100 -- GENERAL ADMIN RECHARGE"/>
    <s v="12010513 -- KVCU"/>
    <m/>
    <n v="879.11"/>
  </r>
  <r>
    <x v="0"/>
    <x v="2"/>
    <x v="1"/>
    <x v="9"/>
    <s v="960100 -- GENERAL ADMIN RECHARGE"/>
    <s v="12010513 -- KVCU"/>
    <m/>
    <n v="-323.70999999999998"/>
  </r>
  <r>
    <x v="0"/>
    <x v="2"/>
    <x v="1"/>
    <x v="9"/>
    <s v="960100 -- GENERAL ADMIN RECHARGE"/>
    <s v="12010513 -- KVCU"/>
    <m/>
    <n v="647.42999999999995"/>
  </r>
  <r>
    <x v="0"/>
    <x v="2"/>
    <x v="1"/>
    <x v="9"/>
    <s v="960100 -- GENERAL ADMIN RECHARGE"/>
    <s v="12010513 -- KVCU"/>
    <m/>
    <n v="-220.57"/>
  </r>
  <r>
    <x v="0"/>
    <x v="2"/>
    <x v="1"/>
    <x v="9"/>
    <s v="960100 -- GENERAL ADMIN RECHARGE"/>
    <s v="12010513 -- KVCU"/>
    <m/>
    <n v="441.14"/>
  </r>
  <r>
    <x v="0"/>
    <x v="2"/>
    <x v="1"/>
    <x v="10"/>
    <s v="960200 -- GENERAL INFRASTRUCT RECHARGE"/>
    <s v="12010513 -- KVCU"/>
    <m/>
    <n v="77.2"/>
  </r>
  <r>
    <x v="0"/>
    <x v="2"/>
    <x v="1"/>
    <x v="10"/>
    <s v="960200 -- GENERAL INFRASTRUCT RECHARGE"/>
    <s v="12010513 -- KVCU"/>
    <m/>
    <n v="56.86"/>
  </r>
  <r>
    <x v="0"/>
    <x v="2"/>
    <x v="1"/>
    <x v="10"/>
    <s v="960200 -- GENERAL INFRASTRUCT RECHARGE"/>
    <s v="12010513 -- KVCU"/>
    <m/>
    <n v="38.74"/>
  </r>
  <r>
    <x v="0"/>
    <x v="2"/>
    <x v="1"/>
    <x v="8"/>
    <s v="960402 -- CSI GENERAL ADMIN RECHARGE"/>
    <s v="12010513 -- KVCU"/>
    <m/>
    <n v="439.56"/>
  </r>
  <r>
    <x v="0"/>
    <x v="2"/>
    <x v="1"/>
    <x v="8"/>
    <s v="960402 -- CSI GENERAL ADMIN RECHARGE"/>
    <s v="12010513 -- KVCU"/>
    <m/>
    <n v="323.70999999999998"/>
  </r>
  <r>
    <x v="0"/>
    <x v="2"/>
    <x v="1"/>
    <x v="8"/>
    <s v="960402 -- CSI GENERAL ADMIN RECHARGE"/>
    <s v="12010513 -- KVCU"/>
    <m/>
    <n v="220.57"/>
  </r>
  <r>
    <x v="0"/>
    <x v="2"/>
    <x v="2"/>
    <x v="0"/>
    <s v="220120 -- MANDATORY STUDENT FEES (CCHE)"/>
    <s v="12010513 -- KVCU"/>
    <m/>
    <n v="-73521"/>
  </r>
  <r>
    <x v="0"/>
    <x v="2"/>
    <x v="2"/>
    <x v="1"/>
    <s v="407600 -- STD HR PAY"/>
    <s v="12010513 -- KVCU"/>
    <m/>
    <n v="48"/>
  </r>
  <r>
    <x v="0"/>
    <x v="2"/>
    <x v="2"/>
    <x v="1"/>
    <s v="407600 -- STD HR PAY"/>
    <s v="12010513 -- KVCU"/>
    <m/>
    <n v="90"/>
  </r>
  <r>
    <x v="0"/>
    <x v="2"/>
    <x v="2"/>
    <x v="1"/>
    <s v="407600 -- STD HR PAY"/>
    <s v="12010513 -- KVCU"/>
    <m/>
    <n v="132"/>
  </r>
  <r>
    <x v="0"/>
    <x v="2"/>
    <x v="2"/>
    <x v="1"/>
    <s v="407600 -- STD HR PAY"/>
    <s v="12010513 -- KVCU"/>
    <m/>
    <n v="192"/>
  </r>
  <r>
    <x v="0"/>
    <x v="2"/>
    <x v="2"/>
    <x v="1"/>
    <s v="407600 -- STD HR PAY"/>
    <s v="12010513 -- KVCU"/>
    <m/>
    <n v="120"/>
  </r>
  <r>
    <x v="0"/>
    <x v="2"/>
    <x v="2"/>
    <x v="1"/>
    <s v="407600 -- STD HR PAY"/>
    <s v="12010513 -- KVCU"/>
    <m/>
    <n v="552"/>
  </r>
  <r>
    <x v="0"/>
    <x v="2"/>
    <x v="2"/>
    <x v="1"/>
    <s v="407600 -- STD HR PAY"/>
    <s v="12010513 -- KVCU"/>
    <m/>
    <n v="483"/>
  </r>
  <r>
    <x v="0"/>
    <x v="2"/>
    <x v="2"/>
    <x v="1"/>
    <s v="407600 -- STD HR PAY"/>
    <s v="12010513 -- KVCU"/>
    <m/>
    <n v="492"/>
  </r>
  <r>
    <x v="0"/>
    <x v="2"/>
    <x v="2"/>
    <x v="1"/>
    <s v="407600 -- STD HR PAY"/>
    <s v="12010513 -- KVCU"/>
    <m/>
    <n v="513"/>
  </r>
  <r>
    <x v="0"/>
    <x v="2"/>
    <x v="2"/>
    <x v="1"/>
    <s v="407600 -- STD HR PAY"/>
    <s v="12010513 -- KVCU"/>
    <m/>
    <n v="480"/>
  </r>
  <r>
    <x v="0"/>
    <x v="2"/>
    <x v="2"/>
    <x v="1"/>
    <s v="407600 -- STD HR PAY"/>
    <s v="12010513 -- KVCU"/>
    <m/>
    <n v="765.91"/>
  </r>
  <r>
    <x v="0"/>
    <x v="2"/>
    <x v="2"/>
    <x v="1"/>
    <s v="407600 -- STD HR PAY"/>
    <s v="12010513 -- KVCU"/>
    <m/>
    <n v="437.75"/>
  </r>
  <r>
    <x v="0"/>
    <x v="2"/>
    <x v="2"/>
    <x v="1"/>
    <s v="407600 -- STD HR PAY"/>
    <s v="12010513 -- KVCU"/>
    <m/>
    <n v="192"/>
  </r>
  <r>
    <x v="0"/>
    <x v="2"/>
    <x v="2"/>
    <x v="1"/>
    <s v="407600 -- STD HR PAY"/>
    <s v="12010513 -- KVCU"/>
    <m/>
    <n v="438"/>
  </r>
  <r>
    <x v="0"/>
    <x v="2"/>
    <x v="2"/>
    <x v="1"/>
    <s v="407600 -- STD HR PAY"/>
    <s v="12010513 -- KVCU"/>
    <m/>
    <n v="444"/>
  </r>
  <r>
    <x v="0"/>
    <x v="2"/>
    <x v="2"/>
    <x v="1"/>
    <s v="407600 -- STD HR PAY"/>
    <s v="12010513 -- KVCU"/>
    <m/>
    <n v="579"/>
  </r>
  <r>
    <x v="0"/>
    <x v="2"/>
    <x v="2"/>
    <x v="1"/>
    <s v="407600 -- STD HR PAY"/>
    <s v="12010513 -- KVCU"/>
    <m/>
    <n v="114"/>
  </r>
  <r>
    <x v="0"/>
    <x v="2"/>
    <x v="2"/>
    <x v="1"/>
    <s v="407600 -- STD HR PAY"/>
    <s v="12010513 -- KVCU"/>
    <m/>
    <n v="120"/>
  </r>
  <r>
    <x v="0"/>
    <x v="2"/>
    <x v="2"/>
    <x v="1"/>
    <s v="407600 -- STD HR PAY"/>
    <s v="12010513 -- KVCU"/>
    <m/>
    <n v="261"/>
  </r>
  <r>
    <x v="0"/>
    <x v="2"/>
    <x v="2"/>
    <x v="1"/>
    <s v="407600 -- STD HR PAY"/>
    <s v="12010513 -- KVCU"/>
    <m/>
    <n v="216"/>
  </r>
  <r>
    <x v="0"/>
    <x v="2"/>
    <x v="2"/>
    <x v="1"/>
    <s v="407600 -- STD HR PAY"/>
    <s v="12010513 -- KVCU"/>
    <m/>
    <n v="372"/>
  </r>
  <r>
    <x v="0"/>
    <x v="2"/>
    <x v="2"/>
    <x v="1"/>
    <s v="407600 -- STD HR PAY"/>
    <s v="12010513 -- KVCU"/>
    <m/>
    <n v="360"/>
  </r>
  <r>
    <x v="0"/>
    <x v="2"/>
    <x v="2"/>
    <x v="1"/>
    <s v="407600 -- STD HR PAY"/>
    <s v="12010513 -- KVCU"/>
    <m/>
    <n v="336"/>
  </r>
  <r>
    <x v="0"/>
    <x v="2"/>
    <x v="2"/>
    <x v="1"/>
    <s v="407600 -- STD HR PAY"/>
    <s v="12010513 -- KVCU"/>
    <m/>
    <n v="276"/>
  </r>
  <r>
    <x v="0"/>
    <x v="2"/>
    <x v="2"/>
    <x v="1"/>
    <s v="407600 -- STD HR PAY"/>
    <s v="12010513 -- KVCU"/>
    <m/>
    <n v="240"/>
  </r>
  <r>
    <x v="0"/>
    <x v="2"/>
    <x v="2"/>
    <x v="1"/>
    <s v="407600 -- STD HR PAY"/>
    <s v="12010513 -- KVCU"/>
    <m/>
    <n v="288"/>
  </r>
  <r>
    <x v="0"/>
    <x v="2"/>
    <x v="2"/>
    <x v="1"/>
    <s v="407600 -- STD HR PAY"/>
    <s v="12010513 -- KVCU"/>
    <m/>
    <n v="276"/>
  </r>
  <r>
    <x v="0"/>
    <x v="2"/>
    <x v="2"/>
    <x v="1"/>
    <s v="407600 -- STD HR PAY"/>
    <s v="12010513 -- KVCU"/>
    <m/>
    <n v="288"/>
  </r>
  <r>
    <x v="0"/>
    <x v="2"/>
    <x v="2"/>
    <x v="1"/>
    <s v="407600 -- STD HR PAY"/>
    <s v="12010513 -- KVCU"/>
    <m/>
    <n v="282"/>
  </r>
  <r>
    <x v="0"/>
    <x v="2"/>
    <x v="2"/>
    <x v="1"/>
    <s v="407600 -- STD HR PAY"/>
    <s v="12010513 -- KVCU"/>
    <m/>
    <n v="60"/>
  </r>
  <r>
    <x v="0"/>
    <x v="2"/>
    <x v="2"/>
    <x v="1"/>
    <s v="407600 -- STD HR PAY"/>
    <s v="12010513 -- KVCU"/>
    <m/>
    <n v="90"/>
  </r>
  <r>
    <x v="0"/>
    <x v="2"/>
    <x v="2"/>
    <x v="1"/>
    <s v="407600 -- STD HR PAY"/>
    <s v="12010513 -- KVCU"/>
    <m/>
    <n v="108"/>
  </r>
  <r>
    <x v="0"/>
    <x v="2"/>
    <x v="2"/>
    <x v="1"/>
    <s v="407600 -- STD HR PAY"/>
    <s v="12010513 -- KVCU"/>
    <m/>
    <n v="84"/>
  </r>
  <r>
    <x v="0"/>
    <x v="2"/>
    <x v="2"/>
    <x v="1"/>
    <s v="407600 -- STD HR PAY"/>
    <s v="12010513 -- KVCU"/>
    <m/>
    <n v="528"/>
  </r>
  <r>
    <x v="0"/>
    <x v="2"/>
    <x v="2"/>
    <x v="1"/>
    <s v="407600 -- STD HR PAY"/>
    <s v="12010513 -- KVCU"/>
    <m/>
    <n v="600"/>
  </r>
  <r>
    <x v="0"/>
    <x v="2"/>
    <x v="2"/>
    <x v="1"/>
    <s v="407600 -- STD HR PAY"/>
    <s v="12010513 -- KVCU"/>
    <m/>
    <n v="600"/>
  </r>
  <r>
    <x v="0"/>
    <x v="2"/>
    <x v="2"/>
    <x v="1"/>
    <s v="407600 -- STD HR PAY"/>
    <s v="12010513 -- KVCU"/>
    <m/>
    <n v="600"/>
  </r>
  <r>
    <x v="0"/>
    <x v="2"/>
    <x v="2"/>
    <x v="1"/>
    <s v="407600 -- STD HR PAY"/>
    <s v="12010513 -- KVCU"/>
    <m/>
    <n v="600"/>
  </r>
  <r>
    <x v="0"/>
    <x v="2"/>
    <x v="2"/>
    <x v="1"/>
    <s v="407600 -- STD HR PAY"/>
    <s v="12010513 -- KVCU"/>
    <m/>
    <n v="162"/>
  </r>
  <r>
    <x v="0"/>
    <x v="2"/>
    <x v="2"/>
    <x v="1"/>
    <s v="407600 -- STD HR PAY"/>
    <s v="12010513 -- KVCU"/>
    <m/>
    <n v="138"/>
  </r>
  <r>
    <x v="0"/>
    <x v="2"/>
    <x v="2"/>
    <x v="1"/>
    <s v="407600 -- STD HR PAY"/>
    <s v="12010513 -- KVCU"/>
    <m/>
    <n v="132"/>
  </r>
  <r>
    <x v="0"/>
    <x v="2"/>
    <x v="2"/>
    <x v="1"/>
    <s v="407600 -- STD HR PAY"/>
    <s v="12010513 -- KVCU"/>
    <m/>
    <n v="198"/>
  </r>
  <r>
    <x v="0"/>
    <x v="2"/>
    <x v="2"/>
    <x v="1"/>
    <s v="407600 -- STD HR PAY"/>
    <s v="12010513 -- KVCU"/>
    <m/>
    <n v="108"/>
  </r>
  <r>
    <x v="0"/>
    <x v="2"/>
    <x v="2"/>
    <x v="1"/>
    <s v="407600 -- STD HR PAY"/>
    <s v="12010513 -- KVCU"/>
    <m/>
    <n v="234"/>
  </r>
  <r>
    <x v="0"/>
    <x v="2"/>
    <x v="2"/>
    <x v="1"/>
    <s v="407600 -- STD HR PAY"/>
    <s v="12010513 -- KVCU"/>
    <m/>
    <n v="300"/>
  </r>
  <r>
    <x v="0"/>
    <x v="2"/>
    <x v="2"/>
    <x v="1"/>
    <s v="407600 -- STD HR PAY"/>
    <s v="12010513 -- KVCU"/>
    <m/>
    <n v="396"/>
  </r>
  <r>
    <x v="0"/>
    <x v="2"/>
    <x v="2"/>
    <x v="1"/>
    <s v="407600 -- STD HR PAY"/>
    <s v="12010513 -- KVCU"/>
    <m/>
    <n v="324"/>
  </r>
  <r>
    <x v="0"/>
    <x v="2"/>
    <x v="2"/>
    <x v="1"/>
    <s v="407600 -- STD HR PAY"/>
    <s v="12010513 -- KVCU"/>
    <m/>
    <n v="180"/>
  </r>
  <r>
    <x v="0"/>
    <x v="2"/>
    <x v="2"/>
    <x v="1"/>
    <s v="407600 -- STD HR PAY"/>
    <s v="12010513 -- KVCU"/>
    <m/>
    <n v="144"/>
  </r>
  <r>
    <x v="0"/>
    <x v="2"/>
    <x v="2"/>
    <x v="1"/>
    <s v="407600 -- STD HR PAY"/>
    <s v="12010513 -- KVCU"/>
    <m/>
    <n v="144"/>
  </r>
  <r>
    <x v="0"/>
    <x v="2"/>
    <x v="2"/>
    <x v="1"/>
    <s v="407600 -- STD HR PAY"/>
    <s v="12010513 -- KVCU"/>
    <m/>
    <n v="339"/>
  </r>
  <r>
    <x v="0"/>
    <x v="2"/>
    <x v="2"/>
    <x v="2"/>
    <s v="428301 -- ALL STD/OTH PER FRINGE BEN"/>
    <s v="12010513 -- KVCU"/>
    <m/>
    <n v="33.11"/>
  </r>
  <r>
    <x v="0"/>
    <x v="2"/>
    <x v="2"/>
    <x v="2"/>
    <s v="428301 -- ALL STD/OTH PER FRINGE BEN"/>
    <s v="12010513 -- KVCU"/>
    <m/>
    <n v="59.7"/>
  </r>
  <r>
    <x v="0"/>
    <x v="2"/>
    <x v="2"/>
    <x v="2"/>
    <s v="428301 -- ALL STD/OTH PER FRINGE BEN"/>
    <s v="12010513 -- KVCU"/>
    <m/>
    <n v="77.22"/>
  </r>
  <r>
    <x v="0"/>
    <x v="2"/>
    <x v="2"/>
    <x v="4"/>
    <s v="487602 -- PRT/PUB/REPRO SERVICES"/>
    <s v="12010513 -- KVCU"/>
    <m/>
    <n v="19.600000000000001"/>
  </r>
  <r>
    <x v="0"/>
    <x v="2"/>
    <x v="2"/>
    <x v="5"/>
    <s v="500214 -- IT CONNECTIVITY FEE"/>
    <s v="12010513 -- KVCU"/>
    <m/>
    <n v="65.33"/>
  </r>
  <r>
    <x v="0"/>
    <x v="2"/>
    <x v="2"/>
    <x v="5"/>
    <s v="500214 -- IT CONNECTIVITY FEE"/>
    <s v="12010513 -- KVCU"/>
    <m/>
    <m/>
  </r>
  <r>
    <x v="0"/>
    <x v="2"/>
    <x v="2"/>
    <x v="5"/>
    <s v="500214 -- IT CONNECTIVITY FEE"/>
    <s v="12010513 -- KVCU"/>
    <m/>
    <n v="65.33"/>
  </r>
  <r>
    <x v="0"/>
    <x v="2"/>
    <x v="2"/>
    <x v="5"/>
    <s v="500214 -- IT CONNECTIVITY FEE"/>
    <s v="12010513 -- KVCU"/>
    <m/>
    <m/>
  </r>
  <r>
    <x v="0"/>
    <x v="2"/>
    <x v="2"/>
    <x v="5"/>
    <s v="500214 -- IT CONNECTIVITY FEE"/>
    <s v="12010513 -- KVCU"/>
    <m/>
    <n v="65.33"/>
  </r>
  <r>
    <x v="0"/>
    <x v="2"/>
    <x v="2"/>
    <x v="5"/>
    <s v="500214 -- IT CONNECTIVITY FEE"/>
    <s v="12010513 -- KVCU"/>
    <m/>
    <m/>
  </r>
  <r>
    <x v="0"/>
    <x v="2"/>
    <x v="2"/>
    <x v="5"/>
    <s v="500500 -- IT MAINTENANCE AGREEMENTS"/>
    <s v="12010513 -- KVCU"/>
    <m/>
    <n v="7.99"/>
  </r>
  <r>
    <x v="0"/>
    <x v="2"/>
    <x v="2"/>
    <x v="5"/>
    <s v="500800 -- COMPUTERS (BUNDLED&lt; $5000)"/>
    <s v="12010513 -- KVCU"/>
    <m/>
    <n v="803.74"/>
  </r>
  <r>
    <x v="0"/>
    <x v="2"/>
    <x v="2"/>
    <x v="5"/>
    <s v="501100 -- IT VIDEO/VOICE HRDWARE &lt; $5000"/>
    <s v="12010513 -- KVCU"/>
    <m/>
    <n v="165.96"/>
  </r>
  <r>
    <x v="0"/>
    <x v="2"/>
    <x v="2"/>
    <x v="5"/>
    <s v="512600 -- SUBSCRPTS/BKS/PERIOD/SCORES"/>
    <s v="12010513 -- KVCU"/>
    <m/>
    <n v="144"/>
  </r>
  <r>
    <x v="0"/>
    <x v="2"/>
    <x v="2"/>
    <x v="12"/>
    <s v="550100 -- OFFICIAL FUNCTIONS"/>
    <s v="12010513 -- KVCU"/>
    <m/>
    <n v="146"/>
  </r>
  <r>
    <x v="0"/>
    <x v="2"/>
    <x v="2"/>
    <x v="6"/>
    <s v="552602 -- OTHER OPERATING SERVICES"/>
    <s v="12010513 -- KVCU"/>
    <m/>
    <n v="16.95"/>
  </r>
  <r>
    <x v="0"/>
    <x v="2"/>
    <x v="2"/>
    <x v="6"/>
    <s v="552603 -- OTHR OPERATING EQUIP RENTAL"/>
    <s v="12010513 -- KVCU"/>
    <m/>
    <m/>
  </r>
  <r>
    <x v="0"/>
    <x v="2"/>
    <x v="2"/>
    <x v="6"/>
    <s v="552603 -- OTHR OPERATING EQUIP RENTAL"/>
    <s v="12010513 -- KVCU"/>
    <m/>
    <n v="600"/>
  </r>
  <r>
    <x v="0"/>
    <x v="2"/>
    <x v="2"/>
    <x v="6"/>
    <s v="552603 -- OTHR OPERATING EQUIP RENTAL"/>
    <s v="12010513 -- KVCU"/>
    <m/>
    <m/>
  </r>
  <r>
    <x v="0"/>
    <x v="2"/>
    <x v="2"/>
    <x v="6"/>
    <s v="552603 -- OTHR OPERATING EQUIP RENTAL"/>
    <s v="12010513 -- KVCU"/>
    <m/>
    <n v="600"/>
  </r>
  <r>
    <x v="0"/>
    <x v="2"/>
    <x v="2"/>
    <x v="6"/>
    <s v="552603 -- OTHR OPERATING EQUIP RENTAL"/>
    <s v="12010513 -- KVCU"/>
    <m/>
    <m/>
  </r>
  <r>
    <x v="0"/>
    <x v="2"/>
    <x v="2"/>
    <x v="6"/>
    <s v="552603 -- OTHR OPERATING EQUIP RENTAL"/>
    <s v="12010513 -- KVCU"/>
    <m/>
    <n v="600"/>
  </r>
  <r>
    <x v="0"/>
    <x v="2"/>
    <x v="2"/>
    <x v="6"/>
    <s v="553000 -- CONFERENCE REGISTRATION FEES"/>
    <s v="12010513 -- KVCU"/>
    <m/>
    <n v="395"/>
  </r>
  <r>
    <x v="0"/>
    <x v="2"/>
    <x v="2"/>
    <x v="6"/>
    <s v="553000 -- CONFERENCE REGISTRATION FEES"/>
    <s v="12010513 -- KVCU"/>
    <m/>
    <n v="495"/>
  </r>
  <r>
    <x v="0"/>
    <x v="2"/>
    <x v="2"/>
    <x v="6"/>
    <s v="553000 -- CONFERENCE REGISTRATION FEES"/>
    <s v="12010513 -- KVCU"/>
    <m/>
    <n v="395"/>
  </r>
  <r>
    <x v="0"/>
    <x v="2"/>
    <x v="2"/>
    <x v="6"/>
    <s v="553000 -- CONFERENCE REGISTRATION FEES"/>
    <s v="12010513 -- KVCU"/>
    <m/>
    <n v="395"/>
  </r>
  <r>
    <x v="0"/>
    <x v="2"/>
    <x v="2"/>
    <x v="17"/>
    <s v="750300 -- ELECTRICITY"/>
    <s v="12010513 -- KVCU"/>
    <m/>
    <n v="651.41"/>
  </r>
  <r>
    <x v="0"/>
    <x v="2"/>
    <x v="2"/>
    <x v="17"/>
    <s v="750300 -- ELECTRICITY"/>
    <s v="12010513 -- KVCU"/>
    <m/>
    <n v="630.03"/>
  </r>
  <r>
    <x v="0"/>
    <x v="2"/>
    <x v="2"/>
    <x v="17"/>
    <s v="750300 -- ELECTRICITY"/>
    <s v="12010513 -- KVCU"/>
    <m/>
    <n v="640.9"/>
  </r>
  <r>
    <x v="0"/>
    <x v="2"/>
    <x v="2"/>
    <x v="9"/>
    <s v="960100 -- GENERAL ADMIN RECHARGE"/>
    <s v="12010513 -- KVCU"/>
    <m/>
    <n v="-180.15"/>
  </r>
  <r>
    <x v="0"/>
    <x v="2"/>
    <x v="2"/>
    <x v="9"/>
    <s v="960100 -- GENERAL ADMIN RECHARGE"/>
    <s v="12010513 -- KVCU"/>
    <m/>
    <n v="360.31"/>
  </r>
  <r>
    <x v="0"/>
    <x v="2"/>
    <x v="2"/>
    <x v="9"/>
    <s v="960100 -- GENERAL ADMIN RECHARGE"/>
    <s v="12010513 -- KVCU"/>
    <m/>
    <n v="-274.22000000000003"/>
  </r>
  <r>
    <x v="0"/>
    <x v="2"/>
    <x v="2"/>
    <x v="9"/>
    <s v="960100 -- GENERAL ADMIN RECHARGE"/>
    <s v="12010513 -- KVCU"/>
    <m/>
    <n v="548.45000000000005"/>
  </r>
  <r>
    <x v="0"/>
    <x v="2"/>
    <x v="2"/>
    <x v="9"/>
    <s v="960100 -- GENERAL ADMIN RECHARGE"/>
    <s v="12010513 -- KVCU"/>
    <m/>
    <n v="-340.91"/>
  </r>
  <r>
    <x v="0"/>
    <x v="2"/>
    <x v="2"/>
    <x v="9"/>
    <s v="960100 -- GENERAL ADMIN RECHARGE"/>
    <s v="12010513 -- KVCU"/>
    <m/>
    <n v="681.81"/>
  </r>
  <r>
    <x v="0"/>
    <x v="2"/>
    <x v="2"/>
    <x v="10"/>
    <s v="960200 -- GENERAL INFRASTRUCT RECHARGE"/>
    <s v="12010513 -- KVCU"/>
    <m/>
    <n v="31.64"/>
  </r>
  <r>
    <x v="0"/>
    <x v="2"/>
    <x v="2"/>
    <x v="10"/>
    <s v="960200 -- GENERAL INFRASTRUCT RECHARGE"/>
    <s v="12010513 -- KVCU"/>
    <m/>
    <n v="48.16"/>
  </r>
  <r>
    <x v="0"/>
    <x v="2"/>
    <x v="2"/>
    <x v="10"/>
    <s v="960200 -- GENERAL INFRASTRUCT RECHARGE"/>
    <s v="12010513 -- KVCU"/>
    <m/>
    <n v="59.88"/>
  </r>
  <r>
    <x v="0"/>
    <x v="2"/>
    <x v="2"/>
    <x v="8"/>
    <s v="960402 -- CSI GENERAL ADMIN RECHARGE"/>
    <s v="12010513 -- KVCU"/>
    <m/>
    <n v="180.15"/>
  </r>
  <r>
    <x v="0"/>
    <x v="2"/>
    <x v="2"/>
    <x v="8"/>
    <s v="960402 -- CSI GENERAL ADMIN RECHARGE"/>
    <s v="12010513 -- KVCU"/>
    <m/>
    <n v="274.22000000000003"/>
  </r>
  <r>
    <x v="0"/>
    <x v="2"/>
    <x v="2"/>
    <x v="8"/>
    <s v="960402 -- CSI GENERAL ADMIN RECHARGE"/>
    <s v="12010513 -- KVCU"/>
    <m/>
    <n v="340.91"/>
  </r>
  <r>
    <x v="0"/>
    <x v="2"/>
    <x v="3"/>
    <x v="1"/>
    <s v="407600 -- STD HR PAY"/>
    <s v="12010513 -- KVCU"/>
    <m/>
    <n v="3727.5"/>
  </r>
  <r>
    <x v="0"/>
    <x v="2"/>
    <x v="3"/>
    <x v="1"/>
    <s v="407600 -- STD HR PAY"/>
    <s v="12010513 -- KVCU"/>
    <m/>
    <n v="18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180"/>
  </r>
  <r>
    <x v="0"/>
    <x v="2"/>
    <x v="3"/>
    <x v="1"/>
    <s v="407600 -- STD HR PAY"/>
    <s v="12010513 -- KVCU"/>
    <m/>
    <n v="462"/>
  </r>
  <r>
    <x v="0"/>
    <x v="2"/>
    <x v="3"/>
    <x v="1"/>
    <s v="407600 -- STD HR PAY"/>
    <s v="12010513 -- KVCU"/>
    <m/>
    <n v="360"/>
  </r>
  <r>
    <x v="0"/>
    <x v="2"/>
    <x v="3"/>
    <x v="1"/>
    <s v="407600 -- STD HR PAY"/>
    <s v="12010513 -- KVCU"/>
    <m/>
    <n v="828"/>
  </r>
  <r>
    <x v="0"/>
    <x v="2"/>
    <x v="3"/>
    <x v="1"/>
    <s v="407600 -- STD HR PAY"/>
    <s v="12010513 -- KVCU"/>
    <m/>
    <n v="435"/>
  </r>
  <r>
    <x v="0"/>
    <x v="2"/>
    <x v="3"/>
    <x v="1"/>
    <s v="407600 -- STD HR PAY"/>
    <s v="12010513 -- KVCU"/>
    <m/>
    <n v="488.41"/>
  </r>
  <r>
    <x v="0"/>
    <x v="2"/>
    <x v="3"/>
    <x v="1"/>
    <s v="407600 -- STD HR PAY"/>
    <s v="12010513 -- KVCU"/>
    <m/>
    <n v="396"/>
  </r>
  <r>
    <x v="0"/>
    <x v="2"/>
    <x v="3"/>
    <x v="1"/>
    <s v="407600 -- STD HR PAY"/>
    <s v="12010513 -- KVCU"/>
    <m/>
    <n v="447"/>
  </r>
  <r>
    <x v="0"/>
    <x v="2"/>
    <x v="3"/>
    <x v="1"/>
    <s v="407600 -- STD HR PAY"/>
    <s v="12010513 -- KVCU"/>
    <m/>
    <n v="360"/>
  </r>
  <r>
    <x v="0"/>
    <x v="2"/>
    <x v="3"/>
    <x v="1"/>
    <s v="407600 -- STD HR PAY"/>
    <s v="12010513 -- KVCU"/>
    <m/>
    <n v="735"/>
  </r>
  <r>
    <x v="0"/>
    <x v="2"/>
    <x v="3"/>
    <x v="1"/>
    <s v="407600 -- STD HR PAY"/>
    <s v="12010513 -- KVCU"/>
    <m/>
    <n v="168"/>
  </r>
  <r>
    <x v="0"/>
    <x v="2"/>
    <x v="3"/>
    <x v="1"/>
    <s v="407600 -- STD HR PAY"/>
    <s v="12010513 -- KVCU"/>
    <m/>
    <n v="516"/>
  </r>
  <r>
    <x v="0"/>
    <x v="2"/>
    <x v="3"/>
    <x v="1"/>
    <s v="407600 -- STD HR PAY"/>
    <s v="12010513 -- KVCU"/>
    <m/>
    <n v="360"/>
  </r>
  <r>
    <x v="0"/>
    <x v="2"/>
    <x v="3"/>
    <x v="1"/>
    <s v="407600 -- STD HR PAY"/>
    <s v="12010513 -- KVCU"/>
    <m/>
    <n v="18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444"/>
  </r>
  <r>
    <x v="0"/>
    <x v="2"/>
    <x v="3"/>
    <x v="1"/>
    <s v="407600 -- STD HR PAY"/>
    <s v="12010513 -- KVCU"/>
    <m/>
    <n v="528"/>
  </r>
  <r>
    <x v="0"/>
    <x v="2"/>
    <x v="3"/>
    <x v="1"/>
    <s v="407600 -- STD HR PAY"/>
    <s v="12010513 -- KVCU"/>
    <m/>
    <n v="462"/>
  </r>
  <r>
    <x v="0"/>
    <x v="2"/>
    <x v="3"/>
    <x v="1"/>
    <s v="407600 -- STD HR PAY"/>
    <s v="12010513 -- KVCU"/>
    <m/>
    <n v="456"/>
  </r>
  <r>
    <x v="0"/>
    <x v="2"/>
    <x v="3"/>
    <x v="1"/>
    <s v="407600 -- STD HR PAY"/>
    <s v="12010513 -- KVCU"/>
    <m/>
    <n v="480"/>
  </r>
  <r>
    <x v="0"/>
    <x v="2"/>
    <x v="3"/>
    <x v="1"/>
    <s v="407600 -- STD HR PAY"/>
    <s v="12010513 -- KVCU"/>
    <m/>
    <n v="456"/>
  </r>
  <r>
    <x v="0"/>
    <x v="2"/>
    <x v="3"/>
    <x v="1"/>
    <s v="407600 -- STD HR PAY"/>
    <s v="12010513 -- KVCU"/>
    <m/>
    <n v="486"/>
  </r>
  <r>
    <x v="0"/>
    <x v="2"/>
    <x v="3"/>
    <x v="1"/>
    <s v="407600 -- STD HR PAY"/>
    <s v="12010513 -- KVCU"/>
    <m/>
    <n v="324"/>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252"/>
  </r>
  <r>
    <x v="0"/>
    <x v="2"/>
    <x v="3"/>
    <x v="1"/>
    <s v="407600 -- STD HR PAY"/>
    <s v="12010513 -- KVCU"/>
    <m/>
    <n v="252"/>
  </r>
  <r>
    <x v="0"/>
    <x v="2"/>
    <x v="3"/>
    <x v="1"/>
    <s v="407600 -- STD HR PAY"/>
    <s v="12010513 -- KVCU"/>
    <m/>
    <n v="288"/>
  </r>
  <r>
    <x v="0"/>
    <x v="2"/>
    <x v="3"/>
    <x v="1"/>
    <s v="407600 -- STD HR PAY"/>
    <s v="12010513 -- KVCU"/>
    <m/>
    <n v="282"/>
  </r>
  <r>
    <x v="0"/>
    <x v="2"/>
    <x v="3"/>
    <x v="1"/>
    <s v="407600 -- STD HR PAY"/>
    <s v="12010513 -- KVCU"/>
    <m/>
    <n v="600"/>
  </r>
  <r>
    <x v="0"/>
    <x v="2"/>
    <x v="3"/>
    <x v="1"/>
    <s v="407600 -- STD HR PAY"/>
    <s v="12010513 -- KVCU"/>
    <m/>
    <n v="360"/>
  </r>
  <r>
    <x v="0"/>
    <x v="2"/>
    <x v="3"/>
    <x v="1"/>
    <s v="407600 -- STD HR PAY"/>
    <s v="12010513 -- KVCU"/>
    <m/>
    <n v="480"/>
  </r>
  <r>
    <x v="0"/>
    <x v="2"/>
    <x v="3"/>
    <x v="1"/>
    <s v="407600 -- STD HR PAY"/>
    <s v="12010513 -- KVCU"/>
    <m/>
    <n v="480"/>
  </r>
  <r>
    <x v="0"/>
    <x v="2"/>
    <x v="3"/>
    <x v="1"/>
    <s v="407600 -- STD HR PAY"/>
    <s v="12010513 -- KVCU"/>
    <m/>
    <n v="480"/>
  </r>
  <r>
    <x v="0"/>
    <x v="2"/>
    <x v="3"/>
    <x v="1"/>
    <s v="407600 -- STD HR PAY"/>
    <s v="12010513 -- KVCU"/>
    <m/>
    <n v="480"/>
  </r>
  <r>
    <x v="0"/>
    <x v="2"/>
    <x v="3"/>
    <x v="1"/>
    <s v="407600 -- STD HR PAY"/>
    <s v="12010513 -- KVCU"/>
    <m/>
    <n v="48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360"/>
  </r>
  <r>
    <x v="0"/>
    <x v="2"/>
    <x v="3"/>
    <x v="1"/>
    <s v="407600 -- STD HR PAY"/>
    <s v="12010513 -- KVCU"/>
    <m/>
    <n v="214.38"/>
  </r>
  <r>
    <x v="0"/>
    <x v="2"/>
    <x v="3"/>
    <x v="1"/>
    <s v="407600 -- STD HR PAY"/>
    <s v="12010513 -- KVCU"/>
    <m/>
    <n v="42.88"/>
  </r>
  <r>
    <x v="0"/>
    <x v="2"/>
    <x v="3"/>
    <x v="1"/>
    <s v="407600 -- STD HR PAY"/>
    <s v="12010513 -- KVCU"/>
    <m/>
    <n v="385.88"/>
  </r>
  <r>
    <x v="0"/>
    <x v="2"/>
    <x v="3"/>
    <x v="1"/>
    <s v="407600 -- STD HR PAY"/>
    <s v="12010513 -- KVCU"/>
    <m/>
    <n v="367.5"/>
  </r>
  <r>
    <x v="0"/>
    <x v="2"/>
    <x v="3"/>
    <x v="1"/>
    <s v="407600 -- STD HR PAY"/>
    <s v="12010513 -- KVCU"/>
    <m/>
    <n v="367.5"/>
  </r>
  <r>
    <x v="0"/>
    <x v="2"/>
    <x v="3"/>
    <x v="1"/>
    <s v="407600 -- STD HR PAY"/>
    <s v="12010513 -- KVCU"/>
    <m/>
    <n v="367.5"/>
  </r>
  <r>
    <x v="0"/>
    <x v="2"/>
    <x v="3"/>
    <x v="1"/>
    <s v="407600 -- STD HR PAY"/>
    <s v="12010513 -- KVCU"/>
    <m/>
    <n v="367.5"/>
  </r>
  <r>
    <x v="0"/>
    <x v="2"/>
    <x v="3"/>
    <x v="1"/>
    <s v="407600 -- STD HR PAY"/>
    <s v="12010513 -- KVCU"/>
    <m/>
    <n v="367.5"/>
  </r>
  <r>
    <x v="0"/>
    <x v="2"/>
    <x v="3"/>
    <x v="2"/>
    <s v="428301 -- ALL STD/OTH PER FRINGE BEN"/>
    <s v="12010513 -- KVCU"/>
    <m/>
    <n v="87.52"/>
  </r>
  <r>
    <x v="0"/>
    <x v="2"/>
    <x v="3"/>
    <x v="2"/>
    <s v="428301 -- ALL STD/OTH PER FRINGE BEN"/>
    <s v="12010513 -- KVCU"/>
    <m/>
    <n v="115.58"/>
  </r>
  <r>
    <x v="0"/>
    <x v="2"/>
    <x v="3"/>
    <x v="2"/>
    <s v="428301 -- ALL STD/OTH PER FRINGE BEN"/>
    <s v="12010513 -- KVCU"/>
    <m/>
    <n v="90.88"/>
  </r>
  <r>
    <x v="0"/>
    <x v="2"/>
    <x v="3"/>
    <x v="2"/>
    <s v="428301 -- ALL STD/OTH PER FRINGE BEN"/>
    <s v="12010513 -- KVCU"/>
    <m/>
    <n v="41"/>
  </r>
  <r>
    <x v="0"/>
    <x v="2"/>
    <x v="3"/>
    <x v="5"/>
    <s v="500214 -- IT CONNECTIVITY FEE"/>
    <s v="12010513 -- KVCU"/>
    <m/>
    <n v="65.33"/>
  </r>
  <r>
    <x v="0"/>
    <x v="2"/>
    <x v="3"/>
    <x v="5"/>
    <s v="500214 -- IT CONNECTIVITY FEE"/>
    <s v="12010513 -- KVCU"/>
    <m/>
    <m/>
  </r>
  <r>
    <x v="0"/>
    <x v="2"/>
    <x v="3"/>
    <x v="5"/>
    <s v="500214 -- IT CONNECTIVITY FEE"/>
    <s v="12010513 -- KVCU"/>
    <m/>
    <n v="65.33"/>
  </r>
  <r>
    <x v="0"/>
    <x v="2"/>
    <x v="3"/>
    <x v="5"/>
    <s v="500214 -- IT CONNECTIVITY FEE"/>
    <s v="12010513 -- KVCU"/>
    <m/>
    <m/>
  </r>
  <r>
    <x v="0"/>
    <x v="2"/>
    <x v="3"/>
    <x v="5"/>
    <s v="500214 -- IT CONNECTIVITY FEE"/>
    <s v="12010513 -- KVCU"/>
    <m/>
    <n v="65.33"/>
  </r>
  <r>
    <x v="0"/>
    <x v="2"/>
    <x v="3"/>
    <x v="5"/>
    <s v="500214 -- IT CONNECTIVITY FEE"/>
    <s v="12010513 -- KVCU"/>
    <m/>
    <m/>
  </r>
  <r>
    <x v="0"/>
    <x v="2"/>
    <x v="3"/>
    <x v="5"/>
    <s v="500400 -- IT SOFTWARE LICENSES"/>
    <s v="12010513 -- KVCU"/>
    <m/>
    <n v="2415"/>
  </r>
  <r>
    <x v="0"/>
    <x v="2"/>
    <x v="3"/>
    <x v="5"/>
    <s v="500400 -- IT SOFTWARE LICENSES"/>
    <s v="12010513 -- KVCU"/>
    <m/>
    <n v="2000"/>
  </r>
  <r>
    <x v="0"/>
    <x v="2"/>
    <x v="3"/>
    <x v="5"/>
    <s v="500400 -- IT SOFTWARE LICENSES"/>
    <s v="12010513 -- KVCU"/>
    <m/>
    <n v="192"/>
  </r>
  <r>
    <x v="0"/>
    <x v="2"/>
    <x v="3"/>
    <x v="5"/>
    <s v="500800 -- COMPUTERS (BUNDLED&lt; $5000)"/>
    <s v="12010513 -- KVCU"/>
    <m/>
    <n v="1541.89"/>
  </r>
  <r>
    <x v="0"/>
    <x v="2"/>
    <x v="3"/>
    <x v="13"/>
    <s v="502600 -- BUILDING RENTALS"/>
    <s v="12010513 -- KVCU"/>
    <m/>
    <n v="-6500"/>
  </r>
  <r>
    <x v="0"/>
    <x v="2"/>
    <x v="3"/>
    <x v="13"/>
    <s v="502800 -- SPACE RENTALS"/>
    <s v="12010513 -- KVCU"/>
    <m/>
    <n v="6500"/>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n v="59.99"/>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m/>
  </r>
  <r>
    <x v="0"/>
    <x v="2"/>
    <x v="3"/>
    <x v="6"/>
    <s v="537600 -- EQUIPMENT &lt; $5000"/>
    <s v="12010513 -- KVCU"/>
    <m/>
    <n v="752.2"/>
  </r>
  <r>
    <x v="0"/>
    <x v="2"/>
    <x v="3"/>
    <x v="6"/>
    <s v="537600 -- EQUIPMENT &lt; $5000"/>
    <s v="12010513 -- KVCU"/>
    <m/>
    <n v="779.92"/>
  </r>
  <r>
    <x v="0"/>
    <x v="2"/>
    <x v="3"/>
    <x v="6"/>
    <s v="537600 -- EQUIPMENT &lt; $5000"/>
    <s v="12010513 -- KVCU"/>
    <m/>
    <n v="185.45"/>
  </r>
  <r>
    <x v="0"/>
    <x v="2"/>
    <x v="3"/>
    <x v="6"/>
    <s v="537600 -- EQUIPMENT &lt; $5000"/>
    <s v="12010513 -- KVCU"/>
    <m/>
    <n v="11.12"/>
  </r>
  <r>
    <x v="0"/>
    <x v="2"/>
    <x v="3"/>
    <x v="6"/>
    <s v="537600 -- EQUIPMENT &lt; $5000"/>
    <s v="12010513 -- KVCU"/>
    <m/>
    <n v="10.75"/>
  </r>
  <r>
    <x v="0"/>
    <x v="2"/>
    <x v="3"/>
    <x v="6"/>
    <s v="537600 -- EQUIPMENT &lt; $5000"/>
    <s v="12010513 -- KVCU"/>
    <m/>
    <n v="594"/>
  </r>
  <r>
    <x v="0"/>
    <x v="2"/>
    <x v="3"/>
    <x v="6"/>
    <s v="537600 -- EQUIPMENT &lt; $5000"/>
    <s v="12010513 -- KVCU"/>
    <m/>
    <n v="239.96"/>
  </r>
  <r>
    <x v="0"/>
    <x v="2"/>
    <x v="3"/>
    <x v="6"/>
    <s v="537600 -- EQUIPMENT &lt; $5000"/>
    <s v="12010513 -- KVCU"/>
    <m/>
    <n v="239.96"/>
  </r>
  <r>
    <x v="0"/>
    <x v="2"/>
    <x v="3"/>
    <x v="6"/>
    <s v="537600 -- EQUIPMENT &lt; $5000"/>
    <s v="12010513 -- KVCU"/>
    <m/>
    <n v="2219.25"/>
  </r>
  <r>
    <x v="0"/>
    <x v="2"/>
    <x v="3"/>
    <x v="6"/>
    <s v="537600 -- EQUIPMENT &lt; $5000"/>
    <s v="12010513 -- KVCU"/>
    <m/>
    <n v="2240.48"/>
  </r>
  <r>
    <x v="0"/>
    <x v="2"/>
    <x v="3"/>
    <x v="6"/>
    <s v="537600 -- EQUIPMENT &lt; $5000"/>
    <s v="12010513 -- KVCU"/>
    <m/>
    <n v="4896.05"/>
  </r>
  <r>
    <x v="0"/>
    <x v="2"/>
    <x v="3"/>
    <x v="6"/>
    <s v="552603 -- OTHR OPERATING EQUIP RENTAL"/>
    <s v="12010513 -- KVCU"/>
    <m/>
    <m/>
  </r>
  <r>
    <x v="0"/>
    <x v="2"/>
    <x v="3"/>
    <x v="6"/>
    <s v="552603 -- OTHR OPERATING EQUIP RENTAL"/>
    <s v="12010513 -- KVCU"/>
    <m/>
    <n v="600"/>
  </r>
  <r>
    <x v="0"/>
    <x v="2"/>
    <x v="3"/>
    <x v="6"/>
    <s v="552603 -- OTHR OPERATING EQUIP RENTAL"/>
    <s v="12010513 -- KVCU"/>
    <m/>
    <m/>
  </r>
  <r>
    <x v="0"/>
    <x v="2"/>
    <x v="3"/>
    <x v="6"/>
    <s v="552603 -- OTHR OPERATING EQUIP RENTAL"/>
    <s v="12010513 -- KVCU"/>
    <m/>
    <n v="600"/>
  </r>
  <r>
    <x v="0"/>
    <x v="2"/>
    <x v="3"/>
    <x v="6"/>
    <s v="552603 -- OTHR OPERATING EQUIP RENTAL"/>
    <s v="12010513 -- KVCU"/>
    <m/>
    <m/>
  </r>
  <r>
    <x v="0"/>
    <x v="2"/>
    <x v="3"/>
    <x v="6"/>
    <s v="552603 -- OTHR OPERATING EQUIP RENTAL"/>
    <s v="12010513 -- KVCU"/>
    <m/>
    <n v="600"/>
  </r>
  <r>
    <x v="0"/>
    <x v="2"/>
    <x v="3"/>
    <x v="6"/>
    <s v="552603 -- OTHR OPERATING EQUIP RENTAL"/>
    <s v="12010513 -- KVCU"/>
    <m/>
    <n v="600"/>
  </r>
  <r>
    <x v="0"/>
    <x v="2"/>
    <x v="3"/>
    <x v="7"/>
    <s v="700200 -- EMPLOYEE TRAVEL - OUT-OF-STATE"/>
    <s v="12010513 -- KVCU"/>
    <m/>
    <n v="371.19"/>
  </r>
  <r>
    <x v="0"/>
    <x v="2"/>
    <x v="3"/>
    <x v="7"/>
    <s v="700200 -- EMPLOYEE TRAVEL - OUT-OF-STATE"/>
    <s v="12010513 -- KVCU"/>
    <m/>
    <n v="0"/>
  </r>
  <r>
    <x v="0"/>
    <x v="2"/>
    <x v="3"/>
    <x v="17"/>
    <s v="750300 -- ELECTRICITY"/>
    <s v="12010513 -- KVCU"/>
    <m/>
    <n v="651.96"/>
  </r>
  <r>
    <x v="0"/>
    <x v="2"/>
    <x v="3"/>
    <x v="17"/>
    <s v="750300 -- ELECTRICITY"/>
    <s v="12010513 -- KVCU"/>
    <m/>
    <n v="638.39"/>
  </r>
  <r>
    <x v="0"/>
    <x v="2"/>
    <x v="3"/>
    <x v="17"/>
    <s v="750300 -- ELECTRICITY"/>
    <s v="12010513 -- KVCU"/>
    <m/>
    <n v="1109.27"/>
  </r>
  <r>
    <x v="0"/>
    <x v="2"/>
    <x v="3"/>
    <x v="9"/>
    <s v="960100 -- GENERAL ADMIN RECHARGE"/>
    <s v="12010513 -- KVCU"/>
    <m/>
    <n v="-422.24"/>
  </r>
  <r>
    <x v="0"/>
    <x v="2"/>
    <x v="3"/>
    <x v="9"/>
    <s v="960100 -- GENERAL ADMIN RECHARGE"/>
    <s v="12010513 -- KVCU"/>
    <m/>
    <n v="844.47"/>
  </r>
  <r>
    <x v="0"/>
    <x v="2"/>
    <x v="3"/>
    <x v="9"/>
    <s v="960100 -- GENERAL ADMIN RECHARGE"/>
    <s v="12010513 -- KVCU"/>
    <m/>
    <n v="-467.37"/>
  </r>
  <r>
    <x v="0"/>
    <x v="2"/>
    <x v="3"/>
    <x v="9"/>
    <s v="960100 -- GENERAL ADMIN RECHARGE"/>
    <s v="12010513 -- KVCU"/>
    <m/>
    <n v="934.74"/>
  </r>
  <r>
    <x v="0"/>
    <x v="2"/>
    <x v="3"/>
    <x v="9"/>
    <s v="960100 -- GENERAL ADMIN RECHARGE"/>
    <s v="12010513 -- KVCU"/>
    <m/>
    <n v="-648.04999999999995"/>
  </r>
  <r>
    <x v="0"/>
    <x v="2"/>
    <x v="3"/>
    <x v="9"/>
    <s v="960100 -- GENERAL ADMIN RECHARGE"/>
    <s v="12010513 -- KVCU"/>
    <m/>
    <n v="1296.0999999999999"/>
  </r>
  <r>
    <x v="0"/>
    <x v="2"/>
    <x v="3"/>
    <x v="9"/>
    <s v="960100 -- GENERAL ADMIN RECHARGE"/>
    <s v="12010513 -- KVCU"/>
    <m/>
    <n v="-387.38"/>
  </r>
  <r>
    <x v="0"/>
    <x v="2"/>
    <x v="3"/>
    <x v="9"/>
    <s v="960100 -- GENERAL ADMIN RECHARGE"/>
    <s v="12010513 -- KVCU"/>
    <m/>
    <n v="774.75"/>
  </r>
  <r>
    <x v="0"/>
    <x v="2"/>
    <x v="3"/>
    <x v="10"/>
    <s v="960200 -- GENERAL INFRASTRUCT RECHARGE"/>
    <s v="12010513 -- KVCU"/>
    <m/>
    <n v="74.16"/>
  </r>
  <r>
    <x v="0"/>
    <x v="2"/>
    <x v="3"/>
    <x v="10"/>
    <s v="960200 -- GENERAL INFRASTRUCT RECHARGE"/>
    <s v="12010513 -- KVCU"/>
    <m/>
    <n v="82.09"/>
  </r>
  <r>
    <x v="0"/>
    <x v="2"/>
    <x v="3"/>
    <x v="10"/>
    <s v="960200 -- GENERAL INFRASTRUCT RECHARGE"/>
    <s v="12010513 -- KVCU"/>
    <m/>
    <n v="113.82"/>
  </r>
  <r>
    <x v="0"/>
    <x v="2"/>
    <x v="3"/>
    <x v="10"/>
    <s v="960200 -- GENERAL INFRASTRUCT RECHARGE"/>
    <s v="12010513 -- KVCU"/>
    <m/>
    <n v="68.040000000000006"/>
  </r>
  <r>
    <x v="0"/>
    <x v="2"/>
    <x v="3"/>
    <x v="8"/>
    <s v="960402 -- CSI GENERAL ADMIN RECHARGE"/>
    <s v="12010513 -- KVCU"/>
    <m/>
    <n v="422.24"/>
  </r>
  <r>
    <x v="0"/>
    <x v="2"/>
    <x v="3"/>
    <x v="8"/>
    <s v="960402 -- CSI GENERAL ADMIN RECHARGE"/>
    <s v="12010513 -- KVCU"/>
    <m/>
    <n v="467.37"/>
  </r>
  <r>
    <x v="0"/>
    <x v="2"/>
    <x v="3"/>
    <x v="8"/>
    <s v="960402 -- CSI GENERAL ADMIN RECHARGE"/>
    <s v="12010513 -- KVCU"/>
    <m/>
    <n v="648.04999999999995"/>
  </r>
  <r>
    <x v="0"/>
    <x v="2"/>
    <x v="3"/>
    <x v="8"/>
    <s v="960402 -- CSI GENERAL ADMIN RECHARGE"/>
    <s v="12010513 -- KVCU"/>
    <m/>
    <n v="387.38"/>
  </r>
  <r>
    <x v="0"/>
    <x v="3"/>
    <x v="0"/>
    <x v="0"/>
    <s v="220120 -- MANDATORY STUDENT FEES (CCHE)"/>
    <s v="12010513 -- KVCU"/>
    <n v="-144861"/>
    <m/>
  </r>
  <r>
    <x v="0"/>
    <x v="3"/>
    <x v="0"/>
    <x v="0"/>
    <s v="220120 -- MANDATORY STUDENT FEES (CCHE)"/>
    <s v="12010513 -- KVCU"/>
    <m/>
    <n v="-72430"/>
  </r>
  <r>
    <x v="0"/>
    <x v="3"/>
    <x v="0"/>
    <x v="1"/>
    <s v="407600 -- STD HR PAY"/>
    <s v="12010513 -- KVCU"/>
    <n v="68188"/>
    <m/>
  </r>
  <r>
    <x v="0"/>
    <x v="3"/>
    <x v="0"/>
    <x v="1"/>
    <s v="407600 -- STD HR PAY"/>
    <s v="12010513 -- KVCU"/>
    <m/>
    <n v="-3727.5"/>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456"/>
  </r>
  <r>
    <x v="0"/>
    <x v="3"/>
    <x v="0"/>
    <x v="1"/>
    <s v="407600 -- STD HR PAY"/>
    <s v="12010513 -- KVCU"/>
    <m/>
    <n v="480"/>
  </r>
  <r>
    <x v="0"/>
    <x v="3"/>
    <x v="0"/>
    <x v="1"/>
    <s v="407600 -- STD HR PAY"/>
    <s v="12010513 -- KVCU"/>
    <m/>
    <n v="432"/>
  </r>
  <r>
    <x v="0"/>
    <x v="3"/>
    <x v="0"/>
    <x v="1"/>
    <s v="407600 -- STD HR PAY"/>
    <s v="12010513 -- KVCU"/>
    <m/>
    <n v="-432"/>
  </r>
  <r>
    <x v="0"/>
    <x v="3"/>
    <x v="0"/>
    <x v="1"/>
    <s v="407600 -- STD HR PAY"/>
    <s v="12010513 -- KVCU"/>
    <m/>
    <n v="-522"/>
  </r>
  <r>
    <x v="0"/>
    <x v="3"/>
    <x v="0"/>
    <x v="1"/>
    <s v="407600 -- STD HR PAY"/>
    <s v="12010513 -- KVCU"/>
    <m/>
    <n v="522"/>
  </r>
  <r>
    <x v="0"/>
    <x v="3"/>
    <x v="0"/>
    <x v="1"/>
    <s v="407600 -- STD HR PAY"/>
    <s v="12010513 -- KVCU"/>
    <m/>
    <n v="2340"/>
  </r>
  <r>
    <x v="0"/>
    <x v="3"/>
    <x v="0"/>
    <x v="1"/>
    <s v="407600 -- STD HR PAY"/>
    <s v="12010513 -- KVCU"/>
    <m/>
    <n v="696"/>
  </r>
  <r>
    <x v="0"/>
    <x v="3"/>
    <x v="0"/>
    <x v="1"/>
    <s v="407600 -- STD HR PAY"/>
    <s v="12010513 -- KVCU"/>
    <m/>
    <n v="915"/>
  </r>
  <r>
    <x v="0"/>
    <x v="3"/>
    <x v="0"/>
    <x v="1"/>
    <s v="407600 -- STD HR PAY"/>
    <s v="12010513 -- KVCU"/>
    <m/>
    <n v="822"/>
  </r>
  <r>
    <x v="0"/>
    <x v="3"/>
    <x v="0"/>
    <x v="1"/>
    <s v="407600 -- STD HR PAY"/>
    <s v="12010513 -- KVCU"/>
    <m/>
    <n v="573.75"/>
  </r>
  <r>
    <x v="0"/>
    <x v="3"/>
    <x v="0"/>
    <x v="1"/>
    <s v="407600 -- STD HR PAY"/>
    <s v="12010513 -- KVCU"/>
    <m/>
    <n v="360"/>
  </r>
  <r>
    <x v="0"/>
    <x v="3"/>
    <x v="0"/>
    <x v="1"/>
    <s v="407600 -- STD HR PAY"/>
    <s v="12010513 -- KVCU"/>
    <m/>
    <n v="360"/>
  </r>
  <r>
    <x v="0"/>
    <x v="3"/>
    <x v="0"/>
    <x v="1"/>
    <s v="407600 -- STD HR PAY"/>
    <s v="12010513 -- KVCU"/>
    <m/>
    <n v="372"/>
  </r>
  <r>
    <x v="0"/>
    <x v="3"/>
    <x v="0"/>
    <x v="1"/>
    <s v="407600 -- STD HR PAY"/>
    <s v="12010513 -- KVCU"/>
    <m/>
    <n v="492"/>
  </r>
  <r>
    <x v="0"/>
    <x v="3"/>
    <x v="0"/>
    <x v="1"/>
    <s v="407600 -- STD HR PAY"/>
    <s v="12010513 -- KVCU"/>
    <m/>
    <n v="456"/>
  </r>
  <r>
    <x v="0"/>
    <x v="3"/>
    <x v="0"/>
    <x v="1"/>
    <s v="407600 -- STD HR PAY"/>
    <s v="12010513 -- KVCU"/>
    <m/>
    <n v="516"/>
  </r>
  <r>
    <x v="0"/>
    <x v="3"/>
    <x v="0"/>
    <x v="1"/>
    <s v="407600 -- STD HR PAY"/>
    <s v="12010513 -- KVCU"/>
    <m/>
    <n v="360"/>
  </r>
  <r>
    <x v="0"/>
    <x v="3"/>
    <x v="0"/>
    <x v="1"/>
    <s v="407600 -- STD HR PAY"/>
    <s v="12010513 -- KVCU"/>
    <m/>
    <n v="600"/>
  </r>
  <r>
    <x v="0"/>
    <x v="3"/>
    <x v="0"/>
    <x v="1"/>
    <s v="407600 -- STD HR PAY"/>
    <s v="12010513 -- KVCU"/>
    <m/>
    <n v="600"/>
  </r>
  <r>
    <x v="0"/>
    <x v="3"/>
    <x v="0"/>
    <x v="1"/>
    <s v="407600 -- STD HR PAY"/>
    <s v="12010513 -- KVCU"/>
    <m/>
    <n v="360"/>
  </r>
  <r>
    <x v="0"/>
    <x v="3"/>
    <x v="0"/>
    <x v="1"/>
    <s v="407600 -- STD HR PAY"/>
    <s v="12010513 -- KVCU"/>
    <m/>
    <n v="360"/>
  </r>
  <r>
    <x v="0"/>
    <x v="3"/>
    <x v="0"/>
    <x v="1"/>
    <s v="407600 -- STD HR PAY"/>
    <s v="12010513 -- KVCU"/>
    <m/>
    <n v="486"/>
  </r>
  <r>
    <x v="0"/>
    <x v="3"/>
    <x v="0"/>
    <x v="1"/>
    <s v="407600 -- STD HR PAY"/>
    <s v="12010513 -- KVCU"/>
    <m/>
    <n v="252"/>
  </r>
  <r>
    <x v="0"/>
    <x v="3"/>
    <x v="0"/>
    <x v="1"/>
    <s v="407600 -- STD HR PAY"/>
    <s v="12010513 -- KVCU"/>
    <m/>
    <n v="336"/>
  </r>
  <r>
    <x v="0"/>
    <x v="3"/>
    <x v="0"/>
    <x v="1"/>
    <s v="407600 -- STD HR PAY"/>
    <s v="12010513 -- KVCU"/>
    <m/>
    <n v="168"/>
  </r>
  <r>
    <x v="0"/>
    <x v="3"/>
    <x v="0"/>
    <x v="1"/>
    <s v="407600 -- STD HR PAY"/>
    <s v="12010513 -- KVCU"/>
    <m/>
    <n v="480"/>
  </r>
  <r>
    <x v="0"/>
    <x v="3"/>
    <x v="0"/>
    <x v="1"/>
    <s v="407600 -- STD HR PAY"/>
    <s v="12010513 -- KVCU"/>
    <m/>
    <n v="528"/>
  </r>
  <r>
    <x v="0"/>
    <x v="3"/>
    <x v="0"/>
    <x v="1"/>
    <s v="407600 -- STD HR PAY"/>
    <s v="12010513 -- KVCU"/>
    <m/>
    <n v="552"/>
  </r>
  <r>
    <x v="0"/>
    <x v="3"/>
    <x v="0"/>
    <x v="1"/>
    <s v="407600 -- STD HR PAY"/>
    <s v="12010513 -- KVCU"/>
    <m/>
    <n v="600"/>
  </r>
  <r>
    <x v="0"/>
    <x v="3"/>
    <x v="0"/>
    <x v="1"/>
    <s v="407600 -- STD HR PAY"/>
    <s v="12010513 -- KVCU"/>
    <m/>
    <n v="600"/>
  </r>
  <r>
    <x v="0"/>
    <x v="3"/>
    <x v="0"/>
    <x v="1"/>
    <s v="407600 -- STD HR PAY"/>
    <s v="12010513 -- KVCU"/>
    <m/>
    <n v="675"/>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360"/>
  </r>
  <r>
    <x v="0"/>
    <x v="3"/>
    <x v="0"/>
    <x v="1"/>
    <s v="407600 -- STD HR PAY"/>
    <s v="12010513 -- KVCU"/>
    <m/>
    <n v="405"/>
  </r>
  <r>
    <x v="0"/>
    <x v="3"/>
    <x v="0"/>
    <x v="1"/>
    <s v="407600 -- STD HR PAY"/>
    <s v="12010513 -- KVCU"/>
    <m/>
    <n v="367.5"/>
  </r>
  <r>
    <x v="0"/>
    <x v="3"/>
    <x v="0"/>
    <x v="1"/>
    <s v="407600 -- STD HR PAY"/>
    <s v="12010513 -- KVCU"/>
    <m/>
    <n v="30.63"/>
  </r>
  <r>
    <x v="0"/>
    <x v="3"/>
    <x v="0"/>
    <x v="1"/>
    <s v="407600 -- STD HR PAY"/>
    <s v="12010513 -- KVCU"/>
    <m/>
    <n v="61.25"/>
  </r>
  <r>
    <x v="0"/>
    <x v="3"/>
    <x v="0"/>
    <x v="1"/>
    <s v="407600 -- STD HR PAY"/>
    <s v="12010513 -- KVCU"/>
    <m/>
    <n v="58.19"/>
  </r>
  <r>
    <x v="0"/>
    <x v="3"/>
    <x v="0"/>
    <x v="1"/>
    <s v="407600 -- STD HR PAY"/>
    <s v="12010513 -- KVCU"/>
    <m/>
    <n v="256.5"/>
  </r>
  <r>
    <x v="0"/>
    <x v="3"/>
    <x v="0"/>
    <x v="1"/>
    <s v="407700 -- STD ONC WS PAY"/>
    <s v="12010513 -- KVCU"/>
    <m/>
    <n v="129.6"/>
  </r>
  <r>
    <x v="0"/>
    <x v="3"/>
    <x v="0"/>
    <x v="1"/>
    <s v="407700 -- STD ONC WS PAY"/>
    <s v="12010513 -- KVCU"/>
    <m/>
    <n v="156.6"/>
  </r>
  <r>
    <x v="0"/>
    <x v="3"/>
    <x v="0"/>
    <x v="1"/>
    <s v="407900 -- STD HR OVERTIME"/>
    <s v="12010513 -- KVCU"/>
    <m/>
    <n v="22.5"/>
  </r>
  <r>
    <x v="0"/>
    <x v="3"/>
    <x v="0"/>
    <x v="2"/>
    <s v="428301 -- ALL STD/OTH PER FRINGE BEN"/>
    <s v="12010513 -- KVCU"/>
    <n v="886"/>
    <m/>
  </r>
  <r>
    <x v="0"/>
    <x v="3"/>
    <x v="0"/>
    <x v="2"/>
    <s v="428301 -- ALL STD/OTH PER FRINGE BEN"/>
    <s v="12010513 -- KVCU"/>
    <m/>
    <n v="39.71"/>
  </r>
  <r>
    <x v="0"/>
    <x v="3"/>
    <x v="0"/>
    <x v="2"/>
    <s v="428301 -- ALL STD/OTH PER FRINGE BEN"/>
    <s v="12010513 -- KVCU"/>
    <m/>
    <n v="117.21"/>
  </r>
  <r>
    <x v="0"/>
    <x v="3"/>
    <x v="0"/>
    <x v="2"/>
    <s v="428301 -- ALL STD/OTH PER FRINGE BEN"/>
    <s v="12010513 -- KVCU"/>
    <m/>
    <n v="71.45"/>
  </r>
  <r>
    <x v="0"/>
    <x v="3"/>
    <x v="0"/>
    <x v="2"/>
    <s v="428301 -- ALL STD/OTH PER FRINGE BEN"/>
    <s v="12010513 -- KVCU"/>
    <m/>
    <n v="3.72"/>
  </r>
  <r>
    <x v="0"/>
    <x v="3"/>
    <x v="0"/>
    <x v="2"/>
    <s v="428301 -- ALL STD/OTH PER FRINGE BEN"/>
    <s v="12010513 -- KVCU"/>
    <m/>
    <n v="0.28999999999999998"/>
  </r>
  <r>
    <x v="0"/>
    <x v="3"/>
    <x v="0"/>
    <x v="4"/>
    <s v="487602 -- PRT/PUB/REPRO SERVICES"/>
    <s v="12010513 -- KVCU"/>
    <n v="106"/>
    <m/>
  </r>
  <r>
    <x v="0"/>
    <x v="3"/>
    <x v="0"/>
    <x v="4"/>
    <s v="487602 -- PRT/PUB/REPRO SERVICES"/>
    <s v="12010513 -- KVCU"/>
    <m/>
    <n v="58.8"/>
  </r>
  <r>
    <x v="0"/>
    <x v="3"/>
    <x v="0"/>
    <x v="5"/>
    <s v="500214 -- IT CONNECTIVITY FEE"/>
    <s v="12010513 -- KVCU"/>
    <n v="885"/>
    <m/>
  </r>
  <r>
    <x v="0"/>
    <x v="3"/>
    <x v="0"/>
    <x v="5"/>
    <s v="500214 -- IT CONNECTIVITY FEE"/>
    <s v="12010513 -- KVCU"/>
    <m/>
    <n v="90.18"/>
  </r>
  <r>
    <x v="0"/>
    <x v="3"/>
    <x v="0"/>
    <x v="5"/>
    <s v="500214 -- IT CONNECTIVITY FEE"/>
    <s v="12010513 -- KVCU"/>
    <m/>
    <m/>
  </r>
  <r>
    <x v="0"/>
    <x v="3"/>
    <x v="0"/>
    <x v="5"/>
    <s v="500214 -- IT CONNECTIVITY FEE"/>
    <s v="12010513 -- KVCU"/>
    <m/>
    <m/>
  </r>
  <r>
    <x v="0"/>
    <x v="3"/>
    <x v="0"/>
    <x v="5"/>
    <s v="500214 -- IT CONNECTIVITY FEE"/>
    <s v="12010513 -- KVCU"/>
    <m/>
    <n v="90.18"/>
  </r>
  <r>
    <x v="0"/>
    <x v="3"/>
    <x v="0"/>
    <x v="5"/>
    <s v="500214 -- IT CONNECTIVITY FEE"/>
    <s v="12010513 -- KVCU"/>
    <m/>
    <m/>
  </r>
  <r>
    <x v="0"/>
    <x v="3"/>
    <x v="0"/>
    <x v="5"/>
    <s v="500214 -- IT CONNECTIVITY FEE"/>
    <s v="12010513 -- KVCU"/>
    <m/>
    <n v="90.18"/>
  </r>
  <r>
    <x v="0"/>
    <x v="3"/>
    <x v="0"/>
    <x v="5"/>
    <s v="500214 -- IT CONNECTIVITY FEE"/>
    <s v="12010513 -- KVCU"/>
    <m/>
    <m/>
  </r>
  <r>
    <x v="0"/>
    <x v="3"/>
    <x v="0"/>
    <x v="5"/>
    <s v="500400 -- IT SOFTWARE LICENSES"/>
    <s v="12010513 -- KVCU"/>
    <n v="2500"/>
    <m/>
  </r>
  <r>
    <x v="0"/>
    <x v="3"/>
    <x v="0"/>
    <x v="5"/>
    <s v="500400 -- IT SOFTWARE LICENSES"/>
    <s v="12010513 -- KVCU"/>
    <m/>
    <n v="14.9"/>
  </r>
  <r>
    <x v="0"/>
    <x v="3"/>
    <x v="0"/>
    <x v="5"/>
    <s v="500400 -- IT SOFTWARE LICENSES"/>
    <s v="12010513 -- KVCU"/>
    <m/>
    <n v="14.9"/>
  </r>
  <r>
    <x v="0"/>
    <x v="3"/>
    <x v="0"/>
    <x v="13"/>
    <s v="502800 -- SPACE RENTALS"/>
    <s v="12010513 -- KVCU"/>
    <n v="6500"/>
    <m/>
  </r>
  <r>
    <x v="0"/>
    <x v="3"/>
    <x v="0"/>
    <x v="13"/>
    <s v="502899 -- ID RENTALS"/>
    <s v="12010513 -- KVCU"/>
    <n v="1000"/>
    <m/>
  </r>
  <r>
    <x v="0"/>
    <x v="3"/>
    <x v="0"/>
    <x v="4"/>
    <s v="508715 -- PROMOTIONS"/>
    <s v="12010513 -- KVCU"/>
    <n v="2000"/>
    <m/>
  </r>
  <r>
    <x v="0"/>
    <x v="3"/>
    <x v="0"/>
    <x v="6"/>
    <s v="510100 -- DUES/MEMBER-PROF ORGANIZATIONS"/>
    <s v="12010513 -- KVCU"/>
    <n v="510"/>
    <m/>
  </r>
  <r>
    <x v="0"/>
    <x v="3"/>
    <x v="0"/>
    <x v="6"/>
    <s v="510300 -- LICENSES"/>
    <s v="12010513 -- KVCU"/>
    <n v="1200"/>
    <m/>
  </r>
  <r>
    <x v="0"/>
    <x v="3"/>
    <x v="0"/>
    <x v="5"/>
    <s v="512600 -- SUBSCRPTS/BKS/PERIOD/SCORES"/>
    <s v="12010513 -- KVCU"/>
    <m/>
    <n v="383.25"/>
  </r>
  <r>
    <x v="0"/>
    <x v="3"/>
    <x v="0"/>
    <x v="6"/>
    <s v="537600 -- EQUIPMENT &lt; $5000"/>
    <s v="12010513 -- KVCU"/>
    <m/>
    <m/>
  </r>
  <r>
    <x v="0"/>
    <x v="3"/>
    <x v="0"/>
    <x v="6"/>
    <s v="537600 -- EQUIPMENT &lt; $5000"/>
    <s v="12010513 -- KVCU"/>
    <m/>
    <m/>
  </r>
  <r>
    <x v="0"/>
    <x v="3"/>
    <x v="0"/>
    <x v="6"/>
    <s v="537600 -- EQUIPMENT &lt; $5000"/>
    <s v="12010513 -- KVCU"/>
    <m/>
    <n v="-4896.05"/>
  </r>
  <r>
    <x v="0"/>
    <x v="3"/>
    <x v="0"/>
    <x v="6"/>
    <s v="537600 -- EQUIPMENT &lt; $5000"/>
    <s v="12010513 -- KVCU"/>
    <m/>
    <n v="452.17"/>
  </r>
  <r>
    <x v="0"/>
    <x v="3"/>
    <x v="0"/>
    <x v="6"/>
    <s v="537600 -- EQUIPMENT &lt; $5000"/>
    <s v="12010513 -- KVCU"/>
    <m/>
    <n v="4319.88"/>
  </r>
  <r>
    <x v="0"/>
    <x v="3"/>
    <x v="0"/>
    <x v="6"/>
    <s v="537600 -- EQUIPMENT &lt; $5000"/>
    <s v="12010513 -- KVCU"/>
    <m/>
    <n v="124"/>
  </r>
  <r>
    <x v="0"/>
    <x v="3"/>
    <x v="0"/>
    <x v="6"/>
    <s v="537603 -- FURNITURE &lt; $5000"/>
    <s v="12010513 -- KVCU"/>
    <n v="1280"/>
    <m/>
  </r>
  <r>
    <x v="0"/>
    <x v="3"/>
    <x v="0"/>
    <x v="12"/>
    <s v="550300 -- STUDENT FUNCTIONS"/>
    <s v="12010513 -- KVCU"/>
    <n v="2000"/>
    <m/>
  </r>
  <r>
    <x v="0"/>
    <x v="3"/>
    <x v="0"/>
    <x v="6"/>
    <s v="552601 -- OTHER OPERATING SUPPLIES"/>
    <s v="12010513 -- KVCU"/>
    <n v="1000"/>
    <m/>
  </r>
  <r>
    <x v="0"/>
    <x v="3"/>
    <x v="0"/>
    <x v="6"/>
    <s v="552602 -- OTHER OPERATING SERVICES"/>
    <s v="12010513 -- KVCU"/>
    <n v="5700"/>
    <m/>
  </r>
  <r>
    <x v="0"/>
    <x v="3"/>
    <x v="0"/>
    <x v="6"/>
    <s v="552603 -- OTHR OPERATING EQUIP RENTAL"/>
    <s v="12010513 -- KVCU"/>
    <n v="7500"/>
    <m/>
  </r>
  <r>
    <x v="0"/>
    <x v="3"/>
    <x v="0"/>
    <x v="6"/>
    <s v="552603 -- OTHR OPERATING EQUIP RENTAL"/>
    <s v="12010513 -- KVCU"/>
    <m/>
    <n v="-600"/>
  </r>
  <r>
    <x v="0"/>
    <x v="3"/>
    <x v="0"/>
    <x v="6"/>
    <s v="552603 -- OTHR OPERATING EQUIP RENTAL"/>
    <s v="12010513 -- KVCU"/>
    <m/>
    <n v="-600"/>
  </r>
  <r>
    <x v="0"/>
    <x v="3"/>
    <x v="0"/>
    <x v="17"/>
    <s v="750300 -- ELECTRICITY"/>
    <s v="12010513 -- KVCU"/>
    <m/>
    <n v="-1109.27"/>
  </r>
  <r>
    <x v="0"/>
    <x v="3"/>
    <x v="0"/>
    <x v="17"/>
    <s v="750300 -- ELECTRICITY"/>
    <s v="12010513 -- KVCU"/>
    <n v="7882"/>
    <m/>
  </r>
  <r>
    <x v="0"/>
    <x v="3"/>
    <x v="0"/>
    <x v="17"/>
    <s v="750300 -- ELECTRICITY"/>
    <s v="12010513 -- KVCU"/>
    <m/>
    <n v="635.47"/>
  </r>
  <r>
    <x v="0"/>
    <x v="3"/>
    <x v="0"/>
    <x v="17"/>
    <s v="750300 -- ELECTRICITY"/>
    <s v="12010513 -- KVCU"/>
    <m/>
    <n v="473.8"/>
  </r>
  <r>
    <x v="0"/>
    <x v="3"/>
    <x v="0"/>
    <x v="17"/>
    <s v="750300 -- ELECTRICITY"/>
    <s v="12010513 -- KVCU"/>
    <m/>
    <n v="589.29"/>
  </r>
  <r>
    <x v="0"/>
    <x v="3"/>
    <x v="0"/>
    <x v="17"/>
    <s v="750300 -- ELECTRICITY"/>
    <s v="12010513 -- KVCU"/>
    <m/>
    <n v="725.2"/>
  </r>
  <r>
    <x v="0"/>
    <x v="3"/>
    <x v="0"/>
    <x v="9"/>
    <s v="960100 -- GENERAL ADMIN RECHARGE"/>
    <s v="12010513 -- KVCU"/>
    <n v="7924"/>
    <m/>
  </r>
  <r>
    <x v="0"/>
    <x v="3"/>
    <x v="0"/>
    <x v="9"/>
    <s v="960100 -- GENERAL ADMIN RECHARGE"/>
    <s v="12010513 -- KVCU"/>
    <m/>
    <n v="105.69"/>
  </r>
  <r>
    <x v="0"/>
    <x v="3"/>
    <x v="0"/>
    <x v="9"/>
    <s v="960100 -- GENERAL ADMIN RECHARGE"/>
    <s v="12010513 -- KVCU"/>
    <m/>
    <n v="-211.38"/>
  </r>
  <r>
    <x v="0"/>
    <x v="3"/>
    <x v="0"/>
    <x v="9"/>
    <s v="960100 -- GENERAL ADMIN RECHARGE"/>
    <s v="12010513 -- KVCU"/>
    <m/>
    <n v="-534.48"/>
  </r>
  <r>
    <x v="0"/>
    <x v="3"/>
    <x v="0"/>
    <x v="9"/>
    <s v="960100 -- GENERAL ADMIN RECHARGE"/>
    <s v="12010513 -- KVCU"/>
    <m/>
    <n v="1068.95"/>
  </r>
  <r>
    <x v="0"/>
    <x v="3"/>
    <x v="0"/>
    <x v="9"/>
    <s v="960100 -- GENERAL ADMIN RECHARGE"/>
    <s v="12010513 -- KVCU"/>
    <m/>
    <n v="-259.64999999999998"/>
  </r>
  <r>
    <x v="0"/>
    <x v="3"/>
    <x v="0"/>
    <x v="9"/>
    <s v="960100 -- GENERAL ADMIN RECHARGE"/>
    <s v="12010513 -- KVCU"/>
    <m/>
    <n v="519.29999999999995"/>
  </r>
  <r>
    <x v="0"/>
    <x v="3"/>
    <x v="0"/>
    <x v="10"/>
    <s v="960200 -- GENERAL INFRASTRUCT RECHARGE"/>
    <s v="12010513 -- KVCU"/>
    <n v="644"/>
    <m/>
  </r>
  <r>
    <x v="0"/>
    <x v="3"/>
    <x v="0"/>
    <x v="10"/>
    <s v="960200 -- GENERAL INFRASTRUCT RECHARGE"/>
    <s v="12010513 -- KVCU"/>
    <m/>
    <n v="-17.18"/>
  </r>
  <r>
    <x v="0"/>
    <x v="3"/>
    <x v="0"/>
    <x v="10"/>
    <s v="960200 -- GENERAL INFRASTRUCT RECHARGE"/>
    <s v="12010513 -- KVCU"/>
    <m/>
    <n v="86.87"/>
  </r>
  <r>
    <x v="0"/>
    <x v="3"/>
    <x v="0"/>
    <x v="10"/>
    <s v="960200 -- GENERAL INFRASTRUCT RECHARGE"/>
    <s v="12010513 -- KVCU"/>
    <m/>
    <n v="42.2"/>
  </r>
  <r>
    <x v="0"/>
    <x v="3"/>
    <x v="0"/>
    <x v="8"/>
    <s v="960402 -- CSI GENERAL ADMIN RECHARGE"/>
    <s v="12010513 -- KVCU"/>
    <m/>
    <n v="-105.69"/>
  </r>
  <r>
    <x v="0"/>
    <x v="3"/>
    <x v="0"/>
    <x v="8"/>
    <s v="960402 -- CSI GENERAL ADMIN RECHARGE"/>
    <s v="12010513 -- KVCU"/>
    <m/>
    <n v="534.48"/>
  </r>
  <r>
    <x v="0"/>
    <x v="3"/>
    <x v="0"/>
    <x v="8"/>
    <s v="960402 -- CSI GENERAL ADMIN RECHARGE"/>
    <s v="12010513 -- KVCU"/>
    <m/>
    <n v="259.64999999999998"/>
  </r>
  <r>
    <x v="0"/>
    <x v="3"/>
    <x v="0"/>
    <x v="11"/>
    <s v="997100 -- CASH TRANSFER OUT W/IN CAMPUS"/>
    <s v="12010513 -- KVCU"/>
    <n v="27156"/>
    <m/>
  </r>
  <r>
    <x v="0"/>
    <x v="3"/>
    <x v="0"/>
    <x v="11"/>
    <s v="997100 -- CASH TRANSFER OUT W/IN CAMPUS"/>
    <s v="12010512 -- KVCU"/>
    <m/>
    <n v="29455"/>
  </r>
  <r>
    <x v="0"/>
    <x v="3"/>
    <x v="0"/>
    <x v="11"/>
    <s v="997100 -- CASH TRANSFER OUT W/IN CAMPUS"/>
    <s v="12010513 -- KVCU"/>
    <m/>
    <n v="27156"/>
  </r>
  <r>
    <x v="0"/>
    <x v="3"/>
    <x v="1"/>
    <x v="1"/>
    <s v="407600 -- STD HR PAY"/>
    <s v="12010513 -- KVCU"/>
    <m/>
    <n v="-270.54000000000002"/>
  </r>
  <r>
    <x v="0"/>
    <x v="3"/>
    <x v="1"/>
    <x v="1"/>
    <s v="407600 -- STD HR PAY"/>
    <s v="12010513 -- KVCU"/>
    <m/>
    <n v="270.54000000000002"/>
  </r>
  <r>
    <x v="0"/>
    <x v="3"/>
    <x v="1"/>
    <x v="1"/>
    <s v="407600 -- STD HR PAY"/>
    <s v="12010513 -- KVCU"/>
    <m/>
    <n v="242.33"/>
  </r>
  <r>
    <x v="0"/>
    <x v="3"/>
    <x v="1"/>
    <x v="1"/>
    <s v="407600 -- STD HR PAY"/>
    <s v="12010513 -- KVCU"/>
    <m/>
    <n v="-242.33"/>
  </r>
  <r>
    <x v="0"/>
    <x v="3"/>
    <x v="1"/>
    <x v="1"/>
    <s v="407600 -- STD HR PAY"/>
    <s v="12010513 -- KVCU"/>
    <m/>
    <n v="617.63"/>
  </r>
  <r>
    <x v="0"/>
    <x v="3"/>
    <x v="1"/>
    <x v="1"/>
    <s v="407600 -- STD HR PAY"/>
    <s v="12010513 -- KVCU"/>
    <m/>
    <n v="378"/>
  </r>
  <r>
    <x v="0"/>
    <x v="3"/>
    <x v="1"/>
    <x v="1"/>
    <s v="407600 -- STD HR PAY"/>
    <s v="12010513 -- KVCU"/>
    <m/>
    <n v="432"/>
  </r>
  <r>
    <x v="0"/>
    <x v="3"/>
    <x v="1"/>
    <x v="1"/>
    <s v="407600 -- STD HR PAY"/>
    <s v="12010513 -- KVCU"/>
    <m/>
    <n v="405"/>
  </r>
  <r>
    <x v="0"/>
    <x v="3"/>
    <x v="1"/>
    <x v="1"/>
    <s v="407600 -- STD HR PAY"/>
    <s v="12010513 -- KVCU"/>
    <m/>
    <n v="405"/>
  </r>
  <r>
    <x v="0"/>
    <x v="3"/>
    <x v="1"/>
    <x v="1"/>
    <s v="407600 -- STD HR PAY"/>
    <s v="12010513 -- KVCU"/>
    <m/>
    <n v="405"/>
  </r>
  <r>
    <x v="0"/>
    <x v="3"/>
    <x v="1"/>
    <x v="1"/>
    <s v="407600 -- STD HR PAY"/>
    <s v="12010513 -- KVCU"/>
    <m/>
    <n v="418.5"/>
  </r>
  <r>
    <x v="0"/>
    <x v="3"/>
    <x v="1"/>
    <x v="1"/>
    <s v="407600 -- STD HR PAY"/>
    <s v="12010513 -- KVCU"/>
    <m/>
    <n v="405"/>
  </r>
  <r>
    <x v="0"/>
    <x v="3"/>
    <x v="1"/>
    <x v="1"/>
    <s v="407600 -- STD HR PAY"/>
    <s v="12010513 -- KVCU"/>
    <m/>
    <n v="405"/>
  </r>
  <r>
    <x v="0"/>
    <x v="3"/>
    <x v="1"/>
    <x v="1"/>
    <s v="407600 -- STD HR PAY"/>
    <s v="12010513 -- KVCU"/>
    <m/>
    <n v="40.5"/>
  </r>
  <r>
    <x v="0"/>
    <x v="3"/>
    <x v="1"/>
    <x v="1"/>
    <s v="407600 -- STD HR PAY"/>
    <s v="12010513 -- KVCU"/>
    <m/>
    <n v="81"/>
  </r>
  <r>
    <x v="0"/>
    <x v="3"/>
    <x v="1"/>
    <x v="1"/>
    <s v="407600 -- STD HR PAY"/>
    <s v="12010513 -- KVCU"/>
    <m/>
    <n v="675"/>
  </r>
  <r>
    <x v="0"/>
    <x v="3"/>
    <x v="1"/>
    <x v="1"/>
    <s v="407600 -- STD HR PAY"/>
    <s v="12010513 -- KVCU"/>
    <m/>
    <n v="675"/>
  </r>
  <r>
    <x v="0"/>
    <x v="3"/>
    <x v="1"/>
    <x v="1"/>
    <s v="407600 -- STD HR PAY"/>
    <s v="12010513 -- KVCU"/>
    <m/>
    <n v="675"/>
  </r>
  <r>
    <x v="0"/>
    <x v="3"/>
    <x v="1"/>
    <x v="1"/>
    <s v="407600 -- STD HR PAY"/>
    <s v="12010513 -- KVCU"/>
    <m/>
    <n v="675"/>
  </r>
  <r>
    <x v="0"/>
    <x v="3"/>
    <x v="1"/>
    <x v="1"/>
    <s v="407600 -- STD HR PAY"/>
    <s v="12010513 -- KVCU"/>
    <m/>
    <n v="675"/>
  </r>
  <r>
    <x v="0"/>
    <x v="3"/>
    <x v="1"/>
    <x v="1"/>
    <s v="407600 -- STD HR PAY"/>
    <s v="12010513 -- KVCU"/>
    <m/>
    <n v="675"/>
  </r>
  <r>
    <x v="0"/>
    <x v="3"/>
    <x v="1"/>
    <x v="1"/>
    <s v="407600 -- STD HR PAY"/>
    <s v="12010513 -- KVCU"/>
    <m/>
    <n v="675"/>
  </r>
  <r>
    <x v="0"/>
    <x v="3"/>
    <x v="1"/>
    <x v="1"/>
    <s v="407600 -- STD HR PAY"/>
    <s v="12010513 -- KVCU"/>
    <m/>
    <n v="405"/>
  </r>
  <r>
    <x v="0"/>
    <x v="3"/>
    <x v="1"/>
    <x v="1"/>
    <s v="407600 -- STD HR PAY"/>
    <s v="12010513 -- KVCU"/>
    <m/>
    <n v="418.5"/>
  </r>
  <r>
    <x v="0"/>
    <x v="3"/>
    <x v="1"/>
    <x v="1"/>
    <s v="407600 -- STD HR PAY"/>
    <s v="12010513 -- KVCU"/>
    <m/>
    <n v="405"/>
  </r>
  <r>
    <x v="0"/>
    <x v="3"/>
    <x v="1"/>
    <x v="1"/>
    <s v="407600 -- STD HR PAY"/>
    <s v="12010513 -- KVCU"/>
    <m/>
    <n v="432"/>
  </r>
  <r>
    <x v="0"/>
    <x v="3"/>
    <x v="1"/>
    <x v="1"/>
    <s v="407600 -- STD HR PAY"/>
    <s v="12010513 -- KVCU"/>
    <m/>
    <n v="418.5"/>
  </r>
  <r>
    <x v="0"/>
    <x v="3"/>
    <x v="1"/>
    <x v="1"/>
    <s v="407600 -- STD HR PAY"/>
    <s v="12010513 -- KVCU"/>
    <m/>
    <n v="445.5"/>
  </r>
  <r>
    <x v="0"/>
    <x v="3"/>
    <x v="1"/>
    <x v="1"/>
    <s v="407600 -- STD HR PAY"/>
    <s v="12010513 -- KVCU"/>
    <m/>
    <n v="472.5"/>
  </r>
  <r>
    <x v="0"/>
    <x v="3"/>
    <x v="1"/>
    <x v="1"/>
    <s v="407600 -- STD HR PAY"/>
    <s v="12010513 -- KVCU"/>
    <m/>
    <n v="390"/>
  </r>
  <r>
    <x v="0"/>
    <x v="3"/>
    <x v="1"/>
    <x v="1"/>
    <s v="407600 -- STD HR PAY"/>
    <s v="12010513 -- KVCU"/>
    <m/>
    <n v="200"/>
  </r>
  <r>
    <x v="0"/>
    <x v="3"/>
    <x v="1"/>
    <x v="1"/>
    <s v="407600 -- STD HR PAY"/>
    <s v="12010513 -- KVCU"/>
    <m/>
    <n v="206.25"/>
  </r>
  <r>
    <x v="0"/>
    <x v="3"/>
    <x v="1"/>
    <x v="1"/>
    <s v="407600 -- STD HR PAY"/>
    <s v="12010513 -- KVCU"/>
    <m/>
    <n v="200"/>
  </r>
  <r>
    <x v="0"/>
    <x v="3"/>
    <x v="1"/>
    <x v="1"/>
    <s v="407600 -- STD HR PAY"/>
    <s v="12010513 -- KVCU"/>
    <m/>
    <n v="200"/>
  </r>
  <r>
    <x v="0"/>
    <x v="3"/>
    <x v="1"/>
    <x v="1"/>
    <s v="407600 -- STD HR PAY"/>
    <s v="12010513 -- KVCU"/>
    <m/>
    <n v="200"/>
  </r>
  <r>
    <x v="0"/>
    <x v="3"/>
    <x v="1"/>
    <x v="1"/>
    <s v="407600 -- STD HR PAY"/>
    <s v="12010513 -- KVCU"/>
    <m/>
    <n v="300"/>
  </r>
  <r>
    <x v="0"/>
    <x v="3"/>
    <x v="1"/>
    <x v="1"/>
    <s v="407600 -- STD HR PAY"/>
    <s v="12010513 -- KVCU"/>
    <m/>
    <n v="200"/>
  </r>
  <r>
    <x v="0"/>
    <x v="3"/>
    <x v="1"/>
    <x v="1"/>
    <s v="407600 -- STD HR PAY"/>
    <s v="12010513 -- KVCU"/>
    <m/>
    <n v="206.25"/>
  </r>
  <r>
    <x v="0"/>
    <x v="3"/>
    <x v="1"/>
    <x v="1"/>
    <s v="407600 -- STD HR PAY"/>
    <s v="12010513 -- KVCU"/>
    <m/>
    <n v="206.25"/>
  </r>
  <r>
    <x v="0"/>
    <x v="3"/>
    <x v="1"/>
    <x v="1"/>
    <s v="407600 -- STD HR PAY"/>
    <s v="12010513 -- KVCU"/>
    <m/>
    <n v="200"/>
  </r>
  <r>
    <x v="0"/>
    <x v="3"/>
    <x v="1"/>
    <x v="1"/>
    <s v="407600 -- STD HR PAY"/>
    <s v="12010513 -- KVCU"/>
    <m/>
    <n v="200"/>
  </r>
  <r>
    <x v="0"/>
    <x v="3"/>
    <x v="1"/>
    <x v="1"/>
    <s v="407600 -- STD HR PAY"/>
    <s v="12010513 -- KVCU"/>
    <m/>
    <n v="300"/>
  </r>
  <r>
    <x v="0"/>
    <x v="3"/>
    <x v="1"/>
    <x v="1"/>
    <s v="407600 -- STD HR PAY"/>
    <s v="12010513 -- KVCU"/>
    <m/>
    <n v="313.88"/>
  </r>
  <r>
    <x v="0"/>
    <x v="3"/>
    <x v="1"/>
    <x v="1"/>
    <s v="407600 -- STD HR PAY"/>
    <s v="12010513 -- KVCU"/>
    <m/>
    <n v="364.5"/>
  </r>
  <r>
    <x v="0"/>
    <x v="3"/>
    <x v="1"/>
    <x v="1"/>
    <s v="407600 -- STD HR PAY"/>
    <s v="12010513 -- KVCU"/>
    <m/>
    <n v="384.75"/>
  </r>
  <r>
    <x v="0"/>
    <x v="3"/>
    <x v="1"/>
    <x v="1"/>
    <s v="407600 -- STD HR PAY"/>
    <s v="12010513 -- KVCU"/>
    <m/>
    <n v="286.88"/>
  </r>
  <r>
    <x v="0"/>
    <x v="3"/>
    <x v="1"/>
    <x v="1"/>
    <s v="407600 -- STD HR PAY"/>
    <s v="12010513 -- KVCU"/>
    <m/>
    <n v="310.5"/>
  </r>
  <r>
    <x v="0"/>
    <x v="3"/>
    <x v="1"/>
    <x v="1"/>
    <s v="407600 -- STD HR PAY"/>
    <s v="12010513 -- KVCU"/>
    <m/>
    <n v="101.25"/>
  </r>
  <r>
    <x v="0"/>
    <x v="3"/>
    <x v="1"/>
    <x v="1"/>
    <s v="407600 -- STD HR PAY"/>
    <s v="12010513 -- KVCU"/>
    <m/>
    <n v="263.25"/>
  </r>
  <r>
    <x v="0"/>
    <x v="3"/>
    <x v="1"/>
    <x v="1"/>
    <s v="407600 -- STD HR PAY"/>
    <s v="12010513 -- KVCU"/>
    <m/>
    <n v="450"/>
  </r>
  <r>
    <x v="0"/>
    <x v="3"/>
    <x v="1"/>
    <x v="1"/>
    <s v="407600 -- STD HR PAY"/>
    <s v="12010513 -- KVCU"/>
    <m/>
    <n v="432"/>
  </r>
  <r>
    <x v="0"/>
    <x v="3"/>
    <x v="1"/>
    <x v="1"/>
    <s v="407600 -- STD HR PAY"/>
    <s v="12010513 -- KVCU"/>
    <m/>
    <n v="432"/>
  </r>
  <r>
    <x v="0"/>
    <x v="3"/>
    <x v="1"/>
    <x v="1"/>
    <s v="407600 -- STD HR PAY"/>
    <s v="12010513 -- KVCU"/>
    <m/>
    <n v="486"/>
  </r>
  <r>
    <x v="0"/>
    <x v="3"/>
    <x v="1"/>
    <x v="1"/>
    <s v="407600 -- STD HR PAY"/>
    <s v="12010513 -- KVCU"/>
    <m/>
    <n v="121.5"/>
  </r>
  <r>
    <x v="0"/>
    <x v="3"/>
    <x v="1"/>
    <x v="1"/>
    <s v="407600 -- STD HR PAY"/>
    <s v="12010513 -- KVCU"/>
    <m/>
    <n v="124.88"/>
  </r>
  <r>
    <x v="0"/>
    <x v="3"/>
    <x v="1"/>
    <x v="1"/>
    <s v="407600 -- STD HR PAY"/>
    <s v="12010513 -- KVCU"/>
    <m/>
    <n v="135"/>
  </r>
  <r>
    <x v="0"/>
    <x v="3"/>
    <x v="1"/>
    <x v="1"/>
    <s v="407700 -- STD ONC WS PAY"/>
    <s v="12010513 -- KVCU"/>
    <m/>
    <n v="145.80000000000001"/>
  </r>
  <r>
    <x v="0"/>
    <x v="3"/>
    <x v="1"/>
    <x v="1"/>
    <s v="407700 -- STD ONC WS PAY"/>
    <s v="12010513 -- KVCU"/>
    <m/>
    <n v="81.16"/>
  </r>
  <r>
    <x v="0"/>
    <x v="3"/>
    <x v="1"/>
    <x v="1"/>
    <s v="407700 -- STD ONC WS PAY"/>
    <s v="12010513 -- KVCU"/>
    <m/>
    <n v="93.02"/>
  </r>
  <r>
    <x v="0"/>
    <x v="3"/>
    <x v="1"/>
    <x v="1"/>
    <s v="407700 -- STD ONC WS PAY"/>
    <s v="12010513 -- KVCU"/>
    <m/>
    <n v="176.18"/>
  </r>
  <r>
    <x v="0"/>
    <x v="3"/>
    <x v="1"/>
    <x v="1"/>
    <s v="407700 -- STD ONC WS PAY"/>
    <s v="12010513 -- KVCU"/>
    <m/>
    <n v="117.59"/>
  </r>
  <r>
    <x v="0"/>
    <x v="3"/>
    <x v="1"/>
    <x v="1"/>
    <s v="407700 -- STD ONC WS PAY"/>
    <s v="12010513 -- KVCU"/>
    <m/>
    <n v="72.7"/>
  </r>
  <r>
    <x v="0"/>
    <x v="3"/>
    <x v="1"/>
    <x v="1"/>
    <s v="407700 -- STD ONC WS PAY"/>
    <s v="12010513 -- KVCU"/>
    <m/>
    <n v="201.42"/>
  </r>
  <r>
    <x v="0"/>
    <x v="3"/>
    <x v="1"/>
    <x v="2"/>
    <s v="428301 -- ALL STD/OTH PER FRINGE BEN"/>
    <s v="12010513 -- KVCU"/>
    <m/>
    <n v="101.99"/>
  </r>
  <r>
    <x v="0"/>
    <x v="3"/>
    <x v="1"/>
    <x v="2"/>
    <s v="428301 -- ALL STD/OTH PER FRINGE BEN"/>
    <s v="12010513 -- KVCU"/>
    <m/>
    <n v="6.45"/>
  </r>
  <r>
    <x v="0"/>
    <x v="3"/>
    <x v="1"/>
    <x v="2"/>
    <s v="428301 -- ALL STD/OTH PER FRINGE BEN"/>
    <s v="12010513 -- KVCU"/>
    <m/>
    <n v="79.39"/>
  </r>
  <r>
    <x v="0"/>
    <x v="3"/>
    <x v="1"/>
    <x v="2"/>
    <s v="428301 -- ALL STD/OTH PER FRINGE BEN"/>
    <s v="12010513 -- KVCU"/>
    <m/>
    <n v="1.53"/>
  </r>
  <r>
    <x v="0"/>
    <x v="3"/>
    <x v="1"/>
    <x v="2"/>
    <s v="428301 -- ALL STD/OTH PER FRINGE BEN"/>
    <s v="12010513 -- KVCU"/>
    <m/>
    <n v="64.72"/>
  </r>
  <r>
    <x v="0"/>
    <x v="3"/>
    <x v="1"/>
    <x v="2"/>
    <s v="428301 -- ALL STD/OTH PER FRINGE BEN"/>
    <s v="12010513 -- KVCU"/>
    <m/>
    <n v="3.56"/>
  </r>
  <r>
    <x v="0"/>
    <x v="3"/>
    <x v="1"/>
    <x v="5"/>
    <s v="500214 -- IT CONNECTIVITY FEE"/>
    <s v="12010513 -- KVCU"/>
    <m/>
    <n v="90.18"/>
  </r>
  <r>
    <x v="0"/>
    <x v="3"/>
    <x v="1"/>
    <x v="5"/>
    <s v="500214 -- IT CONNECTIVITY FEE"/>
    <s v="12010513 -- KVCU"/>
    <m/>
    <m/>
  </r>
  <r>
    <x v="0"/>
    <x v="3"/>
    <x v="1"/>
    <x v="5"/>
    <s v="500214 -- IT CONNECTIVITY FEE"/>
    <s v="12010513 -- KVCU"/>
    <m/>
    <n v="90.18"/>
  </r>
  <r>
    <x v="0"/>
    <x v="3"/>
    <x v="1"/>
    <x v="5"/>
    <s v="500214 -- IT CONNECTIVITY FEE"/>
    <s v="12010513 -- KVCU"/>
    <m/>
    <m/>
  </r>
  <r>
    <x v="0"/>
    <x v="3"/>
    <x v="1"/>
    <x v="5"/>
    <s v="500214 -- IT CONNECTIVITY FEE"/>
    <s v="12010513 -- KVCU"/>
    <m/>
    <m/>
  </r>
  <r>
    <x v="0"/>
    <x v="3"/>
    <x v="1"/>
    <x v="5"/>
    <s v="500214 -- IT CONNECTIVITY FEE"/>
    <s v="12010513 -- KVCU"/>
    <m/>
    <n v="90.18"/>
  </r>
  <r>
    <x v="0"/>
    <x v="3"/>
    <x v="1"/>
    <x v="5"/>
    <s v="500400 -- IT SOFTWARE LICENSES"/>
    <s v="12010513 -- KVCU"/>
    <m/>
    <n v="2100"/>
  </r>
  <r>
    <x v="0"/>
    <x v="3"/>
    <x v="1"/>
    <x v="5"/>
    <s v="500400 -- IT SOFTWARE LICENSES"/>
    <s v="12010513 -- KVCU"/>
    <m/>
    <n v="14.9"/>
  </r>
  <r>
    <x v="0"/>
    <x v="3"/>
    <x v="1"/>
    <x v="5"/>
    <s v="500400 -- IT SOFTWARE LICENSES"/>
    <s v="12010513 -- KVCU"/>
    <m/>
    <n v="14.9"/>
  </r>
  <r>
    <x v="0"/>
    <x v="3"/>
    <x v="1"/>
    <x v="5"/>
    <s v="500400 -- IT SOFTWARE LICENSES"/>
    <s v="12010513 -- KVCU"/>
    <m/>
    <n v="14.9"/>
  </r>
  <r>
    <x v="0"/>
    <x v="3"/>
    <x v="1"/>
    <x v="4"/>
    <s v="508701 -- GENERAL ADV SUPPLIES"/>
    <s v="12010513 -- KVCU"/>
    <m/>
    <n v="239.99"/>
  </r>
  <r>
    <x v="0"/>
    <x v="3"/>
    <x v="1"/>
    <x v="6"/>
    <s v="510100 -- DUES/MEMBER-PROF ORGANIZATIONS"/>
    <s v="12010513 -- KVCU"/>
    <m/>
    <n v="360"/>
  </r>
  <r>
    <x v="0"/>
    <x v="3"/>
    <x v="1"/>
    <x v="6"/>
    <s v="510100 -- DUES/MEMBER-PROF ORGANIZATIONS"/>
    <s v="12010513 -- KVCU"/>
    <m/>
    <n v="150"/>
  </r>
  <r>
    <x v="0"/>
    <x v="3"/>
    <x v="1"/>
    <x v="5"/>
    <s v="512600 -- SUBSCRPTS/BKS/PERIOD/SCORES"/>
    <s v="12010513 -- KVCU"/>
    <m/>
    <n v="325.14999999999998"/>
  </r>
  <r>
    <x v="0"/>
    <x v="3"/>
    <x v="1"/>
    <x v="5"/>
    <s v="512600 -- SUBSCRPTS/BKS/PERIOD/SCORES"/>
    <s v="12010513 -- KVCU"/>
    <m/>
    <n v="149.56"/>
  </r>
  <r>
    <x v="0"/>
    <x v="3"/>
    <x v="1"/>
    <x v="6"/>
    <s v="552603 -- OTHR OPERATING EQUIP RENTAL"/>
    <s v="12010513 -- KVCU"/>
    <m/>
    <m/>
  </r>
  <r>
    <x v="0"/>
    <x v="3"/>
    <x v="1"/>
    <x v="6"/>
    <s v="552603 -- OTHR OPERATING EQUIP RENTAL"/>
    <s v="12010513 -- KVCU"/>
    <m/>
    <n v="600"/>
  </r>
  <r>
    <x v="0"/>
    <x v="3"/>
    <x v="1"/>
    <x v="6"/>
    <s v="552603 -- OTHR OPERATING EQUIP RENTAL"/>
    <s v="12010513 -- KVCU"/>
    <m/>
    <n v="600"/>
  </r>
  <r>
    <x v="0"/>
    <x v="3"/>
    <x v="1"/>
    <x v="6"/>
    <s v="552603 -- OTHR OPERATING EQUIP RENTAL"/>
    <s v="12010513 -- KVCU"/>
    <m/>
    <n v="600"/>
  </r>
  <r>
    <x v="0"/>
    <x v="3"/>
    <x v="1"/>
    <x v="6"/>
    <s v="552603 -- OTHR OPERATING EQUIP RENTAL"/>
    <s v="12010513 -- KVCU"/>
    <m/>
    <m/>
  </r>
  <r>
    <x v="0"/>
    <x v="3"/>
    <x v="1"/>
    <x v="17"/>
    <s v="750300 -- ELECTRICITY"/>
    <s v="12010513 -- KVCU"/>
    <m/>
    <n v="728.43"/>
  </r>
  <r>
    <x v="0"/>
    <x v="3"/>
    <x v="1"/>
    <x v="17"/>
    <s v="750300 -- ELECTRICITY"/>
    <s v="12010513 -- KVCU"/>
    <m/>
    <n v="721.66"/>
  </r>
  <r>
    <x v="0"/>
    <x v="3"/>
    <x v="1"/>
    <x v="17"/>
    <s v="750300 -- ELECTRICITY"/>
    <s v="12010513 -- KVCU"/>
    <m/>
    <n v="676.17"/>
  </r>
  <r>
    <x v="0"/>
    <x v="3"/>
    <x v="1"/>
    <x v="9"/>
    <s v="960100 -- GENERAL ADMIN RECHARGE"/>
    <s v="12010513 -- KVCU"/>
    <m/>
    <n v="-336.98"/>
  </r>
  <r>
    <x v="0"/>
    <x v="3"/>
    <x v="1"/>
    <x v="9"/>
    <s v="960100 -- GENERAL ADMIN RECHARGE"/>
    <s v="12010513 -- KVCU"/>
    <m/>
    <n v="673.96"/>
  </r>
  <r>
    <x v="0"/>
    <x v="3"/>
    <x v="1"/>
    <x v="9"/>
    <s v="960100 -- GENERAL ADMIN RECHARGE"/>
    <s v="12010513 -- KVCU"/>
    <m/>
    <n v="-363.26"/>
  </r>
  <r>
    <x v="0"/>
    <x v="3"/>
    <x v="1"/>
    <x v="9"/>
    <s v="960100 -- GENERAL ADMIN RECHARGE"/>
    <s v="12010513 -- KVCU"/>
    <m/>
    <n v="726.52"/>
  </r>
  <r>
    <x v="0"/>
    <x v="3"/>
    <x v="1"/>
    <x v="9"/>
    <s v="960100 -- GENERAL ADMIN RECHARGE"/>
    <s v="12010513 -- KVCU"/>
    <m/>
    <n v="-303.14999999999998"/>
  </r>
  <r>
    <x v="0"/>
    <x v="3"/>
    <x v="1"/>
    <x v="9"/>
    <s v="960100 -- GENERAL ADMIN RECHARGE"/>
    <s v="12010513 -- KVCU"/>
    <m/>
    <n v="606.29999999999995"/>
  </r>
  <r>
    <x v="0"/>
    <x v="3"/>
    <x v="1"/>
    <x v="10"/>
    <s v="960200 -- GENERAL INFRASTRUCT RECHARGE"/>
    <s v="12010513 -- KVCU"/>
    <m/>
    <n v="54.77"/>
  </r>
  <r>
    <x v="0"/>
    <x v="3"/>
    <x v="1"/>
    <x v="10"/>
    <s v="960200 -- GENERAL INFRASTRUCT RECHARGE"/>
    <s v="12010513 -- KVCU"/>
    <m/>
    <n v="59.04"/>
  </r>
  <r>
    <x v="0"/>
    <x v="3"/>
    <x v="1"/>
    <x v="10"/>
    <s v="960200 -- GENERAL INFRASTRUCT RECHARGE"/>
    <s v="12010513 -- KVCU"/>
    <m/>
    <n v="49.27"/>
  </r>
  <r>
    <x v="0"/>
    <x v="3"/>
    <x v="1"/>
    <x v="8"/>
    <s v="960402 -- CSI GENERAL ADMIN RECHARGE"/>
    <s v="12010513 -- KVCU"/>
    <m/>
    <n v="336.98"/>
  </r>
  <r>
    <x v="0"/>
    <x v="3"/>
    <x v="1"/>
    <x v="8"/>
    <s v="960402 -- CSI GENERAL ADMIN RECHARGE"/>
    <s v="12010513 -- KVCU"/>
    <m/>
    <n v="363.26"/>
  </r>
  <r>
    <x v="0"/>
    <x v="3"/>
    <x v="1"/>
    <x v="8"/>
    <s v="960402 -- CSI GENERAL ADMIN RECHARGE"/>
    <s v="12010513 -- KVCU"/>
    <m/>
    <n v="303.14999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88FDB3-33D8-4365-B790-AF722468990A}" name="FDpivot"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3" firstDataCol="1" rowPageCount="1" colPageCount="1"/>
  <pivotFields count="8">
    <pivotField axis="axisRow" showAll="0">
      <items count="2">
        <item x="0"/>
        <item t="default"/>
      </items>
    </pivotField>
    <pivotField axis="axisCol" showAll="0" sortType="descending">
      <items count="5">
        <item x="3"/>
        <item x="2"/>
        <item x="1"/>
        <item x="0"/>
        <item t="default"/>
      </items>
    </pivotField>
    <pivotField axis="axisPage" multipleItemSelectionAllowed="1" showAll="0">
      <items count="5">
        <item x="0"/>
        <item x="1"/>
        <item h="1" x="2"/>
        <item h="1" x="3"/>
        <item t="default"/>
      </items>
    </pivotField>
    <pivotField axis="axisRow" showAll="0">
      <items count="19">
        <item x="0"/>
        <item x="14"/>
        <item x="1"/>
        <item x="2"/>
        <item x="3"/>
        <item x="16"/>
        <item x="5"/>
        <item x="12"/>
        <item x="13"/>
        <item x="4"/>
        <item x="6"/>
        <item x="7"/>
        <item x="15"/>
        <item x="17"/>
        <item x="8"/>
        <item x="9"/>
        <item x="10"/>
        <item x="11"/>
        <item t="default"/>
      </items>
    </pivotField>
    <pivotField showAll="0"/>
    <pivotField showAll="0"/>
    <pivotField dataField="1" showAll="0"/>
    <pivotField dataField="1" showAll="0"/>
  </pivotFields>
  <rowFields count="2">
    <field x="0"/>
    <field x="3"/>
  </rowFields>
  <rowItems count="18">
    <i>
      <x/>
    </i>
    <i r="1">
      <x/>
    </i>
    <i r="1">
      <x v="2"/>
    </i>
    <i r="1">
      <x v="3"/>
    </i>
    <i r="1">
      <x v="4"/>
    </i>
    <i r="1">
      <x v="5"/>
    </i>
    <i r="1">
      <x v="6"/>
    </i>
    <i r="1">
      <x v="7"/>
    </i>
    <i r="1">
      <x v="8"/>
    </i>
    <i r="1">
      <x v="9"/>
    </i>
    <i r="1">
      <x v="10"/>
    </i>
    <i r="1">
      <x v="11"/>
    </i>
    <i r="1">
      <x v="13"/>
    </i>
    <i r="1">
      <x v="14"/>
    </i>
    <i r="1">
      <x v="15"/>
    </i>
    <i r="1">
      <x v="16"/>
    </i>
    <i r="1">
      <x v="17"/>
    </i>
    <i t="grand">
      <x/>
    </i>
  </rowItems>
  <colFields count="2">
    <field x="-2"/>
    <field x="1"/>
  </colFields>
  <colItems count="10">
    <i>
      <x/>
      <x/>
    </i>
    <i r="1">
      <x v="1"/>
    </i>
    <i r="1">
      <x v="2"/>
    </i>
    <i r="1">
      <x v="3"/>
    </i>
    <i i="1">
      <x v="1"/>
      <x/>
    </i>
    <i r="1" i="1">
      <x v="1"/>
    </i>
    <i r="1" i="1">
      <x v="2"/>
    </i>
    <i r="1" i="1">
      <x v="3"/>
    </i>
    <i t="grand">
      <x/>
    </i>
    <i t="grand" i="1">
      <x/>
    </i>
  </colItems>
  <pageFields count="1">
    <pageField fld="2" hier="-1"/>
  </pageFields>
  <dataFields count="2">
    <dataField name="Sum of BUDGET" fld="6" baseField="0" baseItem="0"/>
    <dataField name="Sum of ACTUALS" fld="7" baseField="0" baseItem="0"/>
  </dataFields>
  <formats count="25">
    <format dxfId="34">
      <pivotArea outline="0" collapsedLevelsAreSubtotals="1" fieldPosition="0"/>
    </format>
    <format dxfId="33">
      <pivotArea field="-2" type="button" dataOnly="0" labelOnly="1" outline="0" axis="axisCol" fieldPosition="0"/>
    </format>
    <format dxfId="32">
      <pivotArea field="1" type="button" dataOnly="0" labelOnly="1" outline="0" axis="axisCol" fieldPosition="1"/>
    </format>
    <format dxfId="31">
      <pivotArea type="topRight" dataOnly="0" labelOnly="1" outline="0" fieldPosition="0"/>
    </format>
    <format dxfId="30">
      <pivotArea dataOnly="0" labelOnly="1" outline="0" fieldPosition="0">
        <references count="1">
          <reference field="4294967294" count="2">
            <x v="0"/>
            <x v="1"/>
          </reference>
        </references>
      </pivotArea>
    </format>
    <format dxfId="29">
      <pivotArea field="0" type="button" dataOnly="0" labelOnly="1" outline="0" axis="axisRow" fieldPosition="0"/>
    </format>
    <format dxfId="28">
      <pivotArea field="1" dataOnly="0" labelOnly="1" grandCol="1" outline="0" axis="axisCol" fieldPosition="1">
        <references count="1">
          <reference field="4294967294" count="1" selected="0">
            <x v="0"/>
          </reference>
        </references>
      </pivotArea>
    </format>
    <format dxfId="27">
      <pivotArea field="1" dataOnly="0" labelOnly="1" grandCol="1" outline="0" axis="axisCol" fieldPosition="1">
        <references count="1">
          <reference field="4294967294" count="1" selected="0">
            <x v="1"/>
          </reference>
        </references>
      </pivotArea>
    </format>
    <format dxfId="26">
      <pivotArea dataOnly="0" labelOnly="1" fieldPosition="0">
        <references count="2">
          <reference field="4294967294" count="1" selected="0">
            <x v="0"/>
          </reference>
          <reference field="1" count="0"/>
        </references>
      </pivotArea>
    </format>
    <format dxfId="25">
      <pivotArea dataOnly="0" labelOnly="1" fieldPosition="0">
        <references count="2">
          <reference field="4294967294" count="1" selected="0">
            <x v="1"/>
          </reference>
          <reference field="1" count="0"/>
        </references>
      </pivotArea>
    </format>
    <format dxfId="14">
      <pivotArea type="all" dataOnly="0" outline="0" fieldPosition="0"/>
    </format>
    <format dxfId="13">
      <pivotArea outline="0" collapsedLevelsAreSubtotals="1" fieldPosition="0"/>
    </format>
    <format dxfId="12">
      <pivotArea type="origin" dataOnly="0" labelOnly="1" outline="0" fieldPosition="0"/>
    </format>
    <format dxfId="11">
      <pivotArea field="-2" type="button" dataOnly="0" labelOnly="1" outline="0" axis="axisCol" fieldPosition="0"/>
    </format>
    <format dxfId="10">
      <pivotArea field="1" type="button" dataOnly="0" labelOnly="1" outline="0" axis="axisCol" fieldPosition="1"/>
    </format>
    <format dxfId="9">
      <pivotArea type="topRight" dataOnly="0" labelOnly="1" outline="0" fieldPosition="0"/>
    </format>
    <format dxfId="8">
      <pivotArea field="0" type="button" dataOnly="0" labelOnly="1" outline="0" axis="axisRow" fieldPosition="0"/>
    </format>
    <format dxfId="7">
      <pivotArea dataOnly="0" labelOnly="1" fieldPosition="0">
        <references count="1">
          <reference field="0" count="0"/>
        </references>
      </pivotArea>
    </format>
    <format dxfId="6">
      <pivotArea dataOnly="0" labelOnly="1" grandRow="1" outline="0" fieldPosition="0"/>
    </format>
    <format dxfId="5">
      <pivotArea dataOnly="0" labelOnly="1" fieldPosition="0">
        <references count="2">
          <reference field="0" count="0" selected="0"/>
          <reference field="3" count="16">
            <x v="0"/>
            <x v="2"/>
            <x v="3"/>
            <x v="4"/>
            <x v="5"/>
            <x v="6"/>
            <x v="7"/>
            <x v="8"/>
            <x v="9"/>
            <x v="10"/>
            <x v="11"/>
            <x v="13"/>
            <x v="14"/>
            <x v="15"/>
            <x v="16"/>
            <x v="17"/>
          </reference>
        </references>
      </pivotArea>
    </format>
    <format dxfId="4">
      <pivotArea dataOnly="0" labelOnly="1" outline="0" fieldPosition="0">
        <references count="1">
          <reference field="4294967294" count="2">
            <x v="0"/>
            <x v="1"/>
          </reference>
        </references>
      </pivotArea>
    </format>
    <format dxfId="3">
      <pivotArea field="1" dataOnly="0" labelOnly="1" grandCol="1" outline="0" axis="axisCol" fieldPosition="1">
        <references count="1">
          <reference field="4294967294" count="1" selected="0">
            <x v="0"/>
          </reference>
        </references>
      </pivotArea>
    </format>
    <format dxfId="2">
      <pivotArea field="1" dataOnly="0" labelOnly="1" grandCol="1" outline="0" axis="axisCol" fieldPosition="1">
        <references count="1">
          <reference field="4294967294" count="1" selected="0">
            <x v="1"/>
          </reference>
        </references>
      </pivotArea>
    </format>
    <format dxfId="1">
      <pivotArea dataOnly="0" labelOnly="1" fieldPosition="0">
        <references count="2">
          <reference field="4294967294" count="1" selected="0">
            <x v="0"/>
          </reference>
          <reference field="1" count="0"/>
        </references>
      </pivotArea>
    </format>
    <format dxfId="0">
      <pivotArea dataOnly="0" labelOnly="1" fieldPosition="0">
        <references count="2">
          <reference field="4294967294" count="1" selected="0">
            <x v="1"/>
          </reference>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336B4AD-3407-4F69-B797-2012CF031DBA}" name="RawDataTable" displayName="RawDataTable" ref="A1:H1508" totalsRowShown="0" headerRowDxfId="16" dataDxfId="15">
  <autoFilter ref="A1:H1508" xr:uid="{47AE44BB-4622-4234-8674-19586F6CF6EF}"/>
  <sortState xmlns:xlrd2="http://schemas.microsoft.com/office/spreadsheetml/2017/richdata2" ref="A2:H1508">
    <sortCondition ref="A2:A1508"/>
    <sortCondition ref="B2:B1508"/>
    <sortCondition ref="C2:C1508"/>
    <sortCondition ref="E2:E1508"/>
  </sortState>
  <tableColumns count="8">
    <tableColumn id="1" xr3:uid="{7E7FB3F1-5536-40BB-A7EF-7994E3A31B1E}" name="PROGRAM" dataDxfId="24"/>
    <tableColumn id="2" xr3:uid="{BA74DD92-C535-464D-B6D3-53092219DA57}" name="FY" dataDxfId="23"/>
    <tableColumn id="3" xr3:uid="{CE495E12-9B4C-4209-9FDA-FE2B54946FFE}" name="QUARTER" dataDxfId="22"/>
    <tableColumn id="4" xr3:uid="{E3C2989D-28BA-440A-B9A4-1F0944B085C0}" name="ROW" dataDxfId="21"/>
    <tableColumn id="5" xr3:uid="{75F7DA5A-6E5F-43E3-8CCD-8BA3624607F4}" name="ACCT" dataDxfId="20"/>
    <tableColumn id="6" xr3:uid="{30D94D70-CEDA-4E79-A96C-B1B11C8FDC86}" name="SPEEDTYPE" dataDxfId="19"/>
    <tableColumn id="7" xr3:uid="{FC5A1A97-1C08-4AB0-BCE8-7CA298584300}" name="BUDGET" dataDxfId="18"/>
    <tableColumn id="8" xr3:uid="{BAE0301B-8977-49B4-B419-46E05DAFA6CF}" name="ACTUALS" dataDxfId="1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817900-13A6-4003-9ACF-6E9117329A10}" name="Table2" displayName="Table2" ref="B1:F352" totalsRowShown="0" headerRowDxfId="51" dataDxfId="50">
  <autoFilter ref="B1:F352" xr:uid="{D1EB6663-4705-4869-A367-19C97BD9DB6B}"/>
  <sortState xmlns:xlrd2="http://schemas.microsoft.com/office/spreadsheetml/2017/richdata2" ref="B2:F352">
    <sortCondition ref="B2:B349"/>
    <sortCondition ref="C2:C349"/>
    <sortCondition ref="E2:E349"/>
  </sortState>
  <tableColumns count="5">
    <tableColumn id="1" xr3:uid="{8A008EAD-BAC9-4453-8613-9867DB560284}" name="Row" dataDxfId="49"/>
    <tableColumn id="2" xr3:uid="{727DC2D2-95D9-4077-A475-E2FA9344A2EB}" name="Line Item Account" dataDxfId="48"/>
    <tableColumn id="3" xr3:uid="{673AD01B-576A-4F3A-8E1E-049D3E66E59A}" name="Account Code" dataDxfId="47"/>
    <tableColumn id="4" xr3:uid="{F6AC6D58-FB76-474C-AFF7-A266410DDF4E}" name="Lower" dataDxfId="46"/>
    <tableColumn id="5" xr3:uid="{3DC7AD54-1E32-48C2-9FD0-E391248FCDD3}" name="Upper" dataDxfId="45"/>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C0613A-6C0A-4853-82DD-6845859B17F8}" name="CLtable" displayName="CLtable" ref="B1:F975" totalsRowShown="0" headerRowDxfId="44" dataDxfId="43">
  <autoFilter ref="B1:F975" xr:uid="{1B85E987-E511-417B-B24E-5BE2D9E0D4B0}">
    <filterColumn colId="0">
      <filters>
        <filter val="KVCU"/>
      </filters>
    </filterColumn>
    <filterColumn colId="4">
      <filters>
        <filter val="Leg Council"/>
        <filter val="Main"/>
      </filters>
    </filterColumn>
  </autoFilter>
  <sortState xmlns:xlrd2="http://schemas.microsoft.com/office/spreadsheetml/2017/richdata2" ref="B156:F177">
    <sortCondition ref="B2:B975"/>
    <sortCondition ref="E2:E975"/>
    <sortCondition ref="C2:C975"/>
  </sortState>
  <tableColumns count="5">
    <tableColumn id="1" xr3:uid="{268583B7-D929-48B7-9443-DCC66A9E1A73}" name="Cost Center" dataDxfId="42"/>
    <tableColumn id="5" xr3:uid="{A70D6B1B-F32B-41B5-99A6-6D9D53519E69}" name="Speedtype Code" dataDxfId="41"/>
    <tableColumn id="2" xr3:uid="{4EEEFDA5-DAC2-4407-8281-3C92D84F028E}" name="Speedtype" dataDxfId="40"/>
    <tableColumn id="3" xr3:uid="{0016023E-3566-4136-A11F-8E221E8332A1}" name="Consolidate Into" dataDxfId="39"/>
    <tableColumn id="4" xr3:uid="{5AB36047-3801-4D65-A80C-5DF1D1975220}" name="Fund Balance" dataDxfId="38"/>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F9F2B-4260-4438-A0EC-39CE21F09F8E}">
  <sheetPr codeName="CreateReport">
    <tabColor rgb="FFCFB87C"/>
  </sheetPr>
  <dimension ref="A1:AD71"/>
  <sheetViews>
    <sheetView showGridLines="0" showRowColHeaders="0" tabSelected="1" workbookViewId="0">
      <pane ySplit="1" topLeftCell="A2" activePane="bottomLeft" state="frozen"/>
      <selection pane="bottomLeft" sqref="A1:L1"/>
    </sheetView>
  </sheetViews>
  <sheetFormatPr defaultColWidth="8.88671875" defaultRowHeight="15.6"/>
  <cols>
    <col min="1" max="1" width="16" style="329" customWidth="1"/>
    <col min="2" max="3" width="12.6640625" style="329" customWidth="1"/>
    <col min="4" max="4" width="12.6640625" style="109" customWidth="1"/>
    <col min="5" max="5" width="12.6640625" style="144" customWidth="1"/>
    <col min="6" max="6" width="8.88671875" style="329"/>
    <col min="7" max="12" width="12" style="329" customWidth="1"/>
    <col min="13" max="13" width="1.44140625" style="329" customWidth="1"/>
    <col min="14" max="14" width="43.33203125" style="329" hidden="1" customWidth="1"/>
    <col min="15" max="15" width="1.6640625" style="329" hidden="1" customWidth="1"/>
    <col min="16" max="16" width="40.33203125" style="329" hidden="1" customWidth="1"/>
    <col min="17" max="17" width="6.88671875" style="329" hidden="1" customWidth="1"/>
    <col min="18" max="18" width="6.44140625" style="329" hidden="1" customWidth="1"/>
    <col min="19" max="19" width="23" style="152" hidden="1" customWidth="1"/>
    <col min="20" max="20" width="8.88671875" style="153" hidden="1" customWidth="1"/>
    <col min="21" max="21" width="19.6640625" style="152" hidden="1" customWidth="1"/>
    <col min="22" max="22" width="8.88671875" style="329" hidden="1" customWidth="1"/>
    <col min="23" max="23" width="26.6640625" style="154" customWidth="1"/>
    <col min="24" max="24" width="14.6640625" style="155" hidden="1" customWidth="1"/>
    <col min="25" max="25" width="8.88671875" style="329"/>
    <col min="26" max="26" width="19" style="329" customWidth="1"/>
    <col min="27" max="31" width="8.88671875" style="329" customWidth="1"/>
    <col min="32" max="16384" width="8.88671875" style="329"/>
  </cols>
  <sheetData>
    <row r="1" spans="1:30" ht="18">
      <c r="A1" s="496" t="s">
        <v>1423</v>
      </c>
      <c r="B1" s="496"/>
      <c r="C1" s="496"/>
      <c r="D1" s="496"/>
      <c r="E1" s="496"/>
      <c r="F1" s="496"/>
      <c r="G1" s="496"/>
      <c r="H1" s="496"/>
      <c r="I1" s="496"/>
      <c r="J1" s="496"/>
      <c r="K1" s="496"/>
      <c r="L1" s="496"/>
    </row>
    <row r="2" spans="1:30">
      <c r="A2" s="473" t="s">
        <v>1416</v>
      </c>
      <c r="B2" s="473"/>
      <c r="C2" s="473"/>
      <c r="D2" s="473"/>
      <c r="E2" s="473"/>
      <c r="G2" s="473" t="s">
        <v>1418</v>
      </c>
      <c r="H2" s="473"/>
      <c r="I2" s="473"/>
      <c r="J2" s="473"/>
      <c r="K2" s="473"/>
      <c r="L2" s="473"/>
      <c r="N2" s="330" t="s">
        <v>1349</v>
      </c>
      <c r="O2" s="143"/>
      <c r="P2" s="330" t="s">
        <v>1362</v>
      </c>
      <c r="S2" s="143" t="s">
        <v>1409</v>
      </c>
      <c r="T2" s="156"/>
      <c r="U2" s="143" t="s">
        <v>1410</v>
      </c>
      <c r="W2" s="157" t="s">
        <v>1414</v>
      </c>
      <c r="X2" s="157" t="s">
        <v>1415</v>
      </c>
      <c r="Z2" s="224" t="s">
        <v>1604</v>
      </c>
      <c r="AA2" s="224" t="s">
        <v>1631</v>
      </c>
      <c r="AC2" s="336" t="s">
        <v>1630</v>
      </c>
      <c r="AD2" s="336" t="s">
        <v>1631</v>
      </c>
    </row>
    <row r="3" spans="1:30">
      <c r="A3" s="158"/>
      <c r="B3" s="158"/>
      <c r="C3" s="158"/>
      <c r="D3" s="159" t="s">
        <v>171</v>
      </c>
      <c r="E3" s="160" t="s">
        <v>806</v>
      </c>
      <c r="G3" s="170"/>
      <c r="H3" s="170"/>
      <c r="I3" s="170"/>
      <c r="J3" s="170"/>
      <c r="K3" s="171" t="s">
        <v>174</v>
      </c>
      <c r="L3" s="172" t="b">
        <v>0</v>
      </c>
      <c r="S3" s="152" t="s">
        <v>808</v>
      </c>
      <c r="T3" s="153" t="s">
        <v>3</v>
      </c>
      <c r="U3" s="152" t="s">
        <v>3</v>
      </c>
      <c r="W3" s="334" t="s">
        <v>1821</v>
      </c>
      <c r="Z3" s="13" t="s">
        <v>1620</v>
      </c>
      <c r="AA3" s="335">
        <v>0.01</v>
      </c>
      <c r="AB3" s="13"/>
      <c r="AC3" s="13" t="s">
        <v>1632</v>
      </c>
      <c r="AD3" s="337">
        <v>0.28999999999999998</v>
      </c>
    </row>
    <row r="4" spans="1:30">
      <c r="A4" s="158"/>
      <c r="B4" s="158"/>
      <c r="C4" s="158"/>
      <c r="D4" s="159" t="s">
        <v>71</v>
      </c>
      <c r="E4" s="160">
        <v>2</v>
      </c>
      <c r="G4" s="170"/>
      <c r="H4" s="170"/>
      <c r="I4" s="170"/>
      <c r="J4" s="170"/>
      <c r="K4" s="171" t="s">
        <v>1347</v>
      </c>
      <c r="L4" s="172" t="s">
        <v>1738</v>
      </c>
      <c r="W4" s="334"/>
      <c r="Z4" s="13" t="s">
        <v>1621</v>
      </c>
      <c r="AA4" s="335">
        <v>0.02</v>
      </c>
      <c r="AB4" s="13"/>
      <c r="AC4" s="13" t="s">
        <v>1633</v>
      </c>
      <c r="AD4" s="337">
        <v>0.28999999999999998</v>
      </c>
    </row>
    <row r="5" spans="1:30">
      <c r="A5" s="158"/>
      <c r="B5" s="158"/>
      <c r="C5" s="158"/>
      <c r="D5" s="159" t="s">
        <v>1348</v>
      </c>
      <c r="E5" s="160">
        <v>21</v>
      </c>
      <c r="G5" s="170"/>
      <c r="H5" s="170"/>
      <c r="I5" s="170"/>
      <c r="J5" s="170"/>
      <c r="K5" s="171" t="s">
        <v>1687</v>
      </c>
      <c r="L5" s="172" t="b">
        <v>1</v>
      </c>
      <c r="W5" s="334"/>
      <c r="Z5" s="13" t="s">
        <v>1622</v>
      </c>
      <c r="AA5" s="335">
        <v>0.03</v>
      </c>
      <c r="AB5" s="13"/>
      <c r="AC5" s="13" t="s">
        <v>1634</v>
      </c>
      <c r="AD5" s="337">
        <v>0.373</v>
      </c>
    </row>
    <row r="6" spans="1:30">
      <c r="W6" s="334"/>
      <c r="Z6" s="13" t="s">
        <v>1623</v>
      </c>
      <c r="AA6" s="335">
        <v>2.8000000000000001E-2</v>
      </c>
      <c r="AB6" s="13"/>
      <c r="AC6" s="13" t="s">
        <v>1635</v>
      </c>
      <c r="AD6" s="337">
        <v>0.28999999999999998</v>
      </c>
    </row>
    <row r="7" spans="1:30">
      <c r="A7" s="473" t="s">
        <v>1417</v>
      </c>
      <c r="B7" s="473"/>
      <c r="C7" s="473"/>
      <c r="D7" s="473"/>
      <c r="E7" s="473"/>
      <c r="W7" s="334"/>
      <c r="Z7" s="13" t="s">
        <v>1624</v>
      </c>
      <c r="AA7" s="335">
        <v>2.8000000000000001E-2</v>
      </c>
      <c r="AB7" s="13"/>
      <c r="AC7" s="13" t="s">
        <v>1636</v>
      </c>
      <c r="AD7" s="337">
        <v>0.373</v>
      </c>
    </row>
    <row r="8" spans="1:30">
      <c r="A8" s="161"/>
      <c r="B8" s="161"/>
      <c r="C8" s="161"/>
      <c r="D8" s="162" t="s">
        <v>171</v>
      </c>
      <c r="E8" s="163" t="s">
        <v>806</v>
      </c>
      <c r="G8" s="164" t="s">
        <v>1350</v>
      </c>
      <c r="H8" s="165">
        <v>19</v>
      </c>
      <c r="I8" s="165">
        <v>18</v>
      </c>
      <c r="J8" s="165">
        <v>17</v>
      </c>
      <c r="K8" s="166"/>
      <c r="L8" s="166"/>
      <c r="M8" s="167"/>
      <c r="W8" s="334"/>
      <c r="Z8" s="13" t="s">
        <v>1625</v>
      </c>
      <c r="AA8" s="335">
        <v>0.01</v>
      </c>
      <c r="AB8" s="13"/>
      <c r="AC8" s="13" t="s">
        <v>1637</v>
      </c>
      <c r="AD8" s="337">
        <v>0.28999999999999998</v>
      </c>
    </row>
    <row r="9" spans="1:30">
      <c r="A9" s="161"/>
      <c r="B9" s="161"/>
      <c r="C9" s="161"/>
      <c r="D9" s="162" t="s">
        <v>172</v>
      </c>
      <c r="E9" s="163">
        <v>3</v>
      </c>
      <c r="G9" s="164" t="s">
        <v>1351</v>
      </c>
      <c r="H9" s="168">
        <v>0.33333000000000002</v>
      </c>
      <c r="I9" s="168">
        <v>0.33333000000000002</v>
      </c>
      <c r="J9" s="168">
        <v>0.33333000000000002</v>
      </c>
      <c r="K9" s="169"/>
      <c r="L9" s="169"/>
      <c r="M9" s="167"/>
      <c r="W9" s="334"/>
      <c r="Z9" s="13" t="s">
        <v>1626</v>
      </c>
      <c r="AA9" s="335">
        <v>0.373</v>
      </c>
      <c r="AB9" s="13"/>
      <c r="AC9" s="13" t="s">
        <v>1638</v>
      </c>
      <c r="AD9" s="337">
        <v>0.11</v>
      </c>
    </row>
    <row r="10" spans="1:30">
      <c r="A10" s="161"/>
      <c r="B10" s="161"/>
      <c r="C10" s="161"/>
      <c r="D10" s="162" t="s">
        <v>173</v>
      </c>
      <c r="E10" s="163">
        <v>17</v>
      </c>
      <c r="W10" s="334"/>
      <c r="Z10" s="13" t="s">
        <v>1627</v>
      </c>
      <c r="AA10" s="335">
        <v>0.16</v>
      </c>
      <c r="AB10" s="13"/>
      <c r="AC10" s="13" t="s">
        <v>1639</v>
      </c>
      <c r="AD10" s="337">
        <v>0.16</v>
      </c>
    </row>
    <row r="11" spans="1:30">
      <c r="W11" s="334"/>
      <c r="Z11" s="13" t="s">
        <v>1628</v>
      </c>
      <c r="AA11" s="335">
        <v>1.2999999999999999E-2</v>
      </c>
      <c r="AB11" s="13"/>
      <c r="AC11" s="13" t="s">
        <v>1640</v>
      </c>
      <c r="AD11" s="337">
        <v>0.16</v>
      </c>
    </row>
    <row r="12" spans="1:30">
      <c r="A12" s="473" t="s">
        <v>1600</v>
      </c>
      <c r="B12" s="473"/>
      <c r="C12" s="473"/>
      <c r="D12" s="473"/>
      <c r="E12" s="473"/>
      <c r="G12" s="473" t="s">
        <v>1421</v>
      </c>
      <c r="H12" s="473"/>
      <c r="I12" s="473"/>
      <c r="J12" s="473"/>
      <c r="K12" s="473"/>
      <c r="L12" s="473"/>
      <c r="W12" s="334"/>
      <c r="Z12" s="13" t="s">
        <v>149</v>
      </c>
      <c r="AA12" s="335">
        <v>0.03</v>
      </c>
      <c r="AB12" s="13"/>
      <c r="AC12" s="13" t="s">
        <v>1641</v>
      </c>
      <c r="AD12" s="337">
        <v>0.28999999999999998</v>
      </c>
    </row>
    <row r="13" spans="1:30">
      <c r="A13" s="197"/>
      <c r="B13" s="197"/>
      <c r="C13" s="197"/>
      <c r="D13" s="198" t="s">
        <v>171</v>
      </c>
      <c r="E13" s="199" t="s">
        <v>697</v>
      </c>
      <c r="G13" s="477" t="s">
        <v>1697</v>
      </c>
      <c r="H13" s="477"/>
      <c r="I13" s="477"/>
      <c r="J13" s="477"/>
      <c r="K13" s="477"/>
      <c r="L13" s="477"/>
      <c r="W13" s="334"/>
      <c r="Z13" s="13" t="s">
        <v>148</v>
      </c>
      <c r="AA13" s="335">
        <v>0.03</v>
      </c>
      <c r="AB13" s="13"/>
      <c r="AC13" s="13" t="s">
        <v>1642</v>
      </c>
      <c r="AD13" s="337">
        <v>0.28999999999999998</v>
      </c>
    </row>
    <row r="14" spans="1:30">
      <c r="A14" s="197"/>
      <c r="B14" s="197"/>
      <c r="C14" s="197"/>
      <c r="D14" s="198" t="s">
        <v>1348</v>
      </c>
      <c r="E14" s="199">
        <v>22</v>
      </c>
      <c r="G14" s="477" t="s">
        <v>1698</v>
      </c>
      <c r="H14" s="477"/>
      <c r="I14" s="477"/>
      <c r="J14" s="477"/>
      <c r="K14" s="477"/>
      <c r="L14" s="477"/>
      <c r="W14" s="334"/>
      <c r="Z14" s="13" t="s">
        <v>151</v>
      </c>
      <c r="AA14" s="335">
        <v>7.2599999999999998E-2</v>
      </c>
      <c r="AB14" s="335">
        <v>7.2599999999999998E-2</v>
      </c>
      <c r="AC14" s="13" t="s">
        <v>1643</v>
      </c>
      <c r="AD14" s="337">
        <v>0.16</v>
      </c>
    </row>
    <row r="15" spans="1:30">
      <c r="A15" s="197"/>
      <c r="B15" s="197"/>
      <c r="C15" s="197"/>
      <c r="D15" s="198"/>
      <c r="E15" s="199"/>
      <c r="G15" s="477" t="s">
        <v>1699</v>
      </c>
      <c r="H15" s="477"/>
      <c r="I15" s="477"/>
      <c r="J15" s="477"/>
      <c r="K15" s="477"/>
      <c r="L15" s="477"/>
      <c r="W15" s="334"/>
      <c r="Z15" s="13" t="s">
        <v>152</v>
      </c>
      <c r="AA15" s="335">
        <v>6.3E-3</v>
      </c>
      <c r="AB15" s="335">
        <v>5.8999999999999999E-3</v>
      </c>
      <c r="AC15" s="13" t="s">
        <v>1644</v>
      </c>
      <c r="AD15" s="337">
        <v>0.28999999999999998</v>
      </c>
    </row>
    <row r="16" spans="1:30">
      <c r="G16" s="488" t="s">
        <v>1700</v>
      </c>
      <c r="H16" s="488"/>
      <c r="I16" s="488"/>
      <c r="J16" s="488"/>
      <c r="K16" s="488"/>
      <c r="L16" s="488"/>
      <c r="W16" s="334"/>
      <c r="Z16" s="13" t="s">
        <v>1629</v>
      </c>
      <c r="AA16" s="335">
        <v>7.8899999999999998E-2</v>
      </c>
      <c r="AB16" s="335">
        <v>7.85E-2</v>
      </c>
      <c r="AC16" s="13" t="s">
        <v>1645</v>
      </c>
      <c r="AD16" s="337">
        <v>1.2999999999999999E-2</v>
      </c>
    </row>
    <row r="17" spans="1:30">
      <c r="A17" s="109" t="s">
        <v>1596</v>
      </c>
      <c r="B17" s="460"/>
      <c r="C17" s="460"/>
      <c r="D17" s="460"/>
      <c r="E17" s="460"/>
      <c r="G17" s="477" t="s">
        <v>1701</v>
      </c>
      <c r="H17" s="477"/>
      <c r="I17" s="477"/>
      <c r="J17" s="477"/>
      <c r="K17" s="477"/>
      <c r="L17" s="477"/>
      <c r="W17" s="334"/>
      <c r="AC17" s="13" t="s">
        <v>1646</v>
      </c>
      <c r="AD17" s="337">
        <v>1.2999999999999999E-2</v>
      </c>
    </row>
    <row r="18" spans="1:30">
      <c r="A18" s="109" t="s">
        <v>1597</v>
      </c>
      <c r="B18" s="461" t="s">
        <v>1741</v>
      </c>
      <c r="C18" s="461"/>
      <c r="D18" s="461"/>
      <c r="E18" s="461"/>
      <c r="G18" s="477" t="s">
        <v>1702</v>
      </c>
      <c r="H18" s="477"/>
      <c r="I18" s="477"/>
      <c r="J18" s="477"/>
      <c r="K18" s="477"/>
      <c r="L18" s="477"/>
      <c r="W18" s="334"/>
      <c r="AC18" s="13" t="s">
        <v>1647</v>
      </c>
      <c r="AD18" s="337">
        <v>1.2999999999999999E-2</v>
      </c>
    </row>
    <row r="19" spans="1:30">
      <c r="A19" s="109" t="s">
        <v>1598</v>
      </c>
      <c r="B19" s="462">
        <v>9.7222222393611446E-4</v>
      </c>
      <c r="C19" s="462"/>
      <c r="D19" s="462"/>
      <c r="E19" s="462"/>
      <c r="G19" s="477" t="s">
        <v>1703</v>
      </c>
      <c r="H19" s="477"/>
      <c r="I19" s="477"/>
      <c r="J19" s="477"/>
      <c r="K19" s="477"/>
      <c r="L19" s="477"/>
      <c r="W19" s="334"/>
      <c r="AC19" s="13" t="s">
        <v>1648</v>
      </c>
      <c r="AD19" s="337">
        <v>1.2999999999999999E-2</v>
      </c>
    </row>
    <row r="20" spans="1:30">
      <c r="A20" s="109" t="s">
        <v>1599</v>
      </c>
      <c r="B20" s="460"/>
      <c r="C20" s="460"/>
      <c r="D20" s="460"/>
      <c r="E20" s="460"/>
      <c r="G20" s="477" t="s">
        <v>1713</v>
      </c>
      <c r="H20" s="477"/>
      <c r="I20" s="477"/>
      <c r="J20" s="477"/>
      <c r="K20" s="477"/>
      <c r="L20" s="477"/>
      <c r="W20" s="334"/>
      <c r="AC20" s="13" t="s">
        <v>1649</v>
      </c>
      <c r="AD20" s="337">
        <v>0.11</v>
      </c>
    </row>
    <row r="21" spans="1:30">
      <c r="G21" s="477" t="s">
        <v>1704</v>
      </c>
      <c r="H21" s="477"/>
      <c r="I21" s="477"/>
      <c r="J21" s="477"/>
      <c r="K21" s="477"/>
      <c r="L21" s="477"/>
      <c r="W21" s="334"/>
      <c r="AC21" s="13" t="s">
        <v>1617</v>
      </c>
      <c r="AD21" s="337">
        <v>0.373</v>
      </c>
    </row>
    <row r="22" spans="1:30">
      <c r="A22" s="495" t="s">
        <v>1672</v>
      </c>
      <c r="B22" s="495"/>
      <c r="C22" s="495"/>
      <c r="D22" s="495"/>
      <c r="E22" s="495"/>
      <c r="G22" s="477" t="s">
        <v>1705</v>
      </c>
      <c r="H22" s="477"/>
      <c r="I22" s="477"/>
      <c r="J22" s="477"/>
      <c r="K22" s="477"/>
      <c r="L22" s="477"/>
      <c r="W22" s="334"/>
      <c r="AC22" s="13" t="s">
        <v>1650</v>
      </c>
      <c r="AD22" s="337">
        <v>0.373</v>
      </c>
    </row>
    <row r="23" spans="1:30">
      <c r="A23" s="164" t="s">
        <v>1404</v>
      </c>
      <c r="B23" s="486" t="s">
        <v>1405</v>
      </c>
      <c r="C23" s="486"/>
      <c r="D23" s="486"/>
      <c r="E23" s="486"/>
      <c r="G23" s="490" t="s">
        <v>1706</v>
      </c>
      <c r="H23" s="490"/>
      <c r="I23" s="490"/>
      <c r="J23" s="490"/>
      <c r="K23" s="490"/>
      <c r="L23" s="490"/>
      <c r="W23" s="334"/>
      <c r="AC23" s="13" t="s">
        <v>1651</v>
      </c>
      <c r="AD23" s="337">
        <v>0.373</v>
      </c>
    </row>
    <row r="24" spans="1:30">
      <c r="A24" s="164" t="s">
        <v>1406</v>
      </c>
      <c r="B24" s="486" t="s">
        <v>1407</v>
      </c>
      <c r="C24" s="486"/>
      <c r="D24" s="486"/>
      <c r="E24" s="486"/>
      <c r="G24" s="490" t="s">
        <v>1707</v>
      </c>
      <c r="H24" s="490"/>
      <c r="I24" s="490"/>
      <c r="J24" s="490"/>
      <c r="K24" s="490"/>
      <c r="L24" s="490"/>
      <c r="W24" s="334"/>
      <c r="AC24" s="13" t="s">
        <v>1652</v>
      </c>
      <c r="AD24" s="337">
        <v>0.16</v>
      </c>
    </row>
    <row r="25" spans="1:30" ht="14.4" customHeight="1">
      <c r="A25" s="491" t="s">
        <v>1657</v>
      </c>
      <c r="B25" s="497" t="s">
        <v>1408</v>
      </c>
      <c r="C25" s="497"/>
      <c r="D25" s="497"/>
      <c r="E25" s="497"/>
      <c r="G25" s="490" t="s">
        <v>1708</v>
      </c>
      <c r="H25" s="490"/>
      <c r="I25" s="490"/>
      <c r="J25" s="490"/>
      <c r="K25" s="490"/>
      <c r="L25" s="490"/>
      <c r="W25" s="334"/>
      <c r="AC25" s="13" t="s">
        <v>1653</v>
      </c>
      <c r="AD25" s="337">
        <v>0.16</v>
      </c>
    </row>
    <row r="26" spans="1:30">
      <c r="A26" s="491"/>
      <c r="B26" s="497"/>
      <c r="C26" s="497"/>
      <c r="D26" s="497"/>
      <c r="E26" s="497"/>
      <c r="G26" s="488"/>
      <c r="H26" s="488"/>
      <c r="I26" s="488"/>
      <c r="J26" s="488"/>
      <c r="K26" s="488"/>
      <c r="L26" s="488"/>
      <c r="W26" s="334"/>
      <c r="AC26" s="13" t="s">
        <v>1654</v>
      </c>
      <c r="AD26" s="337">
        <v>0.373</v>
      </c>
    </row>
    <row r="27" spans="1:30">
      <c r="A27" s="164" t="s">
        <v>1419</v>
      </c>
      <c r="B27" s="492" t="s">
        <v>1589</v>
      </c>
      <c r="C27" s="493"/>
      <c r="D27" s="493"/>
      <c r="E27" s="494"/>
      <c r="G27" s="488" t="s">
        <v>1422</v>
      </c>
      <c r="H27" s="488"/>
      <c r="I27" s="488"/>
      <c r="J27" s="488"/>
      <c r="K27" s="488"/>
      <c r="L27" s="488"/>
      <c r="W27" s="334"/>
      <c r="AC27" s="13" t="s">
        <v>1618</v>
      </c>
      <c r="AD27" s="337">
        <v>1.2999999999999999E-2</v>
      </c>
    </row>
    <row r="28" spans="1:30">
      <c r="A28" s="164" t="s">
        <v>1420</v>
      </c>
      <c r="B28" s="492" t="s">
        <v>1590</v>
      </c>
      <c r="C28" s="493"/>
      <c r="D28" s="493"/>
      <c r="E28" s="494"/>
      <c r="G28" s="489" t="s">
        <v>1709</v>
      </c>
      <c r="H28" s="489"/>
      <c r="I28" s="489"/>
      <c r="J28" s="489"/>
      <c r="K28" s="489"/>
      <c r="L28" s="489"/>
      <c r="W28" s="334"/>
      <c r="AC28" s="13" t="s">
        <v>1655</v>
      </c>
      <c r="AD28" s="337">
        <v>0.373</v>
      </c>
    </row>
    <row r="29" spans="1:30">
      <c r="A29" s="164" t="s">
        <v>1411</v>
      </c>
      <c r="B29" s="486" t="s">
        <v>1412</v>
      </c>
      <c r="C29" s="486"/>
      <c r="D29" s="486"/>
      <c r="E29" s="486"/>
      <c r="G29" s="477" t="s">
        <v>1710</v>
      </c>
      <c r="H29" s="477"/>
      <c r="I29" s="477"/>
      <c r="J29" s="477"/>
      <c r="K29" s="477"/>
      <c r="L29" s="477"/>
      <c r="W29" s="334"/>
    </row>
    <row r="30" spans="1:30">
      <c r="A30" s="340"/>
      <c r="B30" s="340"/>
      <c r="C30" s="340"/>
      <c r="D30" s="341"/>
      <c r="E30" s="342"/>
      <c r="G30" s="477" t="s">
        <v>1711</v>
      </c>
      <c r="H30" s="477"/>
      <c r="I30" s="477"/>
      <c r="J30" s="477"/>
      <c r="K30" s="477"/>
      <c r="L30" s="477"/>
      <c r="W30" s="334"/>
    </row>
    <row r="31" spans="1:30">
      <c r="A31" s="487" t="s">
        <v>1669</v>
      </c>
      <c r="B31" s="487"/>
      <c r="C31" s="487"/>
      <c r="D31" s="487"/>
      <c r="E31" s="487"/>
      <c r="G31" s="477" t="s">
        <v>1712</v>
      </c>
      <c r="H31" s="477"/>
      <c r="I31" s="477"/>
      <c r="J31" s="477"/>
      <c r="K31" s="477"/>
      <c r="L31" s="477"/>
      <c r="W31" s="334"/>
    </row>
    <row r="32" spans="1:30">
      <c r="A32" s="461" t="s">
        <v>1668</v>
      </c>
      <c r="B32" s="461"/>
      <c r="C32" s="461"/>
      <c r="D32" s="461"/>
      <c r="E32" s="461"/>
      <c r="G32" s="477" t="s">
        <v>1728</v>
      </c>
      <c r="H32" s="477"/>
      <c r="I32" s="477"/>
      <c r="J32" s="477"/>
      <c r="K32" s="477"/>
      <c r="L32" s="477"/>
      <c r="W32" s="334"/>
    </row>
    <row r="33" spans="1:12">
      <c r="A33" s="461" t="s">
        <v>1670</v>
      </c>
      <c r="B33" s="461"/>
      <c r="C33" s="461"/>
      <c r="D33" s="461"/>
      <c r="E33" s="461"/>
      <c r="G33" s="477" t="s">
        <v>1714</v>
      </c>
      <c r="H33" s="477"/>
      <c r="I33" s="477"/>
      <c r="J33" s="477"/>
      <c r="K33" s="477"/>
      <c r="L33" s="477"/>
    </row>
    <row r="34" spans="1:12">
      <c r="A34" s="461" t="s">
        <v>1671</v>
      </c>
      <c r="B34" s="461"/>
      <c r="C34" s="461"/>
      <c r="D34" s="461"/>
      <c r="E34" s="461"/>
      <c r="G34" s="477" t="s">
        <v>1715</v>
      </c>
      <c r="H34" s="477"/>
      <c r="I34" s="477"/>
      <c r="J34" s="477"/>
      <c r="K34" s="477"/>
      <c r="L34" s="477"/>
    </row>
    <row r="35" spans="1:12">
      <c r="G35" s="477" t="s">
        <v>1716</v>
      </c>
      <c r="H35" s="477"/>
      <c r="I35" s="477"/>
      <c r="J35" s="477"/>
      <c r="K35" s="477"/>
      <c r="L35" s="477"/>
    </row>
    <row r="37" spans="1:12">
      <c r="A37" s="473" t="s">
        <v>1424</v>
      </c>
      <c r="B37" s="473"/>
      <c r="C37" s="473"/>
      <c r="D37" s="473"/>
      <c r="E37" s="473"/>
      <c r="F37" s="473"/>
      <c r="G37" s="473"/>
      <c r="H37" s="473"/>
      <c r="I37" s="473"/>
      <c r="J37" s="473"/>
      <c r="K37" s="473"/>
      <c r="L37" s="473"/>
    </row>
    <row r="38" spans="1:12">
      <c r="A38" s="477" t="s">
        <v>1425</v>
      </c>
      <c r="B38" s="477"/>
      <c r="C38" s="477"/>
      <c r="D38" s="477"/>
      <c r="E38" s="477"/>
      <c r="F38" s="477"/>
      <c r="G38" s="477"/>
      <c r="H38" s="477"/>
      <c r="I38" s="477"/>
      <c r="J38" s="477"/>
      <c r="K38" s="477"/>
      <c r="L38" s="477"/>
    </row>
    <row r="39" spans="1:12">
      <c r="A39" s="477"/>
      <c r="B39" s="477"/>
      <c r="C39" s="477"/>
      <c r="D39" s="477"/>
      <c r="E39" s="477"/>
      <c r="F39" s="477"/>
      <c r="G39" s="477"/>
      <c r="H39" s="477"/>
      <c r="I39" s="477"/>
      <c r="J39" s="477"/>
      <c r="K39" s="477"/>
      <c r="L39" s="477"/>
    </row>
    <row r="40" spans="1:12">
      <c r="A40" s="477"/>
      <c r="B40" s="477"/>
      <c r="C40" s="477"/>
      <c r="D40" s="477"/>
      <c r="E40" s="477"/>
      <c r="F40" s="477"/>
      <c r="G40" s="477"/>
      <c r="H40" s="477"/>
      <c r="I40" s="477"/>
      <c r="J40" s="477"/>
      <c r="K40" s="477"/>
      <c r="L40" s="477"/>
    </row>
    <row r="41" spans="1:12">
      <c r="A41" s="477"/>
      <c r="B41" s="477"/>
      <c r="C41" s="477"/>
      <c r="D41" s="477"/>
      <c r="E41" s="477"/>
      <c r="F41" s="477"/>
      <c r="G41" s="477"/>
      <c r="H41" s="477"/>
      <c r="I41" s="477"/>
      <c r="J41" s="477"/>
      <c r="K41" s="477"/>
      <c r="L41" s="477"/>
    </row>
    <row r="42" spans="1:12">
      <c r="A42" s="477"/>
      <c r="B42" s="477"/>
      <c r="C42" s="477"/>
      <c r="D42" s="477"/>
      <c r="E42" s="477"/>
      <c r="F42" s="477"/>
      <c r="G42" s="477"/>
      <c r="H42" s="477"/>
      <c r="I42" s="477"/>
      <c r="J42" s="477"/>
      <c r="K42" s="477"/>
      <c r="L42" s="477"/>
    </row>
    <row r="43" spans="1:12">
      <c r="A43" s="477"/>
      <c r="B43" s="477"/>
      <c r="C43" s="477"/>
      <c r="D43" s="477"/>
      <c r="E43" s="477"/>
      <c r="F43" s="477"/>
      <c r="G43" s="477"/>
      <c r="H43" s="477"/>
      <c r="I43" s="477"/>
      <c r="J43" s="477"/>
      <c r="K43" s="477"/>
      <c r="L43" s="477"/>
    </row>
    <row r="44" spans="1:12">
      <c r="A44" s="477"/>
      <c r="B44" s="477"/>
      <c r="C44" s="477"/>
      <c r="D44" s="477"/>
      <c r="E44" s="477"/>
      <c r="F44" s="477"/>
      <c r="G44" s="477"/>
      <c r="H44" s="477"/>
      <c r="I44" s="477"/>
      <c r="J44" s="477"/>
      <c r="K44" s="477"/>
      <c r="L44" s="477"/>
    </row>
    <row r="45" spans="1:12">
      <c r="A45" s="477"/>
      <c r="B45" s="477"/>
      <c r="C45" s="477"/>
      <c r="D45" s="477"/>
      <c r="E45" s="477"/>
      <c r="F45" s="477"/>
      <c r="G45" s="477"/>
      <c r="H45" s="477"/>
      <c r="I45" s="477"/>
      <c r="J45" s="477"/>
      <c r="K45" s="477"/>
      <c r="L45" s="477"/>
    </row>
    <row r="46" spans="1:12">
      <c r="A46" s="477"/>
      <c r="B46" s="477"/>
      <c r="C46" s="477"/>
      <c r="D46" s="477"/>
      <c r="E46" s="477"/>
      <c r="F46" s="477"/>
      <c r="G46" s="477"/>
      <c r="H46" s="477"/>
      <c r="I46" s="477"/>
      <c r="J46" s="477"/>
      <c r="K46" s="477"/>
      <c r="L46" s="477"/>
    </row>
    <row r="48" spans="1:12">
      <c r="A48" s="473" t="s">
        <v>1426</v>
      </c>
      <c r="B48" s="473"/>
      <c r="C48" s="473"/>
      <c r="D48" s="473"/>
      <c r="E48" s="473"/>
      <c r="F48" s="473"/>
      <c r="G48" s="473"/>
      <c r="H48" s="473"/>
      <c r="I48" s="473"/>
      <c r="J48" s="473"/>
      <c r="K48" s="473"/>
      <c r="L48" s="473"/>
    </row>
    <row r="49" spans="1:12">
      <c r="A49" s="173" t="s">
        <v>1427</v>
      </c>
      <c r="B49" s="474" t="s">
        <v>1688</v>
      </c>
      <c r="C49" s="474"/>
      <c r="D49" s="474"/>
      <c r="E49" s="474"/>
      <c r="F49" s="474"/>
      <c r="G49" s="474"/>
      <c r="H49" s="474"/>
      <c r="I49" s="474"/>
      <c r="J49" s="474"/>
      <c r="K49" s="474"/>
      <c r="L49" s="474"/>
    </row>
    <row r="50" spans="1:12">
      <c r="A50" s="173" t="s">
        <v>1428</v>
      </c>
      <c r="B50" s="474" t="s">
        <v>1689</v>
      </c>
      <c r="C50" s="474"/>
      <c r="D50" s="474"/>
      <c r="E50" s="474"/>
      <c r="F50" s="474"/>
      <c r="G50" s="474"/>
      <c r="H50" s="474"/>
      <c r="I50" s="474"/>
      <c r="J50" s="474"/>
      <c r="K50" s="474"/>
      <c r="L50" s="474"/>
    </row>
    <row r="51" spans="1:12" ht="15.6" customHeight="1">
      <c r="A51" s="433" t="s">
        <v>1429</v>
      </c>
      <c r="B51" s="483" t="s">
        <v>1690</v>
      </c>
      <c r="C51" s="484"/>
      <c r="D51" s="484"/>
      <c r="E51" s="484"/>
      <c r="F51" s="484"/>
      <c r="G51" s="484"/>
      <c r="H51" s="484"/>
      <c r="I51" s="484"/>
      <c r="J51" s="484"/>
      <c r="K51" s="484"/>
      <c r="L51" s="485"/>
    </row>
    <row r="52" spans="1:12">
      <c r="A52" s="481" t="s">
        <v>1430</v>
      </c>
      <c r="B52" s="464" t="s">
        <v>1691</v>
      </c>
      <c r="C52" s="465"/>
      <c r="D52" s="465"/>
      <c r="E52" s="465"/>
      <c r="F52" s="465"/>
      <c r="G52" s="465"/>
      <c r="H52" s="465"/>
      <c r="I52" s="465"/>
      <c r="J52" s="465"/>
      <c r="K52" s="465"/>
      <c r="L52" s="466"/>
    </row>
    <row r="53" spans="1:12">
      <c r="A53" s="482"/>
      <c r="B53" s="470"/>
      <c r="C53" s="471"/>
      <c r="D53" s="471"/>
      <c r="E53" s="471"/>
      <c r="F53" s="471"/>
      <c r="G53" s="471"/>
      <c r="H53" s="471"/>
      <c r="I53" s="471"/>
      <c r="J53" s="471"/>
      <c r="K53" s="471"/>
      <c r="L53" s="472"/>
    </row>
    <row r="54" spans="1:12">
      <c r="A54" s="478" t="s">
        <v>1431</v>
      </c>
      <c r="B54" s="464" t="s">
        <v>1432</v>
      </c>
      <c r="C54" s="465"/>
      <c r="D54" s="465"/>
      <c r="E54" s="465"/>
      <c r="F54" s="465"/>
      <c r="G54" s="465"/>
      <c r="H54" s="465"/>
      <c r="I54" s="465"/>
      <c r="J54" s="465"/>
      <c r="K54" s="465"/>
      <c r="L54" s="466"/>
    </row>
    <row r="55" spans="1:12">
      <c r="A55" s="480"/>
      <c r="B55" s="470"/>
      <c r="C55" s="471"/>
      <c r="D55" s="471"/>
      <c r="E55" s="471"/>
      <c r="F55" s="471"/>
      <c r="G55" s="471"/>
      <c r="H55" s="471"/>
      <c r="I55" s="471"/>
      <c r="J55" s="471"/>
      <c r="K55" s="471"/>
      <c r="L55" s="472"/>
    </row>
    <row r="56" spans="1:12">
      <c r="A56" s="173" t="s">
        <v>1433</v>
      </c>
      <c r="B56" s="474" t="s">
        <v>1434</v>
      </c>
      <c r="C56" s="474"/>
      <c r="D56" s="474"/>
      <c r="E56" s="474"/>
      <c r="F56" s="474"/>
      <c r="G56" s="474"/>
      <c r="H56" s="474"/>
      <c r="I56" s="474"/>
      <c r="J56" s="474"/>
      <c r="K56" s="474"/>
      <c r="L56" s="474"/>
    </row>
    <row r="57" spans="1:12">
      <c r="A57" s="173" t="s">
        <v>1435</v>
      </c>
      <c r="B57" s="474" t="s">
        <v>1436</v>
      </c>
      <c r="C57" s="474"/>
      <c r="D57" s="474"/>
      <c r="E57" s="474"/>
      <c r="F57" s="474"/>
      <c r="G57" s="474"/>
      <c r="H57" s="474"/>
      <c r="I57" s="474"/>
      <c r="J57" s="474"/>
      <c r="K57" s="474"/>
      <c r="L57" s="474"/>
    </row>
    <row r="58" spans="1:12">
      <c r="A58" s="434" t="s">
        <v>1692</v>
      </c>
      <c r="B58" s="435" t="s">
        <v>1693</v>
      </c>
      <c r="C58" s="436"/>
      <c r="D58" s="436"/>
      <c r="E58" s="436"/>
      <c r="F58" s="436"/>
      <c r="G58" s="436"/>
      <c r="H58" s="436"/>
      <c r="I58" s="436"/>
      <c r="J58" s="436"/>
      <c r="K58" s="436"/>
      <c r="L58" s="437"/>
    </row>
    <row r="59" spans="1:12" ht="14.4" customHeight="1">
      <c r="A59" s="478" t="s">
        <v>0</v>
      </c>
      <c r="B59" s="464" t="s">
        <v>1694</v>
      </c>
      <c r="C59" s="465"/>
      <c r="D59" s="465"/>
      <c r="E59" s="465"/>
      <c r="F59" s="465"/>
      <c r="G59" s="465"/>
      <c r="H59" s="465"/>
      <c r="I59" s="465"/>
      <c r="J59" s="465"/>
      <c r="K59" s="465"/>
      <c r="L59" s="466"/>
    </row>
    <row r="60" spans="1:12">
      <c r="A60" s="479"/>
      <c r="B60" s="467"/>
      <c r="C60" s="468"/>
      <c r="D60" s="468"/>
      <c r="E60" s="468"/>
      <c r="F60" s="468"/>
      <c r="G60" s="468"/>
      <c r="H60" s="468"/>
      <c r="I60" s="468"/>
      <c r="J60" s="468"/>
      <c r="K60" s="468"/>
      <c r="L60" s="469"/>
    </row>
    <row r="61" spans="1:12">
      <c r="A61" s="480"/>
      <c r="B61" s="470"/>
      <c r="C61" s="471"/>
      <c r="D61" s="471"/>
      <c r="E61" s="471"/>
      <c r="F61" s="471"/>
      <c r="G61" s="471"/>
      <c r="H61" s="471"/>
      <c r="I61" s="471"/>
      <c r="J61" s="471"/>
      <c r="K61" s="471"/>
      <c r="L61" s="472"/>
    </row>
    <row r="62" spans="1:12" ht="14.4" customHeight="1">
      <c r="A62" s="475" t="s">
        <v>1437</v>
      </c>
      <c r="B62" s="463" t="s">
        <v>1695</v>
      </c>
      <c r="C62" s="463"/>
      <c r="D62" s="463"/>
      <c r="E62" s="463"/>
      <c r="F62" s="463"/>
      <c r="G62" s="463"/>
      <c r="H62" s="463"/>
      <c r="I62" s="463"/>
      <c r="J62" s="463"/>
      <c r="K62" s="463"/>
      <c r="L62" s="463"/>
    </row>
    <row r="63" spans="1:12">
      <c r="A63" s="475"/>
      <c r="B63" s="463"/>
      <c r="C63" s="463"/>
      <c r="D63" s="463"/>
      <c r="E63" s="463"/>
      <c r="F63" s="463"/>
      <c r="G63" s="463"/>
      <c r="H63" s="463"/>
      <c r="I63" s="463"/>
      <c r="J63" s="463"/>
      <c r="K63" s="463"/>
      <c r="L63" s="463"/>
    </row>
    <row r="64" spans="1:12">
      <c r="A64" s="475"/>
      <c r="B64" s="463"/>
      <c r="C64" s="463"/>
      <c r="D64" s="463"/>
      <c r="E64" s="463"/>
      <c r="F64" s="463"/>
      <c r="G64" s="463"/>
      <c r="H64" s="463"/>
      <c r="I64" s="463"/>
      <c r="J64" s="463"/>
      <c r="K64" s="463"/>
      <c r="L64" s="463"/>
    </row>
    <row r="65" spans="1:12" ht="14.4" customHeight="1">
      <c r="A65" s="429" t="s">
        <v>1610</v>
      </c>
      <c r="B65" s="483" t="s">
        <v>1696</v>
      </c>
      <c r="C65" s="484"/>
      <c r="D65" s="484"/>
      <c r="E65" s="484"/>
      <c r="F65" s="484"/>
      <c r="G65" s="484"/>
      <c r="H65" s="484"/>
      <c r="I65" s="484"/>
      <c r="J65" s="484"/>
      <c r="K65" s="484"/>
      <c r="L65" s="485"/>
    </row>
    <row r="66" spans="1:12">
      <c r="A66" s="476" t="s">
        <v>1438</v>
      </c>
      <c r="B66" s="463" t="s">
        <v>1439</v>
      </c>
      <c r="C66" s="463"/>
      <c r="D66" s="463"/>
      <c r="E66" s="463"/>
      <c r="F66" s="463"/>
      <c r="G66" s="463"/>
      <c r="H66" s="463"/>
      <c r="I66" s="463"/>
      <c r="J66" s="463"/>
      <c r="K66" s="463"/>
      <c r="L66" s="463"/>
    </row>
    <row r="67" spans="1:12">
      <c r="A67" s="476"/>
      <c r="B67" s="463"/>
      <c r="C67" s="463"/>
      <c r="D67" s="463"/>
      <c r="E67" s="463"/>
      <c r="F67" s="463"/>
      <c r="G67" s="463"/>
      <c r="H67" s="463"/>
      <c r="I67" s="463"/>
      <c r="J67" s="463"/>
      <c r="K67" s="463"/>
      <c r="L67" s="463"/>
    </row>
    <row r="68" spans="1:12">
      <c r="A68" s="476"/>
      <c r="B68" s="463"/>
      <c r="C68" s="463"/>
      <c r="D68" s="463"/>
      <c r="E68" s="463"/>
      <c r="F68" s="463"/>
      <c r="G68" s="463"/>
      <c r="H68" s="463"/>
      <c r="I68" s="463"/>
      <c r="J68" s="463"/>
      <c r="K68" s="463"/>
      <c r="L68" s="463"/>
    </row>
    <row r="69" spans="1:12">
      <c r="A69" s="476"/>
      <c r="B69" s="463"/>
      <c r="C69" s="463"/>
      <c r="D69" s="463"/>
      <c r="E69" s="463"/>
      <c r="F69" s="463"/>
      <c r="G69" s="463"/>
      <c r="H69" s="463"/>
      <c r="I69" s="463"/>
      <c r="J69" s="463"/>
      <c r="K69" s="463"/>
      <c r="L69" s="463"/>
    </row>
    <row r="70" spans="1:12">
      <c r="A70" s="475" t="s">
        <v>1440</v>
      </c>
      <c r="B70" s="463" t="s">
        <v>1441</v>
      </c>
      <c r="C70" s="463"/>
      <c r="D70" s="463"/>
      <c r="E70" s="463"/>
      <c r="F70" s="463"/>
      <c r="G70" s="463"/>
      <c r="H70" s="463"/>
      <c r="I70" s="463"/>
      <c r="J70" s="463"/>
      <c r="K70" s="463"/>
      <c r="L70" s="463"/>
    </row>
    <row r="71" spans="1:12">
      <c r="A71" s="475"/>
      <c r="B71" s="463"/>
      <c r="C71" s="463"/>
      <c r="D71" s="463"/>
      <c r="E71" s="463"/>
      <c r="F71" s="463"/>
      <c r="G71" s="463"/>
      <c r="H71" s="463"/>
      <c r="I71" s="463"/>
      <c r="J71" s="463"/>
      <c r="K71" s="463"/>
      <c r="L71" s="463"/>
    </row>
  </sheetData>
  <sheetProtection selectLockedCells="1"/>
  <mergeCells count="74">
    <mergeCell ref="B65:L65"/>
    <mergeCell ref="A1:L1"/>
    <mergeCell ref="G25:L25"/>
    <mergeCell ref="G26:L26"/>
    <mergeCell ref="A2:E2"/>
    <mergeCell ref="A7:E7"/>
    <mergeCell ref="A12:E12"/>
    <mergeCell ref="B25:E26"/>
    <mergeCell ref="B24:E24"/>
    <mergeCell ref="B23:E23"/>
    <mergeCell ref="G12:L12"/>
    <mergeCell ref="G13:L13"/>
    <mergeCell ref="G14:L14"/>
    <mergeCell ref="G15:L15"/>
    <mergeCell ref="G16:L16"/>
    <mergeCell ref="G17:L17"/>
    <mergeCell ref="G2:L2"/>
    <mergeCell ref="B29:E29"/>
    <mergeCell ref="A31:E31"/>
    <mergeCell ref="G18:L18"/>
    <mergeCell ref="G19:L19"/>
    <mergeCell ref="G20:L20"/>
    <mergeCell ref="G21:L21"/>
    <mergeCell ref="G22:L22"/>
    <mergeCell ref="G27:L27"/>
    <mergeCell ref="G28:L28"/>
    <mergeCell ref="G23:L23"/>
    <mergeCell ref="G24:L24"/>
    <mergeCell ref="A25:A26"/>
    <mergeCell ref="B27:E27"/>
    <mergeCell ref="B28:E28"/>
    <mergeCell ref="A22:E22"/>
    <mergeCell ref="G29:L29"/>
    <mergeCell ref="A32:E32"/>
    <mergeCell ref="A33:E33"/>
    <mergeCell ref="A40:L40"/>
    <mergeCell ref="G30:L30"/>
    <mergeCell ref="G31:L31"/>
    <mergeCell ref="G32:L32"/>
    <mergeCell ref="G33:L33"/>
    <mergeCell ref="A41:L41"/>
    <mergeCell ref="A34:E34"/>
    <mergeCell ref="A37:L37"/>
    <mergeCell ref="A38:L38"/>
    <mergeCell ref="A39:L39"/>
    <mergeCell ref="G35:L35"/>
    <mergeCell ref="G34:L34"/>
    <mergeCell ref="A44:L44"/>
    <mergeCell ref="A45:L45"/>
    <mergeCell ref="A46:L46"/>
    <mergeCell ref="A59:A61"/>
    <mergeCell ref="B57:L57"/>
    <mergeCell ref="A52:A53"/>
    <mergeCell ref="B52:L53"/>
    <mergeCell ref="B54:L55"/>
    <mergeCell ref="A54:A55"/>
    <mergeCell ref="B56:L56"/>
    <mergeCell ref="B51:L51"/>
    <mergeCell ref="B17:E17"/>
    <mergeCell ref="B18:E18"/>
    <mergeCell ref="B19:E19"/>
    <mergeCell ref="B20:E20"/>
    <mergeCell ref="B70:L71"/>
    <mergeCell ref="B59:L61"/>
    <mergeCell ref="A48:L48"/>
    <mergeCell ref="B49:L49"/>
    <mergeCell ref="B50:L50"/>
    <mergeCell ref="A70:A71"/>
    <mergeCell ref="B66:L69"/>
    <mergeCell ref="A66:A69"/>
    <mergeCell ref="A62:A64"/>
    <mergeCell ref="B62:L64"/>
    <mergeCell ref="A42:L42"/>
    <mergeCell ref="A43:L43"/>
  </mergeCells>
  <dataValidations count="20">
    <dataValidation type="list" showInputMessage="1" showErrorMessage="1" sqref="L3 L5" xr:uid="{11B75CBB-95CE-4703-BC62-CE47B6B9D231}">
      <formula1>"True,False"</formula1>
    </dataValidation>
    <dataValidation type="list" showInputMessage="1" showErrorMessage="1" sqref="L4" xr:uid="{356C5DBF-A5CB-4335-90B2-DD0E8CC1AE17}">
      <formula1>"Standard,Compact"</formula1>
    </dataValidation>
    <dataValidation type="list" showInputMessage="1" showErrorMessage="1" sqref="E3 E8 E13" xr:uid="{31B4EC9B-65E4-47D2-9133-470FD7186A6D}">
      <formula1>"CEB,CSI,CUSG,DSB,ECNTR,KVCU,OCHNR,REC,SOAC,SLS,UMC,VRC"</formula1>
    </dataValidation>
    <dataValidation type="list" showInputMessage="1" showErrorMessage="1" sqref="E4" xr:uid="{616F26AE-9C13-4214-9A4B-F8A550187E63}">
      <formula1>"1,2,3,4"</formula1>
    </dataValidation>
    <dataValidation type="whole" allowBlank="1" showInputMessage="1" showErrorMessage="1" sqref="E5 E10" xr:uid="{209C606A-032B-4DA6-B4D2-9BCBF1527487}">
      <formula1>10</formula1>
      <formula2>40</formula2>
    </dataValidation>
    <dataValidation type="list" showInputMessage="1" showErrorMessage="1" sqref="E9" xr:uid="{ACE40327-3774-483C-93EE-BD2125EF1F98}">
      <formula1>"1,2,3,4,5"</formula1>
    </dataValidation>
    <dataValidation type="list" showDropDown="1" showInputMessage="1" showErrorMessage="1" sqref="A1:L1" xr:uid="{4B7AE469-E078-499C-9CD5-7A76E88FC7DD}">
      <formula1>"FINANCE BOARD REPORT GENERATOR"</formula1>
    </dataValidation>
    <dataValidation type="list" showDropDown="1" showInputMessage="1" showErrorMessage="1" sqref="A2:E2" xr:uid="{635861C4-7667-4648-AAE0-9299E038432C}">
      <formula1>"CREATE QUARTERLY REPORT"</formula1>
    </dataValidation>
    <dataValidation type="list" showDropDown="1" showInputMessage="1" showErrorMessage="1" sqref="D8 D3 D13" xr:uid="{8AC6894B-9883-4ABF-B612-BFEB182E47FC}">
      <formula1>"Cost Center"</formula1>
    </dataValidation>
    <dataValidation type="list" showDropDown="1" showInputMessage="1" showErrorMessage="1" sqref="D4" xr:uid="{66071187-9263-424A-B74A-2BACE812B3F6}">
      <formula1>"Quarter"</formula1>
    </dataValidation>
    <dataValidation type="list" showDropDown="1" showInputMessage="1" showErrorMessage="1" sqref="D5 D14:D15" xr:uid="{C6C8AF1C-ADB7-45EB-9AEB-31E4FE81A5CF}">
      <formula1>"Fiscal Year"</formula1>
    </dataValidation>
    <dataValidation type="list" showDropDown="1" showInputMessage="1" showErrorMessage="1" sqref="D9" xr:uid="{C194984D-EDE1-4FA1-969A-4D5F9BFB200D}">
      <formula1>"# of Years"</formula1>
    </dataValidation>
    <dataValidation type="list" showDropDown="1" showInputMessage="1" showErrorMessage="1" sqref="D10" xr:uid="{4614A65A-9057-4BCF-B8BA-68C763A0A2F2}">
      <formula1>"Fiscal Year Start"</formula1>
    </dataValidation>
    <dataValidation type="list" showDropDown="1" showInputMessage="1" showErrorMessage="1" sqref="A7" xr:uid="{6E2BBE44-A3A2-4A6E-8CC7-EFB6F84C29A1}">
      <formula1>"CREATE SEASONAL BUDGET"</formula1>
    </dataValidation>
    <dataValidation type="list" showDropDown="1" showInputMessage="1" showErrorMessage="1" sqref="K3" xr:uid="{57E9E62B-8155-4036-84AD-9F40BA811839}">
      <formula1>"Select Destination"</formula1>
    </dataValidation>
    <dataValidation type="list" showDropDown="1" showInputMessage="1" showErrorMessage="1" sqref="K4" xr:uid="{ED8D8069-3183-42DE-80B4-1B4835360BB8}">
      <formula1>"Report Type"</formula1>
    </dataValidation>
    <dataValidation type="list" showDropDown="1" showInputMessage="1" showErrorMessage="1" sqref="K5" xr:uid="{305F29FE-9E19-4409-ACC8-5ECEAFD1CA5A}">
      <formula1>"Create Word Doc"</formula1>
    </dataValidation>
    <dataValidation type="list" showDropDown="1" showInputMessage="1" showErrorMessage="1" sqref="A12" xr:uid="{EA11E169-8DC1-4BF2-B2F6-3E70221F8061}">
      <formula1>"CREATE ANNUAL BUDGET"</formula1>
    </dataValidation>
    <dataValidation type="whole" showInputMessage="1" showErrorMessage="1" sqref="E14" xr:uid="{1FF35794-DEAB-4EAD-976E-5B5C13A3926F}">
      <formula1>10</formula1>
      <formula2>40</formula2>
    </dataValidation>
    <dataValidation type="list" showDropDown="1" showInputMessage="1" showErrorMessage="1" sqref="G2" xr:uid="{C5954FBD-A4B6-4E6A-BBD4-0872B7D1E885}">
      <formula1>"EXPORT REPORT"</formula1>
    </dataValidation>
  </dataValidations>
  <hyperlinks>
    <hyperlink ref="W3" location="'KVCU Operations'!A1" tooltip="KVCU Operations" display="1) KVCU Operations" xr:uid="{35B5F81A-EC26-4836-AE92-2D6DBCC68DB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QRMaster">
                <anchor moveWithCells="1" sizeWithCells="1">
                  <from>
                    <xdr:col>0</xdr:col>
                    <xdr:colOff>289560</xdr:colOff>
                    <xdr:row>2</xdr:row>
                    <xdr:rowOff>38100</xdr:rowOff>
                  </from>
                  <to>
                    <xdr:col>2</xdr:col>
                    <xdr:colOff>525780</xdr:colOff>
                    <xdr:row>4</xdr:row>
                    <xdr:rowOff>0</xdr:rowOff>
                  </to>
                </anchor>
              </controlPr>
            </control>
          </mc:Choice>
        </mc:AlternateContent>
        <mc:AlternateContent xmlns:mc="http://schemas.openxmlformats.org/markup-compatibility/2006">
          <mc:Choice Requires="x14">
            <control shapeId="4101" r:id="rId5" name="Button 5">
              <controlPr defaultSize="0" print="0" autoFill="0" autoPict="0" macro="[0]!SB">
                <anchor moveWithCells="1" sizeWithCells="1">
                  <from>
                    <xdr:col>0</xdr:col>
                    <xdr:colOff>274320</xdr:colOff>
                    <xdr:row>7</xdr:row>
                    <xdr:rowOff>114300</xdr:rowOff>
                  </from>
                  <to>
                    <xdr:col>2</xdr:col>
                    <xdr:colOff>518160</xdr:colOff>
                    <xdr:row>9</xdr:row>
                    <xdr:rowOff>76200</xdr:rowOff>
                  </to>
                </anchor>
              </controlPr>
            </control>
          </mc:Choice>
        </mc:AlternateContent>
        <mc:AlternateContent xmlns:mc="http://schemas.openxmlformats.org/markup-compatibility/2006">
          <mc:Choice Requires="x14">
            <control shapeId="4102" r:id="rId6" name="Button 6">
              <controlPr defaultSize="0" print="0" autoFill="0" autoPict="0" macro="[0]!ExportReport">
                <anchor moveWithCells="1" sizeWithCells="1">
                  <from>
                    <xdr:col>6</xdr:col>
                    <xdr:colOff>182880</xdr:colOff>
                    <xdr:row>2</xdr:row>
                    <xdr:rowOff>121920</xdr:rowOff>
                  </from>
                  <to>
                    <xdr:col>9</xdr:col>
                    <xdr:colOff>175260</xdr:colOff>
                    <xdr:row>4</xdr:row>
                    <xdr:rowOff>83820</xdr:rowOff>
                  </to>
                </anchor>
              </controlPr>
            </control>
          </mc:Choice>
        </mc:AlternateContent>
        <mc:AlternateContent xmlns:mc="http://schemas.openxmlformats.org/markup-compatibility/2006">
          <mc:Choice Requires="x14">
            <control shapeId="4128" r:id="rId7" name="chkSAW">
              <controlPr defaultSize="0" autoFill="0" autoLine="0" autoPict="0">
                <anchor moveWithCells="1">
                  <from>
                    <xdr:col>0</xdr:col>
                    <xdr:colOff>251460</xdr:colOff>
                    <xdr:row>3</xdr:row>
                    <xdr:rowOff>175260</xdr:rowOff>
                  </from>
                  <to>
                    <xdr:col>2</xdr:col>
                    <xdr:colOff>830580</xdr:colOff>
                    <xdr:row>5</xdr:row>
                    <xdr:rowOff>22860</xdr:rowOff>
                  </to>
                </anchor>
              </controlPr>
            </control>
          </mc:Choice>
        </mc:AlternateContent>
        <mc:AlternateContent xmlns:mc="http://schemas.openxmlformats.org/markup-compatibility/2006">
          <mc:Choice Requires="x14">
            <control shapeId="4134" r:id="rId8" name="Button 38">
              <controlPr defaultSize="0" print="0" autoFill="0" autoPict="0" macro="[0]!AB_Master">
                <anchor moveWithCells="1" sizeWithCells="1">
                  <from>
                    <xdr:col>0</xdr:col>
                    <xdr:colOff>274320</xdr:colOff>
                    <xdr:row>12</xdr:row>
                    <xdr:rowOff>114300</xdr:rowOff>
                  </from>
                  <to>
                    <xdr:col>2</xdr:col>
                    <xdr:colOff>518160</xdr:colOff>
                    <xdr:row>14</xdr:row>
                    <xdr:rowOff>76200</xdr:rowOff>
                  </to>
                </anchor>
              </controlPr>
            </control>
          </mc:Choice>
        </mc:AlternateContent>
        <mc:AlternateContent xmlns:mc="http://schemas.openxmlformats.org/markup-compatibility/2006">
          <mc:Choice Requires="x14">
            <control shapeId="4136" r:id="rId9" name="Button 40">
              <controlPr defaultSize="0" print="0" autoFill="0" autoPict="0" macro="[0]!AddWordReference">
                <anchor moveWithCells="1">
                  <from>
                    <xdr:col>9</xdr:col>
                    <xdr:colOff>754380</xdr:colOff>
                    <xdr:row>5</xdr:row>
                    <xdr:rowOff>7620</xdr:rowOff>
                  </from>
                  <to>
                    <xdr:col>12</xdr:col>
                    <xdr:colOff>0</xdr:colOff>
                    <xdr:row>6</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820B9-4C84-495C-AF45-E8316F5D2D43}">
  <sheetPr codeName="Data">
    <tabColor theme="2"/>
  </sheetPr>
  <dimension ref="A1:H1508"/>
  <sheetViews>
    <sheetView showGridLines="0" showRowColHeaders="0" workbookViewId="0">
      <pane ySplit="1" topLeftCell="A2" activePane="bottomLeft" state="frozen"/>
      <selection pane="bottomLeft"/>
    </sheetView>
  </sheetViews>
  <sheetFormatPr defaultColWidth="8.88671875" defaultRowHeight="15.6"/>
  <cols>
    <col min="1" max="1" width="15.77734375" style="134" bestFit="1" customWidth="1"/>
    <col min="2" max="2" width="5.44140625" style="134" bestFit="1" customWidth="1"/>
    <col min="3" max="3" width="11.44140625" style="134" bestFit="1" customWidth="1"/>
    <col min="4" max="4" width="7.77734375" style="134" bestFit="1" customWidth="1"/>
    <col min="5" max="5" width="43" style="134" bestFit="1" customWidth="1"/>
    <col min="6" max="6" width="23.5546875" style="134" bestFit="1" customWidth="1"/>
    <col min="7" max="7" width="10.33203125" style="195" bestFit="1" customWidth="1"/>
    <col min="8" max="8" width="11.109375" style="195" bestFit="1" customWidth="1"/>
    <col min="9" max="9" width="24" style="458" bestFit="1" customWidth="1"/>
    <col min="10" max="10" width="30.21875" style="458" bestFit="1" customWidth="1"/>
    <col min="11" max="11" width="14.77734375" style="458" bestFit="1" customWidth="1"/>
    <col min="12" max="12" width="45.33203125" style="458" bestFit="1" customWidth="1"/>
    <col min="13" max="13" width="25.77734375" style="458" bestFit="1" customWidth="1"/>
    <col min="14" max="14" width="32.5546875" style="458" bestFit="1" customWidth="1"/>
    <col min="15" max="15" width="29.88671875" style="458" bestFit="1" customWidth="1"/>
    <col min="16" max="16" width="16" style="458" bestFit="1" customWidth="1"/>
    <col min="17" max="17" width="11.88671875" style="458" bestFit="1" customWidth="1"/>
    <col min="18" max="18" width="11.6640625" style="458" bestFit="1" customWidth="1"/>
    <col min="19" max="19" width="12.44140625" style="458" bestFit="1" customWidth="1"/>
    <col min="20" max="20" width="20.77734375" style="458" bestFit="1" customWidth="1"/>
    <col min="21" max="21" width="145.77734375" style="458" bestFit="1" customWidth="1"/>
    <col min="22" max="22" width="12.44140625" style="458" bestFit="1" customWidth="1"/>
    <col min="23" max="23" width="20.77734375" style="458" bestFit="1" customWidth="1"/>
    <col min="24" max="24" width="145.77734375" style="458" bestFit="1" customWidth="1"/>
    <col min="25" max="25" width="12.44140625" style="458" bestFit="1" customWidth="1"/>
    <col min="26" max="26" width="21.21875" style="458" bestFit="1" customWidth="1"/>
    <col min="27" max="27" width="153.77734375" style="458" bestFit="1" customWidth="1"/>
    <col min="28" max="28" width="12.44140625" style="458" bestFit="1" customWidth="1"/>
    <col min="29" max="29" width="20.77734375" style="458" bestFit="1" customWidth="1"/>
    <col min="30" max="30" width="145.77734375" style="458" bestFit="1" customWidth="1"/>
    <col min="31" max="31" width="12.44140625" style="458" bestFit="1" customWidth="1"/>
    <col min="32" max="32" width="20.77734375" style="458" bestFit="1" customWidth="1"/>
    <col min="33" max="33" width="145.77734375" style="458" bestFit="1" customWidth="1"/>
    <col min="34" max="34" width="12.44140625" style="458" bestFit="1" customWidth="1"/>
    <col min="35" max="35" width="20.77734375" style="458" bestFit="1" customWidth="1"/>
    <col min="36" max="36" width="145.77734375" style="458" bestFit="1" customWidth="1"/>
    <col min="37" max="37" width="12.44140625" style="458" bestFit="1" customWidth="1"/>
    <col min="38" max="38" width="20.77734375" style="458" bestFit="1" customWidth="1"/>
    <col min="39" max="39" width="145.77734375" style="458" bestFit="1" customWidth="1"/>
    <col min="40" max="40" width="12.44140625" style="458" bestFit="1" customWidth="1"/>
    <col min="41" max="41" width="20.77734375" style="458" bestFit="1" customWidth="1"/>
    <col min="42" max="42" width="145.77734375" style="458" bestFit="1" customWidth="1"/>
    <col min="43" max="43" width="12.44140625" style="458" bestFit="1" customWidth="1"/>
    <col min="44" max="44" width="20.77734375" style="458" bestFit="1" customWidth="1"/>
    <col min="45" max="45" width="84" style="458" bestFit="1" customWidth="1"/>
    <col min="46" max="46" width="12.44140625" style="458" bestFit="1" customWidth="1"/>
    <col min="47" max="47" width="20.77734375" style="458" bestFit="1" customWidth="1"/>
    <col min="48" max="48" width="84" style="458" bestFit="1" customWidth="1"/>
    <col min="49" max="49" width="12.44140625" style="458" bestFit="1" customWidth="1"/>
    <col min="50" max="50" width="20.77734375" style="458" bestFit="1" customWidth="1"/>
    <col min="51" max="51" width="84" style="458" bestFit="1" customWidth="1"/>
    <col min="52" max="52" width="12.44140625" style="458" bestFit="1" customWidth="1"/>
    <col min="53" max="53" width="20.77734375" style="458" bestFit="1" customWidth="1"/>
    <col min="54" max="54" width="84" style="458" bestFit="1" customWidth="1"/>
    <col min="55" max="55" width="12.44140625" style="458" bestFit="1" customWidth="1"/>
    <col min="56" max="56" width="20.77734375" style="458" bestFit="1" customWidth="1"/>
    <col min="57" max="57" width="84" style="458" bestFit="1" customWidth="1"/>
    <col min="58" max="58" width="12.44140625" style="458" bestFit="1" customWidth="1"/>
    <col min="59" max="59" width="20.77734375" style="458" bestFit="1" customWidth="1"/>
    <col min="60" max="60" width="84" style="458" bestFit="1" customWidth="1"/>
    <col min="61" max="61" width="12.44140625" style="458" bestFit="1" customWidth="1"/>
    <col min="62" max="62" width="20.77734375" style="458" bestFit="1" customWidth="1"/>
    <col min="63" max="63" width="47.6640625" style="458" bestFit="1" customWidth="1"/>
    <col min="64" max="64" width="12.44140625" style="458" bestFit="1" customWidth="1"/>
    <col min="65" max="65" width="21.21875" style="458" bestFit="1" customWidth="1"/>
    <col min="66" max="66" width="50.44140625" style="458" bestFit="1" customWidth="1"/>
    <col min="67" max="67" width="12.44140625" style="458" bestFit="1" customWidth="1"/>
    <col min="68" max="68" width="21.21875" style="458" bestFit="1" customWidth="1"/>
    <col min="69" max="69" width="50.44140625" style="458" bestFit="1" customWidth="1"/>
    <col min="70" max="70" width="12.44140625" style="458" bestFit="1" customWidth="1"/>
    <col min="71" max="71" width="21.21875" style="458" bestFit="1" customWidth="1"/>
    <col min="72" max="72" width="94.88671875" style="458" bestFit="1" customWidth="1"/>
    <col min="73" max="73" width="12.44140625" style="458" bestFit="1" customWidth="1"/>
    <col min="74" max="74" width="21.21875" style="458" bestFit="1" customWidth="1"/>
    <col min="75" max="75" width="94.88671875" style="458" bestFit="1" customWidth="1"/>
    <col min="76" max="76" width="13.44140625" style="458" bestFit="1" customWidth="1"/>
    <col min="77" max="77" width="21.21875" style="458" bestFit="1" customWidth="1"/>
    <col min="78" max="78" width="53.77734375" style="458" bestFit="1" customWidth="1"/>
    <col min="79" max="79" width="13.44140625" style="458" bestFit="1" customWidth="1"/>
    <col min="80" max="80" width="21.21875" style="458" bestFit="1" customWidth="1"/>
    <col min="81" max="81" width="53.77734375" style="458" bestFit="1" customWidth="1"/>
    <col min="82" max="82" width="21.109375" style="458" bestFit="1" customWidth="1"/>
    <col min="83" max="83" width="53.77734375" style="458" bestFit="1" customWidth="1"/>
    <col min="84" max="84" width="13.44140625" style="458" bestFit="1" customWidth="1"/>
    <col min="85" max="85" width="21.21875" style="458" bestFit="1" customWidth="1"/>
    <col min="86" max="86" width="53.77734375" style="458" bestFit="1" customWidth="1"/>
    <col min="87" max="87" width="13.44140625" style="458" bestFit="1" customWidth="1"/>
    <col min="88" max="88" width="21.21875" style="458" bestFit="1" customWidth="1"/>
    <col min="89" max="89" width="53.77734375" style="458" bestFit="1" customWidth="1"/>
    <col min="90" max="90" width="13.44140625" style="458" bestFit="1" customWidth="1"/>
    <col min="91" max="91" width="21.21875" style="458" bestFit="1" customWidth="1"/>
    <col min="92" max="92" width="53.77734375" style="458" bestFit="1" customWidth="1"/>
    <col min="93" max="93" width="13.44140625" style="458" bestFit="1" customWidth="1"/>
    <col min="94" max="94" width="21.21875" style="458" bestFit="1" customWidth="1"/>
    <col min="95" max="95" width="53.77734375" style="458" bestFit="1" customWidth="1"/>
    <col min="96" max="96" width="12.109375" style="458" bestFit="1" customWidth="1"/>
    <col min="97" max="97" width="12.33203125" style="458" bestFit="1" customWidth="1"/>
    <col min="98" max="98" width="21.109375" style="458" bestFit="1" customWidth="1"/>
    <col min="99" max="99" width="53.77734375" style="458" bestFit="1" customWidth="1"/>
    <col min="100" max="100" width="13.44140625" style="458" bestFit="1" customWidth="1"/>
    <col min="101" max="101" width="20.77734375" style="458" bestFit="1" customWidth="1"/>
    <col min="102" max="102" width="35.44140625" style="458" bestFit="1" customWidth="1"/>
    <col min="103" max="103" width="20.77734375" style="458" bestFit="1" customWidth="1"/>
    <col min="104" max="104" width="35.44140625" style="458" bestFit="1" customWidth="1"/>
    <col min="105" max="105" width="12.33203125" style="458" bestFit="1" customWidth="1"/>
    <col min="106" max="106" width="20.6640625" style="458" bestFit="1" customWidth="1"/>
    <col min="107" max="107" width="35.44140625" style="458" bestFit="1" customWidth="1"/>
    <col min="108" max="108" width="21.21875" style="458" bestFit="1" customWidth="1"/>
    <col min="109" max="109" width="36.5546875" style="458" bestFit="1" customWidth="1"/>
    <col min="110" max="110" width="12.33203125" style="458" bestFit="1" customWidth="1"/>
    <col min="111" max="111" width="21.109375" style="458" bestFit="1" customWidth="1"/>
    <col min="112" max="112" width="36.5546875" style="458" bestFit="1" customWidth="1"/>
    <col min="113" max="113" width="12.33203125" style="458" bestFit="1" customWidth="1"/>
    <col min="114" max="114" width="21.109375" style="458" bestFit="1" customWidth="1"/>
    <col min="115" max="115" width="36.5546875" style="458" bestFit="1" customWidth="1"/>
    <col min="116" max="116" width="12.44140625" style="458" bestFit="1" customWidth="1"/>
    <col min="117" max="117" width="21.21875" style="458" bestFit="1" customWidth="1"/>
    <col min="118" max="118" width="37.88671875" style="458" bestFit="1" customWidth="1"/>
    <col min="119" max="119" width="12.44140625" style="458" bestFit="1" customWidth="1"/>
    <col min="120" max="120" width="21.21875" style="458" bestFit="1" customWidth="1"/>
    <col min="121" max="121" width="37.88671875" style="458" bestFit="1" customWidth="1"/>
    <col min="122" max="122" width="12.44140625" style="458" bestFit="1" customWidth="1"/>
    <col min="123" max="123" width="21.21875" style="458" bestFit="1" customWidth="1"/>
    <col min="124" max="124" width="37.88671875" style="458" bestFit="1" customWidth="1"/>
    <col min="125" max="125" width="12.44140625" style="458" bestFit="1" customWidth="1"/>
    <col min="126" max="126" width="21.21875" style="458" bestFit="1" customWidth="1"/>
    <col min="127" max="127" width="37.88671875" style="458" bestFit="1" customWidth="1"/>
    <col min="128" max="128" width="12.44140625" style="458" bestFit="1" customWidth="1"/>
    <col min="129" max="129" width="21.21875" style="458" bestFit="1" customWidth="1"/>
    <col min="130" max="130" width="37.88671875" style="458" bestFit="1" customWidth="1"/>
    <col min="131" max="131" width="12.44140625" style="458" bestFit="1" customWidth="1"/>
    <col min="132" max="132" width="21.21875" style="458" bestFit="1" customWidth="1"/>
    <col min="133" max="133" width="37.88671875" style="458" bestFit="1" customWidth="1"/>
    <col min="134" max="134" width="12.33203125" style="458" bestFit="1" customWidth="1"/>
    <col min="135" max="135" width="21.109375" style="458" bestFit="1" customWidth="1"/>
    <col min="136" max="136" width="37.88671875" style="458" bestFit="1" customWidth="1"/>
    <col min="137" max="137" width="12.33203125" style="458" bestFit="1" customWidth="1"/>
    <col min="138" max="138" width="21.109375" style="458" bestFit="1" customWidth="1"/>
    <col min="139" max="139" width="37.88671875" style="458" bestFit="1" customWidth="1"/>
    <col min="140" max="140" width="12.44140625" style="458" bestFit="1" customWidth="1"/>
    <col min="141" max="141" width="21.21875" style="458" bestFit="1" customWidth="1"/>
    <col min="142" max="142" width="37.88671875" style="458" bestFit="1" customWidth="1"/>
    <col min="143" max="143" width="12.44140625" style="458" bestFit="1" customWidth="1"/>
    <col min="144" max="144" width="20.77734375" style="458" bestFit="1" customWidth="1"/>
    <col min="145" max="145" width="122.6640625" style="458" bestFit="1" customWidth="1"/>
    <col min="146" max="146" width="12.44140625" style="458" bestFit="1" customWidth="1"/>
    <col min="147" max="147" width="20.77734375" style="458" bestFit="1" customWidth="1"/>
    <col min="148" max="148" width="122.6640625" style="458" bestFit="1" customWidth="1"/>
    <col min="149" max="149" width="13.44140625" style="458" bestFit="1" customWidth="1"/>
    <col min="150" max="150" width="20.77734375" style="458" bestFit="1" customWidth="1"/>
    <col min="151" max="151" width="50.6640625" style="458" bestFit="1" customWidth="1"/>
    <col min="152" max="152" width="13.44140625" style="458" bestFit="1" customWidth="1"/>
    <col min="153" max="153" width="20.77734375" style="458" bestFit="1" customWidth="1"/>
    <col min="154" max="154" width="50.6640625" style="458" bestFit="1" customWidth="1"/>
    <col min="155" max="155" width="13.44140625" style="458" bestFit="1" customWidth="1"/>
    <col min="156" max="156" width="20.77734375" style="458" bestFit="1" customWidth="1"/>
    <col min="157" max="157" width="151.5546875" style="458" bestFit="1" customWidth="1"/>
    <col min="158" max="158" width="21.109375" style="458" bestFit="1" customWidth="1"/>
    <col min="159" max="159" width="160.6640625" style="458" bestFit="1" customWidth="1"/>
    <col min="160" max="160" width="13.44140625" style="458" bestFit="1" customWidth="1"/>
    <col min="161" max="161" width="21.21875" style="458" bestFit="1" customWidth="1"/>
    <col min="162" max="162" width="160.6640625" style="458" bestFit="1" customWidth="1"/>
    <col min="163" max="163" width="13.44140625" style="458" bestFit="1" customWidth="1"/>
    <col min="164" max="164" width="13.44140625" style="458" customWidth="1"/>
    <col min="165" max="166" width="13.44140625" style="458" bestFit="1" customWidth="1"/>
    <col min="167" max="167" width="21.21875" style="458" bestFit="1" customWidth="1"/>
    <col min="168" max="168" width="13.44140625" style="458" bestFit="1" customWidth="1"/>
    <col min="169" max="169" width="21.21875" style="458" bestFit="1" customWidth="1"/>
    <col min="170" max="170" width="13.44140625" style="458" bestFit="1" customWidth="1"/>
    <col min="171" max="171" width="21.21875" style="458" bestFit="1" customWidth="1"/>
    <col min="172" max="172" width="13.44140625" style="458" bestFit="1" customWidth="1"/>
    <col min="173" max="173" width="20.77734375" style="458" bestFit="1" customWidth="1"/>
    <col min="174" max="174" width="13.44140625" style="458" bestFit="1" customWidth="1"/>
    <col min="175" max="175" width="20.77734375" style="458" bestFit="1" customWidth="1"/>
    <col min="176" max="176" width="13.44140625" style="458" bestFit="1" customWidth="1"/>
    <col min="177" max="177" width="20.77734375" style="458" bestFit="1" customWidth="1"/>
    <col min="178" max="178" width="13.44140625" style="458" bestFit="1" customWidth="1"/>
    <col min="179" max="179" width="20.77734375" style="458" bestFit="1" customWidth="1"/>
    <col min="180" max="180" width="13.44140625" style="458" bestFit="1" customWidth="1"/>
    <col min="181" max="181" width="20.77734375" style="458" bestFit="1" customWidth="1"/>
    <col min="182" max="182" width="12.33203125" style="458" bestFit="1" customWidth="1"/>
    <col min="183" max="183" width="20.6640625" style="458" bestFit="1" customWidth="1"/>
    <col min="184" max="184" width="13.44140625" style="458" bestFit="1" customWidth="1"/>
    <col min="185" max="185" width="21.21875" style="458" bestFit="1" customWidth="1"/>
    <col min="186" max="186" width="12.88671875" style="458" bestFit="1" customWidth="1"/>
    <col min="187" max="187" width="21.88671875" style="458" bestFit="1" customWidth="1"/>
    <col min="188" max="188" width="12.44140625" style="458" bestFit="1" customWidth="1"/>
    <col min="189" max="189" width="21.33203125" style="458" bestFit="1" customWidth="1"/>
    <col min="190" max="190" width="12.44140625" style="458" bestFit="1" customWidth="1"/>
    <col min="191" max="191" width="21.33203125" style="458" bestFit="1" customWidth="1"/>
    <col min="192" max="192" width="12.44140625" style="458" bestFit="1" customWidth="1"/>
    <col min="193" max="193" width="21.33203125" style="458" bestFit="1" customWidth="1"/>
    <col min="194" max="194" width="12.33203125" style="458" bestFit="1" customWidth="1"/>
    <col min="195" max="195" width="21.109375" style="458" bestFit="1" customWidth="1"/>
    <col min="196" max="196" width="16.33203125" style="458" bestFit="1" customWidth="1"/>
    <col min="197" max="199" width="13.44140625" style="458" bestFit="1" customWidth="1"/>
    <col min="200" max="200" width="21.33203125" style="458" bestFit="1" customWidth="1"/>
    <col min="201" max="201" width="13.44140625" style="458" bestFit="1" customWidth="1"/>
    <col min="202" max="202" width="21.33203125" style="458" bestFit="1" customWidth="1"/>
    <col min="203" max="205" width="13.44140625" style="458" bestFit="1" customWidth="1"/>
    <col min="206" max="206" width="20.6640625" style="458" bestFit="1" customWidth="1"/>
    <col min="207" max="207" width="13.44140625" style="458" bestFit="1" customWidth="1"/>
    <col min="208" max="208" width="20.6640625" style="458" bestFit="1" customWidth="1"/>
    <col min="209" max="209" width="13.44140625" style="458" bestFit="1" customWidth="1"/>
    <col min="210" max="210" width="20.6640625" style="458" bestFit="1" customWidth="1"/>
    <col min="211" max="211" width="12.33203125" style="458" bestFit="1" customWidth="1"/>
    <col min="212" max="212" width="20.6640625" style="458" bestFit="1" customWidth="1"/>
    <col min="213" max="213" width="13.44140625" style="458" bestFit="1" customWidth="1"/>
    <col min="214" max="214" width="21.33203125" style="458" bestFit="1" customWidth="1"/>
    <col min="215" max="215" width="13.44140625" style="458" bestFit="1" customWidth="1"/>
    <col min="216" max="216" width="20.6640625" style="458" bestFit="1" customWidth="1"/>
    <col min="217" max="217" width="13.44140625" style="458" bestFit="1" customWidth="1"/>
    <col min="218" max="218" width="21.33203125" style="458" bestFit="1" customWidth="1"/>
    <col min="219" max="219" width="13.44140625" style="458" bestFit="1" customWidth="1"/>
    <col min="220" max="220" width="21.33203125" style="458" bestFit="1" customWidth="1"/>
    <col min="221" max="221" width="13.44140625" style="458" bestFit="1" customWidth="1"/>
    <col min="222" max="222" width="20.6640625" style="458" bestFit="1" customWidth="1"/>
    <col min="223" max="223" width="13.44140625" style="458" bestFit="1" customWidth="1"/>
    <col min="224" max="224" width="20.6640625" style="458" bestFit="1" customWidth="1"/>
    <col min="225" max="225" width="13.44140625" style="458" bestFit="1" customWidth="1"/>
    <col min="226" max="226" width="20.6640625" style="458" bestFit="1" customWidth="1"/>
    <col min="227" max="227" width="13.44140625" style="458" bestFit="1" customWidth="1"/>
    <col min="228" max="228" width="20.6640625" style="458" bestFit="1" customWidth="1"/>
    <col min="229" max="229" width="12.33203125" style="458" bestFit="1" customWidth="1"/>
    <col min="230" max="230" width="20.6640625" style="458" bestFit="1" customWidth="1"/>
    <col min="231" max="231" width="12.33203125" style="458" bestFit="1" customWidth="1"/>
    <col min="232" max="232" width="20.6640625" style="458" bestFit="1" customWidth="1"/>
    <col min="233" max="233" width="13.44140625" style="458" bestFit="1" customWidth="1"/>
    <col min="234" max="234" width="20.6640625" style="458" bestFit="1" customWidth="1"/>
    <col min="235" max="235" width="13.44140625" style="458" bestFit="1" customWidth="1"/>
    <col min="236" max="236" width="21.33203125" style="458" bestFit="1" customWidth="1"/>
    <col min="237" max="237" width="13.44140625" style="458" bestFit="1" customWidth="1"/>
    <col min="238" max="238" width="21.33203125" style="458" bestFit="1" customWidth="1"/>
    <col min="239" max="239" width="13.44140625" style="458" bestFit="1" customWidth="1"/>
    <col min="240" max="240" width="21.33203125" style="458" bestFit="1" customWidth="1"/>
    <col min="241" max="241" width="12.33203125" style="458" bestFit="1" customWidth="1"/>
    <col min="242" max="242" width="20.6640625" style="458" bestFit="1" customWidth="1"/>
    <col min="243" max="243" width="12.33203125" style="458" bestFit="1" customWidth="1"/>
    <col min="244" max="244" width="20.6640625" style="458" bestFit="1" customWidth="1"/>
    <col min="245" max="245" width="12.33203125" style="458" bestFit="1" customWidth="1"/>
    <col min="246" max="246" width="20.6640625" style="458" bestFit="1" customWidth="1"/>
    <col min="247" max="247" width="13.44140625" style="458" bestFit="1" customWidth="1"/>
    <col min="248" max="248" width="20.6640625" style="458" bestFit="1" customWidth="1"/>
    <col min="249" max="249" width="13.44140625" style="458" bestFit="1" customWidth="1"/>
    <col min="250" max="250" width="20.6640625" style="458" bestFit="1" customWidth="1"/>
    <col min="251" max="251" width="13.44140625" style="458" bestFit="1" customWidth="1"/>
    <col min="252" max="252" width="20.6640625" style="458" bestFit="1" customWidth="1"/>
    <col min="253" max="253" width="13.44140625" style="458" bestFit="1" customWidth="1"/>
    <col min="254" max="254" width="20.6640625" style="458" bestFit="1" customWidth="1"/>
    <col min="255" max="255" width="12.44140625" style="458" bestFit="1" customWidth="1"/>
    <col min="256" max="256" width="20.6640625" style="458" bestFit="1" customWidth="1"/>
    <col min="257" max="257" width="13.44140625" style="458" bestFit="1" customWidth="1"/>
    <col min="258" max="258" width="20.6640625" style="458" bestFit="1" customWidth="1"/>
    <col min="259" max="259" width="12.33203125" style="458" bestFit="1" customWidth="1"/>
    <col min="260" max="260" width="20.6640625" style="458" bestFit="1" customWidth="1"/>
    <col min="261" max="261" width="12.33203125" style="458" bestFit="1" customWidth="1"/>
    <col min="262" max="262" width="20.6640625" style="458" bestFit="1" customWidth="1"/>
    <col min="263" max="263" width="12.33203125" style="458" bestFit="1" customWidth="1"/>
    <col min="264" max="264" width="21.109375" style="458" bestFit="1" customWidth="1"/>
    <col min="265" max="265" width="12.33203125" style="458" bestFit="1" customWidth="1"/>
    <col min="266" max="266" width="21.109375" style="458" bestFit="1" customWidth="1"/>
    <col min="267" max="267" width="12.44140625" style="458" bestFit="1" customWidth="1"/>
    <col min="268" max="268" width="20.6640625" style="458" bestFit="1" customWidth="1"/>
    <col min="269" max="269" width="12.44140625" style="458" bestFit="1" customWidth="1"/>
    <col min="270" max="270" width="20.6640625" style="458" bestFit="1" customWidth="1"/>
    <col min="271" max="271" width="12.44140625" style="458" bestFit="1" customWidth="1"/>
    <col min="272" max="272" width="20.6640625" style="458" bestFit="1" customWidth="1"/>
    <col min="273" max="273" width="12.44140625" style="458" bestFit="1" customWidth="1"/>
    <col min="274" max="274" width="20.6640625" style="458" bestFit="1" customWidth="1"/>
    <col min="275" max="275" width="12.44140625" style="458" bestFit="1" customWidth="1"/>
    <col min="276" max="276" width="20.6640625" style="458" bestFit="1" customWidth="1"/>
    <col min="277" max="277" width="12.44140625" style="458" bestFit="1" customWidth="1"/>
    <col min="278" max="278" width="21.33203125" style="458" bestFit="1" customWidth="1"/>
    <col min="279" max="279" width="12.44140625" style="458" bestFit="1" customWidth="1"/>
    <col min="280" max="280" width="21.33203125" style="458" bestFit="1" customWidth="1"/>
    <col min="281" max="281" width="11.88671875" style="458" bestFit="1" customWidth="1"/>
    <col min="282" max="282" width="12" style="458" bestFit="1" customWidth="1"/>
    <col min="283" max="283" width="16.109375" style="458" bestFit="1" customWidth="1"/>
    <col min="284" max="284" width="12" style="458" bestFit="1" customWidth="1"/>
    <col min="285" max="285" width="16.109375" style="458" bestFit="1" customWidth="1"/>
    <col min="286" max="286" width="12" style="458" bestFit="1" customWidth="1"/>
    <col min="287" max="287" width="16.109375" style="458" bestFit="1" customWidth="1"/>
    <col min="288" max="288" width="12" style="458" bestFit="1" customWidth="1"/>
    <col min="289" max="289" width="16.109375" style="458" bestFit="1" customWidth="1"/>
    <col min="290" max="290" width="12" style="458" bestFit="1" customWidth="1"/>
    <col min="291" max="291" width="16.109375" style="458" bestFit="1" customWidth="1"/>
    <col min="292" max="292" width="12" style="458" bestFit="1" customWidth="1"/>
    <col min="293" max="293" width="16.109375" style="458" bestFit="1" customWidth="1"/>
    <col min="294" max="294" width="12" style="458" bestFit="1" customWidth="1"/>
    <col min="295" max="295" width="16.109375" style="458" bestFit="1" customWidth="1"/>
    <col min="296" max="296" width="12" style="458" bestFit="1" customWidth="1"/>
    <col min="297" max="297" width="16.109375" style="458" bestFit="1" customWidth="1"/>
    <col min="298" max="298" width="12" style="458" bestFit="1" customWidth="1"/>
    <col min="299" max="299" width="16.109375" style="458" bestFit="1" customWidth="1"/>
    <col min="300" max="300" width="11.88671875" style="458" bestFit="1" customWidth="1"/>
    <col min="301" max="301" width="16" style="458" bestFit="1" customWidth="1"/>
    <col min="302" max="302" width="11.88671875" style="458" bestFit="1" customWidth="1"/>
    <col min="303" max="303" width="16" style="458" bestFit="1" customWidth="1"/>
    <col min="304" max="304" width="11.88671875" style="458" bestFit="1" customWidth="1"/>
    <col min="305" max="305" width="16" style="458" bestFit="1" customWidth="1"/>
    <col min="306" max="306" width="11.88671875" style="458" bestFit="1" customWidth="1"/>
    <col min="307" max="307" width="16" style="458" bestFit="1" customWidth="1"/>
    <col min="308" max="308" width="12.109375" style="458" bestFit="1" customWidth="1"/>
    <col min="309" max="309" width="16.33203125" style="458" bestFit="1" customWidth="1"/>
    <col min="310" max="310" width="12.109375" style="458" bestFit="1" customWidth="1"/>
    <col min="311" max="311" width="16.33203125" style="458" bestFit="1" customWidth="1"/>
    <col min="312" max="312" width="13.44140625" style="458" bestFit="1" customWidth="1"/>
    <col min="313" max="314" width="12.109375" style="458" bestFit="1" customWidth="1"/>
    <col min="315" max="315" width="16.33203125" style="458" bestFit="1" customWidth="1"/>
    <col min="316" max="316" width="12.109375" style="458" bestFit="1" customWidth="1"/>
    <col min="317" max="317" width="16.33203125" style="458" bestFit="1" customWidth="1"/>
    <col min="318" max="318" width="12.109375" style="458" bestFit="1" customWidth="1"/>
    <col min="319" max="319" width="16.33203125" style="458" bestFit="1" customWidth="1"/>
    <col min="320" max="320" width="12.109375" style="458" bestFit="1" customWidth="1"/>
    <col min="321" max="321" width="16.33203125" style="458" bestFit="1" customWidth="1"/>
    <col min="322" max="322" width="12.109375" style="458" bestFit="1" customWidth="1"/>
    <col min="323" max="323" width="16.33203125" style="458" bestFit="1" customWidth="1"/>
    <col min="324" max="324" width="13.44140625" style="458" bestFit="1" customWidth="1"/>
    <col min="325" max="326" width="12.109375" style="458" bestFit="1" customWidth="1"/>
    <col min="327" max="327" width="16.33203125" style="458" bestFit="1" customWidth="1"/>
    <col min="328" max="328" width="12.109375" style="458" bestFit="1" customWidth="1"/>
    <col min="329" max="329" width="16.33203125" style="458" bestFit="1" customWidth="1"/>
    <col min="330" max="330" width="12.109375" style="458" bestFit="1" customWidth="1"/>
    <col min="331" max="331" width="16.33203125" style="458" bestFit="1" customWidth="1"/>
    <col min="332" max="332" width="12.109375" style="458" bestFit="1" customWidth="1"/>
    <col min="333" max="333" width="16.33203125" style="458" bestFit="1" customWidth="1"/>
    <col min="334" max="334" width="13.44140625" style="458" bestFit="1" customWidth="1"/>
    <col min="335" max="336" width="12.109375" style="458" bestFit="1" customWidth="1"/>
    <col min="337" max="337" width="16.33203125" style="458" bestFit="1" customWidth="1"/>
    <col min="338" max="338" width="13.44140625" style="458" bestFit="1" customWidth="1"/>
    <col min="339" max="340" width="12.109375" style="458" bestFit="1" customWidth="1"/>
    <col min="341" max="341" width="16.33203125" style="458" bestFit="1" customWidth="1"/>
    <col min="342" max="342" width="12.109375" style="458" bestFit="1" customWidth="1"/>
    <col min="343" max="343" width="16.33203125" style="458" bestFit="1" customWidth="1"/>
    <col min="344" max="344" width="13.44140625" style="458" bestFit="1" customWidth="1"/>
    <col min="345" max="346" width="12.109375" style="458" bestFit="1" customWidth="1"/>
    <col min="347" max="347" width="16.33203125" style="458" bestFit="1" customWidth="1"/>
    <col min="348" max="348" width="33.5546875" style="458" bestFit="1" customWidth="1"/>
    <col min="349" max="349" width="30.44140625" style="458" bestFit="1" customWidth="1"/>
    <col min="350" max="350" width="13.44140625" style="458" bestFit="1" customWidth="1"/>
    <col min="351" max="352" width="12.109375" style="458" bestFit="1" customWidth="1"/>
    <col min="353" max="353" width="16.33203125" style="458" bestFit="1" customWidth="1"/>
    <col min="354" max="354" width="12.109375" style="458" bestFit="1" customWidth="1"/>
    <col min="355" max="355" width="16.33203125" style="458" bestFit="1" customWidth="1"/>
    <col min="356" max="356" width="12.109375" style="458" bestFit="1" customWidth="1"/>
    <col min="357" max="357" width="16.33203125" style="458" bestFit="1" customWidth="1"/>
    <col min="358" max="358" width="12.109375" style="458" bestFit="1" customWidth="1"/>
    <col min="359" max="359" width="16" style="458" bestFit="1" customWidth="1"/>
    <col min="360" max="360" width="13.33203125" style="458" bestFit="1" customWidth="1"/>
    <col min="361" max="362" width="12.109375" style="458" bestFit="1" customWidth="1"/>
    <col min="363" max="363" width="16" style="458" bestFit="1" customWidth="1"/>
    <col min="364" max="364" width="12.109375" style="458" bestFit="1" customWidth="1"/>
    <col min="365" max="365" width="16" style="458" bestFit="1" customWidth="1"/>
    <col min="366" max="366" width="12.109375" style="458" bestFit="1" customWidth="1"/>
    <col min="367" max="367" width="16" style="458" bestFit="1" customWidth="1"/>
    <col min="368" max="368" width="12.109375" style="458" bestFit="1" customWidth="1"/>
    <col min="369" max="369" width="16" style="458" bestFit="1" customWidth="1"/>
    <col min="370" max="370" width="12.109375" style="458" bestFit="1" customWidth="1"/>
    <col min="371" max="371" width="16" style="458" bestFit="1" customWidth="1"/>
    <col min="372" max="372" width="12.109375" style="458" bestFit="1" customWidth="1"/>
    <col min="373" max="373" width="16" style="458" bestFit="1" customWidth="1"/>
    <col min="374" max="374" width="12.109375" style="458" bestFit="1" customWidth="1"/>
    <col min="375" max="375" width="16" style="458" bestFit="1" customWidth="1"/>
    <col min="376" max="376" width="12.109375" style="458" bestFit="1" customWidth="1"/>
    <col min="377" max="377" width="16" style="458" bestFit="1" customWidth="1"/>
    <col min="378" max="378" width="12.109375" style="458" bestFit="1" customWidth="1"/>
    <col min="379" max="379" width="16" style="458" bestFit="1" customWidth="1"/>
    <col min="380" max="380" width="12.109375" style="458" bestFit="1" customWidth="1"/>
    <col min="381" max="381" width="16" style="458" bestFit="1" customWidth="1"/>
    <col min="382" max="382" width="12.109375" style="458" bestFit="1" customWidth="1"/>
    <col min="383" max="383" width="16" style="458" bestFit="1" customWidth="1"/>
    <col min="384" max="384" width="12" style="458" bestFit="1" customWidth="1"/>
    <col min="385" max="385" width="15.88671875" style="458" bestFit="1" customWidth="1"/>
    <col min="386" max="386" width="12" style="458" bestFit="1" customWidth="1"/>
    <col min="387" max="387" width="15.88671875" style="458" bestFit="1" customWidth="1"/>
    <col min="388" max="388" width="12" style="458" bestFit="1" customWidth="1"/>
    <col min="389" max="389" width="15.88671875" style="458" bestFit="1" customWidth="1"/>
    <col min="390" max="390" width="12" style="458" bestFit="1" customWidth="1"/>
    <col min="391" max="391" width="15.88671875" style="458" bestFit="1" customWidth="1"/>
    <col min="392" max="392" width="12.109375" style="458" bestFit="1" customWidth="1"/>
    <col min="393" max="393" width="16" style="458" bestFit="1" customWidth="1"/>
    <col min="394" max="394" width="12.109375" style="458" bestFit="1" customWidth="1"/>
    <col min="395" max="395" width="16" style="458" bestFit="1" customWidth="1"/>
    <col min="396" max="396" width="11.88671875" style="458" bestFit="1" customWidth="1"/>
    <col min="397" max="397" width="16" style="458" bestFit="1" customWidth="1"/>
    <col min="398" max="399" width="32.33203125" style="458" customWidth="1"/>
    <col min="400" max="400" width="29.44140625" style="458" customWidth="1"/>
    <col min="401" max="401" width="32.33203125" style="458" customWidth="1"/>
    <col min="402" max="402" width="29.44140625" style="458" customWidth="1"/>
    <col min="403" max="403" width="32.33203125" style="458" customWidth="1"/>
    <col min="404" max="404" width="29.44140625" style="458" customWidth="1"/>
    <col min="405" max="405" width="32.33203125" style="458" customWidth="1"/>
    <col min="406" max="406" width="29.44140625" style="458" customWidth="1"/>
    <col min="407" max="407" width="32.33203125" style="458" customWidth="1"/>
    <col min="408" max="408" width="29.44140625" style="458" customWidth="1"/>
    <col min="409" max="409" width="32.33203125" style="458" customWidth="1"/>
    <col min="410" max="410" width="29.44140625" style="458" customWidth="1"/>
    <col min="411" max="411" width="31.44140625" style="458" customWidth="1"/>
    <col min="412" max="412" width="28.88671875" style="458" customWidth="1"/>
    <col min="413" max="413" width="31.44140625" style="458" customWidth="1"/>
    <col min="414" max="414" width="28.88671875" style="458" customWidth="1"/>
    <col min="415" max="415" width="31.44140625" style="458" customWidth="1"/>
    <col min="416" max="416" width="28.88671875" style="458" customWidth="1"/>
    <col min="417" max="417" width="31.44140625" style="458" customWidth="1"/>
    <col min="418" max="418" width="28.88671875" style="458" customWidth="1"/>
    <col min="419" max="419" width="31.6640625" style="458" customWidth="1"/>
    <col min="420" max="420" width="28.88671875" style="458" customWidth="1"/>
    <col min="421" max="421" width="43.33203125" style="458" bestFit="1" customWidth="1"/>
    <col min="422" max="422" width="43.33203125" style="458" customWidth="1"/>
    <col min="423" max="423" width="52.109375" style="458" bestFit="1" customWidth="1"/>
    <col min="424" max="424" width="31.6640625" style="458" customWidth="1"/>
    <col min="425" max="425" width="16.5546875" style="458" customWidth="1"/>
    <col min="426" max="426" width="14" style="458" customWidth="1"/>
    <col min="427" max="524" width="13.6640625" style="458" bestFit="1" customWidth="1"/>
    <col min="525" max="525" width="14.33203125" style="458" customWidth="1"/>
    <col min="526" max="541" width="13.6640625" style="458" bestFit="1" customWidth="1"/>
    <col min="542" max="16384" width="8.88671875" style="458"/>
  </cols>
  <sheetData>
    <row r="1" spans="1:8" s="458" customFormat="1">
      <c r="A1" s="134" t="s">
        <v>1798</v>
      </c>
      <c r="B1" s="134" t="s">
        <v>1350</v>
      </c>
      <c r="C1" s="134" t="s">
        <v>1729</v>
      </c>
      <c r="D1" s="134" t="s">
        <v>1799</v>
      </c>
      <c r="E1" s="134" t="s">
        <v>1742</v>
      </c>
      <c r="F1" s="134" t="s">
        <v>1800</v>
      </c>
      <c r="G1" s="195" t="s">
        <v>1796</v>
      </c>
      <c r="H1" s="195" t="s">
        <v>1797</v>
      </c>
    </row>
    <row r="2" spans="1:8" s="458" customFormat="1">
      <c r="A2" s="134" t="s">
        <v>808</v>
      </c>
      <c r="B2" s="134">
        <v>2018</v>
      </c>
      <c r="C2" s="134">
        <v>1</v>
      </c>
      <c r="D2" s="134">
        <v>8</v>
      </c>
      <c r="E2" s="134" t="s">
        <v>1743</v>
      </c>
      <c r="F2" s="134" t="s">
        <v>809</v>
      </c>
      <c r="G2" s="195">
        <v>-143892</v>
      </c>
      <c r="H2" s="195"/>
    </row>
    <row r="3" spans="1:8" s="458" customFormat="1">
      <c r="A3" s="134" t="s">
        <v>808</v>
      </c>
      <c r="B3" s="134">
        <v>2018</v>
      </c>
      <c r="C3" s="134">
        <v>1</v>
      </c>
      <c r="D3" s="134">
        <v>8</v>
      </c>
      <c r="E3" s="134" t="s">
        <v>1743</v>
      </c>
      <c r="F3" s="134" t="s">
        <v>809</v>
      </c>
      <c r="G3" s="195"/>
      <c r="H3" s="195">
        <v>-71946</v>
      </c>
    </row>
    <row r="4" spans="1:8" s="458" customFormat="1">
      <c r="A4" s="134" t="s">
        <v>808</v>
      </c>
      <c r="B4" s="134">
        <v>2018</v>
      </c>
      <c r="C4" s="134">
        <v>1</v>
      </c>
      <c r="D4" s="134">
        <v>17</v>
      </c>
      <c r="E4" s="134" t="s">
        <v>1745</v>
      </c>
      <c r="F4" s="134" t="s">
        <v>809</v>
      </c>
      <c r="G4" s="195">
        <v>78707</v>
      </c>
      <c r="H4" s="195"/>
    </row>
    <row r="5" spans="1:8" s="458" customFormat="1">
      <c r="A5" s="134" t="s">
        <v>808</v>
      </c>
      <c r="B5" s="134">
        <v>2018</v>
      </c>
      <c r="C5" s="134">
        <v>1</v>
      </c>
      <c r="D5" s="134">
        <v>17</v>
      </c>
      <c r="E5" s="134" t="s">
        <v>1746</v>
      </c>
      <c r="F5" s="134" t="s">
        <v>809</v>
      </c>
      <c r="G5" s="195"/>
      <c r="H5" s="195">
        <v>216.4</v>
      </c>
    </row>
    <row r="6" spans="1:8" s="458" customFormat="1">
      <c r="A6" s="134" t="s">
        <v>808</v>
      </c>
      <c r="B6" s="134">
        <v>2018</v>
      </c>
      <c r="C6" s="134">
        <v>1</v>
      </c>
      <c r="D6" s="134">
        <v>17</v>
      </c>
      <c r="E6" s="134" t="s">
        <v>1746</v>
      </c>
      <c r="F6" s="134" t="s">
        <v>809</v>
      </c>
      <c r="G6" s="195"/>
      <c r="H6" s="195">
        <v>75.739999999999995</v>
      </c>
    </row>
    <row r="7" spans="1:8" s="458" customFormat="1">
      <c r="A7" s="134" t="s">
        <v>808</v>
      </c>
      <c r="B7" s="134">
        <v>2018</v>
      </c>
      <c r="C7" s="134">
        <v>1</v>
      </c>
      <c r="D7" s="134">
        <v>17</v>
      </c>
      <c r="E7" s="134" t="s">
        <v>1746</v>
      </c>
      <c r="F7" s="134" t="s">
        <v>809</v>
      </c>
      <c r="G7" s="195"/>
      <c r="H7" s="195">
        <v>324.60000000000002</v>
      </c>
    </row>
    <row r="8" spans="1:8" s="458" customFormat="1">
      <c r="A8" s="134" t="s">
        <v>808</v>
      </c>
      <c r="B8" s="134">
        <v>2018</v>
      </c>
      <c r="C8" s="134">
        <v>1</v>
      </c>
      <c r="D8" s="134">
        <v>17</v>
      </c>
      <c r="E8" s="134" t="s">
        <v>1746</v>
      </c>
      <c r="F8" s="134" t="s">
        <v>809</v>
      </c>
      <c r="G8" s="195"/>
      <c r="H8" s="195">
        <v>151.47999999999999</v>
      </c>
    </row>
    <row r="9" spans="1:8" s="458" customFormat="1">
      <c r="A9" s="134" t="s">
        <v>808</v>
      </c>
      <c r="B9" s="134">
        <v>2018</v>
      </c>
      <c r="C9" s="134">
        <v>1</v>
      </c>
      <c r="D9" s="134">
        <v>17</v>
      </c>
      <c r="E9" s="134" t="s">
        <v>1746</v>
      </c>
      <c r="F9" s="134" t="s">
        <v>809</v>
      </c>
      <c r="G9" s="195"/>
      <c r="H9" s="195">
        <v>117.84</v>
      </c>
    </row>
    <row r="10" spans="1:8" s="458" customFormat="1">
      <c r="A10" s="134" t="s">
        <v>808</v>
      </c>
      <c r="B10" s="134">
        <v>2018</v>
      </c>
      <c r="C10" s="134">
        <v>1</v>
      </c>
      <c r="D10" s="134">
        <v>17</v>
      </c>
      <c r="E10" s="134" t="s">
        <v>1746</v>
      </c>
      <c r="F10" s="134" t="s">
        <v>809</v>
      </c>
      <c r="G10" s="195"/>
      <c r="H10" s="195">
        <v>176.76</v>
      </c>
    </row>
    <row r="11" spans="1:8" s="458" customFormat="1">
      <c r="A11" s="134" t="s">
        <v>808</v>
      </c>
      <c r="B11" s="134">
        <v>2018</v>
      </c>
      <c r="C11" s="134">
        <v>1</v>
      </c>
      <c r="D11" s="134">
        <v>17</v>
      </c>
      <c r="E11" s="134" t="s">
        <v>1746</v>
      </c>
      <c r="F11" s="134" t="s">
        <v>809</v>
      </c>
      <c r="G11" s="195"/>
      <c r="H11" s="195">
        <v>147.30000000000001</v>
      </c>
    </row>
    <row r="12" spans="1:8" s="458" customFormat="1">
      <c r="A12" s="134" t="s">
        <v>808</v>
      </c>
      <c r="B12" s="134">
        <v>2018</v>
      </c>
      <c r="C12" s="134">
        <v>1</v>
      </c>
      <c r="D12" s="134">
        <v>17</v>
      </c>
      <c r="E12" s="134" t="s">
        <v>1746</v>
      </c>
      <c r="F12" s="134" t="s">
        <v>809</v>
      </c>
      <c r="G12" s="195"/>
      <c r="H12" s="195">
        <v>88.38</v>
      </c>
    </row>
    <row r="13" spans="1:8" s="458" customFormat="1">
      <c r="A13" s="134" t="s">
        <v>808</v>
      </c>
      <c r="B13" s="134">
        <v>2018</v>
      </c>
      <c r="C13" s="134">
        <v>1</v>
      </c>
      <c r="D13" s="134">
        <v>17</v>
      </c>
      <c r="E13" s="134" t="s">
        <v>1746</v>
      </c>
      <c r="F13" s="134" t="s">
        <v>809</v>
      </c>
      <c r="G13" s="195"/>
      <c r="H13" s="195">
        <v>58.92</v>
      </c>
    </row>
    <row r="14" spans="1:8" s="458" customFormat="1">
      <c r="A14" s="134" t="s">
        <v>808</v>
      </c>
      <c r="B14" s="134">
        <v>2018</v>
      </c>
      <c r="C14" s="134">
        <v>1</v>
      </c>
      <c r="D14" s="134">
        <v>17</v>
      </c>
      <c r="E14" s="134" t="s">
        <v>1746</v>
      </c>
      <c r="F14" s="134" t="s">
        <v>809</v>
      </c>
      <c r="G14" s="195"/>
      <c r="H14" s="195">
        <v>90.84</v>
      </c>
    </row>
    <row r="15" spans="1:8" s="458" customFormat="1">
      <c r="A15" s="134" t="s">
        <v>808</v>
      </c>
      <c r="B15" s="134">
        <v>2018</v>
      </c>
      <c r="C15" s="134">
        <v>1</v>
      </c>
      <c r="D15" s="134">
        <v>17</v>
      </c>
      <c r="E15" s="134" t="s">
        <v>1746</v>
      </c>
      <c r="F15" s="134" t="s">
        <v>809</v>
      </c>
      <c r="G15" s="195"/>
      <c r="H15" s="195">
        <v>88.38</v>
      </c>
    </row>
    <row r="16" spans="1:8" s="458" customFormat="1">
      <c r="A16" s="134" t="s">
        <v>808</v>
      </c>
      <c r="B16" s="134">
        <v>2018</v>
      </c>
      <c r="C16" s="134">
        <v>1</v>
      </c>
      <c r="D16" s="134">
        <v>17</v>
      </c>
      <c r="E16" s="134" t="s">
        <v>1746</v>
      </c>
      <c r="F16" s="134" t="s">
        <v>809</v>
      </c>
      <c r="G16" s="195"/>
      <c r="H16" s="195">
        <v>117.84</v>
      </c>
    </row>
    <row r="17" spans="1:8" s="458" customFormat="1">
      <c r="A17" s="134" t="s">
        <v>808</v>
      </c>
      <c r="B17" s="134">
        <v>2018</v>
      </c>
      <c r="C17" s="134">
        <v>1</v>
      </c>
      <c r="D17" s="134">
        <v>17</v>
      </c>
      <c r="E17" s="134" t="s">
        <v>1746</v>
      </c>
      <c r="F17" s="134" t="s">
        <v>809</v>
      </c>
      <c r="G17" s="195"/>
      <c r="H17" s="195">
        <v>117.84</v>
      </c>
    </row>
    <row r="18" spans="1:8" s="458" customFormat="1">
      <c r="A18" s="134" t="s">
        <v>808</v>
      </c>
      <c r="B18" s="134">
        <v>2018</v>
      </c>
      <c r="C18" s="134">
        <v>1</v>
      </c>
      <c r="D18" s="134">
        <v>17</v>
      </c>
      <c r="E18" s="134" t="s">
        <v>1746</v>
      </c>
      <c r="F18" s="134" t="s">
        <v>809</v>
      </c>
      <c r="G18" s="195"/>
      <c r="H18" s="195">
        <v>117.84</v>
      </c>
    </row>
    <row r="19" spans="1:8" s="458" customFormat="1">
      <c r="A19" s="134" t="s">
        <v>808</v>
      </c>
      <c r="B19" s="134">
        <v>2018</v>
      </c>
      <c r="C19" s="134">
        <v>1</v>
      </c>
      <c r="D19" s="134">
        <v>17</v>
      </c>
      <c r="E19" s="134" t="s">
        <v>1746</v>
      </c>
      <c r="F19" s="134" t="s">
        <v>809</v>
      </c>
      <c r="G19" s="195"/>
      <c r="H19" s="195">
        <v>94.68</v>
      </c>
    </row>
    <row r="20" spans="1:8" s="458" customFormat="1">
      <c r="A20" s="134" t="s">
        <v>808</v>
      </c>
      <c r="B20" s="134">
        <v>2018</v>
      </c>
      <c r="C20" s="134">
        <v>1</v>
      </c>
      <c r="D20" s="134">
        <v>17</v>
      </c>
      <c r="E20" s="134" t="s">
        <v>1746</v>
      </c>
      <c r="F20" s="134" t="s">
        <v>809</v>
      </c>
      <c r="G20" s="195"/>
      <c r="H20" s="195">
        <v>97.38</v>
      </c>
    </row>
    <row r="21" spans="1:8" s="458" customFormat="1">
      <c r="A21" s="134" t="s">
        <v>808</v>
      </c>
      <c r="B21" s="134">
        <v>2018</v>
      </c>
      <c r="C21" s="134">
        <v>1</v>
      </c>
      <c r="D21" s="134">
        <v>17</v>
      </c>
      <c r="E21" s="134" t="s">
        <v>1746</v>
      </c>
      <c r="F21" s="134" t="s">
        <v>809</v>
      </c>
      <c r="G21" s="195"/>
      <c r="H21" s="195">
        <v>59.51</v>
      </c>
    </row>
    <row r="22" spans="1:8" s="458" customFormat="1">
      <c r="A22" s="134" t="s">
        <v>808</v>
      </c>
      <c r="B22" s="134">
        <v>2018</v>
      </c>
      <c r="C22" s="134">
        <v>1</v>
      </c>
      <c r="D22" s="134">
        <v>17</v>
      </c>
      <c r="E22" s="134" t="s">
        <v>1746</v>
      </c>
      <c r="F22" s="134" t="s">
        <v>809</v>
      </c>
      <c r="G22" s="195"/>
      <c r="H22" s="195">
        <v>129.84</v>
      </c>
    </row>
    <row r="23" spans="1:8" s="458" customFormat="1">
      <c r="A23" s="134" t="s">
        <v>808</v>
      </c>
      <c r="B23" s="134">
        <v>2018</v>
      </c>
      <c r="C23" s="134">
        <v>1</v>
      </c>
      <c r="D23" s="134">
        <v>17</v>
      </c>
      <c r="E23" s="134" t="s">
        <v>1746</v>
      </c>
      <c r="F23" s="134" t="s">
        <v>809</v>
      </c>
      <c r="G23" s="195"/>
      <c r="H23" s="195">
        <v>275.91000000000003</v>
      </c>
    </row>
    <row r="24" spans="1:8" s="458" customFormat="1">
      <c r="A24" s="134" t="s">
        <v>808</v>
      </c>
      <c r="B24" s="134">
        <v>2018</v>
      </c>
      <c r="C24" s="134">
        <v>1</v>
      </c>
      <c r="D24" s="134">
        <v>17</v>
      </c>
      <c r="E24" s="134" t="s">
        <v>1746</v>
      </c>
      <c r="F24" s="134" t="s">
        <v>809</v>
      </c>
      <c r="G24" s="195"/>
      <c r="H24" s="195">
        <v>183.94</v>
      </c>
    </row>
    <row r="25" spans="1:8" s="458" customFormat="1">
      <c r="A25" s="134" t="s">
        <v>808</v>
      </c>
      <c r="B25" s="134">
        <v>2018</v>
      </c>
      <c r="C25" s="134">
        <v>1</v>
      </c>
      <c r="D25" s="134">
        <v>17</v>
      </c>
      <c r="E25" s="134" t="s">
        <v>1746</v>
      </c>
      <c r="F25" s="134" t="s">
        <v>809</v>
      </c>
      <c r="G25" s="195"/>
      <c r="H25" s="195">
        <v>238.04</v>
      </c>
    </row>
    <row r="26" spans="1:8" s="458" customFormat="1">
      <c r="A26" s="134" t="s">
        <v>808</v>
      </c>
      <c r="B26" s="134">
        <v>2018</v>
      </c>
      <c r="C26" s="134">
        <v>1</v>
      </c>
      <c r="D26" s="134">
        <v>17</v>
      </c>
      <c r="E26" s="134" t="s">
        <v>1746</v>
      </c>
      <c r="F26" s="134" t="s">
        <v>809</v>
      </c>
      <c r="G26" s="195"/>
      <c r="H26" s="195">
        <v>270.5</v>
      </c>
    </row>
    <row r="27" spans="1:8" s="458" customFormat="1">
      <c r="A27" s="134" t="s">
        <v>808</v>
      </c>
      <c r="B27" s="134">
        <v>2018</v>
      </c>
      <c r="C27" s="134">
        <v>1</v>
      </c>
      <c r="D27" s="134">
        <v>17</v>
      </c>
      <c r="E27" s="134" t="s">
        <v>1746</v>
      </c>
      <c r="F27" s="134" t="s">
        <v>809</v>
      </c>
      <c r="G27" s="195"/>
      <c r="H27" s="195">
        <v>54.1</v>
      </c>
    </row>
    <row r="28" spans="1:8" s="458" customFormat="1">
      <c r="A28" s="134" t="s">
        <v>808</v>
      </c>
      <c r="B28" s="134">
        <v>2018</v>
      </c>
      <c r="C28" s="134">
        <v>1</v>
      </c>
      <c r="D28" s="134">
        <v>17</v>
      </c>
      <c r="E28" s="134" t="s">
        <v>1746</v>
      </c>
      <c r="F28" s="134" t="s">
        <v>809</v>
      </c>
      <c r="G28" s="195"/>
      <c r="H28" s="195">
        <v>21.64</v>
      </c>
    </row>
    <row r="29" spans="1:8" s="458" customFormat="1">
      <c r="A29" s="134" t="s">
        <v>808</v>
      </c>
      <c r="B29" s="134">
        <v>2018</v>
      </c>
      <c r="C29" s="134">
        <v>1</v>
      </c>
      <c r="D29" s="134">
        <v>17</v>
      </c>
      <c r="E29" s="134" t="s">
        <v>1746</v>
      </c>
      <c r="F29" s="134" t="s">
        <v>809</v>
      </c>
      <c r="G29" s="195"/>
      <c r="H29" s="195">
        <v>156.88999999999999</v>
      </c>
    </row>
    <row r="30" spans="1:8" s="458" customFormat="1">
      <c r="A30" s="134" t="s">
        <v>808</v>
      </c>
      <c r="B30" s="134">
        <v>2018</v>
      </c>
      <c r="C30" s="134">
        <v>1</v>
      </c>
      <c r="D30" s="134">
        <v>17</v>
      </c>
      <c r="E30" s="134" t="s">
        <v>1746</v>
      </c>
      <c r="F30" s="134" t="s">
        <v>809</v>
      </c>
      <c r="G30" s="195"/>
      <c r="H30" s="195">
        <v>259.68</v>
      </c>
    </row>
    <row r="31" spans="1:8" s="458" customFormat="1">
      <c r="A31" s="134" t="s">
        <v>808</v>
      </c>
      <c r="B31" s="134">
        <v>2018</v>
      </c>
      <c r="C31" s="134">
        <v>1</v>
      </c>
      <c r="D31" s="134">
        <v>17</v>
      </c>
      <c r="E31" s="134" t="s">
        <v>1746</v>
      </c>
      <c r="F31" s="134" t="s">
        <v>809</v>
      </c>
      <c r="G31" s="195"/>
      <c r="H31" s="195">
        <v>21.64</v>
      </c>
    </row>
    <row r="32" spans="1:8" s="458" customFormat="1">
      <c r="A32" s="134" t="s">
        <v>808</v>
      </c>
      <c r="B32" s="134">
        <v>2018</v>
      </c>
      <c r="C32" s="134">
        <v>1</v>
      </c>
      <c r="D32" s="134">
        <v>17</v>
      </c>
      <c r="E32" s="134" t="s">
        <v>1746</v>
      </c>
      <c r="F32" s="134" t="s">
        <v>809</v>
      </c>
      <c r="G32" s="195"/>
      <c r="H32" s="195">
        <v>43.28</v>
      </c>
    </row>
    <row r="33" spans="1:8" s="458" customFormat="1">
      <c r="A33" s="134" t="s">
        <v>808</v>
      </c>
      <c r="B33" s="134">
        <v>2018</v>
      </c>
      <c r="C33" s="134">
        <v>1</v>
      </c>
      <c r="D33" s="134">
        <v>17</v>
      </c>
      <c r="E33" s="134" t="s">
        <v>1746</v>
      </c>
      <c r="F33" s="134" t="s">
        <v>809</v>
      </c>
      <c r="G33" s="195"/>
      <c r="H33" s="195">
        <v>43.28</v>
      </c>
    </row>
    <row r="34" spans="1:8" s="458" customFormat="1">
      <c r="A34" s="134" t="s">
        <v>808</v>
      </c>
      <c r="B34" s="134">
        <v>2018</v>
      </c>
      <c r="C34" s="134">
        <v>1</v>
      </c>
      <c r="D34" s="134">
        <v>17</v>
      </c>
      <c r="E34" s="134" t="s">
        <v>1746</v>
      </c>
      <c r="F34" s="134" t="s">
        <v>809</v>
      </c>
      <c r="G34" s="195"/>
      <c r="H34" s="195">
        <v>113.61</v>
      </c>
    </row>
    <row r="35" spans="1:8" s="458" customFormat="1">
      <c r="A35" s="134" t="s">
        <v>808</v>
      </c>
      <c r="B35" s="134">
        <v>2018</v>
      </c>
      <c r="C35" s="134">
        <v>1</v>
      </c>
      <c r="D35" s="134">
        <v>17</v>
      </c>
      <c r="E35" s="134" t="s">
        <v>1746</v>
      </c>
      <c r="F35" s="134" t="s">
        <v>809</v>
      </c>
      <c r="G35" s="195"/>
      <c r="H35" s="195">
        <v>183.94</v>
      </c>
    </row>
    <row r="36" spans="1:8" s="458" customFormat="1">
      <c r="A36" s="134" t="s">
        <v>808</v>
      </c>
      <c r="B36" s="134">
        <v>2018</v>
      </c>
      <c r="C36" s="134">
        <v>1</v>
      </c>
      <c r="D36" s="134">
        <v>17</v>
      </c>
      <c r="E36" s="134" t="s">
        <v>1746</v>
      </c>
      <c r="F36" s="134" t="s">
        <v>809</v>
      </c>
      <c r="G36" s="195"/>
      <c r="H36" s="195">
        <v>59.51</v>
      </c>
    </row>
    <row r="37" spans="1:8" s="458" customFormat="1">
      <c r="A37" s="134" t="s">
        <v>808</v>
      </c>
      <c r="B37" s="134">
        <v>2018</v>
      </c>
      <c r="C37" s="134">
        <v>1</v>
      </c>
      <c r="D37" s="134">
        <v>17</v>
      </c>
      <c r="E37" s="134" t="s">
        <v>1746</v>
      </c>
      <c r="F37" s="134" t="s">
        <v>809</v>
      </c>
      <c r="G37" s="195"/>
      <c r="H37" s="195">
        <v>35.17</v>
      </c>
    </row>
    <row r="38" spans="1:8" s="458" customFormat="1">
      <c r="A38" s="134" t="s">
        <v>808</v>
      </c>
      <c r="B38" s="134">
        <v>2018</v>
      </c>
      <c r="C38" s="134">
        <v>1</v>
      </c>
      <c r="D38" s="134">
        <v>17</v>
      </c>
      <c r="E38" s="134" t="s">
        <v>1746</v>
      </c>
      <c r="F38" s="134" t="s">
        <v>809</v>
      </c>
      <c r="G38" s="195"/>
      <c r="H38" s="195">
        <v>54.1</v>
      </c>
    </row>
    <row r="39" spans="1:8" s="458" customFormat="1">
      <c r="A39" s="134" t="s">
        <v>808</v>
      </c>
      <c r="B39" s="134">
        <v>2018</v>
      </c>
      <c r="C39" s="134">
        <v>1</v>
      </c>
      <c r="D39" s="134">
        <v>17</v>
      </c>
      <c r="E39" s="134" t="s">
        <v>1746</v>
      </c>
      <c r="F39" s="134" t="s">
        <v>809</v>
      </c>
      <c r="G39" s="195"/>
      <c r="H39" s="195">
        <v>110.91</v>
      </c>
    </row>
    <row r="40" spans="1:8" s="458" customFormat="1">
      <c r="A40" s="134" t="s">
        <v>808</v>
      </c>
      <c r="B40" s="134">
        <v>2018</v>
      </c>
      <c r="C40" s="134">
        <v>1</v>
      </c>
      <c r="D40" s="134">
        <v>17</v>
      </c>
      <c r="E40" s="134" t="s">
        <v>1746</v>
      </c>
      <c r="F40" s="134" t="s">
        <v>809</v>
      </c>
      <c r="G40" s="195"/>
      <c r="H40" s="195">
        <v>51.4</v>
      </c>
    </row>
    <row r="41" spans="1:8" s="458" customFormat="1">
      <c r="A41" s="134" t="s">
        <v>808</v>
      </c>
      <c r="B41" s="134">
        <v>2018</v>
      </c>
      <c r="C41" s="134">
        <v>1</v>
      </c>
      <c r="D41" s="134">
        <v>17</v>
      </c>
      <c r="E41" s="134" t="s">
        <v>1746</v>
      </c>
      <c r="F41" s="134" t="s">
        <v>809</v>
      </c>
      <c r="G41" s="195"/>
      <c r="H41" s="195">
        <v>35.17</v>
      </c>
    </row>
    <row r="42" spans="1:8" s="458" customFormat="1">
      <c r="A42" s="134" t="s">
        <v>808</v>
      </c>
      <c r="B42" s="134">
        <v>2018</v>
      </c>
      <c r="C42" s="134">
        <v>1</v>
      </c>
      <c r="D42" s="134">
        <v>17</v>
      </c>
      <c r="E42" s="134" t="s">
        <v>1746</v>
      </c>
      <c r="F42" s="134" t="s">
        <v>809</v>
      </c>
      <c r="G42" s="195"/>
      <c r="H42" s="195">
        <v>64.92</v>
      </c>
    </row>
    <row r="43" spans="1:8" s="458" customFormat="1">
      <c r="A43" s="134" t="s">
        <v>808</v>
      </c>
      <c r="B43" s="134">
        <v>2018</v>
      </c>
      <c r="C43" s="134">
        <v>1</v>
      </c>
      <c r="D43" s="134">
        <v>17</v>
      </c>
      <c r="E43" s="134" t="s">
        <v>1746</v>
      </c>
      <c r="F43" s="134" t="s">
        <v>809</v>
      </c>
      <c r="G43" s="195"/>
      <c r="H43" s="195">
        <v>18.940000000000001</v>
      </c>
    </row>
    <row r="44" spans="1:8" s="458" customFormat="1">
      <c r="A44" s="134" t="s">
        <v>808</v>
      </c>
      <c r="B44" s="134">
        <v>2018</v>
      </c>
      <c r="C44" s="134">
        <v>1</v>
      </c>
      <c r="D44" s="134">
        <v>17</v>
      </c>
      <c r="E44" s="134" t="s">
        <v>1746</v>
      </c>
      <c r="F44" s="134" t="s">
        <v>809</v>
      </c>
      <c r="G44" s="195"/>
      <c r="H44" s="195">
        <v>137.96</v>
      </c>
    </row>
    <row r="45" spans="1:8" s="458" customFormat="1">
      <c r="A45" s="134" t="s">
        <v>808</v>
      </c>
      <c r="B45" s="134">
        <v>2018</v>
      </c>
      <c r="C45" s="134">
        <v>1</v>
      </c>
      <c r="D45" s="134">
        <v>17</v>
      </c>
      <c r="E45" s="134" t="s">
        <v>1746</v>
      </c>
      <c r="F45" s="134" t="s">
        <v>809</v>
      </c>
      <c r="G45" s="195"/>
      <c r="H45" s="195">
        <v>40.58</v>
      </c>
    </row>
    <row r="46" spans="1:8" s="458" customFormat="1">
      <c r="A46" s="134" t="s">
        <v>808</v>
      </c>
      <c r="B46" s="134">
        <v>2018</v>
      </c>
      <c r="C46" s="134">
        <v>1</v>
      </c>
      <c r="D46" s="134">
        <v>17</v>
      </c>
      <c r="E46" s="134" t="s">
        <v>1746</v>
      </c>
      <c r="F46" s="134" t="s">
        <v>809</v>
      </c>
      <c r="G46" s="195"/>
      <c r="H46" s="195">
        <v>75.739999999999995</v>
      </c>
    </row>
    <row r="47" spans="1:8" s="458" customFormat="1">
      <c r="A47" s="134" t="s">
        <v>808</v>
      </c>
      <c r="B47" s="134">
        <v>2018</v>
      </c>
      <c r="C47" s="134">
        <v>1</v>
      </c>
      <c r="D47" s="134">
        <v>17</v>
      </c>
      <c r="E47" s="134" t="s">
        <v>1746</v>
      </c>
      <c r="F47" s="134" t="s">
        <v>809</v>
      </c>
      <c r="G47" s="195"/>
      <c r="H47" s="195">
        <v>21.64</v>
      </c>
    </row>
    <row r="48" spans="1:8" s="458" customFormat="1">
      <c r="A48" s="134" t="s">
        <v>808</v>
      </c>
      <c r="B48" s="134">
        <v>2018</v>
      </c>
      <c r="C48" s="134">
        <v>1</v>
      </c>
      <c r="D48" s="134">
        <v>17</v>
      </c>
      <c r="E48" s="134" t="s">
        <v>1746</v>
      </c>
      <c r="F48" s="134" t="s">
        <v>809</v>
      </c>
      <c r="G48" s="195"/>
      <c r="H48" s="195">
        <v>75.739999999999995</v>
      </c>
    </row>
    <row r="49" spans="1:8" s="458" customFormat="1">
      <c r="A49" s="134" t="s">
        <v>808</v>
      </c>
      <c r="B49" s="134">
        <v>2018</v>
      </c>
      <c r="C49" s="134">
        <v>1</v>
      </c>
      <c r="D49" s="134">
        <v>17</v>
      </c>
      <c r="E49" s="134" t="s">
        <v>1746</v>
      </c>
      <c r="F49" s="134" t="s">
        <v>809</v>
      </c>
      <c r="G49" s="195"/>
      <c r="H49" s="195">
        <v>146.07</v>
      </c>
    </row>
    <row r="50" spans="1:8" s="458" customFormat="1">
      <c r="A50" s="134" t="s">
        <v>808</v>
      </c>
      <c r="B50" s="134">
        <v>2018</v>
      </c>
      <c r="C50" s="134">
        <v>1</v>
      </c>
      <c r="D50" s="134">
        <v>17</v>
      </c>
      <c r="E50" s="134" t="s">
        <v>1746</v>
      </c>
      <c r="F50" s="134" t="s">
        <v>809</v>
      </c>
      <c r="G50" s="195"/>
      <c r="H50" s="195">
        <v>86.56</v>
      </c>
    </row>
    <row r="51" spans="1:8" s="458" customFormat="1">
      <c r="A51" s="134" t="s">
        <v>808</v>
      </c>
      <c r="B51" s="134">
        <v>2018</v>
      </c>
      <c r="C51" s="134">
        <v>1</v>
      </c>
      <c r="D51" s="134">
        <v>17</v>
      </c>
      <c r="E51" s="134" t="s">
        <v>1746</v>
      </c>
      <c r="F51" s="134" t="s">
        <v>809</v>
      </c>
      <c r="G51" s="195"/>
      <c r="H51" s="195">
        <v>151.47999999999999</v>
      </c>
    </row>
    <row r="52" spans="1:8" s="458" customFormat="1">
      <c r="A52" s="134" t="s">
        <v>808</v>
      </c>
      <c r="B52" s="134">
        <v>2018</v>
      </c>
      <c r="C52" s="134">
        <v>1</v>
      </c>
      <c r="D52" s="134">
        <v>17</v>
      </c>
      <c r="E52" s="134" t="s">
        <v>1746</v>
      </c>
      <c r="F52" s="134" t="s">
        <v>809</v>
      </c>
      <c r="G52" s="195"/>
      <c r="H52" s="195">
        <v>243.45</v>
      </c>
    </row>
    <row r="53" spans="1:8" s="458" customFormat="1">
      <c r="A53" s="134" t="s">
        <v>808</v>
      </c>
      <c r="B53" s="134">
        <v>2018</v>
      </c>
      <c r="C53" s="134">
        <v>1</v>
      </c>
      <c r="D53" s="134">
        <v>17</v>
      </c>
      <c r="E53" s="134" t="s">
        <v>1746</v>
      </c>
      <c r="F53" s="134" t="s">
        <v>809</v>
      </c>
      <c r="G53" s="195"/>
      <c r="H53" s="195">
        <v>197.47</v>
      </c>
    </row>
    <row r="54" spans="1:8" s="458" customFormat="1">
      <c r="A54" s="134" t="s">
        <v>808</v>
      </c>
      <c r="B54" s="134">
        <v>2018</v>
      </c>
      <c r="C54" s="134">
        <v>1</v>
      </c>
      <c r="D54" s="134">
        <v>17</v>
      </c>
      <c r="E54" s="134" t="s">
        <v>1746</v>
      </c>
      <c r="F54" s="134" t="s">
        <v>809</v>
      </c>
      <c r="G54" s="195"/>
      <c r="H54" s="195">
        <v>432.8</v>
      </c>
    </row>
    <row r="55" spans="1:8" s="458" customFormat="1">
      <c r="A55" s="134" t="s">
        <v>808</v>
      </c>
      <c r="B55" s="134">
        <v>2018</v>
      </c>
      <c r="C55" s="134">
        <v>1</v>
      </c>
      <c r="D55" s="134">
        <v>17</v>
      </c>
      <c r="E55" s="134" t="s">
        <v>1746</v>
      </c>
      <c r="F55" s="134" t="s">
        <v>809</v>
      </c>
      <c r="G55" s="195"/>
      <c r="H55" s="195">
        <v>183.94</v>
      </c>
    </row>
    <row r="56" spans="1:8" s="458" customFormat="1">
      <c r="A56" s="134" t="s">
        <v>808</v>
      </c>
      <c r="B56" s="134">
        <v>2018</v>
      </c>
      <c r="C56" s="134">
        <v>1</v>
      </c>
      <c r="D56" s="134">
        <v>17</v>
      </c>
      <c r="E56" s="134" t="s">
        <v>1746</v>
      </c>
      <c r="F56" s="134" t="s">
        <v>809</v>
      </c>
      <c r="G56" s="195"/>
      <c r="H56" s="195">
        <v>357.06</v>
      </c>
    </row>
    <row r="57" spans="1:8" s="458" customFormat="1">
      <c r="A57" s="134" t="s">
        <v>808</v>
      </c>
      <c r="B57" s="134">
        <v>2018</v>
      </c>
      <c r="C57" s="134">
        <v>1</v>
      </c>
      <c r="D57" s="134">
        <v>17</v>
      </c>
      <c r="E57" s="134" t="s">
        <v>1746</v>
      </c>
      <c r="F57" s="134" t="s">
        <v>809</v>
      </c>
      <c r="G57" s="195"/>
      <c r="H57" s="195">
        <v>248.86</v>
      </c>
    </row>
    <row r="58" spans="1:8" s="458" customFormat="1">
      <c r="A58" s="134" t="s">
        <v>808</v>
      </c>
      <c r="B58" s="134">
        <v>2018</v>
      </c>
      <c r="C58" s="134">
        <v>1</v>
      </c>
      <c r="D58" s="134">
        <v>17</v>
      </c>
      <c r="E58" s="134" t="s">
        <v>1746</v>
      </c>
      <c r="F58" s="134" t="s">
        <v>809</v>
      </c>
      <c r="G58" s="195"/>
      <c r="H58" s="195">
        <v>324.60000000000002</v>
      </c>
    </row>
    <row r="59" spans="1:8" s="458" customFormat="1">
      <c r="A59" s="134" t="s">
        <v>808</v>
      </c>
      <c r="B59" s="134">
        <v>2018</v>
      </c>
      <c r="C59" s="134">
        <v>1</v>
      </c>
      <c r="D59" s="134">
        <v>20</v>
      </c>
      <c r="E59" s="134" t="s">
        <v>1749</v>
      </c>
      <c r="F59" s="134" t="s">
        <v>809</v>
      </c>
      <c r="G59" s="195">
        <v>787</v>
      </c>
      <c r="H59" s="195"/>
    </row>
    <row r="60" spans="1:8" s="458" customFormat="1">
      <c r="A60" s="134" t="s">
        <v>808</v>
      </c>
      <c r="B60" s="134">
        <v>2018</v>
      </c>
      <c r="C60" s="134">
        <v>1</v>
      </c>
      <c r="D60" s="134">
        <v>20</v>
      </c>
      <c r="E60" s="134" t="s">
        <v>1750</v>
      </c>
      <c r="F60" s="134" t="s">
        <v>809</v>
      </c>
      <c r="G60" s="195"/>
      <c r="H60" s="195">
        <v>15.23</v>
      </c>
    </row>
    <row r="61" spans="1:8" s="458" customFormat="1">
      <c r="A61" s="134" t="s">
        <v>808</v>
      </c>
      <c r="B61" s="134">
        <v>2018</v>
      </c>
      <c r="C61" s="134">
        <v>1</v>
      </c>
      <c r="D61" s="134">
        <v>20</v>
      </c>
      <c r="E61" s="134" t="s">
        <v>1750</v>
      </c>
      <c r="F61" s="134" t="s">
        <v>809</v>
      </c>
      <c r="G61" s="195"/>
      <c r="H61" s="195">
        <v>24.45</v>
      </c>
    </row>
    <row r="62" spans="1:8" s="458" customFormat="1">
      <c r="A62" s="134" t="s">
        <v>808</v>
      </c>
      <c r="B62" s="134">
        <v>2018</v>
      </c>
      <c r="C62" s="134">
        <v>1</v>
      </c>
      <c r="D62" s="134">
        <v>20</v>
      </c>
      <c r="E62" s="134" t="s">
        <v>1750</v>
      </c>
      <c r="F62" s="134" t="s">
        <v>809</v>
      </c>
      <c r="G62" s="195"/>
      <c r="H62" s="195">
        <v>33.229999999999997</v>
      </c>
    </row>
    <row r="63" spans="1:8" s="458" customFormat="1">
      <c r="A63" s="134" t="s">
        <v>808</v>
      </c>
      <c r="B63" s="134">
        <v>2018</v>
      </c>
      <c r="C63" s="134">
        <v>1</v>
      </c>
      <c r="D63" s="134">
        <v>23</v>
      </c>
      <c r="E63" s="134" t="s">
        <v>1752</v>
      </c>
      <c r="F63" s="134" t="s">
        <v>809</v>
      </c>
      <c r="G63" s="195">
        <v>35377</v>
      </c>
      <c r="H63" s="195"/>
    </row>
    <row r="64" spans="1:8" s="458" customFormat="1">
      <c r="A64" s="134" t="s">
        <v>808</v>
      </c>
      <c r="B64" s="134">
        <v>2018</v>
      </c>
      <c r="C64" s="134">
        <v>1</v>
      </c>
      <c r="D64" s="134">
        <v>28</v>
      </c>
      <c r="E64" s="134" t="s">
        <v>1756</v>
      </c>
      <c r="F64" s="134" t="s">
        <v>809</v>
      </c>
      <c r="G64" s="195"/>
      <c r="H64" s="195">
        <v>1.62</v>
      </c>
    </row>
    <row r="65" spans="1:8" s="458" customFormat="1">
      <c r="A65" s="134" t="s">
        <v>808</v>
      </c>
      <c r="B65" s="134">
        <v>2018</v>
      </c>
      <c r="C65" s="134">
        <v>1</v>
      </c>
      <c r="D65" s="134">
        <v>25</v>
      </c>
      <c r="E65" s="134" t="s">
        <v>1760</v>
      </c>
      <c r="F65" s="134" t="s">
        <v>809</v>
      </c>
      <c r="G65" s="195"/>
      <c r="H65" s="195">
        <v>48.91</v>
      </c>
    </row>
    <row r="66" spans="1:8" s="458" customFormat="1">
      <c r="A66" s="134" t="s">
        <v>808</v>
      </c>
      <c r="B66" s="134">
        <v>2018</v>
      </c>
      <c r="C66" s="134">
        <v>1</v>
      </c>
      <c r="D66" s="134">
        <v>25</v>
      </c>
      <c r="E66" s="134" t="s">
        <v>1760</v>
      </c>
      <c r="F66" s="134" t="s">
        <v>809</v>
      </c>
      <c r="G66" s="195"/>
      <c r="H66" s="195"/>
    </row>
    <row r="67" spans="1:8" s="458" customFormat="1">
      <c r="A67" s="134" t="s">
        <v>808</v>
      </c>
      <c r="B67" s="134">
        <v>2018</v>
      </c>
      <c r="C67" s="134">
        <v>1</v>
      </c>
      <c r="D67" s="134">
        <v>25</v>
      </c>
      <c r="E67" s="134" t="s">
        <v>1760</v>
      </c>
      <c r="F67" s="134" t="s">
        <v>809</v>
      </c>
      <c r="G67" s="195"/>
      <c r="H67" s="195"/>
    </row>
    <row r="68" spans="1:8" s="458" customFormat="1">
      <c r="A68" s="134" t="s">
        <v>808</v>
      </c>
      <c r="B68" s="134">
        <v>2018</v>
      </c>
      <c r="C68" s="134">
        <v>1</v>
      </c>
      <c r="D68" s="134">
        <v>25</v>
      </c>
      <c r="E68" s="134" t="s">
        <v>1760</v>
      </c>
      <c r="F68" s="134" t="s">
        <v>809</v>
      </c>
      <c r="G68" s="195"/>
      <c r="H68" s="195">
        <v>48.91</v>
      </c>
    </row>
    <row r="69" spans="1:8" s="458" customFormat="1">
      <c r="A69" s="134" t="s">
        <v>808</v>
      </c>
      <c r="B69" s="134">
        <v>2018</v>
      </c>
      <c r="C69" s="134">
        <v>1</v>
      </c>
      <c r="D69" s="134">
        <v>25</v>
      </c>
      <c r="E69" s="134" t="s">
        <v>1760</v>
      </c>
      <c r="F69" s="134" t="s">
        <v>809</v>
      </c>
      <c r="G69" s="195"/>
      <c r="H69" s="195"/>
    </row>
    <row r="70" spans="1:8" s="458" customFormat="1">
      <c r="A70" s="134" t="s">
        <v>808</v>
      </c>
      <c r="B70" s="134">
        <v>2018</v>
      </c>
      <c r="C70" s="134">
        <v>1</v>
      </c>
      <c r="D70" s="134">
        <v>25</v>
      </c>
      <c r="E70" s="134" t="s">
        <v>1760</v>
      </c>
      <c r="F70" s="134" t="s">
        <v>809</v>
      </c>
      <c r="G70" s="195"/>
      <c r="H70" s="195">
        <v>48.91</v>
      </c>
    </row>
    <row r="71" spans="1:8" s="458" customFormat="1">
      <c r="A71" s="134" t="s">
        <v>808</v>
      </c>
      <c r="B71" s="134">
        <v>2018</v>
      </c>
      <c r="C71" s="134">
        <v>1</v>
      </c>
      <c r="D71" s="134">
        <v>25</v>
      </c>
      <c r="E71" s="134" t="s">
        <v>1760</v>
      </c>
      <c r="F71" s="134" t="s">
        <v>809</v>
      </c>
      <c r="G71" s="195"/>
      <c r="H71" s="195"/>
    </row>
    <row r="72" spans="1:8" s="458" customFormat="1">
      <c r="A72" s="134" t="s">
        <v>808</v>
      </c>
      <c r="B72" s="134">
        <v>2018</v>
      </c>
      <c r="C72" s="134">
        <v>1</v>
      </c>
      <c r="D72" s="134">
        <v>25</v>
      </c>
      <c r="E72" s="134" t="s">
        <v>1761</v>
      </c>
      <c r="F72" s="134" t="s">
        <v>809</v>
      </c>
      <c r="G72" s="195"/>
      <c r="H72" s="195">
        <v>-2415</v>
      </c>
    </row>
    <row r="73" spans="1:8" s="458" customFormat="1">
      <c r="A73" s="134" t="s">
        <v>808</v>
      </c>
      <c r="B73" s="134">
        <v>2018</v>
      </c>
      <c r="C73" s="134">
        <v>1</v>
      </c>
      <c r="D73" s="134">
        <v>25</v>
      </c>
      <c r="E73" s="134" t="s">
        <v>1761</v>
      </c>
      <c r="F73" s="134" t="s">
        <v>809</v>
      </c>
      <c r="G73" s="195"/>
      <c r="H73" s="195">
        <v>227.53</v>
      </c>
    </row>
    <row r="74" spans="1:8" s="458" customFormat="1">
      <c r="A74" s="134" t="s">
        <v>808</v>
      </c>
      <c r="B74" s="134">
        <v>2018</v>
      </c>
      <c r="C74" s="134">
        <v>1</v>
      </c>
      <c r="D74" s="134">
        <v>25</v>
      </c>
      <c r="E74" s="134" t="s">
        <v>1761</v>
      </c>
      <c r="F74" s="134" t="s">
        <v>809</v>
      </c>
      <c r="G74" s="195"/>
      <c r="H74" s="195">
        <v>2415</v>
      </c>
    </row>
    <row r="75" spans="1:8" s="458" customFormat="1">
      <c r="A75" s="134" t="s">
        <v>808</v>
      </c>
      <c r="B75" s="134">
        <v>2018</v>
      </c>
      <c r="C75" s="134">
        <v>1</v>
      </c>
      <c r="D75" s="134">
        <v>25</v>
      </c>
      <c r="E75" s="134" t="s">
        <v>1762</v>
      </c>
      <c r="F75" s="134" t="s">
        <v>809</v>
      </c>
      <c r="G75" s="195"/>
      <c r="H75" s="195">
        <v>1800</v>
      </c>
    </row>
    <row r="76" spans="1:8" s="458" customFormat="1">
      <c r="A76" s="134" t="s">
        <v>808</v>
      </c>
      <c r="B76" s="134">
        <v>2018</v>
      </c>
      <c r="C76" s="134">
        <v>1</v>
      </c>
      <c r="D76" s="134">
        <v>25</v>
      </c>
      <c r="E76" s="134" t="s">
        <v>1765</v>
      </c>
      <c r="F76" s="134" t="s">
        <v>809</v>
      </c>
      <c r="G76" s="195"/>
      <c r="H76" s="195">
        <v>451.44</v>
      </c>
    </row>
    <row r="77" spans="1:8" s="458" customFormat="1">
      <c r="A77" s="134" t="s">
        <v>808</v>
      </c>
      <c r="B77" s="134">
        <v>2018</v>
      </c>
      <c r="C77" s="134">
        <v>1</v>
      </c>
      <c r="D77" s="134">
        <v>29</v>
      </c>
      <c r="E77" s="134" t="s">
        <v>1771</v>
      </c>
      <c r="F77" s="134" t="s">
        <v>809</v>
      </c>
      <c r="G77" s="195"/>
      <c r="H77" s="195">
        <v>150</v>
      </c>
    </row>
    <row r="78" spans="1:8" s="458" customFormat="1">
      <c r="A78" s="134" t="s">
        <v>808</v>
      </c>
      <c r="B78" s="134">
        <v>2018</v>
      </c>
      <c r="C78" s="134">
        <v>1</v>
      </c>
      <c r="D78" s="134">
        <v>29</v>
      </c>
      <c r="E78" s="134" t="s">
        <v>1771</v>
      </c>
      <c r="F78" s="134" t="s">
        <v>807</v>
      </c>
      <c r="G78" s="195"/>
      <c r="H78" s="195">
        <v>-150</v>
      </c>
    </row>
    <row r="79" spans="1:8" s="458" customFormat="1">
      <c r="A79" s="134" t="s">
        <v>808</v>
      </c>
      <c r="B79" s="134">
        <v>2018</v>
      </c>
      <c r="C79" s="134">
        <v>1</v>
      </c>
      <c r="D79" s="134">
        <v>29</v>
      </c>
      <c r="E79" s="134" t="s">
        <v>1771</v>
      </c>
      <c r="F79" s="134" t="s">
        <v>807</v>
      </c>
      <c r="G79" s="195"/>
      <c r="H79" s="195">
        <v>150</v>
      </c>
    </row>
    <row r="80" spans="1:8" s="458" customFormat="1">
      <c r="A80" s="134" t="s">
        <v>808</v>
      </c>
      <c r="B80" s="134">
        <v>2018</v>
      </c>
      <c r="C80" s="134">
        <v>1</v>
      </c>
      <c r="D80" s="134">
        <v>29</v>
      </c>
      <c r="E80" s="134" t="s">
        <v>1776</v>
      </c>
      <c r="F80" s="134" t="s">
        <v>809</v>
      </c>
      <c r="G80" s="195"/>
      <c r="H80" s="195">
        <v>399.98</v>
      </c>
    </row>
    <row r="81" spans="1:8" s="458" customFormat="1">
      <c r="A81" s="134" t="s">
        <v>808</v>
      </c>
      <c r="B81" s="134">
        <v>2018</v>
      </c>
      <c r="C81" s="134">
        <v>1</v>
      </c>
      <c r="D81" s="134">
        <v>29</v>
      </c>
      <c r="E81" s="134" t="s">
        <v>1782</v>
      </c>
      <c r="F81" s="134" t="s">
        <v>809</v>
      </c>
      <c r="G81" s="195"/>
      <c r="H81" s="195"/>
    </row>
    <row r="82" spans="1:8" s="458" customFormat="1">
      <c r="A82" s="134" t="s">
        <v>808</v>
      </c>
      <c r="B82" s="134">
        <v>2018</v>
      </c>
      <c r="C82" s="134">
        <v>1</v>
      </c>
      <c r="D82" s="134">
        <v>29</v>
      </c>
      <c r="E82" s="134" t="s">
        <v>1782</v>
      </c>
      <c r="F82" s="134" t="s">
        <v>809</v>
      </c>
      <c r="G82" s="195"/>
      <c r="H82" s="195">
        <v>-600</v>
      </c>
    </row>
    <row r="83" spans="1:8" s="458" customFormat="1">
      <c r="A83" s="134" t="s">
        <v>808</v>
      </c>
      <c r="B83" s="134">
        <v>2018</v>
      </c>
      <c r="C83" s="134">
        <v>1</v>
      </c>
      <c r="D83" s="134">
        <v>29</v>
      </c>
      <c r="E83" s="134" t="s">
        <v>1782</v>
      </c>
      <c r="F83" s="134" t="s">
        <v>809</v>
      </c>
      <c r="G83" s="195"/>
      <c r="H83" s="195"/>
    </row>
    <row r="84" spans="1:8" s="458" customFormat="1">
      <c r="A84" s="134" t="s">
        <v>808</v>
      </c>
      <c r="B84" s="134">
        <v>2018</v>
      </c>
      <c r="C84" s="134">
        <v>1</v>
      </c>
      <c r="D84" s="134">
        <v>29</v>
      </c>
      <c r="E84" s="134" t="s">
        <v>1782</v>
      </c>
      <c r="F84" s="134" t="s">
        <v>809</v>
      </c>
      <c r="G84" s="195"/>
      <c r="H84" s="195">
        <v>600</v>
      </c>
    </row>
    <row r="85" spans="1:8" s="458" customFormat="1">
      <c r="A85" s="134" t="s">
        <v>808</v>
      </c>
      <c r="B85" s="134">
        <v>2018</v>
      </c>
      <c r="C85" s="134">
        <v>1</v>
      </c>
      <c r="D85" s="134">
        <v>29</v>
      </c>
      <c r="E85" s="134" t="s">
        <v>1782</v>
      </c>
      <c r="F85" s="134" t="s">
        <v>809</v>
      </c>
      <c r="G85" s="195"/>
      <c r="H85" s="195"/>
    </row>
    <row r="86" spans="1:8" s="458" customFormat="1">
      <c r="A86" s="134" t="s">
        <v>808</v>
      </c>
      <c r="B86" s="134">
        <v>2018</v>
      </c>
      <c r="C86" s="134">
        <v>1</v>
      </c>
      <c r="D86" s="134">
        <v>29</v>
      </c>
      <c r="E86" s="134" t="s">
        <v>1782</v>
      </c>
      <c r="F86" s="134" t="s">
        <v>809</v>
      </c>
      <c r="G86" s="195"/>
      <c r="H86" s="195">
        <v>600</v>
      </c>
    </row>
    <row r="87" spans="1:8" s="458" customFormat="1">
      <c r="A87" s="134" t="s">
        <v>808</v>
      </c>
      <c r="B87" s="134">
        <v>2018</v>
      </c>
      <c r="C87" s="134">
        <v>1</v>
      </c>
      <c r="D87" s="134">
        <v>29</v>
      </c>
      <c r="E87" s="134" t="s">
        <v>1782</v>
      </c>
      <c r="F87" s="134" t="s">
        <v>809</v>
      </c>
      <c r="G87" s="195"/>
      <c r="H87" s="195"/>
    </row>
    <row r="88" spans="1:8" s="458" customFormat="1">
      <c r="A88" s="134" t="s">
        <v>808</v>
      </c>
      <c r="B88" s="134">
        <v>2018</v>
      </c>
      <c r="C88" s="134">
        <v>1</v>
      </c>
      <c r="D88" s="134">
        <v>29</v>
      </c>
      <c r="E88" s="134" t="s">
        <v>1782</v>
      </c>
      <c r="F88" s="134" t="s">
        <v>809</v>
      </c>
      <c r="G88" s="195"/>
      <c r="H88" s="195">
        <v>600</v>
      </c>
    </row>
    <row r="89" spans="1:8" s="458" customFormat="1">
      <c r="A89" s="134" t="s">
        <v>808</v>
      </c>
      <c r="B89" s="134">
        <v>2018</v>
      </c>
      <c r="C89" s="134">
        <v>1</v>
      </c>
      <c r="D89" s="134">
        <v>29</v>
      </c>
      <c r="E89" s="134" t="s">
        <v>1782</v>
      </c>
      <c r="F89" s="134" t="s">
        <v>809</v>
      </c>
      <c r="G89" s="195"/>
      <c r="H89" s="195"/>
    </row>
    <row r="90" spans="1:8" s="458" customFormat="1">
      <c r="A90" s="134" t="s">
        <v>808</v>
      </c>
      <c r="B90" s="134">
        <v>2018</v>
      </c>
      <c r="C90" s="134">
        <v>1</v>
      </c>
      <c r="D90" s="134">
        <v>29</v>
      </c>
      <c r="E90" s="134" t="s">
        <v>1782</v>
      </c>
      <c r="F90" s="134" t="s">
        <v>809</v>
      </c>
      <c r="G90" s="195"/>
      <c r="H90" s="195">
        <v>600</v>
      </c>
    </row>
    <row r="91" spans="1:8" s="458" customFormat="1">
      <c r="A91" s="134" t="s">
        <v>808</v>
      </c>
      <c r="B91" s="134">
        <v>2018</v>
      </c>
      <c r="C91" s="134">
        <v>1</v>
      </c>
      <c r="D91" s="134">
        <v>32</v>
      </c>
      <c r="E91" s="134" t="s">
        <v>1786</v>
      </c>
      <c r="F91" s="134" t="s">
        <v>809</v>
      </c>
      <c r="G91" s="195">
        <v>1500</v>
      </c>
      <c r="H91" s="195"/>
    </row>
    <row r="92" spans="1:8" s="458" customFormat="1">
      <c r="A92" s="134" t="s">
        <v>808</v>
      </c>
      <c r="B92" s="134">
        <v>2018</v>
      </c>
      <c r="C92" s="134">
        <v>1</v>
      </c>
      <c r="D92" s="134">
        <v>38</v>
      </c>
      <c r="E92" s="134" t="s">
        <v>1790</v>
      </c>
      <c r="F92" s="134" t="s">
        <v>809</v>
      </c>
      <c r="G92" s="195">
        <v>18688</v>
      </c>
      <c r="H92" s="195"/>
    </row>
    <row r="93" spans="1:8" s="458" customFormat="1">
      <c r="A93" s="134" t="s">
        <v>808</v>
      </c>
      <c r="B93" s="134">
        <v>2018</v>
      </c>
      <c r="C93" s="134">
        <v>1</v>
      </c>
      <c r="D93" s="134">
        <v>40</v>
      </c>
      <c r="E93" s="134" t="s">
        <v>1791</v>
      </c>
      <c r="F93" s="134" t="s">
        <v>809</v>
      </c>
      <c r="G93" s="195">
        <v>8158</v>
      </c>
      <c r="H93" s="195"/>
    </row>
    <row r="94" spans="1:8" s="458" customFormat="1">
      <c r="A94" s="134" t="s">
        <v>808</v>
      </c>
      <c r="B94" s="134">
        <v>2018</v>
      </c>
      <c r="C94" s="134">
        <v>1</v>
      </c>
      <c r="D94" s="134">
        <v>40</v>
      </c>
      <c r="E94" s="134" t="s">
        <v>1791</v>
      </c>
      <c r="F94" s="134" t="s">
        <v>809</v>
      </c>
      <c r="G94" s="195"/>
      <c r="H94" s="195">
        <v>7.16</v>
      </c>
    </row>
    <row r="95" spans="1:8" s="458" customFormat="1">
      <c r="A95" s="134" t="s">
        <v>808</v>
      </c>
      <c r="B95" s="134">
        <v>2018</v>
      </c>
      <c r="C95" s="134">
        <v>1</v>
      </c>
      <c r="D95" s="134">
        <v>40</v>
      </c>
      <c r="E95" s="134" t="s">
        <v>1791</v>
      </c>
      <c r="F95" s="134" t="s">
        <v>809</v>
      </c>
      <c r="G95" s="195"/>
      <c r="H95" s="195">
        <v>-14.31</v>
      </c>
    </row>
    <row r="96" spans="1:8" s="458" customFormat="1">
      <c r="A96" s="134" t="s">
        <v>808</v>
      </c>
      <c r="B96" s="134">
        <v>2018</v>
      </c>
      <c r="C96" s="134">
        <v>1</v>
      </c>
      <c r="D96" s="134">
        <v>40</v>
      </c>
      <c r="E96" s="134" t="s">
        <v>1791</v>
      </c>
      <c r="F96" s="134" t="s">
        <v>809</v>
      </c>
      <c r="G96" s="195"/>
      <c r="H96" s="195">
        <v>-233.13</v>
      </c>
    </row>
    <row r="97" spans="1:8" s="458" customFormat="1">
      <c r="A97" s="134" t="s">
        <v>808</v>
      </c>
      <c r="B97" s="134">
        <v>2018</v>
      </c>
      <c r="C97" s="134">
        <v>1</v>
      </c>
      <c r="D97" s="134">
        <v>40</v>
      </c>
      <c r="E97" s="134" t="s">
        <v>1791</v>
      </c>
      <c r="F97" s="134" t="s">
        <v>807</v>
      </c>
      <c r="G97" s="195"/>
      <c r="H97" s="195">
        <v>-4.72</v>
      </c>
    </row>
    <row r="98" spans="1:8" s="458" customFormat="1">
      <c r="A98" s="134" t="s">
        <v>808</v>
      </c>
      <c r="B98" s="134">
        <v>2018</v>
      </c>
      <c r="C98" s="134">
        <v>1</v>
      </c>
      <c r="D98" s="134">
        <v>40</v>
      </c>
      <c r="E98" s="134" t="s">
        <v>1791</v>
      </c>
      <c r="F98" s="134" t="s">
        <v>809</v>
      </c>
      <c r="G98" s="195"/>
      <c r="H98" s="195">
        <v>466.26</v>
      </c>
    </row>
    <row r="99" spans="1:8" s="458" customFormat="1">
      <c r="A99" s="134" t="s">
        <v>808</v>
      </c>
      <c r="B99" s="134">
        <v>2018</v>
      </c>
      <c r="C99" s="134">
        <v>1</v>
      </c>
      <c r="D99" s="134">
        <v>40</v>
      </c>
      <c r="E99" s="134" t="s">
        <v>1791</v>
      </c>
      <c r="F99" s="134" t="s">
        <v>807</v>
      </c>
      <c r="G99" s="195"/>
      <c r="H99" s="195">
        <v>9.44</v>
      </c>
    </row>
    <row r="100" spans="1:8" s="458" customFormat="1">
      <c r="A100" s="134" t="s">
        <v>808</v>
      </c>
      <c r="B100" s="134">
        <v>2018</v>
      </c>
      <c r="C100" s="134">
        <v>1</v>
      </c>
      <c r="D100" s="134">
        <v>40</v>
      </c>
      <c r="E100" s="134" t="s">
        <v>1791</v>
      </c>
      <c r="F100" s="134" t="s">
        <v>809</v>
      </c>
      <c r="G100" s="195"/>
      <c r="H100" s="195">
        <v>-162.19</v>
      </c>
    </row>
    <row r="101" spans="1:8" s="458" customFormat="1">
      <c r="A101" s="134" t="s">
        <v>808</v>
      </c>
      <c r="B101" s="134">
        <v>2018</v>
      </c>
      <c r="C101" s="134">
        <v>1</v>
      </c>
      <c r="D101" s="134">
        <v>40</v>
      </c>
      <c r="E101" s="134" t="s">
        <v>1791</v>
      </c>
      <c r="F101" s="134" t="s">
        <v>807</v>
      </c>
      <c r="G101" s="195"/>
      <c r="H101" s="195">
        <v>4.72</v>
      </c>
    </row>
    <row r="102" spans="1:8" s="458" customFormat="1">
      <c r="A102" s="134" t="s">
        <v>808</v>
      </c>
      <c r="B102" s="134">
        <v>2018</v>
      </c>
      <c r="C102" s="134">
        <v>1</v>
      </c>
      <c r="D102" s="134">
        <v>40</v>
      </c>
      <c r="E102" s="134" t="s">
        <v>1791</v>
      </c>
      <c r="F102" s="134" t="s">
        <v>809</v>
      </c>
      <c r="G102" s="195"/>
      <c r="H102" s="195">
        <v>324.38</v>
      </c>
    </row>
    <row r="103" spans="1:8" s="458" customFormat="1">
      <c r="A103" s="134" t="s">
        <v>808</v>
      </c>
      <c r="B103" s="134">
        <v>2018</v>
      </c>
      <c r="C103" s="134">
        <v>1</v>
      </c>
      <c r="D103" s="134">
        <v>40</v>
      </c>
      <c r="E103" s="134" t="s">
        <v>1791</v>
      </c>
      <c r="F103" s="134" t="s">
        <v>807</v>
      </c>
      <c r="G103" s="195"/>
      <c r="H103" s="195">
        <v>-9.44</v>
      </c>
    </row>
    <row r="104" spans="1:8" s="458" customFormat="1">
      <c r="A104" s="134" t="s">
        <v>808</v>
      </c>
      <c r="B104" s="134">
        <v>2018</v>
      </c>
      <c r="C104" s="134">
        <v>1</v>
      </c>
      <c r="D104" s="134">
        <v>41</v>
      </c>
      <c r="E104" s="134" t="s">
        <v>1792</v>
      </c>
      <c r="F104" s="134" t="s">
        <v>809</v>
      </c>
      <c r="G104" s="195">
        <v>675</v>
      </c>
      <c r="H104" s="195"/>
    </row>
    <row r="105" spans="1:8" s="458" customFormat="1">
      <c r="A105" s="134" t="s">
        <v>808</v>
      </c>
      <c r="B105" s="134">
        <v>2018</v>
      </c>
      <c r="C105" s="134">
        <v>1</v>
      </c>
      <c r="D105" s="134">
        <v>41</v>
      </c>
      <c r="E105" s="134" t="s">
        <v>1792</v>
      </c>
      <c r="F105" s="134" t="s">
        <v>809</v>
      </c>
      <c r="G105" s="195"/>
      <c r="H105" s="195">
        <v>-1.1599999999999999</v>
      </c>
    </row>
    <row r="106" spans="1:8" s="458" customFormat="1">
      <c r="A106" s="134" t="s">
        <v>808</v>
      </c>
      <c r="B106" s="134">
        <v>2018</v>
      </c>
      <c r="C106" s="134">
        <v>1</v>
      </c>
      <c r="D106" s="134">
        <v>41</v>
      </c>
      <c r="E106" s="134" t="s">
        <v>1792</v>
      </c>
      <c r="F106" s="134" t="s">
        <v>809</v>
      </c>
      <c r="G106" s="195"/>
      <c r="H106" s="195">
        <v>37.81</v>
      </c>
    </row>
    <row r="107" spans="1:8" s="458" customFormat="1">
      <c r="A107" s="134" t="s">
        <v>808</v>
      </c>
      <c r="B107" s="134">
        <v>2018</v>
      </c>
      <c r="C107" s="134">
        <v>1</v>
      </c>
      <c r="D107" s="134">
        <v>41</v>
      </c>
      <c r="E107" s="134" t="s">
        <v>1792</v>
      </c>
      <c r="F107" s="134" t="s">
        <v>807</v>
      </c>
      <c r="G107" s="195"/>
      <c r="H107" s="195">
        <v>0.77</v>
      </c>
    </row>
    <row r="108" spans="1:8" s="458" customFormat="1">
      <c r="A108" s="134" t="s">
        <v>808</v>
      </c>
      <c r="B108" s="134">
        <v>2018</v>
      </c>
      <c r="C108" s="134">
        <v>1</v>
      </c>
      <c r="D108" s="134">
        <v>41</v>
      </c>
      <c r="E108" s="134" t="s">
        <v>1792</v>
      </c>
      <c r="F108" s="134" t="s">
        <v>809</v>
      </c>
      <c r="G108" s="195"/>
      <c r="H108" s="195">
        <v>26.3</v>
      </c>
    </row>
    <row r="109" spans="1:8" s="458" customFormat="1">
      <c r="A109" s="134" t="s">
        <v>808</v>
      </c>
      <c r="B109" s="134">
        <v>2018</v>
      </c>
      <c r="C109" s="134">
        <v>1</v>
      </c>
      <c r="D109" s="134">
        <v>41</v>
      </c>
      <c r="E109" s="134" t="s">
        <v>1792</v>
      </c>
      <c r="F109" s="134" t="s">
        <v>807</v>
      </c>
      <c r="G109" s="195"/>
      <c r="H109" s="195">
        <v>-0.77</v>
      </c>
    </row>
    <row r="110" spans="1:8" s="458" customFormat="1">
      <c r="A110" s="134" t="s">
        <v>808</v>
      </c>
      <c r="B110" s="134">
        <v>2018</v>
      </c>
      <c r="C110" s="134">
        <v>1</v>
      </c>
      <c r="D110" s="134">
        <v>38</v>
      </c>
      <c r="E110" s="134" t="s">
        <v>1793</v>
      </c>
      <c r="F110" s="134" t="s">
        <v>809</v>
      </c>
      <c r="G110" s="195"/>
      <c r="H110" s="195">
        <v>-7.16</v>
      </c>
    </row>
    <row r="111" spans="1:8" s="458" customFormat="1">
      <c r="A111" s="134" t="s">
        <v>808</v>
      </c>
      <c r="B111" s="134">
        <v>2018</v>
      </c>
      <c r="C111" s="134">
        <v>1</v>
      </c>
      <c r="D111" s="134">
        <v>38</v>
      </c>
      <c r="E111" s="134" t="s">
        <v>1793</v>
      </c>
      <c r="F111" s="134" t="s">
        <v>809</v>
      </c>
      <c r="G111" s="195"/>
      <c r="H111" s="195">
        <v>233.13</v>
      </c>
    </row>
    <row r="112" spans="1:8" s="458" customFormat="1">
      <c r="A112" s="134" t="s">
        <v>808</v>
      </c>
      <c r="B112" s="134">
        <v>2018</v>
      </c>
      <c r="C112" s="134">
        <v>1</v>
      </c>
      <c r="D112" s="134">
        <v>38</v>
      </c>
      <c r="E112" s="134" t="s">
        <v>1793</v>
      </c>
      <c r="F112" s="134" t="s">
        <v>807</v>
      </c>
      <c r="G112" s="195"/>
      <c r="H112" s="195">
        <v>4.72</v>
      </c>
    </row>
    <row r="113" spans="1:8" s="458" customFormat="1">
      <c r="A113" s="134" t="s">
        <v>808</v>
      </c>
      <c r="B113" s="134">
        <v>2018</v>
      </c>
      <c r="C113" s="134">
        <v>1</v>
      </c>
      <c r="D113" s="134">
        <v>38</v>
      </c>
      <c r="E113" s="134" t="s">
        <v>1793</v>
      </c>
      <c r="F113" s="134" t="s">
        <v>809</v>
      </c>
      <c r="G113" s="195"/>
      <c r="H113" s="195">
        <v>162.19</v>
      </c>
    </row>
    <row r="114" spans="1:8" s="458" customFormat="1">
      <c r="A114" s="134" t="s">
        <v>808</v>
      </c>
      <c r="B114" s="134">
        <v>2018</v>
      </c>
      <c r="C114" s="134">
        <v>1</v>
      </c>
      <c r="D114" s="134">
        <v>38</v>
      </c>
      <c r="E114" s="134" t="s">
        <v>1793</v>
      </c>
      <c r="F114" s="134" t="s">
        <v>807</v>
      </c>
      <c r="G114" s="195"/>
      <c r="H114" s="195">
        <v>-4.72</v>
      </c>
    </row>
    <row r="115" spans="1:8" s="458" customFormat="1">
      <c r="A115" s="134" t="s">
        <v>808</v>
      </c>
      <c r="B115" s="134">
        <v>2018</v>
      </c>
      <c r="C115" s="134">
        <v>1</v>
      </c>
      <c r="D115" s="134">
        <v>45</v>
      </c>
      <c r="E115" s="134" t="s">
        <v>1795</v>
      </c>
      <c r="F115" s="134" t="s">
        <v>807</v>
      </c>
      <c r="G115" s="195"/>
      <c r="H115" s="195">
        <v>12436</v>
      </c>
    </row>
    <row r="116" spans="1:8" s="458" customFormat="1">
      <c r="A116" s="134" t="s">
        <v>808</v>
      </c>
      <c r="B116" s="134">
        <v>2018</v>
      </c>
      <c r="C116" s="134">
        <v>2</v>
      </c>
      <c r="D116" s="134">
        <v>17</v>
      </c>
      <c r="E116" s="134" t="s">
        <v>1746</v>
      </c>
      <c r="F116" s="134" t="s">
        <v>809</v>
      </c>
      <c r="G116" s="195"/>
      <c r="H116" s="195">
        <v>166.94</v>
      </c>
    </row>
    <row r="117" spans="1:8" s="458" customFormat="1">
      <c r="A117" s="134" t="s">
        <v>808</v>
      </c>
      <c r="B117" s="134">
        <v>2018</v>
      </c>
      <c r="C117" s="134">
        <v>2</v>
      </c>
      <c r="D117" s="134">
        <v>17</v>
      </c>
      <c r="E117" s="134" t="s">
        <v>1746</v>
      </c>
      <c r="F117" s="134" t="s">
        <v>809</v>
      </c>
      <c r="G117" s="195"/>
      <c r="H117" s="195">
        <v>166.94</v>
      </c>
    </row>
    <row r="118" spans="1:8" s="458" customFormat="1">
      <c r="A118" s="134" t="s">
        <v>808</v>
      </c>
      <c r="B118" s="134">
        <v>2018</v>
      </c>
      <c r="C118" s="134">
        <v>2</v>
      </c>
      <c r="D118" s="134">
        <v>17</v>
      </c>
      <c r="E118" s="134" t="s">
        <v>1746</v>
      </c>
      <c r="F118" s="134" t="s">
        <v>809</v>
      </c>
      <c r="G118" s="195"/>
      <c r="H118" s="195">
        <v>117.84</v>
      </c>
    </row>
    <row r="119" spans="1:8" s="458" customFormat="1">
      <c r="A119" s="134" t="s">
        <v>808</v>
      </c>
      <c r="B119" s="134">
        <v>2018</v>
      </c>
      <c r="C119" s="134">
        <v>2</v>
      </c>
      <c r="D119" s="134">
        <v>17</v>
      </c>
      <c r="E119" s="134" t="s">
        <v>1746</v>
      </c>
      <c r="F119" s="134" t="s">
        <v>809</v>
      </c>
      <c r="G119" s="195"/>
      <c r="H119" s="195">
        <v>174.31</v>
      </c>
    </row>
    <row r="120" spans="1:8" s="458" customFormat="1">
      <c r="A120" s="134" t="s">
        <v>808</v>
      </c>
      <c r="B120" s="134">
        <v>2018</v>
      </c>
      <c r="C120" s="134">
        <v>2</v>
      </c>
      <c r="D120" s="134">
        <v>17</v>
      </c>
      <c r="E120" s="134" t="s">
        <v>1746</v>
      </c>
      <c r="F120" s="134" t="s">
        <v>809</v>
      </c>
      <c r="G120" s="195"/>
      <c r="H120" s="195">
        <v>174.31</v>
      </c>
    </row>
    <row r="121" spans="1:8" s="458" customFormat="1">
      <c r="A121" s="134" t="s">
        <v>808</v>
      </c>
      <c r="B121" s="134">
        <v>2018</v>
      </c>
      <c r="C121" s="134">
        <v>2</v>
      </c>
      <c r="D121" s="134">
        <v>17</v>
      </c>
      <c r="E121" s="134" t="s">
        <v>1746</v>
      </c>
      <c r="F121" s="134" t="s">
        <v>809</v>
      </c>
      <c r="G121" s="195"/>
      <c r="H121" s="195">
        <v>88.38</v>
      </c>
    </row>
    <row r="122" spans="1:8" s="458" customFormat="1">
      <c r="A122" s="134" t="s">
        <v>808</v>
      </c>
      <c r="B122" s="134">
        <v>2018</v>
      </c>
      <c r="C122" s="134">
        <v>2</v>
      </c>
      <c r="D122" s="134">
        <v>17</v>
      </c>
      <c r="E122" s="134" t="s">
        <v>1746</v>
      </c>
      <c r="F122" s="134" t="s">
        <v>809</v>
      </c>
      <c r="G122" s="195"/>
      <c r="H122" s="195">
        <v>169.4</v>
      </c>
    </row>
    <row r="123" spans="1:8" s="458" customFormat="1">
      <c r="A123" s="134" t="s">
        <v>808</v>
      </c>
      <c r="B123" s="134">
        <v>2018</v>
      </c>
      <c r="C123" s="134">
        <v>2</v>
      </c>
      <c r="D123" s="134">
        <v>17</v>
      </c>
      <c r="E123" s="134" t="s">
        <v>1746</v>
      </c>
      <c r="F123" s="134" t="s">
        <v>809</v>
      </c>
      <c r="G123" s="195"/>
      <c r="H123" s="195">
        <v>117.84</v>
      </c>
    </row>
    <row r="124" spans="1:8" s="458" customFormat="1">
      <c r="A124" s="134" t="s">
        <v>808</v>
      </c>
      <c r="B124" s="134">
        <v>2018</v>
      </c>
      <c r="C124" s="134">
        <v>2</v>
      </c>
      <c r="D124" s="134">
        <v>17</v>
      </c>
      <c r="E124" s="134" t="s">
        <v>1746</v>
      </c>
      <c r="F124" s="134" t="s">
        <v>809</v>
      </c>
      <c r="G124" s="195"/>
      <c r="H124" s="195">
        <v>112.93</v>
      </c>
    </row>
    <row r="125" spans="1:8" s="458" customFormat="1">
      <c r="A125" s="134" t="s">
        <v>808</v>
      </c>
      <c r="B125" s="134">
        <v>2018</v>
      </c>
      <c r="C125" s="134">
        <v>2</v>
      </c>
      <c r="D125" s="134">
        <v>17</v>
      </c>
      <c r="E125" s="134" t="s">
        <v>1746</v>
      </c>
      <c r="F125" s="134" t="s">
        <v>809</v>
      </c>
      <c r="G125" s="195"/>
      <c r="H125" s="195">
        <v>117.84</v>
      </c>
    </row>
    <row r="126" spans="1:8" s="458" customFormat="1">
      <c r="A126" s="134" t="s">
        <v>808</v>
      </c>
      <c r="B126" s="134">
        <v>2018</v>
      </c>
      <c r="C126" s="134">
        <v>2</v>
      </c>
      <c r="D126" s="134">
        <v>17</v>
      </c>
      <c r="E126" s="134" t="s">
        <v>1746</v>
      </c>
      <c r="F126" s="134" t="s">
        <v>809</v>
      </c>
      <c r="G126" s="195"/>
      <c r="H126" s="195">
        <v>83.47</v>
      </c>
    </row>
    <row r="127" spans="1:8" s="458" customFormat="1">
      <c r="A127" s="134" t="s">
        <v>808</v>
      </c>
      <c r="B127" s="134">
        <v>2018</v>
      </c>
      <c r="C127" s="134">
        <v>2</v>
      </c>
      <c r="D127" s="134">
        <v>17</v>
      </c>
      <c r="E127" s="134" t="s">
        <v>1746</v>
      </c>
      <c r="F127" s="134" t="s">
        <v>809</v>
      </c>
      <c r="G127" s="195"/>
      <c r="H127" s="195">
        <v>112.93</v>
      </c>
    </row>
    <row r="128" spans="1:8" s="458" customFormat="1">
      <c r="A128" s="134" t="s">
        <v>808</v>
      </c>
      <c r="B128" s="134">
        <v>2018</v>
      </c>
      <c r="C128" s="134">
        <v>2</v>
      </c>
      <c r="D128" s="134">
        <v>17</v>
      </c>
      <c r="E128" s="134" t="s">
        <v>1746</v>
      </c>
      <c r="F128" s="134" t="s">
        <v>809</v>
      </c>
      <c r="G128" s="195"/>
      <c r="H128" s="195">
        <v>88.38</v>
      </c>
    </row>
    <row r="129" spans="1:8" s="458" customFormat="1">
      <c r="A129" s="134" t="s">
        <v>808</v>
      </c>
      <c r="B129" s="134">
        <v>2018</v>
      </c>
      <c r="C129" s="134">
        <v>2</v>
      </c>
      <c r="D129" s="134">
        <v>17</v>
      </c>
      <c r="E129" s="134" t="s">
        <v>1746</v>
      </c>
      <c r="F129" s="134" t="s">
        <v>809</v>
      </c>
      <c r="G129" s="195"/>
      <c r="H129" s="195">
        <v>103.11</v>
      </c>
    </row>
    <row r="130" spans="1:8" s="458" customFormat="1">
      <c r="A130" s="134" t="s">
        <v>808</v>
      </c>
      <c r="B130" s="134">
        <v>2018</v>
      </c>
      <c r="C130" s="134">
        <v>2</v>
      </c>
      <c r="D130" s="134">
        <v>17</v>
      </c>
      <c r="E130" s="134" t="s">
        <v>1746</v>
      </c>
      <c r="F130" s="134" t="s">
        <v>809</v>
      </c>
      <c r="G130" s="195"/>
      <c r="H130" s="195">
        <v>124.43</v>
      </c>
    </row>
    <row r="131" spans="1:8" s="458" customFormat="1">
      <c r="A131" s="134" t="s">
        <v>808</v>
      </c>
      <c r="B131" s="134">
        <v>2018</v>
      </c>
      <c r="C131" s="134">
        <v>2</v>
      </c>
      <c r="D131" s="134">
        <v>17</v>
      </c>
      <c r="E131" s="134" t="s">
        <v>1746</v>
      </c>
      <c r="F131" s="134" t="s">
        <v>809</v>
      </c>
      <c r="G131" s="195"/>
      <c r="H131" s="195">
        <v>127.14</v>
      </c>
    </row>
    <row r="132" spans="1:8" s="458" customFormat="1">
      <c r="A132" s="134" t="s">
        <v>808</v>
      </c>
      <c r="B132" s="134">
        <v>2018</v>
      </c>
      <c r="C132" s="134">
        <v>2</v>
      </c>
      <c r="D132" s="134">
        <v>17</v>
      </c>
      <c r="E132" s="134" t="s">
        <v>1746</v>
      </c>
      <c r="F132" s="134" t="s">
        <v>809</v>
      </c>
      <c r="G132" s="195"/>
      <c r="H132" s="195">
        <v>129.84</v>
      </c>
    </row>
    <row r="133" spans="1:8" s="458" customFormat="1">
      <c r="A133" s="134" t="s">
        <v>808</v>
      </c>
      <c r="B133" s="134">
        <v>2018</v>
      </c>
      <c r="C133" s="134">
        <v>2</v>
      </c>
      <c r="D133" s="134">
        <v>17</v>
      </c>
      <c r="E133" s="134" t="s">
        <v>1746</v>
      </c>
      <c r="F133" s="134" t="s">
        <v>809</v>
      </c>
      <c r="G133" s="195"/>
      <c r="H133" s="195">
        <v>129.84</v>
      </c>
    </row>
    <row r="134" spans="1:8" s="458" customFormat="1">
      <c r="A134" s="134" t="s">
        <v>808</v>
      </c>
      <c r="B134" s="134">
        <v>2018</v>
      </c>
      <c r="C134" s="134">
        <v>2</v>
      </c>
      <c r="D134" s="134">
        <v>17</v>
      </c>
      <c r="E134" s="134" t="s">
        <v>1746</v>
      </c>
      <c r="F134" s="134" t="s">
        <v>809</v>
      </c>
      <c r="G134" s="195"/>
      <c r="H134" s="195">
        <v>124.43</v>
      </c>
    </row>
    <row r="135" spans="1:8" s="458" customFormat="1">
      <c r="A135" s="134" t="s">
        <v>808</v>
      </c>
      <c r="B135" s="134">
        <v>2018</v>
      </c>
      <c r="C135" s="134">
        <v>2</v>
      </c>
      <c r="D135" s="134">
        <v>17</v>
      </c>
      <c r="E135" s="134" t="s">
        <v>1746</v>
      </c>
      <c r="F135" s="134" t="s">
        <v>809</v>
      </c>
      <c r="G135" s="195"/>
      <c r="H135" s="195">
        <v>94.68</v>
      </c>
    </row>
    <row r="136" spans="1:8" s="458" customFormat="1">
      <c r="A136" s="134" t="s">
        <v>808</v>
      </c>
      <c r="B136" s="134">
        <v>2018</v>
      </c>
      <c r="C136" s="134">
        <v>2</v>
      </c>
      <c r="D136" s="134">
        <v>17</v>
      </c>
      <c r="E136" s="134" t="s">
        <v>1746</v>
      </c>
      <c r="F136" s="134" t="s">
        <v>809</v>
      </c>
      <c r="G136" s="195"/>
      <c r="H136" s="195">
        <v>78.45</v>
      </c>
    </row>
    <row r="137" spans="1:8" s="458" customFormat="1">
      <c r="A137" s="134" t="s">
        <v>808</v>
      </c>
      <c r="B137" s="134">
        <v>2018</v>
      </c>
      <c r="C137" s="134">
        <v>2</v>
      </c>
      <c r="D137" s="134">
        <v>17</v>
      </c>
      <c r="E137" s="134" t="s">
        <v>1746</v>
      </c>
      <c r="F137" s="134" t="s">
        <v>809</v>
      </c>
      <c r="G137" s="195"/>
      <c r="H137" s="195">
        <v>270.5</v>
      </c>
    </row>
    <row r="138" spans="1:8" s="458" customFormat="1">
      <c r="A138" s="134" t="s">
        <v>808</v>
      </c>
      <c r="B138" s="134">
        <v>2018</v>
      </c>
      <c r="C138" s="134">
        <v>2</v>
      </c>
      <c r="D138" s="134">
        <v>17</v>
      </c>
      <c r="E138" s="134" t="s">
        <v>1746</v>
      </c>
      <c r="F138" s="134" t="s">
        <v>809</v>
      </c>
      <c r="G138" s="195"/>
      <c r="H138" s="195">
        <v>346.24</v>
      </c>
    </row>
    <row r="139" spans="1:8" s="458" customFormat="1">
      <c r="A139" s="134" t="s">
        <v>808</v>
      </c>
      <c r="B139" s="134">
        <v>2018</v>
      </c>
      <c r="C139" s="134">
        <v>2</v>
      </c>
      <c r="D139" s="134">
        <v>17</v>
      </c>
      <c r="E139" s="134" t="s">
        <v>1746</v>
      </c>
      <c r="F139" s="134" t="s">
        <v>809</v>
      </c>
      <c r="G139" s="195"/>
      <c r="H139" s="195">
        <v>367.88</v>
      </c>
    </row>
    <row r="140" spans="1:8" s="458" customFormat="1">
      <c r="A140" s="134" t="s">
        <v>808</v>
      </c>
      <c r="B140" s="134">
        <v>2018</v>
      </c>
      <c r="C140" s="134">
        <v>2</v>
      </c>
      <c r="D140" s="134">
        <v>17</v>
      </c>
      <c r="E140" s="134" t="s">
        <v>1746</v>
      </c>
      <c r="F140" s="134" t="s">
        <v>809</v>
      </c>
      <c r="G140" s="195"/>
      <c r="H140" s="195">
        <v>400.34</v>
      </c>
    </row>
    <row r="141" spans="1:8" s="458" customFormat="1">
      <c r="A141" s="134" t="s">
        <v>808</v>
      </c>
      <c r="B141" s="134">
        <v>2018</v>
      </c>
      <c r="C141" s="134">
        <v>2</v>
      </c>
      <c r="D141" s="134">
        <v>17</v>
      </c>
      <c r="E141" s="134" t="s">
        <v>1746</v>
      </c>
      <c r="F141" s="134" t="s">
        <v>809</v>
      </c>
      <c r="G141" s="195"/>
      <c r="H141" s="195">
        <v>281.32</v>
      </c>
    </row>
    <row r="142" spans="1:8" s="458" customFormat="1">
      <c r="A142" s="134" t="s">
        <v>808</v>
      </c>
      <c r="B142" s="134">
        <v>2018</v>
      </c>
      <c r="C142" s="134">
        <v>2</v>
      </c>
      <c r="D142" s="134">
        <v>17</v>
      </c>
      <c r="E142" s="134" t="s">
        <v>1746</v>
      </c>
      <c r="F142" s="134" t="s">
        <v>809</v>
      </c>
      <c r="G142" s="195"/>
      <c r="H142" s="195">
        <v>162.30000000000001</v>
      </c>
    </row>
    <row r="143" spans="1:8" s="458" customFormat="1">
      <c r="A143" s="134" t="s">
        <v>808</v>
      </c>
      <c r="B143" s="134">
        <v>2018</v>
      </c>
      <c r="C143" s="134">
        <v>2</v>
      </c>
      <c r="D143" s="134">
        <v>17</v>
      </c>
      <c r="E143" s="134" t="s">
        <v>1746</v>
      </c>
      <c r="F143" s="134" t="s">
        <v>809</v>
      </c>
      <c r="G143" s="195"/>
      <c r="H143" s="195">
        <v>216.4</v>
      </c>
    </row>
    <row r="144" spans="1:8" s="458" customFormat="1">
      <c r="A144" s="134" t="s">
        <v>808</v>
      </c>
      <c r="B144" s="134">
        <v>2018</v>
      </c>
      <c r="C144" s="134">
        <v>2</v>
      </c>
      <c r="D144" s="134">
        <v>17</v>
      </c>
      <c r="E144" s="134" t="s">
        <v>1746</v>
      </c>
      <c r="F144" s="134" t="s">
        <v>809</v>
      </c>
      <c r="G144" s="195"/>
      <c r="H144" s="195">
        <v>59.51</v>
      </c>
    </row>
    <row r="145" spans="1:8" s="458" customFormat="1">
      <c r="A145" s="134" t="s">
        <v>808</v>
      </c>
      <c r="B145" s="134">
        <v>2018</v>
      </c>
      <c r="C145" s="134">
        <v>2</v>
      </c>
      <c r="D145" s="134">
        <v>17</v>
      </c>
      <c r="E145" s="134" t="s">
        <v>1746</v>
      </c>
      <c r="F145" s="134" t="s">
        <v>809</v>
      </c>
      <c r="G145" s="195"/>
      <c r="H145" s="195">
        <v>108.2</v>
      </c>
    </row>
    <row r="146" spans="1:8" s="458" customFormat="1">
      <c r="A146" s="134" t="s">
        <v>808</v>
      </c>
      <c r="B146" s="134">
        <v>2018</v>
      </c>
      <c r="C146" s="134">
        <v>2</v>
      </c>
      <c r="D146" s="134">
        <v>17</v>
      </c>
      <c r="E146" s="134" t="s">
        <v>1746</v>
      </c>
      <c r="F146" s="134" t="s">
        <v>809</v>
      </c>
      <c r="G146" s="195"/>
      <c r="H146" s="195">
        <v>108.2</v>
      </c>
    </row>
    <row r="147" spans="1:8" s="458" customFormat="1">
      <c r="A147" s="134" t="s">
        <v>808</v>
      </c>
      <c r="B147" s="134">
        <v>2018</v>
      </c>
      <c r="C147" s="134">
        <v>2</v>
      </c>
      <c r="D147" s="134">
        <v>17</v>
      </c>
      <c r="E147" s="134" t="s">
        <v>1746</v>
      </c>
      <c r="F147" s="134" t="s">
        <v>809</v>
      </c>
      <c r="G147" s="195"/>
      <c r="H147" s="195">
        <v>73.040000000000006</v>
      </c>
    </row>
    <row r="148" spans="1:8" s="458" customFormat="1">
      <c r="A148" s="134" t="s">
        <v>808</v>
      </c>
      <c r="B148" s="134">
        <v>2018</v>
      </c>
      <c r="C148" s="134">
        <v>2</v>
      </c>
      <c r="D148" s="134">
        <v>17</v>
      </c>
      <c r="E148" s="134" t="s">
        <v>1746</v>
      </c>
      <c r="F148" s="134" t="s">
        <v>809</v>
      </c>
      <c r="G148" s="195"/>
      <c r="H148" s="195">
        <v>129.84</v>
      </c>
    </row>
    <row r="149" spans="1:8" s="458" customFormat="1">
      <c r="A149" s="134" t="s">
        <v>808</v>
      </c>
      <c r="B149" s="134">
        <v>2018</v>
      </c>
      <c r="C149" s="134">
        <v>2</v>
      </c>
      <c r="D149" s="134">
        <v>17</v>
      </c>
      <c r="E149" s="134" t="s">
        <v>1746</v>
      </c>
      <c r="F149" s="134" t="s">
        <v>809</v>
      </c>
      <c r="G149" s="195"/>
      <c r="H149" s="195">
        <v>32.46</v>
      </c>
    </row>
    <row r="150" spans="1:8" s="458" customFormat="1">
      <c r="A150" s="134" t="s">
        <v>808</v>
      </c>
      <c r="B150" s="134">
        <v>2018</v>
      </c>
      <c r="C150" s="134">
        <v>2</v>
      </c>
      <c r="D150" s="134">
        <v>17</v>
      </c>
      <c r="E150" s="134" t="s">
        <v>1746</v>
      </c>
      <c r="F150" s="134" t="s">
        <v>809</v>
      </c>
      <c r="G150" s="195"/>
      <c r="H150" s="195">
        <v>43.28</v>
      </c>
    </row>
    <row r="151" spans="1:8" s="458" customFormat="1">
      <c r="A151" s="134" t="s">
        <v>808</v>
      </c>
      <c r="B151" s="134">
        <v>2018</v>
      </c>
      <c r="C151" s="134">
        <v>2</v>
      </c>
      <c r="D151" s="134">
        <v>17</v>
      </c>
      <c r="E151" s="134" t="s">
        <v>1746</v>
      </c>
      <c r="F151" s="134" t="s">
        <v>809</v>
      </c>
      <c r="G151" s="195"/>
      <c r="H151" s="195">
        <v>232.63</v>
      </c>
    </row>
    <row r="152" spans="1:8" s="458" customFormat="1">
      <c r="A152" s="134" t="s">
        <v>808</v>
      </c>
      <c r="B152" s="134">
        <v>2018</v>
      </c>
      <c r="C152" s="134">
        <v>2</v>
      </c>
      <c r="D152" s="134">
        <v>17</v>
      </c>
      <c r="E152" s="134" t="s">
        <v>1746</v>
      </c>
      <c r="F152" s="134" t="s">
        <v>809</v>
      </c>
      <c r="G152" s="195"/>
      <c r="H152" s="195">
        <v>259.68</v>
      </c>
    </row>
    <row r="153" spans="1:8" s="458" customFormat="1">
      <c r="A153" s="134" t="s">
        <v>808</v>
      </c>
      <c r="B153" s="134">
        <v>2018</v>
      </c>
      <c r="C153" s="134">
        <v>2</v>
      </c>
      <c r="D153" s="134">
        <v>17</v>
      </c>
      <c r="E153" s="134" t="s">
        <v>1746</v>
      </c>
      <c r="F153" s="134" t="s">
        <v>809</v>
      </c>
      <c r="G153" s="195"/>
      <c r="H153" s="195">
        <v>91.97</v>
      </c>
    </row>
    <row r="154" spans="1:8" s="458" customFormat="1">
      <c r="A154" s="134" t="s">
        <v>808</v>
      </c>
      <c r="B154" s="134">
        <v>2018</v>
      </c>
      <c r="C154" s="134">
        <v>2</v>
      </c>
      <c r="D154" s="134">
        <v>17</v>
      </c>
      <c r="E154" s="134" t="s">
        <v>1746</v>
      </c>
      <c r="F154" s="134" t="s">
        <v>809</v>
      </c>
      <c r="G154" s="195"/>
      <c r="H154" s="195">
        <v>91.97</v>
      </c>
    </row>
    <row r="155" spans="1:8" s="458" customFormat="1">
      <c r="A155" s="134" t="s">
        <v>808</v>
      </c>
      <c r="B155" s="134">
        <v>2018</v>
      </c>
      <c r="C155" s="134">
        <v>2</v>
      </c>
      <c r="D155" s="134">
        <v>17</v>
      </c>
      <c r="E155" s="134" t="s">
        <v>1746</v>
      </c>
      <c r="F155" s="134" t="s">
        <v>809</v>
      </c>
      <c r="G155" s="195"/>
      <c r="H155" s="195">
        <v>108.2</v>
      </c>
    </row>
    <row r="156" spans="1:8" s="458" customFormat="1">
      <c r="A156" s="134" t="s">
        <v>808</v>
      </c>
      <c r="B156" s="134">
        <v>2018</v>
      </c>
      <c r="C156" s="134">
        <v>2</v>
      </c>
      <c r="D156" s="134">
        <v>17</v>
      </c>
      <c r="E156" s="134" t="s">
        <v>1746</v>
      </c>
      <c r="F156" s="134" t="s">
        <v>809</v>
      </c>
      <c r="G156" s="195"/>
      <c r="H156" s="195">
        <v>75.739999999999995</v>
      </c>
    </row>
    <row r="157" spans="1:8" s="458" customFormat="1">
      <c r="A157" s="134" t="s">
        <v>808</v>
      </c>
      <c r="B157" s="134">
        <v>2018</v>
      </c>
      <c r="C157" s="134">
        <v>2</v>
      </c>
      <c r="D157" s="134">
        <v>17</v>
      </c>
      <c r="E157" s="134" t="s">
        <v>1746</v>
      </c>
      <c r="F157" s="134" t="s">
        <v>809</v>
      </c>
      <c r="G157" s="195"/>
      <c r="H157" s="195">
        <v>64.92</v>
      </c>
    </row>
    <row r="158" spans="1:8" s="458" customFormat="1">
      <c r="A158" s="134" t="s">
        <v>808</v>
      </c>
      <c r="B158" s="134">
        <v>2018</v>
      </c>
      <c r="C158" s="134">
        <v>2</v>
      </c>
      <c r="D158" s="134">
        <v>17</v>
      </c>
      <c r="E158" s="134" t="s">
        <v>1746</v>
      </c>
      <c r="F158" s="134" t="s">
        <v>809</v>
      </c>
      <c r="G158" s="195"/>
      <c r="H158" s="195">
        <v>192.06</v>
      </c>
    </row>
    <row r="159" spans="1:8" s="458" customFormat="1">
      <c r="A159" s="134" t="s">
        <v>808</v>
      </c>
      <c r="B159" s="134">
        <v>2018</v>
      </c>
      <c r="C159" s="134">
        <v>2</v>
      </c>
      <c r="D159" s="134">
        <v>17</v>
      </c>
      <c r="E159" s="134" t="s">
        <v>1746</v>
      </c>
      <c r="F159" s="134" t="s">
        <v>809</v>
      </c>
      <c r="G159" s="195"/>
      <c r="H159" s="195">
        <v>189.35</v>
      </c>
    </row>
    <row r="160" spans="1:8" s="458" customFormat="1">
      <c r="A160" s="134" t="s">
        <v>808</v>
      </c>
      <c r="B160" s="134">
        <v>2018</v>
      </c>
      <c r="C160" s="134">
        <v>2</v>
      </c>
      <c r="D160" s="134">
        <v>17</v>
      </c>
      <c r="E160" s="134" t="s">
        <v>1746</v>
      </c>
      <c r="F160" s="134" t="s">
        <v>809</v>
      </c>
      <c r="G160" s="195"/>
      <c r="H160" s="195">
        <v>216.4</v>
      </c>
    </row>
    <row r="161" spans="1:8" s="458" customFormat="1">
      <c r="A161" s="134" t="s">
        <v>808</v>
      </c>
      <c r="B161" s="134">
        <v>2018</v>
      </c>
      <c r="C161" s="134">
        <v>2</v>
      </c>
      <c r="D161" s="134">
        <v>17</v>
      </c>
      <c r="E161" s="134" t="s">
        <v>1746</v>
      </c>
      <c r="F161" s="134" t="s">
        <v>809</v>
      </c>
      <c r="G161" s="195"/>
      <c r="H161" s="195">
        <v>213.7</v>
      </c>
    </row>
    <row r="162" spans="1:8" s="458" customFormat="1">
      <c r="A162" s="134" t="s">
        <v>808</v>
      </c>
      <c r="B162" s="134">
        <v>2018</v>
      </c>
      <c r="C162" s="134">
        <v>2</v>
      </c>
      <c r="D162" s="134">
        <v>17</v>
      </c>
      <c r="E162" s="134" t="s">
        <v>1746</v>
      </c>
      <c r="F162" s="134" t="s">
        <v>809</v>
      </c>
      <c r="G162" s="195"/>
      <c r="H162" s="195">
        <v>162.30000000000001</v>
      </c>
    </row>
    <row r="163" spans="1:8" s="458" customFormat="1">
      <c r="A163" s="134" t="s">
        <v>808</v>
      </c>
      <c r="B163" s="134">
        <v>2018</v>
      </c>
      <c r="C163" s="134">
        <v>2</v>
      </c>
      <c r="D163" s="134">
        <v>17</v>
      </c>
      <c r="E163" s="134" t="s">
        <v>1746</v>
      </c>
      <c r="F163" s="134" t="s">
        <v>809</v>
      </c>
      <c r="G163" s="195"/>
      <c r="H163" s="195">
        <v>108.2</v>
      </c>
    </row>
    <row r="164" spans="1:8" s="458" customFormat="1">
      <c r="A164" s="134" t="s">
        <v>808</v>
      </c>
      <c r="B164" s="134">
        <v>2018</v>
      </c>
      <c r="C164" s="134">
        <v>2</v>
      </c>
      <c r="D164" s="134">
        <v>17</v>
      </c>
      <c r="E164" s="134" t="s">
        <v>1746</v>
      </c>
      <c r="F164" s="134" t="s">
        <v>809</v>
      </c>
      <c r="G164" s="195"/>
      <c r="H164" s="195">
        <v>151.47999999999999</v>
      </c>
    </row>
    <row r="165" spans="1:8" s="458" customFormat="1">
      <c r="A165" s="134" t="s">
        <v>808</v>
      </c>
      <c r="B165" s="134">
        <v>2018</v>
      </c>
      <c r="C165" s="134">
        <v>2</v>
      </c>
      <c r="D165" s="134">
        <v>17</v>
      </c>
      <c r="E165" s="134" t="s">
        <v>1746</v>
      </c>
      <c r="F165" s="134" t="s">
        <v>809</v>
      </c>
      <c r="G165" s="195"/>
      <c r="H165" s="195">
        <v>37.869999999999997</v>
      </c>
    </row>
    <row r="166" spans="1:8" s="458" customFormat="1">
      <c r="A166" s="134" t="s">
        <v>808</v>
      </c>
      <c r="B166" s="134">
        <v>2018</v>
      </c>
      <c r="C166" s="134">
        <v>2</v>
      </c>
      <c r="D166" s="134">
        <v>17</v>
      </c>
      <c r="E166" s="134" t="s">
        <v>1746</v>
      </c>
      <c r="F166" s="134" t="s">
        <v>809</v>
      </c>
      <c r="G166" s="195"/>
      <c r="H166" s="195">
        <v>51.4</v>
      </c>
    </row>
    <row r="167" spans="1:8" s="458" customFormat="1">
      <c r="A167" s="134" t="s">
        <v>808</v>
      </c>
      <c r="B167" s="134">
        <v>2018</v>
      </c>
      <c r="C167" s="134">
        <v>2</v>
      </c>
      <c r="D167" s="134">
        <v>17</v>
      </c>
      <c r="E167" s="134" t="s">
        <v>1746</v>
      </c>
      <c r="F167" s="134" t="s">
        <v>809</v>
      </c>
      <c r="G167" s="195"/>
      <c r="H167" s="195">
        <v>29.76</v>
      </c>
    </row>
    <row r="168" spans="1:8" s="458" customFormat="1">
      <c r="A168" s="134" t="s">
        <v>808</v>
      </c>
      <c r="B168" s="134">
        <v>2018</v>
      </c>
      <c r="C168" s="134">
        <v>2</v>
      </c>
      <c r="D168" s="134">
        <v>17</v>
      </c>
      <c r="E168" s="134" t="s">
        <v>1746</v>
      </c>
      <c r="F168" s="134" t="s">
        <v>809</v>
      </c>
      <c r="G168" s="195"/>
      <c r="H168" s="195">
        <v>27.05</v>
      </c>
    </row>
    <row r="169" spans="1:8" s="458" customFormat="1">
      <c r="A169" s="134" t="s">
        <v>808</v>
      </c>
      <c r="B169" s="134">
        <v>2018</v>
      </c>
      <c r="C169" s="134">
        <v>2</v>
      </c>
      <c r="D169" s="134">
        <v>17</v>
      </c>
      <c r="E169" s="134" t="s">
        <v>1746</v>
      </c>
      <c r="F169" s="134" t="s">
        <v>809</v>
      </c>
      <c r="G169" s="195"/>
      <c r="H169" s="195">
        <v>35.17</v>
      </c>
    </row>
    <row r="170" spans="1:8" s="458" customFormat="1">
      <c r="A170" s="134" t="s">
        <v>808</v>
      </c>
      <c r="B170" s="134">
        <v>2018</v>
      </c>
      <c r="C170" s="134">
        <v>2</v>
      </c>
      <c r="D170" s="134">
        <v>17</v>
      </c>
      <c r="E170" s="134" t="s">
        <v>1746</v>
      </c>
      <c r="F170" s="134" t="s">
        <v>809</v>
      </c>
      <c r="G170" s="195"/>
      <c r="H170" s="195">
        <v>40.58</v>
      </c>
    </row>
    <row r="171" spans="1:8" s="458" customFormat="1">
      <c r="A171" s="134" t="s">
        <v>808</v>
      </c>
      <c r="B171" s="134">
        <v>2018</v>
      </c>
      <c r="C171" s="134">
        <v>2</v>
      </c>
      <c r="D171" s="134">
        <v>17</v>
      </c>
      <c r="E171" s="134" t="s">
        <v>1746</v>
      </c>
      <c r="F171" s="134" t="s">
        <v>809</v>
      </c>
      <c r="G171" s="195"/>
      <c r="H171" s="195">
        <v>91.97</v>
      </c>
    </row>
    <row r="172" spans="1:8" s="458" customFormat="1">
      <c r="A172" s="134" t="s">
        <v>808</v>
      </c>
      <c r="B172" s="134">
        <v>2018</v>
      </c>
      <c r="C172" s="134">
        <v>2</v>
      </c>
      <c r="D172" s="134">
        <v>17</v>
      </c>
      <c r="E172" s="134" t="s">
        <v>1746</v>
      </c>
      <c r="F172" s="134" t="s">
        <v>809</v>
      </c>
      <c r="G172" s="195"/>
      <c r="H172" s="195">
        <v>167.71</v>
      </c>
    </row>
    <row r="173" spans="1:8" s="458" customFormat="1">
      <c r="A173" s="134" t="s">
        <v>808</v>
      </c>
      <c r="B173" s="134">
        <v>2018</v>
      </c>
      <c r="C173" s="134">
        <v>2</v>
      </c>
      <c r="D173" s="134">
        <v>17</v>
      </c>
      <c r="E173" s="134" t="s">
        <v>1746</v>
      </c>
      <c r="F173" s="134" t="s">
        <v>809</v>
      </c>
      <c r="G173" s="195"/>
      <c r="H173" s="195">
        <v>100.09</v>
      </c>
    </row>
    <row r="174" spans="1:8" s="458" customFormat="1">
      <c r="A174" s="134" t="s">
        <v>808</v>
      </c>
      <c r="B174" s="134">
        <v>2018</v>
      </c>
      <c r="C174" s="134">
        <v>2</v>
      </c>
      <c r="D174" s="134">
        <v>17</v>
      </c>
      <c r="E174" s="134" t="s">
        <v>1746</v>
      </c>
      <c r="F174" s="134" t="s">
        <v>809</v>
      </c>
      <c r="G174" s="195"/>
      <c r="H174" s="195">
        <v>146.07</v>
      </c>
    </row>
    <row r="175" spans="1:8" s="458" customFormat="1">
      <c r="A175" s="134" t="s">
        <v>808</v>
      </c>
      <c r="B175" s="134">
        <v>2018</v>
      </c>
      <c r="C175" s="134">
        <v>2</v>
      </c>
      <c r="D175" s="134">
        <v>17</v>
      </c>
      <c r="E175" s="134" t="s">
        <v>1746</v>
      </c>
      <c r="F175" s="134" t="s">
        <v>809</v>
      </c>
      <c r="G175" s="195"/>
      <c r="H175" s="195">
        <v>119.02</v>
      </c>
    </row>
    <row r="176" spans="1:8" s="458" customFormat="1">
      <c r="A176" s="134" t="s">
        <v>808</v>
      </c>
      <c r="B176" s="134">
        <v>2018</v>
      </c>
      <c r="C176" s="134">
        <v>2</v>
      </c>
      <c r="D176" s="134">
        <v>17</v>
      </c>
      <c r="E176" s="134" t="s">
        <v>1746</v>
      </c>
      <c r="F176" s="134" t="s">
        <v>809</v>
      </c>
      <c r="G176" s="195"/>
      <c r="H176" s="195">
        <v>83.86</v>
      </c>
    </row>
    <row r="177" spans="1:8" s="458" customFormat="1">
      <c r="A177" s="134" t="s">
        <v>808</v>
      </c>
      <c r="B177" s="134">
        <v>2018</v>
      </c>
      <c r="C177" s="134">
        <v>2</v>
      </c>
      <c r="D177" s="134">
        <v>17</v>
      </c>
      <c r="E177" s="134" t="s">
        <v>1746</v>
      </c>
      <c r="F177" s="134" t="s">
        <v>809</v>
      </c>
      <c r="G177" s="195"/>
      <c r="H177" s="195">
        <v>62.22</v>
      </c>
    </row>
    <row r="178" spans="1:8" s="458" customFormat="1">
      <c r="A178" s="134" t="s">
        <v>808</v>
      </c>
      <c r="B178" s="134">
        <v>2018</v>
      </c>
      <c r="C178" s="134">
        <v>2</v>
      </c>
      <c r="D178" s="134">
        <v>17</v>
      </c>
      <c r="E178" s="134" t="s">
        <v>1746</v>
      </c>
      <c r="F178" s="134" t="s">
        <v>809</v>
      </c>
      <c r="G178" s="195"/>
      <c r="H178" s="195">
        <v>86.56</v>
      </c>
    </row>
    <row r="179" spans="1:8" s="458" customFormat="1">
      <c r="A179" s="134" t="s">
        <v>808</v>
      </c>
      <c r="B179" s="134">
        <v>2018</v>
      </c>
      <c r="C179" s="134">
        <v>2</v>
      </c>
      <c r="D179" s="134">
        <v>17</v>
      </c>
      <c r="E179" s="134" t="s">
        <v>1746</v>
      </c>
      <c r="F179" s="134" t="s">
        <v>809</v>
      </c>
      <c r="G179" s="195"/>
      <c r="H179" s="195">
        <v>108.2</v>
      </c>
    </row>
    <row r="180" spans="1:8" s="458" customFormat="1">
      <c r="A180" s="134" t="s">
        <v>808</v>
      </c>
      <c r="B180" s="134">
        <v>2018</v>
      </c>
      <c r="C180" s="134">
        <v>2</v>
      </c>
      <c r="D180" s="134">
        <v>17</v>
      </c>
      <c r="E180" s="134" t="s">
        <v>1746</v>
      </c>
      <c r="F180" s="134" t="s">
        <v>809</v>
      </c>
      <c r="G180" s="195"/>
      <c r="H180" s="195">
        <v>108.2</v>
      </c>
    </row>
    <row r="181" spans="1:8" s="458" customFormat="1">
      <c r="A181" s="134" t="s">
        <v>808</v>
      </c>
      <c r="B181" s="134">
        <v>2018</v>
      </c>
      <c r="C181" s="134">
        <v>2</v>
      </c>
      <c r="D181" s="134">
        <v>17</v>
      </c>
      <c r="E181" s="134" t="s">
        <v>1746</v>
      </c>
      <c r="F181" s="134" t="s">
        <v>809</v>
      </c>
      <c r="G181" s="195"/>
      <c r="H181" s="195">
        <v>86.56</v>
      </c>
    </row>
    <row r="182" spans="1:8" s="458" customFormat="1">
      <c r="A182" s="134" t="s">
        <v>808</v>
      </c>
      <c r="B182" s="134">
        <v>2018</v>
      </c>
      <c r="C182" s="134">
        <v>2</v>
      </c>
      <c r="D182" s="134">
        <v>17</v>
      </c>
      <c r="E182" s="134" t="s">
        <v>1746</v>
      </c>
      <c r="F182" s="134" t="s">
        <v>809</v>
      </c>
      <c r="G182" s="195"/>
      <c r="H182" s="195">
        <v>97.38</v>
      </c>
    </row>
    <row r="183" spans="1:8" s="458" customFormat="1">
      <c r="A183" s="134" t="s">
        <v>808</v>
      </c>
      <c r="B183" s="134">
        <v>2018</v>
      </c>
      <c r="C183" s="134">
        <v>2</v>
      </c>
      <c r="D183" s="134">
        <v>17</v>
      </c>
      <c r="E183" s="134" t="s">
        <v>1746</v>
      </c>
      <c r="F183" s="134" t="s">
        <v>809</v>
      </c>
      <c r="G183" s="195"/>
      <c r="H183" s="195">
        <v>81.150000000000006</v>
      </c>
    </row>
    <row r="184" spans="1:8" s="458" customFormat="1">
      <c r="A184" s="134" t="s">
        <v>808</v>
      </c>
      <c r="B184" s="134">
        <v>2018</v>
      </c>
      <c r="C184" s="134">
        <v>2</v>
      </c>
      <c r="D184" s="134">
        <v>17</v>
      </c>
      <c r="E184" s="134" t="s">
        <v>1746</v>
      </c>
      <c r="F184" s="134" t="s">
        <v>809</v>
      </c>
      <c r="G184" s="195"/>
      <c r="H184" s="195">
        <v>70.33</v>
      </c>
    </row>
    <row r="185" spans="1:8" s="458" customFormat="1">
      <c r="A185" s="134" t="s">
        <v>808</v>
      </c>
      <c r="B185" s="134">
        <v>2018</v>
      </c>
      <c r="C185" s="134">
        <v>2</v>
      </c>
      <c r="D185" s="134">
        <v>17</v>
      </c>
      <c r="E185" s="134" t="s">
        <v>1746</v>
      </c>
      <c r="F185" s="134" t="s">
        <v>809</v>
      </c>
      <c r="G185" s="195"/>
      <c r="H185" s="195">
        <v>162.30000000000001</v>
      </c>
    </row>
    <row r="186" spans="1:8" s="458" customFormat="1">
      <c r="A186" s="134" t="s">
        <v>808</v>
      </c>
      <c r="B186" s="134">
        <v>2018</v>
      </c>
      <c r="C186" s="134">
        <v>2</v>
      </c>
      <c r="D186" s="134">
        <v>17</v>
      </c>
      <c r="E186" s="134" t="s">
        <v>1746</v>
      </c>
      <c r="F186" s="134" t="s">
        <v>809</v>
      </c>
      <c r="G186" s="195"/>
      <c r="H186" s="195">
        <v>210.99</v>
      </c>
    </row>
    <row r="187" spans="1:8" s="458" customFormat="1">
      <c r="A187" s="134" t="s">
        <v>808</v>
      </c>
      <c r="B187" s="134">
        <v>2018</v>
      </c>
      <c r="C187" s="134">
        <v>2</v>
      </c>
      <c r="D187" s="134">
        <v>17</v>
      </c>
      <c r="E187" s="134" t="s">
        <v>1746</v>
      </c>
      <c r="F187" s="134" t="s">
        <v>809</v>
      </c>
      <c r="G187" s="195"/>
      <c r="H187" s="195">
        <v>194.76</v>
      </c>
    </row>
    <row r="188" spans="1:8" s="458" customFormat="1">
      <c r="A188" s="134" t="s">
        <v>808</v>
      </c>
      <c r="B188" s="134">
        <v>2018</v>
      </c>
      <c r="C188" s="134">
        <v>2</v>
      </c>
      <c r="D188" s="134">
        <v>17</v>
      </c>
      <c r="E188" s="134" t="s">
        <v>1746</v>
      </c>
      <c r="F188" s="134" t="s">
        <v>809</v>
      </c>
      <c r="G188" s="195"/>
      <c r="H188" s="195">
        <v>200.17</v>
      </c>
    </row>
    <row r="189" spans="1:8" s="458" customFormat="1">
      <c r="A189" s="134" t="s">
        <v>808</v>
      </c>
      <c r="B189" s="134">
        <v>2018</v>
      </c>
      <c r="C189" s="134">
        <v>2</v>
      </c>
      <c r="D189" s="134">
        <v>17</v>
      </c>
      <c r="E189" s="134" t="s">
        <v>1746</v>
      </c>
      <c r="F189" s="134" t="s">
        <v>809</v>
      </c>
      <c r="G189" s="195"/>
      <c r="H189" s="195">
        <v>175.83</v>
      </c>
    </row>
    <row r="190" spans="1:8" s="458" customFormat="1">
      <c r="A190" s="134" t="s">
        <v>808</v>
      </c>
      <c r="B190" s="134">
        <v>2018</v>
      </c>
      <c r="C190" s="134">
        <v>2</v>
      </c>
      <c r="D190" s="134">
        <v>17</v>
      </c>
      <c r="E190" s="134" t="s">
        <v>1746</v>
      </c>
      <c r="F190" s="134" t="s">
        <v>809</v>
      </c>
      <c r="G190" s="195"/>
      <c r="H190" s="195">
        <v>48.69</v>
      </c>
    </row>
    <row r="191" spans="1:8" s="458" customFormat="1">
      <c r="A191" s="134" t="s">
        <v>808</v>
      </c>
      <c r="B191" s="134">
        <v>2018</v>
      </c>
      <c r="C191" s="134">
        <v>2</v>
      </c>
      <c r="D191" s="134">
        <v>17</v>
      </c>
      <c r="E191" s="134" t="s">
        <v>1746</v>
      </c>
      <c r="F191" s="134" t="s">
        <v>809</v>
      </c>
      <c r="G191" s="195"/>
      <c r="H191" s="195">
        <v>367.88</v>
      </c>
    </row>
    <row r="192" spans="1:8" s="458" customFormat="1">
      <c r="A192" s="134" t="s">
        <v>808</v>
      </c>
      <c r="B192" s="134">
        <v>2018</v>
      </c>
      <c r="C192" s="134">
        <v>2</v>
      </c>
      <c r="D192" s="134">
        <v>17</v>
      </c>
      <c r="E192" s="134" t="s">
        <v>1746</v>
      </c>
      <c r="F192" s="134" t="s">
        <v>809</v>
      </c>
      <c r="G192" s="195"/>
      <c r="H192" s="195">
        <v>389.52</v>
      </c>
    </row>
    <row r="193" spans="1:8" s="458" customFormat="1">
      <c r="A193" s="134" t="s">
        <v>808</v>
      </c>
      <c r="B193" s="134">
        <v>2018</v>
      </c>
      <c r="C193" s="134">
        <v>2</v>
      </c>
      <c r="D193" s="134">
        <v>17</v>
      </c>
      <c r="E193" s="134" t="s">
        <v>1746</v>
      </c>
      <c r="F193" s="134" t="s">
        <v>809</v>
      </c>
      <c r="G193" s="195"/>
      <c r="H193" s="195">
        <v>411.16</v>
      </c>
    </row>
    <row r="194" spans="1:8" s="458" customFormat="1">
      <c r="A194" s="134" t="s">
        <v>808</v>
      </c>
      <c r="B194" s="134">
        <v>2018</v>
      </c>
      <c r="C194" s="134">
        <v>2</v>
      </c>
      <c r="D194" s="134">
        <v>17</v>
      </c>
      <c r="E194" s="134" t="s">
        <v>1746</v>
      </c>
      <c r="F194" s="134" t="s">
        <v>809</v>
      </c>
      <c r="G194" s="195"/>
      <c r="H194" s="195">
        <v>432.8</v>
      </c>
    </row>
    <row r="195" spans="1:8" s="458" customFormat="1">
      <c r="A195" s="134" t="s">
        <v>808</v>
      </c>
      <c r="B195" s="134">
        <v>2018</v>
      </c>
      <c r="C195" s="134">
        <v>2</v>
      </c>
      <c r="D195" s="134">
        <v>17</v>
      </c>
      <c r="E195" s="134" t="s">
        <v>1746</v>
      </c>
      <c r="F195" s="134" t="s">
        <v>809</v>
      </c>
      <c r="G195" s="195"/>
      <c r="H195" s="195">
        <v>313.77999999999997</v>
      </c>
    </row>
    <row r="196" spans="1:8" s="458" customFormat="1">
      <c r="A196" s="134" t="s">
        <v>808</v>
      </c>
      <c r="B196" s="134">
        <v>2018</v>
      </c>
      <c r="C196" s="134">
        <v>2</v>
      </c>
      <c r="D196" s="134">
        <v>17</v>
      </c>
      <c r="E196" s="134" t="s">
        <v>1746</v>
      </c>
      <c r="F196" s="134" t="s">
        <v>809</v>
      </c>
      <c r="G196" s="195"/>
      <c r="H196" s="195">
        <v>246.16</v>
      </c>
    </row>
    <row r="197" spans="1:8" s="458" customFormat="1">
      <c r="A197" s="134" t="s">
        <v>808</v>
      </c>
      <c r="B197" s="134">
        <v>2018</v>
      </c>
      <c r="C197" s="134">
        <v>2</v>
      </c>
      <c r="D197" s="134">
        <v>20</v>
      </c>
      <c r="E197" s="134" t="s">
        <v>1750</v>
      </c>
      <c r="F197" s="134" t="s">
        <v>809</v>
      </c>
      <c r="G197" s="195"/>
      <c r="H197" s="195">
        <v>42.57</v>
      </c>
    </row>
    <row r="198" spans="1:8" s="458" customFormat="1">
      <c r="A198" s="134" t="s">
        <v>808</v>
      </c>
      <c r="B198" s="134">
        <v>2018</v>
      </c>
      <c r="C198" s="134">
        <v>2</v>
      </c>
      <c r="D198" s="134">
        <v>20</v>
      </c>
      <c r="E198" s="134" t="s">
        <v>1750</v>
      </c>
      <c r="F198" s="134" t="s">
        <v>809</v>
      </c>
      <c r="G198" s="195"/>
      <c r="H198" s="195">
        <v>36.42</v>
      </c>
    </row>
    <row r="199" spans="1:8" s="458" customFormat="1">
      <c r="A199" s="134" t="s">
        <v>808</v>
      </c>
      <c r="B199" s="134">
        <v>2018</v>
      </c>
      <c r="C199" s="134">
        <v>2</v>
      </c>
      <c r="D199" s="134">
        <v>20</v>
      </c>
      <c r="E199" s="134" t="s">
        <v>1750</v>
      </c>
      <c r="F199" s="134" t="s">
        <v>809</v>
      </c>
      <c r="G199" s="195"/>
      <c r="H199" s="195">
        <v>42.48</v>
      </c>
    </row>
    <row r="200" spans="1:8" s="458" customFormat="1">
      <c r="A200" s="134" t="s">
        <v>808</v>
      </c>
      <c r="B200" s="134">
        <v>2018</v>
      </c>
      <c r="C200" s="134">
        <v>2</v>
      </c>
      <c r="D200" s="134">
        <v>25</v>
      </c>
      <c r="E200" s="134" t="s">
        <v>1755</v>
      </c>
      <c r="F200" s="134" t="s">
        <v>809</v>
      </c>
      <c r="G200" s="195"/>
      <c r="H200" s="195">
        <v>135</v>
      </c>
    </row>
    <row r="201" spans="1:8" s="458" customFormat="1">
      <c r="A201" s="134" t="s">
        <v>808</v>
      </c>
      <c r="B201" s="134">
        <v>2018</v>
      </c>
      <c r="C201" s="134">
        <v>2</v>
      </c>
      <c r="D201" s="134">
        <v>28</v>
      </c>
      <c r="E201" s="134" t="s">
        <v>1756</v>
      </c>
      <c r="F201" s="134" t="s">
        <v>809</v>
      </c>
      <c r="G201" s="195"/>
      <c r="H201" s="195">
        <v>9.36</v>
      </c>
    </row>
    <row r="202" spans="1:8" s="458" customFormat="1">
      <c r="A202" s="134" t="s">
        <v>808</v>
      </c>
      <c r="B202" s="134">
        <v>2018</v>
      </c>
      <c r="C202" s="134">
        <v>2</v>
      </c>
      <c r="D202" s="134">
        <v>25</v>
      </c>
      <c r="E202" s="134" t="s">
        <v>1760</v>
      </c>
      <c r="F202" s="134" t="s">
        <v>809</v>
      </c>
      <c r="G202" s="195"/>
      <c r="H202" s="195">
        <v>48.91</v>
      </c>
    </row>
    <row r="203" spans="1:8" s="458" customFormat="1">
      <c r="A203" s="134" t="s">
        <v>808</v>
      </c>
      <c r="B203" s="134">
        <v>2018</v>
      </c>
      <c r="C203" s="134">
        <v>2</v>
      </c>
      <c r="D203" s="134">
        <v>25</v>
      </c>
      <c r="E203" s="134" t="s">
        <v>1760</v>
      </c>
      <c r="F203" s="134" t="s">
        <v>809</v>
      </c>
      <c r="G203" s="195"/>
      <c r="H203" s="195"/>
    </row>
    <row r="204" spans="1:8" s="458" customFormat="1">
      <c r="A204" s="134" t="s">
        <v>808</v>
      </c>
      <c r="B204" s="134">
        <v>2018</v>
      </c>
      <c r="C204" s="134">
        <v>2</v>
      </c>
      <c r="D204" s="134">
        <v>25</v>
      </c>
      <c r="E204" s="134" t="s">
        <v>1760</v>
      </c>
      <c r="F204" s="134" t="s">
        <v>809</v>
      </c>
      <c r="G204" s="195"/>
      <c r="H204" s="195">
        <v>48.91</v>
      </c>
    </row>
    <row r="205" spans="1:8" s="458" customFormat="1">
      <c r="A205" s="134" t="s">
        <v>808</v>
      </c>
      <c r="B205" s="134">
        <v>2018</v>
      </c>
      <c r="C205" s="134">
        <v>2</v>
      </c>
      <c r="D205" s="134">
        <v>25</v>
      </c>
      <c r="E205" s="134" t="s">
        <v>1760</v>
      </c>
      <c r="F205" s="134" t="s">
        <v>809</v>
      </c>
      <c r="G205" s="195"/>
      <c r="H205" s="195"/>
    </row>
    <row r="206" spans="1:8" s="458" customFormat="1">
      <c r="A206" s="134" t="s">
        <v>808</v>
      </c>
      <c r="B206" s="134">
        <v>2018</v>
      </c>
      <c r="C206" s="134">
        <v>2</v>
      </c>
      <c r="D206" s="134">
        <v>25</v>
      </c>
      <c r="E206" s="134" t="s">
        <v>1760</v>
      </c>
      <c r="F206" s="134" t="s">
        <v>809</v>
      </c>
      <c r="G206" s="195"/>
      <c r="H206" s="195"/>
    </row>
    <row r="207" spans="1:8" s="458" customFormat="1">
      <c r="A207" s="134" t="s">
        <v>808</v>
      </c>
      <c r="B207" s="134">
        <v>2018</v>
      </c>
      <c r="C207" s="134">
        <v>2</v>
      </c>
      <c r="D207" s="134">
        <v>25</v>
      </c>
      <c r="E207" s="134" t="s">
        <v>1760</v>
      </c>
      <c r="F207" s="134" t="s">
        <v>809</v>
      </c>
      <c r="G207" s="195"/>
      <c r="H207" s="195">
        <v>48.91</v>
      </c>
    </row>
    <row r="208" spans="1:8" s="458" customFormat="1">
      <c r="A208" s="134" t="s">
        <v>808</v>
      </c>
      <c r="B208" s="134">
        <v>2018</v>
      </c>
      <c r="C208" s="134">
        <v>2</v>
      </c>
      <c r="D208" s="134">
        <v>25</v>
      </c>
      <c r="E208" s="134" t="s">
        <v>1761</v>
      </c>
      <c r="F208" s="134" t="s">
        <v>809</v>
      </c>
      <c r="G208" s="195"/>
      <c r="H208" s="195">
        <v>759</v>
      </c>
    </row>
    <row r="209" spans="1:8" s="458" customFormat="1">
      <c r="A209" s="134" t="s">
        <v>808</v>
      </c>
      <c r="B209" s="134">
        <v>2018</v>
      </c>
      <c r="C209" s="134">
        <v>2</v>
      </c>
      <c r="D209" s="134">
        <v>28</v>
      </c>
      <c r="E209" s="134" t="s">
        <v>1770</v>
      </c>
      <c r="F209" s="134" t="s">
        <v>809</v>
      </c>
      <c r="G209" s="195"/>
      <c r="H209" s="195">
        <v>2360.3000000000002</v>
      </c>
    </row>
    <row r="210" spans="1:8" s="458" customFormat="1">
      <c r="A210" s="134" t="s">
        <v>808</v>
      </c>
      <c r="B210" s="134">
        <v>2018</v>
      </c>
      <c r="C210" s="134">
        <v>2</v>
      </c>
      <c r="D210" s="134">
        <v>29</v>
      </c>
      <c r="E210" s="134" t="s">
        <v>1775</v>
      </c>
      <c r="F210" s="134" t="s">
        <v>809</v>
      </c>
      <c r="G210" s="195"/>
      <c r="H210" s="195">
        <v>4135</v>
      </c>
    </row>
    <row r="211" spans="1:8" s="458" customFormat="1">
      <c r="A211" s="134" t="s">
        <v>808</v>
      </c>
      <c r="B211" s="134">
        <v>2018</v>
      </c>
      <c r="C211" s="134">
        <v>2</v>
      </c>
      <c r="D211" s="134">
        <v>26</v>
      </c>
      <c r="E211" s="134" t="s">
        <v>1778</v>
      </c>
      <c r="F211" s="134" t="s">
        <v>809</v>
      </c>
      <c r="G211" s="195"/>
      <c r="H211" s="195">
        <v>47</v>
      </c>
    </row>
    <row r="212" spans="1:8" s="458" customFormat="1">
      <c r="A212" s="134" t="s">
        <v>808</v>
      </c>
      <c r="B212" s="134">
        <v>2018</v>
      </c>
      <c r="C212" s="134">
        <v>2</v>
      </c>
      <c r="D212" s="134">
        <v>29</v>
      </c>
      <c r="E212" s="134" t="s">
        <v>1782</v>
      </c>
      <c r="F212" s="134" t="s">
        <v>809</v>
      </c>
      <c r="G212" s="195"/>
      <c r="H212" s="195"/>
    </row>
    <row r="213" spans="1:8" s="458" customFormat="1">
      <c r="A213" s="134" t="s">
        <v>808</v>
      </c>
      <c r="B213" s="134">
        <v>2018</v>
      </c>
      <c r="C213" s="134">
        <v>2</v>
      </c>
      <c r="D213" s="134">
        <v>29</v>
      </c>
      <c r="E213" s="134" t="s">
        <v>1782</v>
      </c>
      <c r="F213" s="134" t="s">
        <v>809</v>
      </c>
      <c r="G213" s="195"/>
      <c r="H213" s="195">
        <v>600</v>
      </c>
    </row>
    <row r="214" spans="1:8" s="458" customFormat="1">
      <c r="A214" s="134" t="s">
        <v>808</v>
      </c>
      <c r="B214" s="134">
        <v>2018</v>
      </c>
      <c r="C214" s="134">
        <v>2</v>
      </c>
      <c r="D214" s="134">
        <v>29</v>
      </c>
      <c r="E214" s="134" t="s">
        <v>1782</v>
      </c>
      <c r="F214" s="134" t="s">
        <v>809</v>
      </c>
      <c r="G214" s="195"/>
      <c r="H214" s="195"/>
    </row>
    <row r="215" spans="1:8" s="458" customFormat="1">
      <c r="A215" s="134" t="s">
        <v>808</v>
      </c>
      <c r="B215" s="134">
        <v>2018</v>
      </c>
      <c r="C215" s="134">
        <v>2</v>
      </c>
      <c r="D215" s="134">
        <v>29</v>
      </c>
      <c r="E215" s="134" t="s">
        <v>1782</v>
      </c>
      <c r="F215" s="134" t="s">
        <v>809</v>
      </c>
      <c r="G215" s="195"/>
      <c r="H215" s="195">
        <v>600</v>
      </c>
    </row>
    <row r="216" spans="1:8" s="458" customFormat="1">
      <c r="A216" s="134" t="s">
        <v>808</v>
      </c>
      <c r="B216" s="134">
        <v>2018</v>
      </c>
      <c r="C216" s="134">
        <v>2</v>
      </c>
      <c r="D216" s="134">
        <v>40</v>
      </c>
      <c r="E216" s="134" t="s">
        <v>1791</v>
      </c>
      <c r="F216" s="134" t="s">
        <v>809</v>
      </c>
      <c r="G216" s="195"/>
      <c r="H216" s="195">
        <v>-136.76</v>
      </c>
    </row>
    <row r="217" spans="1:8" s="458" customFormat="1">
      <c r="A217" s="134" t="s">
        <v>808</v>
      </c>
      <c r="B217" s="134">
        <v>2018</v>
      </c>
      <c r="C217" s="134">
        <v>2</v>
      </c>
      <c r="D217" s="134">
        <v>40</v>
      </c>
      <c r="E217" s="134" t="s">
        <v>1791</v>
      </c>
      <c r="F217" s="134" t="s">
        <v>809</v>
      </c>
      <c r="G217" s="195"/>
      <c r="H217" s="195">
        <v>273.52</v>
      </c>
    </row>
    <row r="218" spans="1:8" s="458" customFormat="1">
      <c r="A218" s="134" t="s">
        <v>808</v>
      </c>
      <c r="B218" s="134">
        <v>2018</v>
      </c>
      <c r="C218" s="134">
        <v>2</v>
      </c>
      <c r="D218" s="134">
        <v>40</v>
      </c>
      <c r="E218" s="134" t="s">
        <v>1791</v>
      </c>
      <c r="F218" s="134" t="s">
        <v>809</v>
      </c>
      <c r="G218" s="195"/>
      <c r="H218" s="195">
        <v>-369.97</v>
      </c>
    </row>
    <row r="219" spans="1:8" s="458" customFormat="1">
      <c r="A219" s="134" t="s">
        <v>808</v>
      </c>
      <c r="B219" s="134">
        <v>2018</v>
      </c>
      <c r="C219" s="134">
        <v>2</v>
      </c>
      <c r="D219" s="134">
        <v>40</v>
      </c>
      <c r="E219" s="134" t="s">
        <v>1791</v>
      </c>
      <c r="F219" s="134" t="s">
        <v>809</v>
      </c>
      <c r="G219" s="195"/>
      <c r="H219" s="195">
        <v>739.94</v>
      </c>
    </row>
    <row r="220" spans="1:8" s="458" customFormat="1">
      <c r="A220" s="134" t="s">
        <v>808</v>
      </c>
      <c r="B220" s="134">
        <v>2018</v>
      </c>
      <c r="C220" s="134">
        <v>2</v>
      </c>
      <c r="D220" s="134">
        <v>40</v>
      </c>
      <c r="E220" s="134" t="s">
        <v>1791</v>
      </c>
      <c r="F220" s="134" t="s">
        <v>809</v>
      </c>
      <c r="G220" s="195"/>
      <c r="H220" s="195">
        <v>-155.63</v>
      </c>
    </row>
    <row r="221" spans="1:8" s="458" customFormat="1">
      <c r="A221" s="134" t="s">
        <v>808</v>
      </c>
      <c r="B221" s="134">
        <v>2018</v>
      </c>
      <c r="C221" s="134">
        <v>2</v>
      </c>
      <c r="D221" s="134">
        <v>40</v>
      </c>
      <c r="E221" s="134" t="s">
        <v>1791</v>
      </c>
      <c r="F221" s="134" t="s">
        <v>809</v>
      </c>
      <c r="G221" s="195"/>
      <c r="H221" s="195">
        <v>311.25</v>
      </c>
    </row>
    <row r="222" spans="1:8" s="458" customFormat="1">
      <c r="A222" s="134" t="s">
        <v>808</v>
      </c>
      <c r="B222" s="134">
        <v>2018</v>
      </c>
      <c r="C222" s="134">
        <v>2</v>
      </c>
      <c r="D222" s="134">
        <v>41</v>
      </c>
      <c r="E222" s="134" t="s">
        <v>1792</v>
      </c>
      <c r="F222" s="134" t="s">
        <v>809</v>
      </c>
      <c r="G222" s="195"/>
      <c r="H222" s="195">
        <v>22.18</v>
      </c>
    </row>
    <row r="223" spans="1:8" s="458" customFormat="1">
      <c r="A223" s="134" t="s">
        <v>808</v>
      </c>
      <c r="B223" s="134">
        <v>2018</v>
      </c>
      <c r="C223" s="134">
        <v>2</v>
      </c>
      <c r="D223" s="134">
        <v>41</v>
      </c>
      <c r="E223" s="134" t="s">
        <v>1792</v>
      </c>
      <c r="F223" s="134" t="s">
        <v>809</v>
      </c>
      <c r="G223" s="195"/>
      <c r="H223" s="195">
        <v>60</v>
      </c>
    </row>
    <row r="224" spans="1:8" s="458" customFormat="1">
      <c r="A224" s="134" t="s">
        <v>808</v>
      </c>
      <c r="B224" s="134">
        <v>2018</v>
      </c>
      <c r="C224" s="134">
        <v>2</v>
      </c>
      <c r="D224" s="134">
        <v>41</v>
      </c>
      <c r="E224" s="134" t="s">
        <v>1792</v>
      </c>
      <c r="F224" s="134" t="s">
        <v>809</v>
      </c>
      <c r="G224" s="195"/>
      <c r="H224" s="195">
        <v>25.24</v>
      </c>
    </row>
    <row r="225" spans="1:8" s="458" customFormat="1">
      <c r="A225" s="134" t="s">
        <v>808</v>
      </c>
      <c r="B225" s="134">
        <v>2018</v>
      </c>
      <c r="C225" s="134">
        <v>2</v>
      </c>
      <c r="D225" s="134">
        <v>38</v>
      </c>
      <c r="E225" s="134" t="s">
        <v>1793</v>
      </c>
      <c r="F225" s="134" t="s">
        <v>809</v>
      </c>
      <c r="G225" s="195"/>
      <c r="H225" s="195">
        <v>136.76</v>
      </c>
    </row>
    <row r="226" spans="1:8" s="458" customFormat="1">
      <c r="A226" s="134" t="s">
        <v>808</v>
      </c>
      <c r="B226" s="134">
        <v>2018</v>
      </c>
      <c r="C226" s="134">
        <v>2</v>
      </c>
      <c r="D226" s="134">
        <v>38</v>
      </c>
      <c r="E226" s="134" t="s">
        <v>1793</v>
      </c>
      <c r="F226" s="134" t="s">
        <v>809</v>
      </c>
      <c r="G226" s="195"/>
      <c r="H226" s="195">
        <v>369.97</v>
      </c>
    </row>
    <row r="227" spans="1:8" s="458" customFormat="1">
      <c r="A227" s="134" t="s">
        <v>808</v>
      </c>
      <c r="B227" s="134">
        <v>2018</v>
      </c>
      <c r="C227" s="134">
        <v>2</v>
      </c>
      <c r="D227" s="134">
        <v>38</v>
      </c>
      <c r="E227" s="134" t="s">
        <v>1793</v>
      </c>
      <c r="F227" s="134" t="s">
        <v>809</v>
      </c>
      <c r="G227" s="195"/>
      <c r="H227" s="195">
        <v>155.63</v>
      </c>
    </row>
    <row r="228" spans="1:8" s="458" customFormat="1">
      <c r="A228" s="134" t="s">
        <v>808</v>
      </c>
      <c r="B228" s="134">
        <v>2018</v>
      </c>
      <c r="C228" s="134">
        <v>3</v>
      </c>
      <c r="D228" s="134">
        <v>8</v>
      </c>
      <c r="E228" s="134" t="s">
        <v>1743</v>
      </c>
      <c r="F228" s="134" t="s">
        <v>809</v>
      </c>
      <c r="G228" s="195"/>
      <c r="H228" s="195">
        <v>-71946</v>
      </c>
    </row>
    <row r="229" spans="1:8" s="458" customFormat="1">
      <c r="A229" s="134" t="s">
        <v>808</v>
      </c>
      <c r="B229" s="134">
        <v>2018</v>
      </c>
      <c r="C229" s="134">
        <v>3</v>
      </c>
      <c r="D229" s="134">
        <v>17</v>
      </c>
      <c r="E229" s="134" t="s">
        <v>1746</v>
      </c>
      <c r="F229" s="134" t="s">
        <v>809</v>
      </c>
      <c r="G229" s="195"/>
      <c r="H229" s="195">
        <v>324.60000000000002</v>
      </c>
    </row>
    <row r="230" spans="1:8" s="458" customFormat="1">
      <c r="A230" s="134" t="s">
        <v>808</v>
      </c>
      <c r="B230" s="134">
        <v>2018</v>
      </c>
      <c r="C230" s="134">
        <v>3</v>
      </c>
      <c r="D230" s="134">
        <v>17</v>
      </c>
      <c r="E230" s="134" t="s">
        <v>1746</v>
      </c>
      <c r="F230" s="134" t="s">
        <v>809</v>
      </c>
      <c r="G230" s="195"/>
      <c r="H230" s="195">
        <v>227.22</v>
      </c>
    </row>
    <row r="231" spans="1:8" s="458" customFormat="1">
      <c r="A231" s="134" t="s">
        <v>808</v>
      </c>
      <c r="B231" s="134">
        <v>2018</v>
      </c>
      <c r="C231" s="134">
        <v>3</v>
      </c>
      <c r="D231" s="134">
        <v>17</v>
      </c>
      <c r="E231" s="134" t="s">
        <v>1746</v>
      </c>
      <c r="F231" s="134" t="s">
        <v>809</v>
      </c>
      <c r="G231" s="195"/>
      <c r="H231" s="195">
        <v>29.46</v>
      </c>
    </row>
    <row r="232" spans="1:8" s="458" customFormat="1">
      <c r="A232" s="134" t="s">
        <v>808</v>
      </c>
      <c r="B232" s="134">
        <v>2018</v>
      </c>
      <c r="C232" s="134">
        <v>3</v>
      </c>
      <c r="D232" s="134">
        <v>17</v>
      </c>
      <c r="E232" s="134" t="s">
        <v>1746</v>
      </c>
      <c r="F232" s="134" t="s">
        <v>809</v>
      </c>
      <c r="G232" s="195"/>
      <c r="H232" s="195">
        <v>9.1199999999999992</v>
      </c>
    </row>
    <row r="233" spans="1:8" s="458" customFormat="1">
      <c r="A233" s="134" t="s">
        <v>808</v>
      </c>
      <c r="B233" s="134">
        <v>2018</v>
      </c>
      <c r="C233" s="134">
        <v>3</v>
      </c>
      <c r="D233" s="134">
        <v>17</v>
      </c>
      <c r="E233" s="134" t="s">
        <v>1746</v>
      </c>
      <c r="F233" s="134" t="s">
        <v>809</v>
      </c>
      <c r="G233" s="195"/>
      <c r="H233" s="195">
        <v>117.84</v>
      </c>
    </row>
    <row r="234" spans="1:8" s="458" customFormat="1">
      <c r="A234" s="134" t="s">
        <v>808</v>
      </c>
      <c r="B234" s="134">
        <v>2018</v>
      </c>
      <c r="C234" s="134">
        <v>3</v>
      </c>
      <c r="D234" s="134">
        <v>17</v>
      </c>
      <c r="E234" s="134" t="s">
        <v>1746</v>
      </c>
      <c r="F234" s="134" t="s">
        <v>809</v>
      </c>
      <c r="G234" s="195"/>
      <c r="H234" s="195">
        <v>326.39999999999998</v>
      </c>
    </row>
    <row r="235" spans="1:8" s="458" customFormat="1">
      <c r="A235" s="134" t="s">
        <v>808</v>
      </c>
      <c r="B235" s="134">
        <v>2018</v>
      </c>
      <c r="C235" s="134">
        <v>3</v>
      </c>
      <c r="D235" s="134">
        <v>17</v>
      </c>
      <c r="E235" s="134" t="s">
        <v>1746</v>
      </c>
      <c r="F235" s="134" t="s">
        <v>809</v>
      </c>
      <c r="G235" s="195"/>
      <c r="H235" s="195">
        <v>178.5</v>
      </c>
    </row>
    <row r="236" spans="1:8" s="458" customFormat="1">
      <c r="A236" s="134" t="s">
        <v>808</v>
      </c>
      <c r="B236" s="134">
        <v>2018</v>
      </c>
      <c r="C236" s="134">
        <v>3</v>
      </c>
      <c r="D236" s="134">
        <v>17</v>
      </c>
      <c r="E236" s="134" t="s">
        <v>1746</v>
      </c>
      <c r="F236" s="134" t="s">
        <v>809</v>
      </c>
      <c r="G236" s="195"/>
      <c r="H236" s="195">
        <v>183.6</v>
      </c>
    </row>
    <row r="237" spans="1:8" s="458" customFormat="1">
      <c r="A237" s="134" t="s">
        <v>808</v>
      </c>
      <c r="B237" s="134">
        <v>2018</v>
      </c>
      <c r="C237" s="134">
        <v>3</v>
      </c>
      <c r="D237" s="134">
        <v>17</v>
      </c>
      <c r="E237" s="134" t="s">
        <v>1746</v>
      </c>
      <c r="F237" s="134" t="s">
        <v>809</v>
      </c>
      <c r="G237" s="195"/>
      <c r="H237" s="195">
        <v>227.22</v>
      </c>
    </row>
    <row r="238" spans="1:8" s="458" customFormat="1">
      <c r="A238" s="134" t="s">
        <v>808</v>
      </c>
      <c r="B238" s="134">
        <v>2018</v>
      </c>
      <c r="C238" s="134">
        <v>3</v>
      </c>
      <c r="D238" s="134">
        <v>17</v>
      </c>
      <c r="E238" s="134" t="s">
        <v>1746</v>
      </c>
      <c r="F238" s="134" t="s">
        <v>809</v>
      </c>
      <c r="G238" s="195"/>
      <c r="H238" s="195">
        <v>302.95999999999998</v>
      </c>
    </row>
    <row r="239" spans="1:8" s="458" customFormat="1">
      <c r="A239" s="134" t="s">
        <v>808</v>
      </c>
      <c r="B239" s="134">
        <v>2018</v>
      </c>
      <c r="C239" s="134">
        <v>3</v>
      </c>
      <c r="D239" s="134">
        <v>17</v>
      </c>
      <c r="E239" s="134" t="s">
        <v>1746</v>
      </c>
      <c r="F239" s="134" t="s">
        <v>809</v>
      </c>
      <c r="G239" s="195"/>
      <c r="H239" s="195">
        <v>216.4</v>
      </c>
    </row>
    <row r="240" spans="1:8" s="458" customFormat="1">
      <c r="A240" s="134" t="s">
        <v>808</v>
      </c>
      <c r="B240" s="134">
        <v>2018</v>
      </c>
      <c r="C240" s="134">
        <v>3</v>
      </c>
      <c r="D240" s="134">
        <v>17</v>
      </c>
      <c r="E240" s="134" t="s">
        <v>1746</v>
      </c>
      <c r="F240" s="134" t="s">
        <v>809</v>
      </c>
      <c r="G240" s="195"/>
      <c r="H240" s="195">
        <v>173.12</v>
      </c>
    </row>
    <row r="241" spans="1:8" s="458" customFormat="1">
      <c r="A241" s="134" t="s">
        <v>808</v>
      </c>
      <c r="B241" s="134">
        <v>2018</v>
      </c>
      <c r="C241" s="134">
        <v>3</v>
      </c>
      <c r="D241" s="134">
        <v>17</v>
      </c>
      <c r="E241" s="134" t="s">
        <v>1746</v>
      </c>
      <c r="F241" s="134" t="s">
        <v>809</v>
      </c>
      <c r="G241" s="195"/>
      <c r="H241" s="195">
        <v>75.739999999999995</v>
      </c>
    </row>
    <row r="242" spans="1:8" s="458" customFormat="1">
      <c r="A242" s="134" t="s">
        <v>808</v>
      </c>
      <c r="B242" s="134">
        <v>2018</v>
      </c>
      <c r="C242" s="134">
        <v>3</v>
      </c>
      <c r="D242" s="134">
        <v>17</v>
      </c>
      <c r="E242" s="134" t="s">
        <v>1746</v>
      </c>
      <c r="F242" s="134" t="s">
        <v>809</v>
      </c>
      <c r="G242" s="195"/>
      <c r="H242" s="195">
        <v>83.86</v>
      </c>
    </row>
    <row r="243" spans="1:8" s="458" customFormat="1">
      <c r="A243" s="134" t="s">
        <v>808</v>
      </c>
      <c r="B243" s="134">
        <v>2018</v>
      </c>
      <c r="C243" s="134">
        <v>3</v>
      </c>
      <c r="D243" s="134">
        <v>17</v>
      </c>
      <c r="E243" s="134" t="s">
        <v>1746</v>
      </c>
      <c r="F243" s="134" t="s">
        <v>809</v>
      </c>
      <c r="G243" s="195"/>
      <c r="H243" s="195">
        <v>78.45</v>
      </c>
    </row>
    <row r="244" spans="1:8" s="458" customFormat="1">
      <c r="A244" s="134" t="s">
        <v>808</v>
      </c>
      <c r="B244" s="134">
        <v>2018</v>
      </c>
      <c r="C244" s="134">
        <v>3</v>
      </c>
      <c r="D244" s="134">
        <v>17</v>
      </c>
      <c r="E244" s="134" t="s">
        <v>1746</v>
      </c>
      <c r="F244" s="134" t="s">
        <v>809</v>
      </c>
      <c r="G244" s="195"/>
      <c r="H244" s="195">
        <v>216.4</v>
      </c>
    </row>
    <row r="245" spans="1:8" s="458" customFormat="1">
      <c r="A245" s="134" t="s">
        <v>808</v>
      </c>
      <c r="B245" s="134">
        <v>2018</v>
      </c>
      <c r="C245" s="134">
        <v>3</v>
      </c>
      <c r="D245" s="134">
        <v>17</v>
      </c>
      <c r="E245" s="134" t="s">
        <v>1746</v>
      </c>
      <c r="F245" s="134" t="s">
        <v>809</v>
      </c>
      <c r="G245" s="195"/>
      <c r="H245" s="195">
        <v>162.30000000000001</v>
      </c>
    </row>
    <row r="246" spans="1:8" s="458" customFormat="1">
      <c r="A246" s="134" t="s">
        <v>808</v>
      </c>
      <c r="B246" s="134">
        <v>2018</v>
      </c>
      <c r="C246" s="134">
        <v>3</v>
      </c>
      <c r="D246" s="134">
        <v>17</v>
      </c>
      <c r="E246" s="134" t="s">
        <v>1746</v>
      </c>
      <c r="F246" s="134" t="s">
        <v>809</v>
      </c>
      <c r="G246" s="195"/>
      <c r="H246" s="195">
        <v>81.150000000000006</v>
      </c>
    </row>
    <row r="247" spans="1:8" s="458" customFormat="1">
      <c r="A247" s="134" t="s">
        <v>808</v>
      </c>
      <c r="B247" s="134">
        <v>2018</v>
      </c>
      <c r="C247" s="134">
        <v>3</v>
      </c>
      <c r="D247" s="134">
        <v>17</v>
      </c>
      <c r="E247" s="134" t="s">
        <v>1746</v>
      </c>
      <c r="F247" s="134" t="s">
        <v>809</v>
      </c>
      <c r="G247" s="195"/>
      <c r="H247" s="195">
        <v>59.51</v>
      </c>
    </row>
    <row r="248" spans="1:8" s="458" customFormat="1">
      <c r="A248" s="134" t="s">
        <v>808</v>
      </c>
      <c r="B248" s="134">
        <v>2018</v>
      </c>
      <c r="C248" s="134">
        <v>3</v>
      </c>
      <c r="D248" s="134">
        <v>17</v>
      </c>
      <c r="E248" s="134" t="s">
        <v>1746</v>
      </c>
      <c r="F248" s="134" t="s">
        <v>809</v>
      </c>
      <c r="G248" s="195"/>
      <c r="H248" s="195">
        <v>54.1</v>
      </c>
    </row>
    <row r="249" spans="1:8" s="458" customFormat="1">
      <c r="A249" s="134" t="s">
        <v>808</v>
      </c>
      <c r="B249" s="134">
        <v>2018</v>
      </c>
      <c r="C249" s="134">
        <v>3</v>
      </c>
      <c r="D249" s="134">
        <v>17</v>
      </c>
      <c r="E249" s="134" t="s">
        <v>1746</v>
      </c>
      <c r="F249" s="134" t="s">
        <v>809</v>
      </c>
      <c r="G249" s="195"/>
      <c r="H249" s="195">
        <v>189.35</v>
      </c>
    </row>
    <row r="250" spans="1:8" s="458" customFormat="1">
      <c r="A250" s="134" t="s">
        <v>808</v>
      </c>
      <c r="B250" s="134">
        <v>2018</v>
      </c>
      <c r="C250" s="134">
        <v>3</v>
      </c>
      <c r="D250" s="134">
        <v>17</v>
      </c>
      <c r="E250" s="134" t="s">
        <v>1746</v>
      </c>
      <c r="F250" s="134" t="s">
        <v>809</v>
      </c>
      <c r="G250" s="195"/>
      <c r="H250" s="195">
        <v>156.88999999999999</v>
      </c>
    </row>
    <row r="251" spans="1:8" s="458" customFormat="1">
      <c r="A251" s="134" t="s">
        <v>808</v>
      </c>
      <c r="B251" s="134">
        <v>2018</v>
      </c>
      <c r="C251" s="134">
        <v>3</v>
      </c>
      <c r="D251" s="134">
        <v>17</v>
      </c>
      <c r="E251" s="134" t="s">
        <v>1746</v>
      </c>
      <c r="F251" s="134" t="s">
        <v>809</v>
      </c>
      <c r="G251" s="195"/>
      <c r="H251" s="195">
        <v>224.52</v>
      </c>
    </row>
    <row r="252" spans="1:8" s="458" customFormat="1">
      <c r="A252" s="134" t="s">
        <v>808</v>
      </c>
      <c r="B252" s="134">
        <v>2018</v>
      </c>
      <c r="C252" s="134">
        <v>3</v>
      </c>
      <c r="D252" s="134">
        <v>17</v>
      </c>
      <c r="E252" s="134" t="s">
        <v>1746</v>
      </c>
      <c r="F252" s="134" t="s">
        <v>809</v>
      </c>
      <c r="G252" s="195"/>
      <c r="H252" s="195">
        <v>294.85000000000002</v>
      </c>
    </row>
    <row r="253" spans="1:8" s="458" customFormat="1">
      <c r="A253" s="134" t="s">
        <v>808</v>
      </c>
      <c r="B253" s="134">
        <v>2018</v>
      </c>
      <c r="C253" s="134">
        <v>3</v>
      </c>
      <c r="D253" s="134">
        <v>17</v>
      </c>
      <c r="E253" s="134" t="s">
        <v>1746</v>
      </c>
      <c r="F253" s="134" t="s">
        <v>809</v>
      </c>
      <c r="G253" s="195"/>
      <c r="H253" s="195">
        <v>151.47999999999999</v>
      </c>
    </row>
    <row r="254" spans="1:8" s="458" customFormat="1">
      <c r="A254" s="134" t="s">
        <v>808</v>
      </c>
      <c r="B254" s="134">
        <v>2018</v>
      </c>
      <c r="C254" s="134">
        <v>3</v>
      </c>
      <c r="D254" s="134">
        <v>17</v>
      </c>
      <c r="E254" s="134" t="s">
        <v>1746</v>
      </c>
      <c r="F254" s="134" t="s">
        <v>809</v>
      </c>
      <c r="G254" s="195"/>
      <c r="H254" s="195">
        <v>29.76</v>
      </c>
    </row>
    <row r="255" spans="1:8" s="458" customFormat="1">
      <c r="A255" s="134" t="s">
        <v>808</v>
      </c>
      <c r="B255" s="134">
        <v>2018</v>
      </c>
      <c r="C255" s="134">
        <v>3</v>
      </c>
      <c r="D255" s="134">
        <v>17</v>
      </c>
      <c r="E255" s="134" t="s">
        <v>1746</v>
      </c>
      <c r="F255" s="134" t="s">
        <v>809</v>
      </c>
      <c r="G255" s="195"/>
      <c r="H255" s="195">
        <v>32.46</v>
      </c>
    </row>
    <row r="256" spans="1:8" s="458" customFormat="1">
      <c r="A256" s="134" t="s">
        <v>808</v>
      </c>
      <c r="B256" s="134">
        <v>2018</v>
      </c>
      <c r="C256" s="134">
        <v>3</v>
      </c>
      <c r="D256" s="134">
        <v>17</v>
      </c>
      <c r="E256" s="134" t="s">
        <v>1746</v>
      </c>
      <c r="F256" s="134" t="s">
        <v>809</v>
      </c>
      <c r="G256" s="195"/>
      <c r="H256" s="195">
        <v>54.1</v>
      </c>
    </row>
    <row r="257" spans="1:8" s="458" customFormat="1">
      <c r="A257" s="134" t="s">
        <v>808</v>
      </c>
      <c r="B257" s="134">
        <v>2018</v>
      </c>
      <c r="C257" s="134">
        <v>3</v>
      </c>
      <c r="D257" s="134">
        <v>17</v>
      </c>
      <c r="E257" s="134" t="s">
        <v>1746</v>
      </c>
      <c r="F257" s="134" t="s">
        <v>809</v>
      </c>
      <c r="G257" s="195"/>
      <c r="H257" s="195">
        <v>32.46</v>
      </c>
    </row>
    <row r="258" spans="1:8" s="458" customFormat="1">
      <c r="A258" s="134" t="s">
        <v>808</v>
      </c>
      <c r="B258" s="134">
        <v>2018</v>
      </c>
      <c r="C258" s="134">
        <v>3</v>
      </c>
      <c r="D258" s="134">
        <v>17</v>
      </c>
      <c r="E258" s="134" t="s">
        <v>1746</v>
      </c>
      <c r="F258" s="134" t="s">
        <v>809</v>
      </c>
      <c r="G258" s="195"/>
      <c r="H258" s="195">
        <v>48.69</v>
      </c>
    </row>
    <row r="259" spans="1:8" s="458" customFormat="1">
      <c r="A259" s="134" t="s">
        <v>808</v>
      </c>
      <c r="B259" s="134">
        <v>2018</v>
      </c>
      <c r="C259" s="134">
        <v>3</v>
      </c>
      <c r="D259" s="134">
        <v>17</v>
      </c>
      <c r="E259" s="134" t="s">
        <v>1746</v>
      </c>
      <c r="F259" s="134" t="s">
        <v>809</v>
      </c>
      <c r="G259" s="195"/>
      <c r="H259" s="195">
        <v>67.63</v>
      </c>
    </row>
    <row r="260" spans="1:8" s="458" customFormat="1">
      <c r="A260" s="134" t="s">
        <v>808</v>
      </c>
      <c r="B260" s="134">
        <v>2018</v>
      </c>
      <c r="C260" s="134">
        <v>3</v>
      </c>
      <c r="D260" s="134">
        <v>17</v>
      </c>
      <c r="E260" s="134" t="s">
        <v>1746</v>
      </c>
      <c r="F260" s="134" t="s">
        <v>809</v>
      </c>
      <c r="G260" s="195"/>
      <c r="H260" s="195">
        <v>81.150000000000006</v>
      </c>
    </row>
    <row r="261" spans="1:8" s="458" customFormat="1">
      <c r="A261" s="134" t="s">
        <v>808</v>
      </c>
      <c r="B261" s="134">
        <v>2018</v>
      </c>
      <c r="C261" s="134">
        <v>3</v>
      </c>
      <c r="D261" s="134">
        <v>17</v>
      </c>
      <c r="E261" s="134" t="s">
        <v>1746</v>
      </c>
      <c r="F261" s="134" t="s">
        <v>809</v>
      </c>
      <c r="G261" s="195"/>
      <c r="H261" s="195">
        <v>62.22</v>
      </c>
    </row>
    <row r="262" spans="1:8" s="458" customFormat="1">
      <c r="A262" s="134" t="s">
        <v>808</v>
      </c>
      <c r="B262" s="134">
        <v>2018</v>
      </c>
      <c r="C262" s="134">
        <v>3</v>
      </c>
      <c r="D262" s="134">
        <v>17</v>
      </c>
      <c r="E262" s="134" t="s">
        <v>1746</v>
      </c>
      <c r="F262" s="134" t="s">
        <v>809</v>
      </c>
      <c r="G262" s="195"/>
      <c r="H262" s="195">
        <v>62.22</v>
      </c>
    </row>
    <row r="263" spans="1:8" s="458" customFormat="1">
      <c r="A263" s="134" t="s">
        <v>808</v>
      </c>
      <c r="B263" s="134">
        <v>2018</v>
      </c>
      <c r="C263" s="134">
        <v>3</v>
      </c>
      <c r="D263" s="134">
        <v>17</v>
      </c>
      <c r="E263" s="134" t="s">
        <v>1746</v>
      </c>
      <c r="F263" s="134" t="s">
        <v>809</v>
      </c>
      <c r="G263" s="195"/>
      <c r="H263" s="195">
        <v>86.56</v>
      </c>
    </row>
    <row r="264" spans="1:8" s="458" customFormat="1">
      <c r="A264" s="134" t="s">
        <v>808</v>
      </c>
      <c r="B264" s="134">
        <v>2018</v>
      </c>
      <c r="C264" s="134">
        <v>3</v>
      </c>
      <c r="D264" s="134">
        <v>17</v>
      </c>
      <c r="E264" s="134" t="s">
        <v>1746</v>
      </c>
      <c r="F264" s="134" t="s">
        <v>809</v>
      </c>
      <c r="G264" s="195"/>
      <c r="H264" s="195">
        <v>75.739999999999995</v>
      </c>
    </row>
    <row r="265" spans="1:8" s="458" customFormat="1">
      <c r="A265" s="134" t="s">
        <v>808</v>
      </c>
      <c r="B265" s="134">
        <v>2018</v>
      </c>
      <c r="C265" s="134">
        <v>3</v>
      </c>
      <c r="D265" s="134">
        <v>17</v>
      </c>
      <c r="E265" s="134" t="s">
        <v>1746</v>
      </c>
      <c r="F265" s="134" t="s">
        <v>809</v>
      </c>
      <c r="G265" s="195"/>
      <c r="H265" s="195">
        <v>119.02</v>
      </c>
    </row>
    <row r="266" spans="1:8" s="458" customFormat="1">
      <c r="A266" s="134" t="s">
        <v>808</v>
      </c>
      <c r="B266" s="134">
        <v>2018</v>
      </c>
      <c r="C266" s="134">
        <v>3</v>
      </c>
      <c r="D266" s="134">
        <v>17</v>
      </c>
      <c r="E266" s="134" t="s">
        <v>1746</v>
      </c>
      <c r="F266" s="134" t="s">
        <v>809</v>
      </c>
      <c r="G266" s="195"/>
      <c r="H266" s="195">
        <v>129.84</v>
      </c>
    </row>
    <row r="267" spans="1:8" s="458" customFormat="1">
      <c r="A267" s="134" t="s">
        <v>808</v>
      </c>
      <c r="B267" s="134">
        <v>2018</v>
      </c>
      <c r="C267" s="134">
        <v>3</v>
      </c>
      <c r="D267" s="134">
        <v>17</v>
      </c>
      <c r="E267" s="134" t="s">
        <v>1746</v>
      </c>
      <c r="F267" s="134" t="s">
        <v>809</v>
      </c>
      <c r="G267" s="195"/>
      <c r="H267" s="195">
        <v>100.09</v>
      </c>
    </row>
    <row r="268" spans="1:8" s="458" customFormat="1">
      <c r="A268" s="134" t="s">
        <v>808</v>
      </c>
      <c r="B268" s="134">
        <v>2018</v>
      </c>
      <c r="C268" s="134">
        <v>3</v>
      </c>
      <c r="D268" s="134">
        <v>17</v>
      </c>
      <c r="E268" s="134" t="s">
        <v>1746</v>
      </c>
      <c r="F268" s="134" t="s">
        <v>809</v>
      </c>
      <c r="G268" s="195"/>
      <c r="H268" s="195">
        <v>159.6</v>
      </c>
    </row>
    <row r="269" spans="1:8" s="458" customFormat="1">
      <c r="A269" s="134" t="s">
        <v>808</v>
      </c>
      <c r="B269" s="134">
        <v>2018</v>
      </c>
      <c r="C269" s="134">
        <v>3</v>
      </c>
      <c r="D269" s="134">
        <v>17</v>
      </c>
      <c r="E269" s="134" t="s">
        <v>1746</v>
      </c>
      <c r="F269" s="134" t="s">
        <v>809</v>
      </c>
      <c r="G269" s="195"/>
      <c r="H269" s="195">
        <v>194.76</v>
      </c>
    </row>
    <row r="270" spans="1:8" s="458" customFormat="1">
      <c r="A270" s="134" t="s">
        <v>808</v>
      </c>
      <c r="B270" s="134">
        <v>2018</v>
      </c>
      <c r="C270" s="134">
        <v>3</v>
      </c>
      <c r="D270" s="134">
        <v>17</v>
      </c>
      <c r="E270" s="134" t="s">
        <v>1746</v>
      </c>
      <c r="F270" s="134" t="s">
        <v>809</v>
      </c>
      <c r="G270" s="195"/>
      <c r="H270" s="195">
        <v>194.76</v>
      </c>
    </row>
    <row r="271" spans="1:8" s="458" customFormat="1">
      <c r="A271" s="134" t="s">
        <v>808</v>
      </c>
      <c r="B271" s="134">
        <v>2018</v>
      </c>
      <c r="C271" s="134">
        <v>3</v>
      </c>
      <c r="D271" s="134">
        <v>17</v>
      </c>
      <c r="E271" s="134" t="s">
        <v>1746</v>
      </c>
      <c r="F271" s="134" t="s">
        <v>809</v>
      </c>
      <c r="G271" s="195"/>
      <c r="H271" s="195">
        <v>411.16</v>
      </c>
    </row>
    <row r="272" spans="1:8" s="458" customFormat="1">
      <c r="A272" s="134" t="s">
        <v>808</v>
      </c>
      <c r="B272" s="134">
        <v>2018</v>
      </c>
      <c r="C272" s="134">
        <v>3</v>
      </c>
      <c r="D272" s="134">
        <v>17</v>
      </c>
      <c r="E272" s="134" t="s">
        <v>1746</v>
      </c>
      <c r="F272" s="134" t="s">
        <v>809</v>
      </c>
      <c r="G272" s="195"/>
      <c r="H272" s="195">
        <v>432.8</v>
      </c>
    </row>
    <row r="273" spans="1:8" s="458" customFormat="1">
      <c r="A273" s="134" t="s">
        <v>808</v>
      </c>
      <c r="B273" s="134">
        <v>2018</v>
      </c>
      <c r="C273" s="134">
        <v>3</v>
      </c>
      <c r="D273" s="134">
        <v>17</v>
      </c>
      <c r="E273" s="134" t="s">
        <v>1746</v>
      </c>
      <c r="F273" s="134" t="s">
        <v>809</v>
      </c>
      <c r="G273" s="195"/>
      <c r="H273" s="195">
        <v>432.8</v>
      </c>
    </row>
    <row r="274" spans="1:8" s="458" customFormat="1">
      <c r="A274" s="134" t="s">
        <v>808</v>
      </c>
      <c r="B274" s="134">
        <v>2018</v>
      </c>
      <c r="C274" s="134">
        <v>3</v>
      </c>
      <c r="D274" s="134">
        <v>17</v>
      </c>
      <c r="E274" s="134" t="s">
        <v>1746</v>
      </c>
      <c r="F274" s="134" t="s">
        <v>809</v>
      </c>
      <c r="G274" s="195"/>
      <c r="H274" s="195">
        <v>96.9</v>
      </c>
    </row>
    <row r="275" spans="1:8" s="458" customFormat="1">
      <c r="A275" s="134" t="s">
        <v>808</v>
      </c>
      <c r="B275" s="134">
        <v>2018</v>
      </c>
      <c r="C275" s="134">
        <v>3</v>
      </c>
      <c r="D275" s="134">
        <v>17</v>
      </c>
      <c r="E275" s="134" t="s">
        <v>1746</v>
      </c>
      <c r="F275" s="134" t="s">
        <v>809</v>
      </c>
      <c r="G275" s="195"/>
      <c r="H275" s="195">
        <v>122.4</v>
      </c>
    </row>
    <row r="276" spans="1:8" s="458" customFormat="1">
      <c r="A276" s="134" t="s">
        <v>808</v>
      </c>
      <c r="B276" s="134">
        <v>2018</v>
      </c>
      <c r="C276" s="134">
        <v>3</v>
      </c>
      <c r="D276" s="134">
        <v>17</v>
      </c>
      <c r="E276" s="134" t="s">
        <v>1746</v>
      </c>
      <c r="F276" s="134" t="s">
        <v>809</v>
      </c>
      <c r="G276" s="195"/>
      <c r="H276" s="195">
        <v>122.4</v>
      </c>
    </row>
    <row r="277" spans="1:8" s="458" customFormat="1">
      <c r="A277" s="134" t="s">
        <v>808</v>
      </c>
      <c r="B277" s="134">
        <v>2018</v>
      </c>
      <c r="C277" s="134">
        <v>3</v>
      </c>
      <c r="D277" s="134">
        <v>17</v>
      </c>
      <c r="E277" s="134" t="s">
        <v>1746</v>
      </c>
      <c r="F277" s="134" t="s">
        <v>809</v>
      </c>
      <c r="G277" s="195"/>
      <c r="H277" s="195">
        <v>-122.4</v>
      </c>
    </row>
    <row r="278" spans="1:8" s="458" customFormat="1">
      <c r="A278" s="134" t="s">
        <v>808</v>
      </c>
      <c r="B278" s="134">
        <v>2018</v>
      </c>
      <c r="C278" s="134">
        <v>3</v>
      </c>
      <c r="D278" s="134">
        <v>20</v>
      </c>
      <c r="E278" s="134" t="s">
        <v>1750</v>
      </c>
      <c r="F278" s="134" t="s">
        <v>809</v>
      </c>
      <c r="G278" s="195"/>
      <c r="H278" s="195">
        <v>2.4</v>
      </c>
    </row>
    <row r="279" spans="1:8" s="458" customFormat="1">
      <c r="A279" s="134" t="s">
        <v>808</v>
      </c>
      <c r="B279" s="134">
        <v>2018</v>
      </c>
      <c r="C279" s="134">
        <v>3</v>
      </c>
      <c r="D279" s="134">
        <v>20</v>
      </c>
      <c r="E279" s="134" t="s">
        <v>1750</v>
      </c>
      <c r="F279" s="134" t="s">
        <v>809</v>
      </c>
      <c r="G279" s="195"/>
      <c r="H279" s="195">
        <v>28.92</v>
      </c>
    </row>
    <row r="280" spans="1:8" s="458" customFormat="1">
      <c r="A280" s="134" t="s">
        <v>808</v>
      </c>
      <c r="B280" s="134">
        <v>2018</v>
      </c>
      <c r="C280" s="134">
        <v>3</v>
      </c>
      <c r="D280" s="134">
        <v>20</v>
      </c>
      <c r="E280" s="134" t="s">
        <v>1750</v>
      </c>
      <c r="F280" s="134" t="s">
        <v>809</v>
      </c>
      <c r="G280" s="195"/>
      <c r="H280" s="195">
        <v>40.4</v>
      </c>
    </row>
    <row r="281" spans="1:8" s="458" customFormat="1">
      <c r="A281" s="134" t="s">
        <v>808</v>
      </c>
      <c r="B281" s="134">
        <v>2018</v>
      </c>
      <c r="C281" s="134">
        <v>3</v>
      </c>
      <c r="D281" s="134">
        <v>25</v>
      </c>
      <c r="E281" s="134" t="s">
        <v>1753</v>
      </c>
      <c r="F281" s="134" t="s">
        <v>809</v>
      </c>
      <c r="G281" s="195"/>
      <c r="H281" s="195">
        <v>24.38</v>
      </c>
    </row>
    <row r="282" spans="1:8" s="458" customFormat="1">
      <c r="A282" s="134" t="s">
        <v>808</v>
      </c>
      <c r="B282" s="134">
        <v>2018</v>
      </c>
      <c r="C282" s="134">
        <v>3</v>
      </c>
      <c r="D282" s="134">
        <v>25</v>
      </c>
      <c r="E282" s="134" t="s">
        <v>1753</v>
      </c>
      <c r="F282" s="134" t="s">
        <v>809</v>
      </c>
      <c r="G282" s="195"/>
      <c r="H282" s="195">
        <v>5.48</v>
      </c>
    </row>
    <row r="283" spans="1:8" s="458" customFormat="1">
      <c r="A283" s="134" t="s">
        <v>808</v>
      </c>
      <c r="B283" s="134">
        <v>2018</v>
      </c>
      <c r="C283" s="134">
        <v>3</v>
      </c>
      <c r="D283" s="134">
        <v>25</v>
      </c>
      <c r="E283" s="134" t="s">
        <v>1753</v>
      </c>
      <c r="F283" s="134" t="s">
        <v>809</v>
      </c>
      <c r="G283" s="195"/>
      <c r="H283" s="195">
        <v>5.51</v>
      </c>
    </row>
    <row r="284" spans="1:8" s="458" customFormat="1">
      <c r="A284" s="134" t="s">
        <v>808</v>
      </c>
      <c r="B284" s="134">
        <v>2018</v>
      </c>
      <c r="C284" s="134">
        <v>3</v>
      </c>
      <c r="D284" s="134">
        <v>25</v>
      </c>
      <c r="E284" s="134" t="s">
        <v>1754</v>
      </c>
      <c r="F284" s="134" t="s">
        <v>809</v>
      </c>
      <c r="G284" s="195"/>
      <c r="H284" s="195">
        <v>13.6</v>
      </c>
    </row>
    <row r="285" spans="1:8" s="458" customFormat="1">
      <c r="A285" s="134" t="s">
        <v>808</v>
      </c>
      <c r="B285" s="134">
        <v>2018</v>
      </c>
      <c r="C285" s="134">
        <v>3</v>
      </c>
      <c r="D285" s="134">
        <v>28</v>
      </c>
      <c r="E285" s="134" t="s">
        <v>1756</v>
      </c>
      <c r="F285" s="134" t="s">
        <v>809</v>
      </c>
      <c r="G285" s="195"/>
      <c r="H285" s="195">
        <v>9.7200000000000006</v>
      </c>
    </row>
    <row r="286" spans="1:8" s="458" customFormat="1">
      <c r="A286" s="134" t="s">
        <v>808</v>
      </c>
      <c r="B286" s="134">
        <v>2018</v>
      </c>
      <c r="C286" s="134">
        <v>3</v>
      </c>
      <c r="D286" s="134">
        <v>25</v>
      </c>
      <c r="E286" s="134" t="s">
        <v>1760</v>
      </c>
      <c r="F286" s="134" t="s">
        <v>809</v>
      </c>
      <c r="G286" s="195"/>
      <c r="H286" s="195">
        <v>48.91</v>
      </c>
    </row>
    <row r="287" spans="1:8" s="458" customFormat="1">
      <c r="A287" s="134" t="s">
        <v>808</v>
      </c>
      <c r="B287" s="134">
        <v>2018</v>
      </c>
      <c r="C287" s="134">
        <v>3</v>
      </c>
      <c r="D287" s="134">
        <v>25</v>
      </c>
      <c r="E287" s="134" t="s">
        <v>1760</v>
      </c>
      <c r="F287" s="134" t="s">
        <v>809</v>
      </c>
      <c r="G287" s="195"/>
      <c r="H287" s="195"/>
    </row>
    <row r="288" spans="1:8" s="458" customFormat="1">
      <c r="A288" s="134" t="s">
        <v>808</v>
      </c>
      <c r="B288" s="134">
        <v>2018</v>
      </c>
      <c r="C288" s="134">
        <v>3</v>
      </c>
      <c r="D288" s="134">
        <v>25</v>
      </c>
      <c r="E288" s="134" t="s">
        <v>1760</v>
      </c>
      <c r="F288" s="134" t="s">
        <v>809</v>
      </c>
      <c r="G288" s="195"/>
      <c r="H288" s="195">
        <v>48.91</v>
      </c>
    </row>
    <row r="289" spans="1:8" s="458" customFormat="1">
      <c r="A289" s="134" t="s">
        <v>808</v>
      </c>
      <c r="B289" s="134">
        <v>2018</v>
      </c>
      <c r="C289" s="134">
        <v>3</v>
      </c>
      <c r="D289" s="134">
        <v>25</v>
      </c>
      <c r="E289" s="134" t="s">
        <v>1760</v>
      </c>
      <c r="F289" s="134" t="s">
        <v>809</v>
      </c>
      <c r="G289" s="195"/>
      <c r="H289" s="195"/>
    </row>
    <row r="290" spans="1:8" s="458" customFormat="1">
      <c r="A290" s="134" t="s">
        <v>808</v>
      </c>
      <c r="B290" s="134">
        <v>2018</v>
      </c>
      <c r="C290" s="134">
        <v>3</v>
      </c>
      <c r="D290" s="134">
        <v>25</v>
      </c>
      <c r="E290" s="134" t="s">
        <v>1760</v>
      </c>
      <c r="F290" s="134" t="s">
        <v>809</v>
      </c>
      <c r="G290" s="195"/>
      <c r="H290" s="195"/>
    </row>
    <row r="291" spans="1:8" s="458" customFormat="1">
      <c r="A291" s="134" t="s">
        <v>808</v>
      </c>
      <c r="B291" s="134">
        <v>2018</v>
      </c>
      <c r="C291" s="134">
        <v>3</v>
      </c>
      <c r="D291" s="134">
        <v>25</v>
      </c>
      <c r="E291" s="134" t="s">
        <v>1760</v>
      </c>
      <c r="F291" s="134" t="s">
        <v>809</v>
      </c>
      <c r="G291" s="195"/>
      <c r="H291" s="195">
        <v>48.91</v>
      </c>
    </row>
    <row r="292" spans="1:8" s="458" customFormat="1">
      <c r="A292" s="134" t="s">
        <v>808</v>
      </c>
      <c r="B292" s="134">
        <v>2018</v>
      </c>
      <c r="C292" s="134">
        <v>3</v>
      </c>
      <c r="D292" s="134">
        <v>28</v>
      </c>
      <c r="E292" s="134" t="s">
        <v>1770</v>
      </c>
      <c r="F292" s="134" t="s">
        <v>809</v>
      </c>
      <c r="G292" s="195"/>
      <c r="H292" s="195">
        <v>2607.6</v>
      </c>
    </row>
    <row r="293" spans="1:8" s="458" customFormat="1">
      <c r="A293" s="134" t="s">
        <v>808</v>
      </c>
      <c r="B293" s="134">
        <v>2018</v>
      </c>
      <c r="C293" s="134">
        <v>3</v>
      </c>
      <c r="D293" s="134">
        <v>29</v>
      </c>
      <c r="E293" s="134" t="s">
        <v>1782</v>
      </c>
      <c r="F293" s="134" t="s">
        <v>809</v>
      </c>
      <c r="G293" s="195"/>
      <c r="H293" s="195"/>
    </row>
    <row r="294" spans="1:8" s="458" customFormat="1">
      <c r="A294" s="134" t="s">
        <v>808</v>
      </c>
      <c r="B294" s="134">
        <v>2018</v>
      </c>
      <c r="C294" s="134">
        <v>3</v>
      </c>
      <c r="D294" s="134">
        <v>29</v>
      </c>
      <c r="E294" s="134" t="s">
        <v>1782</v>
      </c>
      <c r="F294" s="134" t="s">
        <v>809</v>
      </c>
      <c r="G294" s="195"/>
      <c r="H294" s="195">
        <v>600</v>
      </c>
    </row>
    <row r="295" spans="1:8" s="458" customFormat="1">
      <c r="A295" s="134" t="s">
        <v>808</v>
      </c>
      <c r="B295" s="134">
        <v>2018</v>
      </c>
      <c r="C295" s="134">
        <v>3</v>
      </c>
      <c r="D295" s="134">
        <v>29</v>
      </c>
      <c r="E295" s="134" t="s">
        <v>1782</v>
      </c>
      <c r="F295" s="134" t="s">
        <v>809</v>
      </c>
      <c r="G295" s="195"/>
      <c r="H295" s="195"/>
    </row>
    <row r="296" spans="1:8" s="458" customFormat="1">
      <c r="A296" s="134" t="s">
        <v>808</v>
      </c>
      <c r="B296" s="134">
        <v>2018</v>
      </c>
      <c r="C296" s="134">
        <v>3</v>
      </c>
      <c r="D296" s="134">
        <v>29</v>
      </c>
      <c r="E296" s="134" t="s">
        <v>1782</v>
      </c>
      <c r="F296" s="134" t="s">
        <v>809</v>
      </c>
      <c r="G296" s="195"/>
      <c r="H296" s="195">
        <v>600</v>
      </c>
    </row>
    <row r="297" spans="1:8" s="458" customFormat="1">
      <c r="A297" s="134" t="s">
        <v>808</v>
      </c>
      <c r="B297" s="134">
        <v>2018</v>
      </c>
      <c r="C297" s="134">
        <v>3</v>
      </c>
      <c r="D297" s="134">
        <v>29</v>
      </c>
      <c r="E297" s="134" t="s">
        <v>1782</v>
      </c>
      <c r="F297" s="134" t="s">
        <v>809</v>
      </c>
      <c r="G297" s="195"/>
      <c r="H297" s="195"/>
    </row>
    <row r="298" spans="1:8" s="458" customFormat="1">
      <c r="A298" s="134" t="s">
        <v>808</v>
      </c>
      <c r="B298" s="134">
        <v>2018</v>
      </c>
      <c r="C298" s="134">
        <v>3</v>
      </c>
      <c r="D298" s="134">
        <v>29</v>
      </c>
      <c r="E298" s="134" t="s">
        <v>1782</v>
      </c>
      <c r="F298" s="134" t="s">
        <v>809</v>
      </c>
      <c r="G298" s="195"/>
      <c r="H298" s="195">
        <v>600</v>
      </c>
    </row>
    <row r="299" spans="1:8" s="458" customFormat="1">
      <c r="A299" s="134" t="s">
        <v>808</v>
      </c>
      <c r="B299" s="134">
        <v>2018</v>
      </c>
      <c r="C299" s="134">
        <v>3</v>
      </c>
      <c r="D299" s="134">
        <v>29</v>
      </c>
      <c r="E299" s="134" t="s">
        <v>1785</v>
      </c>
      <c r="F299" s="134" t="s">
        <v>809</v>
      </c>
      <c r="G299" s="195"/>
      <c r="H299" s="195">
        <v>700</v>
      </c>
    </row>
    <row r="300" spans="1:8" s="458" customFormat="1">
      <c r="A300" s="134" t="s">
        <v>808</v>
      </c>
      <c r="B300" s="134">
        <v>2018</v>
      </c>
      <c r="C300" s="134">
        <v>3</v>
      </c>
      <c r="D300" s="134">
        <v>29</v>
      </c>
      <c r="E300" s="134" t="s">
        <v>1785</v>
      </c>
      <c r="F300" s="134" t="s">
        <v>809</v>
      </c>
      <c r="G300" s="195"/>
      <c r="H300" s="195">
        <v>700</v>
      </c>
    </row>
    <row r="301" spans="1:8" s="458" customFormat="1">
      <c r="A301" s="134" t="s">
        <v>808</v>
      </c>
      <c r="B301" s="134">
        <v>2018</v>
      </c>
      <c r="C301" s="134">
        <v>3</v>
      </c>
      <c r="D301" s="134">
        <v>29</v>
      </c>
      <c r="E301" s="134" t="s">
        <v>1785</v>
      </c>
      <c r="F301" s="134" t="s">
        <v>809</v>
      </c>
      <c r="G301" s="195"/>
      <c r="H301" s="195">
        <v>700</v>
      </c>
    </row>
    <row r="302" spans="1:8" s="458" customFormat="1">
      <c r="A302" s="134" t="s">
        <v>808</v>
      </c>
      <c r="B302" s="134">
        <v>2018</v>
      </c>
      <c r="C302" s="134">
        <v>3</v>
      </c>
      <c r="D302" s="134">
        <v>29</v>
      </c>
      <c r="E302" s="134" t="s">
        <v>1785</v>
      </c>
      <c r="F302" s="134" t="s">
        <v>809</v>
      </c>
      <c r="G302" s="195"/>
      <c r="H302" s="195">
        <v>700</v>
      </c>
    </row>
    <row r="303" spans="1:8" s="458" customFormat="1">
      <c r="A303" s="134" t="s">
        <v>808</v>
      </c>
      <c r="B303" s="134">
        <v>2018</v>
      </c>
      <c r="C303" s="134">
        <v>3</v>
      </c>
      <c r="D303" s="134">
        <v>29</v>
      </c>
      <c r="E303" s="134" t="s">
        <v>1785</v>
      </c>
      <c r="F303" s="134" t="s">
        <v>809</v>
      </c>
      <c r="G303" s="195"/>
      <c r="H303" s="195">
        <v>700</v>
      </c>
    </row>
    <row r="304" spans="1:8" s="458" customFormat="1">
      <c r="A304" s="134" t="s">
        <v>808</v>
      </c>
      <c r="B304" s="134">
        <v>2018</v>
      </c>
      <c r="C304" s="134">
        <v>3</v>
      </c>
      <c r="D304" s="134">
        <v>40</v>
      </c>
      <c r="E304" s="134" t="s">
        <v>1791</v>
      </c>
      <c r="F304" s="134" t="s">
        <v>809</v>
      </c>
      <c r="G304" s="195"/>
      <c r="H304" s="195">
        <v>-110.05</v>
      </c>
    </row>
    <row r="305" spans="1:8" s="458" customFormat="1">
      <c r="A305" s="134" t="s">
        <v>808</v>
      </c>
      <c r="B305" s="134">
        <v>2018</v>
      </c>
      <c r="C305" s="134">
        <v>3</v>
      </c>
      <c r="D305" s="134">
        <v>40</v>
      </c>
      <c r="E305" s="134" t="s">
        <v>1791</v>
      </c>
      <c r="F305" s="134" t="s">
        <v>809</v>
      </c>
      <c r="G305" s="195"/>
      <c r="H305" s="195">
        <v>220.1</v>
      </c>
    </row>
    <row r="306" spans="1:8" s="458" customFormat="1">
      <c r="A306" s="134" t="s">
        <v>808</v>
      </c>
      <c r="B306" s="134">
        <v>2018</v>
      </c>
      <c r="C306" s="134">
        <v>3</v>
      </c>
      <c r="D306" s="134">
        <v>40</v>
      </c>
      <c r="E306" s="134" t="s">
        <v>1791</v>
      </c>
      <c r="F306" s="134" t="s">
        <v>809</v>
      </c>
      <c r="G306" s="195"/>
      <c r="H306" s="195">
        <v>-112.57</v>
      </c>
    </row>
    <row r="307" spans="1:8" s="458" customFormat="1">
      <c r="A307" s="134" t="s">
        <v>808</v>
      </c>
      <c r="B307" s="134">
        <v>2018</v>
      </c>
      <c r="C307" s="134">
        <v>3</v>
      </c>
      <c r="D307" s="134">
        <v>40</v>
      </c>
      <c r="E307" s="134" t="s">
        <v>1791</v>
      </c>
      <c r="F307" s="134" t="s">
        <v>809</v>
      </c>
      <c r="G307" s="195"/>
      <c r="H307" s="195">
        <v>225.15</v>
      </c>
    </row>
    <row r="308" spans="1:8" s="458" customFormat="1">
      <c r="A308" s="134" t="s">
        <v>808</v>
      </c>
      <c r="B308" s="134">
        <v>2018</v>
      </c>
      <c r="C308" s="134">
        <v>3</v>
      </c>
      <c r="D308" s="134">
        <v>40</v>
      </c>
      <c r="E308" s="134" t="s">
        <v>1791</v>
      </c>
      <c r="F308" s="134" t="s">
        <v>809</v>
      </c>
      <c r="G308" s="195"/>
      <c r="H308" s="195">
        <v>-260.35000000000002</v>
      </c>
    </row>
    <row r="309" spans="1:8" s="458" customFormat="1">
      <c r="A309" s="134" t="s">
        <v>808</v>
      </c>
      <c r="B309" s="134">
        <v>2018</v>
      </c>
      <c r="C309" s="134">
        <v>3</v>
      </c>
      <c r="D309" s="134">
        <v>40</v>
      </c>
      <c r="E309" s="134" t="s">
        <v>1791</v>
      </c>
      <c r="F309" s="134" t="s">
        <v>809</v>
      </c>
      <c r="G309" s="195"/>
      <c r="H309" s="195">
        <v>520.71</v>
      </c>
    </row>
    <row r="310" spans="1:8" s="458" customFormat="1">
      <c r="A310" s="134" t="s">
        <v>808</v>
      </c>
      <c r="B310" s="134">
        <v>2018</v>
      </c>
      <c r="C310" s="134">
        <v>3</v>
      </c>
      <c r="D310" s="134">
        <v>41</v>
      </c>
      <c r="E310" s="134" t="s">
        <v>1792</v>
      </c>
      <c r="F310" s="134" t="s">
        <v>809</v>
      </c>
      <c r="G310" s="195"/>
      <c r="H310" s="195">
        <v>17.850000000000001</v>
      </c>
    </row>
    <row r="311" spans="1:8" s="458" customFormat="1">
      <c r="A311" s="134" t="s">
        <v>808</v>
      </c>
      <c r="B311" s="134">
        <v>2018</v>
      </c>
      <c r="C311" s="134">
        <v>3</v>
      </c>
      <c r="D311" s="134">
        <v>41</v>
      </c>
      <c r="E311" s="134" t="s">
        <v>1792</v>
      </c>
      <c r="F311" s="134" t="s">
        <v>809</v>
      </c>
      <c r="G311" s="195"/>
      <c r="H311" s="195">
        <v>18.260000000000002</v>
      </c>
    </row>
    <row r="312" spans="1:8" s="458" customFormat="1">
      <c r="A312" s="134" t="s">
        <v>808</v>
      </c>
      <c r="B312" s="134">
        <v>2018</v>
      </c>
      <c r="C312" s="134">
        <v>3</v>
      </c>
      <c r="D312" s="134">
        <v>41</v>
      </c>
      <c r="E312" s="134" t="s">
        <v>1792</v>
      </c>
      <c r="F312" s="134" t="s">
        <v>809</v>
      </c>
      <c r="G312" s="195"/>
      <c r="H312" s="195">
        <v>42.22</v>
      </c>
    </row>
    <row r="313" spans="1:8" s="458" customFormat="1">
      <c r="A313" s="134" t="s">
        <v>808</v>
      </c>
      <c r="B313" s="134">
        <v>2018</v>
      </c>
      <c r="C313" s="134">
        <v>3</v>
      </c>
      <c r="D313" s="134">
        <v>38</v>
      </c>
      <c r="E313" s="134" t="s">
        <v>1793</v>
      </c>
      <c r="F313" s="134" t="s">
        <v>809</v>
      </c>
      <c r="G313" s="195"/>
      <c r="H313" s="195">
        <v>110.05</v>
      </c>
    </row>
    <row r="314" spans="1:8" s="458" customFormat="1">
      <c r="A314" s="134" t="s">
        <v>808</v>
      </c>
      <c r="B314" s="134">
        <v>2018</v>
      </c>
      <c r="C314" s="134">
        <v>3</v>
      </c>
      <c r="D314" s="134">
        <v>38</v>
      </c>
      <c r="E314" s="134" t="s">
        <v>1793</v>
      </c>
      <c r="F314" s="134" t="s">
        <v>809</v>
      </c>
      <c r="G314" s="195"/>
      <c r="H314" s="195">
        <v>112.57</v>
      </c>
    </row>
    <row r="315" spans="1:8" s="458" customFormat="1">
      <c r="A315" s="134" t="s">
        <v>808</v>
      </c>
      <c r="B315" s="134">
        <v>2018</v>
      </c>
      <c r="C315" s="134">
        <v>3</v>
      </c>
      <c r="D315" s="134">
        <v>38</v>
      </c>
      <c r="E315" s="134" t="s">
        <v>1793</v>
      </c>
      <c r="F315" s="134" t="s">
        <v>809</v>
      </c>
      <c r="G315" s="195"/>
      <c r="H315" s="195">
        <v>260.35000000000002</v>
      </c>
    </row>
    <row r="316" spans="1:8" s="458" customFormat="1">
      <c r="A316" s="134" t="s">
        <v>808</v>
      </c>
      <c r="B316" s="134">
        <v>2018</v>
      </c>
      <c r="C316" s="134">
        <v>4</v>
      </c>
      <c r="D316" s="134">
        <v>17</v>
      </c>
      <c r="E316" s="134" t="s">
        <v>1746</v>
      </c>
      <c r="F316" s="134" t="s">
        <v>809</v>
      </c>
      <c r="G316" s="195"/>
      <c r="H316" s="195">
        <v>324.60000000000002</v>
      </c>
    </row>
    <row r="317" spans="1:8" s="458" customFormat="1">
      <c r="A317" s="134" t="s">
        <v>808</v>
      </c>
      <c r="B317" s="134">
        <v>2018</v>
      </c>
      <c r="C317" s="134">
        <v>4</v>
      </c>
      <c r="D317" s="134">
        <v>17</v>
      </c>
      <c r="E317" s="134" t="s">
        <v>1746</v>
      </c>
      <c r="F317" s="134" t="s">
        <v>809</v>
      </c>
      <c r="G317" s="195"/>
      <c r="H317" s="195">
        <v>324.60000000000002</v>
      </c>
    </row>
    <row r="318" spans="1:8" s="458" customFormat="1">
      <c r="A318" s="134" t="s">
        <v>808</v>
      </c>
      <c r="B318" s="134">
        <v>2018</v>
      </c>
      <c r="C318" s="134">
        <v>4</v>
      </c>
      <c r="D318" s="134">
        <v>17</v>
      </c>
      <c r="E318" s="134" t="s">
        <v>1746</v>
      </c>
      <c r="F318" s="134" t="s">
        <v>809</v>
      </c>
      <c r="G318" s="195"/>
      <c r="H318" s="195">
        <v>324.60000000000002</v>
      </c>
    </row>
    <row r="319" spans="1:8" s="458" customFormat="1">
      <c r="A319" s="134" t="s">
        <v>808</v>
      </c>
      <c r="B319" s="134">
        <v>2018</v>
      </c>
      <c r="C319" s="134">
        <v>4</v>
      </c>
      <c r="D319" s="134">
        <v>17</v>
      </c>
      <c r="E319" s="134" t="s">
        <v>1746</v>
      </c>
      <c r="F319" s="134" t="s">
        <v>809</v>
      </c>
      <c r="G319" s="195"/>
      <c r="H319" s="195">
        <v>324.60000000000002</v>
      </c>
    </row>
    <row r="320" spans="1:8" s="458" customFormat="1">
      <c r="A320" s="134" t="s">
        <v>808</v>
      </c>
      <c r="B320" s="134">
        <v>2018</v>
      </c>
      <c r="C320" s="134">
        <v>4</v>
      </c>
      <c r="D320" s="134">
        <v>17</v>
      </c>
      <c r="E320" s="134" t="s">
        <v>1746</v>
      </c>
      <c r="F320" s="134" t="s">
        <v>809</v>
      </c>
      <c r="G320" s="195"/>
      <c r="H320" s="195">
        <v>324.60000000000002</v>
      </c>
    </row>
    <row r="321" spans="1:8" s="458" customFormat="1">
      <c r="A321" s="134" t="s">
        <v>808</v>
      </c>
      <c r="B321" s="134">
        <v>2018</v>
      </c>
      <c r="C321" s="134">
        <v>4</v>
      </c>
      <c r="D321" s="134">
        <v>17</v>
      </c>
      <c r="E321" s="134" t="s">
        <v>1746</v>
      </c>
      <c r="F321" s="134" t="s">
        <v>809</v>
      </c>
      <c r="G321" s="195"/>
      <c r="H321" s="195">
        <v>183.6</v>
      </c>
    </row>
    <row r="322" spans="1:8" s="458" customFormat="1">
      <c r="A322" s="134" t="s">
        <v>808</v>
      </c>
      <c r="B322" s="134">
        <v>2018</v>
      </c>
      <c r="C322" s="134">
        <v>4</v>
      </c>
      <c r="D322" s="134">
        <v>17</v>
      </c>
      <c r="E322" s="134" t="s">
        <v>1746</v>
      </c>
      <c r="F322" s="134" t="s">
        <v>809</v>
      </c>
      <c r="G322" s="195"/>
      <c r="H322" s="195">
        <v>122.4</v>
      </c>
    </row>
    <row r="323" spans="1:8" s="458" customFormat="1">
      <c r="A323" s="134" t="s">
        <v>808</v>
      </c>
      <c r="B323" s="134">
        <v>2018</v>
      </c>
      <c r="C323" s="134">
        <v>4</v>
      </c>
      <c r="D323" s="134">
        <v>17</v>
      </c>
      <c r="E323" s="134" t="s">
        <v>1746</v>
      </c>
      <c r="F323" s="134" t="s">
        <v>809</v>
      </c>
      <c r="G323" s="195"/>
      <c r="H323" s="195">
        <v>153</v>
      </c>
    </row>
    <row r="324" spans="1:8" s="458" customFormat="1">
      <c r="A324" s="134" t="s">
        <v>808</v>
      </c>
      <c r="B324" s="134">
        <v>2018</v>
      </c>
      <c r="C324" s="134">
        <v>4</v>
      </c>
      <c r="D324" s="134">
        <v>17</v>
      </c>
      <c r="E324" s="134" t="s">
        <v>1746</v>
      </c>
      <c r="F324" s="134" t="s">
        <v>809</v>
      </c>
      <c r="G324" s="195"/>
      <c r="H324" s="195">
        <v>147.9</v>
      </c>
    </row>
    <row r="325" spans="1:8" s="458" customFormat="1">
      <c r="A325" s="134" t="s">
        <v>808</v>
      </c>
      <c r="B325" s="134">
        <v>2018</v>
      </c>
      <c r="C325" s="134">
        <v>4</v>
      </c>
      <c r="D325" s="134">
        <v>17</v>
      </c>
      <c r="E325" s="134" t="s">
        <v>1746</v>
      </c>
      <c r="F325" s="134" t="s">
        <v>809</v>
      </c>
      <c r="G325" s="195"/>
      <c r="H325" s="195">
        <v>216.4</v>
      </c>
    </row>
    <row r="326" spans="1:8" s="458" customFormat="1">
      <c r="A326" s="134" t="s">
        <v>808</v>
      </c>
      <c r="B326" s="134">
        <v>2018</v>
      </c>
      <c r="C326" s="134">
        <v>4</v>
      </c>
      <c r="D326" s="134">
        <v>17</v>
      </c>
      <c r="E326" s="134" t="s">
        <v>1746</v>
      </c>
      <c r="F326" s="134" t="s">
        <v>809</v>
      </c>
      <c r="G326" s="195"/>
      <c r="H326" s="195">
        <v>83.86</v>
      </c>
    </row>
    <row r="327" spans="1:8" s="458" customFormat="1">
      <c r="A327" s="134" t="s">
        <v>808</v>
      </c>
      <c r="B327" s="134">
        <v>2018</v>
      </c>
      <c r="C327" s="134">
        <v>4</v>
      </c>
      <c r="D327" s="134">
        <v>17</v>
      </c>
      <c r="E327" s="134" t="s">
        <v>1746</v>
      </c>
      <c r="F327" s="134" t="s">
        <v>809</v>
      </c>
      <c r="G327" s="195"/>
      <c r="H327" s="195">
        <v>108.2</v>
      </c>
    </row>
    <row r="328" spans="1:8" s="458" customFormat="1">
      <c r="A328" s="134" t="s">
        <v>808</v>
      </c>
      <c r="B328" s="134">
        <v>2018</v>
      </c>
      <c r="C328" s="134">
        <v>4</v>
      </c>
      <c r="D328" s="134">
        <v>17</v>
      </c>
      <c r="E328" s="134" t="s">
        <v>1746</v>
      </c>
      <c r="F328" s="134" t="s">
        <v>809</v>
      </c>
      <c r="G328" s="195"/>
      <c r="H328" s="195">
        <v>110.91</v>
      </c>
    </row>
    <row r="329" spans="1:8" s="458" customFormat="1">
      <c r="A329" s="134" t="s">
        <v>808</v>
      </c>
      <c r="B329" s="134">
        <v>2018</v>
      </c>
      <c r="C329" s="134">
        <v>4</v>
      </c>
      <c r="D329" s="134">
        <v>17</v>
      </c>
      <c r="E329" s="134" t="s">
        <v>1746</v>
      </c>
      <c r="F329" s="134" t="s">
        <v>809</v>
      </c>
      <c r="G329" s="195"/>
      <c r="H329" s="195">
        <v>43.28</v>
      </c>
    </row>
    <row r="330" spans="1:8" s="458" customFormat="1">
      <c r="A330" s="134" t="s">
        <v>808</v>
      </c>
      <c r="B330" s="134">
        <v>2018</v>
      </c>
      <c r="C330" s="134">
        <v>4</v>
      </c>
      <c r="D330" s="134">
        <v>17</v>
      </c>
      <c r="E330" s="134" t="s">
        <v>1746</v>
      </c>
      <c r="F330" s="134" t="s">
        <v>809</v>
      </c>
      <c r="G330" s="195"/>
      <c r="H330" s="195">
        <v>43.28</v>
      </c>
    </row>
    <row r="331" spans="1:8" s="458" customFormat="1">
      <c r="A331" s="134" t="s">
        <v>808</v>
      </c>
      <c r="B331" s="134">
        <v>2018</v>
      </c>
      <c r="C331" s="134">
        <v>4</v>
      </c>
      <c r="D331" s="134">
        <v>17</v>
      </c>
      <c r="E331" s="134" t="s">
        <v>1746</v>
      </c>
      <c r="F331" s="134" t="s">
        <v>809</v>
      </c>
      <c r="G331" s="195"/>
      <c r="H331" s="195">
        <v>75.739999999999995</v>
      </c>
    </row>
    <row r="332" spans="1:8" s="458" customFormat="1">
      <c r="A332" s="134" t="s">
        <v>808</v>
      </c>
      <c r="B332" s="134">
        <v>2018</v>
      </c>
      <c r="C332" s="134">
        <v>4</v>
      </c>
      <c r="D332" s="134">
        <v>17</v>
      </c>
      <c r="E332" s="134" t="s">
        <v>1746</v>
      </c>
      <c r="F332" s="134" t="s">
        <v>809</v>
      </c>
      <c r="G332" s="195"/>
      <c r="H332" s="195">
        <v>32.46</v>
      </c>
    </row>
    <row r="333" spans="1:8" s="458" customFormat="1">
      <c r="A333" s="134" t="s">
        <v>808</v>
      </c>
      <c r="B333" s="134">
        <v>2018</v>
      </c>
      <c r="C333" s="134">
        <v>4</v>
      </c>
      <c r="D333" s="134">
        <v>17</v>
      </c>
      <c r="E333" s="134" t="s">
        <v>1746</v>
      </c>
      <c r="F333" s="134" t="s">
        <v>809</v>
      </c>
      <c r="G333" s="195"/>
      <c r="H333" s="195">
        <v>205.58</v>
      </c>
    </row>
    <row r="334" spans="1:8" s="458" customFormat="1">
      <c r="A334" s="134" t="s">
        <v>808</v>
      </c>
      <c r="B334" s="134">
        <v>2018</v>
      </c>
      <c r="C334" s="134">
        <v>4</v>
      </c>
      <c r="D334" s="134">
        <v>17</v>
      </c>
      <c r="E334" s="134" t="s">
        <v>1746</v>
      </c>
      <c r="F334" s="134" t="s">
        <v>809</v>
      </c>
      <c r="G334" s="195"/>
      <c r="H334" s="195">
        <v>324.60000000000002</v>
      </c>
    </row>
    <row r="335" spans="1:8" s="458" customFormat="1">
      <c r="A335" s="134" t="s">
        <v>808</v>
      </c>
      <c r="B335" s="134">
        <v>2018</v>
      </c>
      <c r="C335" s="134">
        <v>4</v>
      </c>
      <c r="D335" s="134">
        <v>17</v>
      </c>
      <c r="E335" s="134" t="s">
        <v>1746</v>
      </c>
      <c r="F335" s="134" t="s">
        <v>809</v>
      </c>
      <c r="G335" s="195"/>
      <c r="H335" s="195">
        <v>121.73</v>
      </c>
    </row>
    <row r="336" spans="1:8" s="458" customFormat="1">
      <c r="A336" s="134" t="s">
        <v>808</v>
      </c>
      <c r="B336" s="134">
        <v>2018</v>
      </c>
      <c r="C336" s="134">
        <v>4</v>
      </c>
      <c r="D336" s="134">
        <v>17</v>
      </c>
      <c r="E336" s="134" t="s">
        <v>1746</v>
      </c>
      <c r="F336" s="134" t="s">
        <v>809</v>
      </c>
      <c r="G336" s="195"/>
      <c r="H336" s="195">
        <v>392.23</v>
      </c>
    </row>
    <row r="337" spans="1:8" s="458" customFormat="1">
      <c r="A337" s="134" t="s">
        <v>808</v>
      </c>
      <c r="B337" s="134">
        <v>2018</v>
      </c>
      <c r="C337" s="134">
        <v>4</v>
      </c>
      <c r="D337" s="134">
        <v>17</v>
      </c>
      <c r="E337" s="134" t="s">
        <v>1746</v>
      </c>
      <c r="F337" s="134" t="s">
        <v>809</v>
      </c>
      <c r="G337" s="195"/>
      <c r="H337" s="195">
        <v>278.62</v>
      </c>
    </row>
    <row r="338" spans="1:8" s="458" customFormat="1">
      <c r="A338" s="134" t="s">
        <v>808</v>
      </c>
      <c r="B338" s="134">
        <v>2018</v>
      </c>
      <c r="C338" s="134">
        <v>4</v>
      </c>
      <c r="D338" s="134">
        <v>17</v>
      </c>
      <c r="E338" s="134" t="s">
        <v>1746</v>
      </c>
      <c r="F338" s="134" t="s">
        <v>809</v>
      </c>
      <c r="G338" s="195"/>
      <c r="H338" s="195">
        <v>419.28</v>
      </c>
    </row>
    <row r="339" spans="1:8" s="458" customFormat="1">
      <c r="A339" s="134" t="s">
        <v>808</v>
      </c>
      <c r="B339" s="134">
        <v>2018</v>
      </c>
      <c r="C339" s="134">
        <v>4</v>
      </c>
      <c r="D339" s="134">
        <v>17</v>
      </c>
      <c r="E339" s="134" t="s">
        <v>1746</v>
      </c>
      <c r="F339" s="134" t="s">
        <v>809</v>
      </c>
      <c r="G339" s="195"/>
      <c r="H339" s="195">
        <v>500.43</v>
      </c>
    </row>
    <row r="340" spans="1:8" s="458" customFormat="1">
      <c r="A340" s="134" t="s">
        <v>808</v>
      </c>
      <c r="B340" s="134">
        <v>2018</v>
      </c>
      <c r="C340" s="134">
        <v>4</v>
      </c>
      <c r="D340" s="134">
        <v>17</v>
      </c>
      <c r="E340" s="134" t="s">
        <v>1746</v>
      </c>
      <c r="F340" s="134" t="s">
        <v>809</v>
      </c>
      <c r="G340" s="195"/>
      <c r="H340" s="195">
        <v>173.12</v>
      </c>
    </row>
    <row r="341" spans="1:8" s="458" customFormat="1">
      <c r="A341" s="134" t="s">
        <v>808</v>
      </c>
      <c r="B341" s="134">
        <v>2018</v>
      </c>
      <c r="C341" s="134">
        <v>4</v>
      </c>
      <c r="D341" s="134">
        <v>17</v>
      </c>
      <c r="E341" s="134" t="s">
        <v>1746</v>
      </c>
      <c r="F341" s="134" t="s">
        <v>809</v>
      </c>
      <c r="G341" s="195"/>
      <c r="H341" s="195">
        <v>129.84</v>
      </c>
    </row>
    <row r="342" spans="1:8" s="458" customFormat="1">
      <c r="A342" s="134" t="s">
        <v>808</v>
      </c>
      <c r="B342" s="134">
        <v>2018</v>
      </c>
      <c r="C342" s="134">
        <v>4</v>
      </c>
      <c r="D342" s="134">
        <v>17</v>
      </c>
      <c r="E342" s="134" t="s">
        <v>1746</v>
      </c>
      <c r="F342" s="134" t="s">
        <v>809</v>
      </c>
      <c r="G342" s="195"/>
      <c r="H342" s="195">
        <v>146.07</v>
      </c>
    </row>
    <row r="343" spans="1:8" s="458" customFormat="1">
      <c r="A343" s="134" t="s">
        <v>808</v>
      </c>
      <c r="B343" s="134">
        <v>2018</v>
      </c>
      <c r="C343" s="134">
        <v>4</v>
      </c>
      <c r="D343" s="134">
        <v>17</v>
      </c>
      <c r="E343" s="134" t="s">
        <v>1746</v>
      </c>
      <c r="F343" s="134" t="s">
        <v>809</v>
      </c>
      <c r="G343" s="195"/>
      <c r="H343" s="195">
        <v>43.28</v>
      </c>
    </row>
    <row r="344" spans="1:8" s="458" customFormat="1">
      <c r="A344" s="134" t="s">
        <v>808</v>
      </c>
      <c r="B344" s="134">
        <v>2018</v>
      </c>
      <c r="C344" s="134">
        <v>4</v>
      </c>
      <c r="D344" s="134">
        <v>17</v>
      </c>
      <c r="E344" s="134" t="s">
        <v>1746</v>
      </c>
      <c r="F344" s="134" t="s">
        <v>809</v>
      </c>
      <c r="G344" s="195"/>
      <c r="H344" s="195">
        <v>8.1199999999999992</v>
      </c>
    </row>
    <row r="345" spans="1:8" s="458" customFormat="1">
      <c r="A345" s="134" t="s">
        <v>808</v>
      </c>
      <c r="B345" s="134">
        <v>2018</v>
      </c>
      <c r="C345" s="134">
        <v>4</v>
      </c>
      <c r="D345" s="134">
        <v>17</v>
      </c>
      <c r="E345" s="134" t="s">
        <v>1746</v>
      </c>
      <c r="F345" s="134" t="s">
        <v>809</v>
      </c>
      <c r="G345" s="195"/>
      <c r="H345" s="195">
        <v>16.23</v>
      </c>
    </row>
    <row r="346" spans="1:8" s="458" customFormat="1">
      <c r="A346" s="134" t="s">
        <v>808</v>
      </c>
      <c r="B346" s="134">
        <v>2018</v>
      </c>
      <c r="C346" s="134">
        <v>4</v>
      </c>
      <c r="D346" s="134">
        <v>17</v>
      </c>
      <c r="E346" s="134" t="s">
        <v>1746</v>
      </c>
      <c r="F346" s="134" t="s">
        <v>809</v>
      </c>
      <c r="G346" s="195"/>
      <c r="H346" s="195">
        <v>124.44</v>
      </c>
    </row>
    <row r="347" spans="1:8" s="458" customFormat="1">
      <c r="A347" s="134" t="s">
        <v>808</v>
      </c>
      <c r="B347" s="134">
        <v>2018</v>
      </c>
      <c r="C347" s="134">
        <v>4</v>
      </c>
      <c r="D347" s="134">
        <v>17</v>
      </c>
      <c r="E347" s="134" t="s">
        <v>1746</v>
      </c>
      <c r="F347" s="134" t="s">
        <v>809</v>
      </c>
      <c r="G347" s="195"/>
      <c r="H347" s="195">
        <v>78.45</v>
      </c>
    </row>
    <row r="348" spans="1:8" s="458" customFormat="1">
      <c r="A348" s="134" t="s">
        <v>808</v>
      </c>
      <c r="B348" s="134">
        <v>2018</v>
      </c>
      <c r="C348" s="134">
        <v>4</v>
      </c>
      <c r="D348" s="134">
        <v>17</v>
      </c>
      <c r="E348" s="134" t="s">
        <v>1746</v>
      </c>
      <c r="F348" s="134" t="s">
        <v>809</v>
      </c>
      <c r="G348" s="195"/>
      <c r="H348" s="195">
        <v>32.46</v>
      </c>
    </row>
    <row r="349" spans="1:8" s="458" customFormat="1">
      <c r="A349" s="134" t="s">
        <v>808</v>
      </c>
      <c r="B349" s="134">
        <v>2018</v>
      </c>
      <c r="C349" s="134">
        <v>4</v>
      </c>
      <c r="D349" s="134">
        <v>17</v>
      </c>
      <c r="E349" s="134" t="s">
        <v>1746</v>
      </c>
      <c r="F349" s="134" t="s">
        <v>809</v>
      </c>
      <c r="G349" s="195"/>
      <c r="H349" s="195">
        <v>27.05</v>
      </c>
    </row>
    <row r="350" spans="1:8" s="458" customFormat="1">
      <c r="A350" s="134" t="s">
        <v>808</v>
      </c>
      <c r="B350" s="134">
        <v>2018</v>
      </c>
      <c r="C350" s="134">
        <v>4</v>
      </c>
      <c r="D350" s="134">
        <v>17</v>
      </c>
      <c r="E350" s="134" t="s">
        <v>1746</v>
      </c>
      <c r="F350" s="134" t="s">
        <v>809</v>
      </c>
      <c r="G350" s="195"/>
      <c r="H350" s="195">
        <v>18.940000000000001</v>
      </c>
    </row>
    <row r="351" spans="1:8" s="458" customFormat="1">
      <c r="A351" s="134" t="s">
        <v>808</v>
      </c>
      <c r="B351" s="134">
        <v>2018</v>
      </c>
      <c r="C351" s="134">
        <v>4</v>
      </c>
      <c r="D351" s="134">
        <v>17</v>
      </c>
      <c r="E351" s="134" t="s">
        <v>1746</v>
      </c>
      <c r="F351" s="134" t="s">
        <v>809</v>
      </c>
      <c r="G351" s="195"/>
      <c r="H351" s="195">
        <v>73.040000000000006</v>
      </c>
    </row>
    <row r="352" spans="1:8" s="458" customFormat="1">
      <c r="A352" s="134" t="s">
        <v>808</v>
      </c>
      <c r="B352" s="134">
        <v>2018</v>
      </c>
      <c r="C352" s="134">
        <v>4</v>
      </c>
      <c r="D352" s="134">
        <v>17</v>
      </c>
      <c r="E352" s="134" t="s">
        <v>1746</v>
      </c>
      <c r="F352" s="134" t="s">
        <v>809</v>
      </c>
      <c r="G352" s="195"/>
      <c r="H352" s="195">
        <v>32.46</v>
      </c>
    </row>
    <row r="353" spans="1:8" s="458" customFormat="1">
      <c r="A353" s="134" t="s">
        <v>808</v>
      </c>
      <c r="B353" s="134">
        <v>2018</v>
      </c>
      <c r="C353" s="134">
        <v>4</v>
      </c>
      <c r="D353" s="134">
        <v>17</v>
      </c>
      <c r="E353" s="134" t="s">
        <v>1746</v>
      </c>
      <c r="F353" s="134" t="s">
        <v>809</v>
      </c>
      <c r="G353" s="195"/>
      <c r="H353" s="195">
        <v>48.69</v>
      </c>
    </row>
    <row r="354" spans="1:8" s="458" customFormat="1">
      <c r="A354" s="134" t="s">
        <v>808</v>
      </c>
      <c r="B354" s="134">
        <v>2018</v>
      </c>
      <c r="C354" s="134">
        <v>4</v>
      </c>
      <c r="D354" s="134">
        <v>17</v>
      </c>
      <c r="E354" s="134" t="s">
        <v>1746</v>
      </c>
      <c r="F354" s="134" t="s">
        <v>809</v>
      </c>
      <c r="G354" s="195"/>
      <c r="H354" s="195">
        <v>35.17</v>
      </c>
    </row>
    <row r="355" spans="1:8" s="458" customFormat="1">
      <c r="A355" s="134" t="s">
        <v>808</v>
      </c>
      <c r="B355" s="134">
        <v>2018</v>
      </c>
      <c r="C355" s="134">
        <v>4</v>
      </c>
      <c r="D355" s="134">
        <v>17</v>
      </c>
      <c r="E355" s="134" t="s">
        <v>1746</v>
      </c>
      <c r="F355" s="134" t="s">
        <v>809</v>
      </c>
      <c r="G355" s="195"/>
      <c r="H355" s="195">
        <v>100.09</v>
      </c>
    </row>
    <row r="356" spans="1:8" s="458" customFormat="1">
      <c r="A356" s="134" t="s">
        <v>808</v>
      </c>
      <c r="B356" s="134">
        <v>2018</v>
      </c>
      <c r="C356" s="134">
        <v>4</v>
      </c>
      <c r="D356" s="134">
        <v>17</v>
      </c>
      <c r="E356" s="134" t="s">
        <v>1746</v>
      </c>
      <c r="F356" s="134" t="s">
        <v>809</v>
      </c>
      <c r="G356" s="195"/>
      <c r="H356" s="195">
        <v>205.58</v>
      </c>
    </row>
    <row r="357" spans="1:8" s="458" customFormat="1">
      <c r="A357" s="134" t="s">
        <v>808</v>
      </c>
      <c r="B357" s="134">
        <v>2018</v>
      </c>
      <c r="C357" s="134">
        <v>4</v>
      </c>
      <c r="D357" s="134">
        <v>17</v>
      </c>
      <c r="E357" s="134" t="s">
        <v>1746</v>
      </c>
      <c r="F357" s="134" t="s">
        <v>809</v>
      </c>
      <c r="G357" s="195"/>
      <c r="H357" s="195">
        <v>119.02</v>
      </c>
    </row>
    <row r="358" spans="1:8" s="458" customFormat="1">
      <c r="A358" s="134" t="s">
        <v>808</v>
      </c>
      <c r="B358" s="134">
        <v>2018</v>
      </c>
      <c r="C358" s="134">
        <v>4</v>
      </c>
      <c r="D358" s="134">
        <v>17</v>
      </c>
      <c r="E358" s="134" t="s">
        <v>1746</v>
      </c>
      <c r="F358" s="134" t="s">
        <v>809</v>
      </c>
      <c r="G358" s="195"/>
      <c r="H358" s="195">
        <v>173.12</v>
      </c>
    </row>
    <row r="359" spans="1:8" s="458" customFormat="1">
      <c r="A359" s="134" t="s">
        <v>808</v>
      </c>
      <c r="B359" s="134">
        <v>2018</v>
      </c>
      <c r="C359" s="134">
        <v>4</v>
      </c>
      <c r="D359" s="134">
        <v>17</v>
      </c>
      <c r="E359" s="134" t="s">
        <v>1746</v>
      </c>
      <c r="F359" s="134" t="s">
        <v>809</v>
      </c>
      <c r="G359" s="195"/>
      <c r="H359" s="195">
        <v>108.2</v>
      </c>
    </row>
    <row r="360" spans="1:8" s="458" customFormat="1">
      <c r="A360" s="134" t="s">
        <v>808</v>
      </c>
      <c r="B360" s="134">
        <v>2018</v>
      </c>
      <c r="C360" s="134">
        <v>4</v>
      </c>
      <c r="D360" s="134">
        <v>17</v>
      </c>
      <c r="E360" s="134" t="s">
        <v>1746</v>
      </c>
      <c r="F360" s="134" t="s">
        <v>809</v>
      </c>
      <c r="G360" s="195"/>
      <c r="H360" s="195">
        <v>238.04</v>
      </c>
    </row>
    <row r="361" spans="1:8" s="458" customFormat="1">
      <c r="A361" s="134" t="s">
        <v>808</v>
      </c>
      <c r="B361" s="134">
        <v>2018</v>
      </c>
      <c r="C361" s="134">
        <v>4</v>
      </c>
      <c r="D361" s="134">
        <v>17</v>
      </c>
      <c r="E361" s="134" t="s">
        <v>1746</v>
      </c>
      <c r="F361" s="134" t="s">
        <v>809</v>
      </c>
      <c r="G361" s="195"/>
      <c r="H361" s="195">
        <v>367.88</v>
      </c>
    </row>
    <row r="362" spans="1:8" s="458" customFormat="1">
      <c r="A362" s="134" t="s">
        <v>808</v>
      </c>
      <c r="B362" s="134">
        <v>2018</v>
      </c>
      <c r="C362" s="134">
        <v>4</v>
      </c>
      <c r="D362" s="134">
        <v>17</v>
      </c>
      <c r="E362" s="134" t="s">
        <v>1746</v>
      </c>
      <c r="F362" s="134" t="s">
        <v>809</v>
      </c>
      <c r="G362" s="195"/>
      <c r="H362" s="195">
        <v>400.34</v>
      </c>
    </row>
    <row r="363" spans="1:8" s="458" customFormat="1">
      <c r="A363" s="134" t="s">
        <v>808</v>
      </c>
      <c r="B363" s="134">
        <v>2018</v>
      </c>
      <c r="C363" s="134">
        <v>4</v>
      </c>
      <c r="D363" s="134">
        <v>17</v>
      </c>
      <c r="E363" s="134" t="s">
        <v>1746</v>
      </c>
      <c r="F363" s="134" t="s">
        <v>809</v>
      </c>
      <c r="G363" s="195"/>
      <c r="H363" s="195">
        <v>497.72</v>
      </c>
    </row>
    <row r="364" spans="1:8" s="458" customFormat="1">
      <c r="A364" s="134" t="s">
        <v>808</v>
      </c>
      <c r="B364" s="134">
        <v>2018</v>
      </c>
      <c r="C364" s="134">
        <v>4</v>
      </c>
      <c r="D364" s="134">
        <v>17</v>
      </c>
      <c r="E364" s="134" t="s">
        <v>1746</v>
      </c>
      <c r="F364" s="134" t="s">
        <v>809</v>
      </c>
      <c r="G364" s="195"/>
      <c r="H364" s="195">
        <v>259.68</v>
      </c>
    </row>
    <row r="365" spans="1:8" s="458" customFormat="1">
      <c r="A365" s="134" t="s">
        <v>808</v>
      </c>
      <c r="B365" s="134">
        <v>2018</v>
      </c>
      <c r="C365" s="134">
        <v>4</v>
      </c>
      <c r="D365" s="134">
        <v>17</v>
      </c>
      <c r="E365" s="134" t="s">
        <v>1746</v>
      </c>
      <c r="F365" s="134" t="s">
        <v>809</v>
      </c>
      <c r="G365" s="195"/>
      <c r="H365" s="195">
        <v>62.22</v>
      </c>
    </row>
    <row r="366" spans="1:8" s="458" customFormat="1">
      <c r="A366" s="134" t="s">
        <v>808</v>
      </c>
      <c r="B366" s="134">
        <v>2018</v>
      </c>
      <c r="C366" s="134">
        <v>4</v>
      </c>
      <c r="D366" s="134">
        <v>17</v>
      </c>
      <c r="E366" s="134" t="s">
        <v>1746</v>
      </c>
      <c r="F366" s="134" t="s">
        <v>809</v>
      </c>
      <c r="G366" s="195"/>
      <c r="H366" s="195">
        <v>105.5</v>
      </c>
    </row>
    <row r="367" spans="1:8" s="458" customFormat="1">
      <c r="A367" s="134" t="s">
        <v>808</v>
      </c>
      <c r="B367" s="134">
        <v>2018</v>
      </c>
      <c r="C367" s="134">
        <v>4</v>
      </c>
      <c r="D367" s="134">
        <v>17</v>
      </c>
      <c r="E367" s="134" t="s">
        <v>1746</v>
      </c>
      <c r="F367" s="134" t="s">
        <v>809</v>
      </c>
      <c r="G367" s="195"/>
      <c r="H367" s="195">
        <v>35.17</v>
      </c>
    </row>
    <row r="368" spans="1:8" s="458" customFormat="1">
      <c r="A368" s="134" t="s">
        <v>808</v>
      </c>
      <c r="B368" s="134">
        <v>2018</v>
      </c>
      <c r="C368" s="134">
        <v>4</v>
      </c>
      <c r="D368" s="134">
        <v>17</v>
      </c>
      <c r="E368" s="134" t="s">
        <v>1746</v>
      </c>
      <c r="F368" s="134" t="s">
        <v>809</v>
      </c>
      <c r="G368" s="195"/>
      <c r="H368" s="195">
        <v>43.28</v>
      </c>
    </row>
    <row r="369" spans="1:8" s="458" customFormat="1">
      <c r="A369" s="134" t="s">
        <v>808</v>
      </c>
      <c r="B369" s="134">
        <v>2018</v>
      </c>
      <c r="C369" s="134">
        <v>4</v>
      </c>
      <c r="D369" s="134">
        <v>17</v>
      </c>
      <c r="E369" s="134" t="s">
        <v>1746</v>
      </c>
      <c r="F369" s="134" t="s">
        <v>809</v>
      </c>
      <c r="G369" s="195"/>
      <c r="H369" s="195">
        <v>530.17999999999995</v>
      </c>
    </row>
    <row r="370" spans="1:8" s="458" customFormat="1">
      <c r="A370" s="134" t="s">
        <v>808</v>
      </c>
      <c r="B370" s="134">
        <v>2018</v>
      </c>
      <c r="C370" s="134">
        <v>4</v>
      </c>
      <c r="D370" s="134">
        <v>17</v>
      </c>
      <c r="E370" s="134" t="s">
        <v>1746</v>
      </c>
      <c r="F370" s="134" t="s">
        <v>809</v>
      </c>
      <c r="G370" s="195"/>
      <c r="H370" s="195">
        <v>454.44</v>
      </c>
    </row>
    <row r="371" spans="1:8" s="458" customFormat="1">
      <c r="A371" s="134" t="s">
        <v>808</v>
      </c>
      <c r="B371" s="134">
        <v>2018</v>
      </c>
      <c r="C371" s="134">
        <v>4</v>
      </c>
      <c r="D371" s="134">
        <v>17</v>
      </c>
      <c r="E371" s="134" t="s">
        <v>1746</v>
      </c>
      <c r="F371" s="134" t="s">
        <v>809</v>
      </c>
      <c r="G371" s="195"/>
      <c r="H371" s="195">
        <v>159.6</v>
      </c>
    </row>
    <row r="372" spans="1:8" s="458" customFormat="1">
      <c r="A372" s="134" t="s">
        <v>808</v>
      </c>
      <c r="B372" s="134">
        <v>2018</v>
      </c>
      <c r="C372" s="134">
        <v>4</v>
      </c>
      <c r="D372" s="134">
        <v>17</v>
      </c>
      <c r="E372" s="134" t="s">
        <v>1746</v>
      </c>
      <c r="F372" s="134" t="s">
        <v>809</v>
      </c>
      <c r="G372" s="195"/>
      <c r="H372" s="195">
        <v>530.17999999999995</v>
      </c>
    </row>
    <row r="373" spans="1:8" s="458" customFormat="1">
      <c r="A373" s="134" t="s">
        <v>808</v>
      </c>
      <c r="B373" s="134">
        <v>2018</v>
      </c>
      <c r="C373" s="134">
        <v>4</v>
      </c>
      <c r="D373" s="134">
        <v>17</v>
      </c>
      <c r="E373" s="134" t="s">
        <v>1746</v>
      </c>
      <c r="F373" s="134" t="s">
        <v>809</v>
      </c>
      <c r="G373" s="195"/>
      <c r="H373" s="195">
        <v>232.63</v>
      </c>
    </row>
    <row r="374" spans="1:8" s="458" customFormat="1">
      <c r="A374" s="134" t="s">
        <v>808</v>
      </c>
      <c r="B374" s="134">
        <v>2018</v>
      </c>
      <c r="C374" s="134">
        <v>4</v>
      </c>
      <c r="D374" s="134">
        <v>17</v>
      </c>
      <c r="E374" s="134" t="s">
        <v>1746</v>
      </c>
      <c r="F374" s="134" t="s">
        <v>809</v>
      </c>
      <c r="G374" s="195"/>
      <c r="H374" s="195">
        <v>140.66</v>
      </c>
    </row>
    <row r="375" spans="1:8" s="458" customFormat="1">
      <c r="A375" s="134" t="s">
        <v>808</v>
      </c>
      <c r="B375" s="134">
        <v>2018</v>
      </c>
      <c r="C375" s="134">
        <v>4</v>
      </c>
      <c r="D375" s="134">
        <v>20</v>
      </c>
      <c r="E375" s="134" t="s">
        <v>1750</v>
      </c>
      <c r="F375" s="134" t="s">
        <v>809</v>
      </c>
      <c r="G375" s="195"/>
      <c r="H375" s="195">
        <v>29.87</v>
      </c>
    </row>
    <row r="376" spans="1:8" s="458" customFormat="1">
      <c r="A376" s="134" t="s">
        <v>808</v>
      </c>
      <c r="B376" s="134">
        <v>2018</v>
      </c>
      <c r="C376" s="134">
        <v>4</v>
      </c>
      <c r="D376" s="134">
        <v>20</v>
      </c>
      <c r="E376" s="134" t="s">
        <v>1750</v>
      </c>
      <c r="F376" s="134" t="s">
        <v>809</v>
      </c>
      <c r="G376" s="195"/>
      <c r="H376" s="195">
        <v>28.38</v>
      </c>
    </row>
    <row r="377" spans="1:8" s="458" customFormat="1">
      <c r="A377" s="134" t="s">
        <v>808</v>
      </c>
      <c r="B377" s="134">
        <v>2018</v>
      </c>
      <c r="C377" s="134">
        <v>4</v>
      </c>
      <c r="D377" s="134">
        <v>20</v>
      </c>
      <c r="E377" s="134" t="s">
        <v>1750</v>
      </c>
      <c r="F377" s="134" t="s">
        <v>809</v>
      </c>
      <c r="G377" s="195"/>
      <c r="H377" s="195">
        <v>42.79</v>
      </c>
    </row>
    <row r="378" spans="1:8" s="458" customFormat="1">
      <c r="A378" s="134" t="s">
        <v>808</v>
      </c>
      <c r="B378" s="134">
        <v>2018</v>
      </c>
      <c r="C378" s="134">
        <v>4</v>
      </c>
      <c r="D378" s="134">
        <v>20</v>
      </c>
      <c r="E378" s="134" t="s">
        <v>1750</v>
      </c>
      <c r="F378" s="134" t="s">
        <v>809</v>
      </c>
      <c r="G378" s="195"/>
      <c r="H378" s="195">
        <v>8.33</v>
      </c>
    </row>
    <row r="379" spans="1:8" s="458" customFormat="1">
      <c r="A379" s="134" t="s">
        <v>808</v>
      </c>
      <c r="B379" s="134">
        <v>2018</v>
      </c>
      <c r="C379" s="134">
        <v>4</v>
      </c>
      <c r="D379" s="134">
        <v>25</v>
      </c>
      <c r="E379" s="134" t="s">
        <v>1753</v>
      </c>
      <c r="F379" s="134" t="s">
        <v>809</v>
      </c>
      <c r="G379" s="195"/>
      <c r="H379" s="195">
        <v>-24.38</v>
      </c>
    </row>
    <row r="380" spans="1:8" s="458" customFormat="1">
      <c r="A380" s="134" t="s">
        <v>808</v>
      </c>
      <c r="B380" s="134">
        <v>2018</v>
      </c>
      <c r="C380" s="134">
        <v>4</v>
      </c>
      <c r="D380" s="134">
        <v>25</v>
      </c>
      <c r="E380" s="134" t="s">
        <v>1753</v>
      </c>
      <c r="F380" s="134" t="s">
        <v>809</v>
      </c>
      <c r="G380" s="195"/>
      <c r="H380" s="195">
        <v>-5.48</v>
      </c>
    </row>
    <row r="381" spans="1:8" s="458" customFormat="1">
      <c r="A381" s="134" t="s">
        <v>808</v>
      </c>
      <c r="B381" s="134">
        <v>2018</v>
      </c>
      <c r="C381" s="134">
        <v>4</v>
      </c>
      <c r="D381" s="134">
        <v>25</v>
      </c>
      <c r="E381" s="134" t="s">
        <v>1753</v>
      </c>
      <c r="F381" s="134" t="s">
        <v>809</v>
      </c>
      <c r="G381" s="195"/>
      <c r="H381" s="195">
        <v>-5.51</v>
      </c>
    </row>
    <row r="382" spans="1:8" s="458" customFormat="1">
      <c r="A382" s="134" t="s">
        <v>808</v>
      </c>
      <c r="B382" s="134">
        <v>2018</v>
      </c>
      <c r="C382" s="134">
        <v>4</v>
      </c>
      <c r="D382" s="134">
        <v>25</v>
      </c>
      <c r="E382" s="134" t="s">
        <v>1753</v>
      </c>
      <c r="F382" s="134" t="s">
        <v>809</v>
      </c>
      <c r="G382" s="195"/>
      <c r="H382" s="195">
        <v>5.48</v>
      </c>
    </row>
    <row r="383" spans="1:8" s="458" customFormat="1">
      <c r="A383" s="134" t="s">
        <v>808</v>
      </c>
      <c r="B383" s="134">
        <v>2018</v>
      </c>
      <c r="C383" s="134">
        <v>4</v>
      </c>
      <c r="D383" s="134">
        <v>25</v>
      </c>
      <c r="E383" s="134" t="s">
        <v>1753</v>
      </c>
      <c r="F383" s="134" t="s">
        <v>809</v>
      </c>
      <c r="G383" s="195"/>
      <c r="H383" s="195">
        <v>5.51</v>
      </c>
    </row>
    <row r="384" spans="1:8" s="458" customFormat="1">
      <c r="A384" s="134" t="s">
        <v>808</v>
      </c>
      <c r="B384" s="134">
        <v>2018</v>
      </c>
      <c r="C384" s="134">
        <v>4</v>
      </c>
      <c r="D384" s="134">
        <v>25</v>
      </c>
      <c r="E384" s="134" t="s">
        <v>1753</v>
      </c>
      <c r="F384" s="134" t="s">
        <v>809</v>
      </c>
      <c r="G384" s="195"/>
      <c r="H384" s="195">
        <v>24.38</v>
      </c>
    </row>
    <row r="385" spans="1:8" s="458" customFormat="1">
      <c r="A385" s="134" t="s">
        <v>808</v>
      </c>
      <c r="B385" s="134">
        <v>2018</v>
      </c>
      <c r="C385" s="134">
        <v>4</v>
      </c>
      <c r="D385" s="134">
        <v>25</v>
      </c>
      <c r="E385" s="134" t="s">
        <v>1754</v>
      </c>
      <c r="F385" s="134" t="s">
        <v>809</v>
      </c>
      <c r="G385" s="195"/>
      <c r="H385" s="195">
        <v>-13.6</v>
      </c>
    </row>
    <row r="386" spans="1:8" s="458" customFormat="1">
      <c r="A386" s="134" t="s">
        <v>808</v>
      </c>
      <c r="B386" s="134">
        <v>2018</v>
      </c>
      <c r="C386" s="134">
        <v>4</v>
      </c>
      <c r="D386" s="134">
        <v>25</v>
      </c>
      <c r="E386" s="134" t="s">
        <v>1754</v>
      </c>
      <c r="F386" s="134" t="s">
        <v>809</v>
      </c>
      <c r="G386" s="195"/>
      <c r="H386" s="195">
        <v>13.6</v>
      </c>
    </row>
    <row r="387" spans="1:8" s="458" customFormat="1">
      <c r="A387" s="134" t="s">
        <v>808</v>
      </c>
      <c r="B387" s="134">
        <v>2018</v>
      </c>
      <c r="C387" s="134">
        <v>4</v>
      </c>
      <c r="D387" s="134">
        <v>28</v>
      </c>
      <c r="E387" s="134" t="s">
        <v>1756</v>
      </c>
      <c r="F387" s="134" t="s">
        <v>809</v>
      </c>
      <c r="G387" s="195"/>
      <c r="H387" s="195">
        <v>1.8</v>
      </c>
    </row>
    <row r="388" spans="1:8" s="458" customFormat="1">
      <c r="A388" s="134" t="s">
        <v>808</v>
      </c>
      <c r="B388" s="134">
        <v>2018</v>
      </c>
      <c r="C388" s="134">
        <v>4</v>
      </c>
      <c r="D388" s="134">
        <v>25</v>
      </c>
      <c r="E388" s="134" t="s">
        <v>1759</v>
      </c>
      <c r="F388" s="134" t="s">
        <v>809</v>
      </c>
      <c r="G388" s="195"/>
      <c r="H388" s="195">
        <v>192</v>
      </c>
    </row>
    <row r="389" spans="1:8" s="458" customFormat="1">
      <c r="A389" s="134" t="s">
        <v>808</v>
      </c>
      <c r="B389" s="134">
        <v>2018</v>
      </c>
      <c r="C389" s="134">
        <v>4</v>
      </c>
      <c r="D389" s="134">
        <v>25</v>
      </c>
      <c r="E389" s="134" t="s">
        <v>1760</v>
      </c>
      <c r="F389" s="134" t="s">
        <v>809</v>
      </c>
      <c r="G389" s="195"/>
      <c r="H389" s="195"/>
    </row>
    <row r="390" spans="1:8" s="458" customFormat="1">
      <c r="A390" s="134" t="s">
        <v>808</v>
      </c>
      <c r="B390" s="134">
        <v>2018</v>
      </c>
      <c r="C390" s="134">
        <v>4</v>
      </c>
      <c r="D390" s="134">
        <v>25</v>
      </c>
      <c r="E390" s="134" t="s">
        <v>1760</v>
      </c>
      <c r="F390" s="134" t="s">
        <v>809</v>
      </c>
      <c r="G390" s="195"/>
      <c r="H390" s="195">
        <v>48.91</v>
      </c>
    </row>
    <row r="391" spans="1:8" s="458" customFormat="1">
      <c r="A391" s="134" t="s">
        <v>808</v>
      </c>
      <c r="B391" s="134">
        <v>2018</v>
      </c>
      <c r="C391" s="134">
        <v>4</v>
      </c>
      <c r="D391" s="134">
        <v>25</v>
      </c>
      <c r="E391" s="134" t="s">
        <v>1760</v>
      </c>
      <c r="F391" s="134" t="s">
        <v>809</v>
      </c>
      <c r="G391" s="195"/>
      <c r="H391" s="195">
        <v>48.91</v>
      </c>
    </row>
    <row r="392" spans="1:8" s="458" customFormat="1">
      <c r="A392" s="134" t="s">
        <v>808</v>
      </c>
      <c r="B392" s="134">
        <v>2018</v>
      </c>
      <c r="C392" s="134">
        <v>4</v>
      </c>
      <c r="D392" s="134">
        <v>25</v>
      </c>
      <c r="E392" s="134" t="s">
        <v>1760</v>
      </c>
      <c r="F392" s="134" t="s">
        <v>809</v>
      </c>
      <c r="G392" s="195"/>
      <c r="H392" s="195"/>
    </row>
    <row r="393" spans="1:8" s="458" customFormat="1">
      <c r="A393" s="134" t="s">
        <v>808</v>
      </c>
      <c r="B393" s="134">
        <v>2018</v>
      </c>
      <c r="C393" s="134">
        <v>4</v>
      </c>
      <c r="D393" s="134">
        <v>25</v>
      </c>
      <c r="E393" s="134" t="s">
        <v>1760</v>
      </c>
      <c r="F393" s="134" t="s">
        <v>809</v>
      </c>
      <c r="G393" s="195"/>
      <c r="H393" s="195">
        <v>48.91</v>
      </c>
    </row>
    <row r="394" spans="1:8" s="458" customFormat="1">
      <c r="A394" s="134" t="s">
        <v>808</v>
      </c>
      <c r="B394" s="134">
        <v>2018</v>
      </c>
      <c r="C394" s="134">
        <v>4</v>
      </c>
      <c r="D394" s="134">
        <v>25</v>
      </c>
      <c r="E394" s="134" t="s">
        <v>1760</v>
      </c>
      <c r="F394" s="134" t="s">
        <v>809</v>
      </c>
      <c r="G394" s="195"/>
      <c r="H394" s="195"/>
    </row>
    <row r="395" spans="1:8" s="458" customFormat="1">
      <c r="A395" s="134" t="s">
        <v>808</v>
      </c>
      <c r="B395" s="134">
        <v>2018</v>
      </c>
      <c r="C395" s="134">
        <v>4</v>
      </c>
      <c r="D395" s="134">
        <v>25</v>
      </c>
      <c r="E395" s="134" t="s">
        <v>1761</v>
      </c>
      <c r="F395" s="134" t="s">
        <v>809</v>
      </c>
      <c r="G395" s="195"/>
      <c r="H395" s="195">
        <v>2415</v>
      </c>
    </row>
    <row r="396" spans="1:8" s="458" customFormat="1">
      <c r="A396" s="134" t="s">
        <v>808</v>
      </c>
      <c r="B396" s="134">
        <v>2018</v>
      </c>
      <c r="C396" s="134">
        <v>4</v>
      </c>
      <c r="D396" s="134">
        <v>25</v>
      </c>
      <c r="E396" s="134" t="s">
        <v>1762</v>
      </c>
      <c r="F396" s="134" t="s">
        <v>809</v>
      </c>
      <c r="G396" s="195"/>
      <c r="H396" s="195">
        <v>357</v>
      </c>
    </row>
    <row r="397" spans="1:8" s="458" customFormat="1">
      <c r="A397" s="134" t="s">
        <v>808</v>
      </c>
      <c r="B397" s="134">
        <v>2018</v>
      </c>
      <c r="C397" s="134">
        <v>4</v>
      </c>
      <c r="D397" s="134">
        <v>25</v>
      </c>
      <c r="E397" s="134" t="s">
        <v>1763</v>
      </c>
      <c r="F397" s="134" t="s">
        <v>809</v>
      </c>
      <c r="G397" s="195"/>
      <c r="H397" s="195">
        <v>1759</v>
      </c>
    </row>
    <row r="398" spans="1:8" s="458" customFormat="1">
      <c r="A398" s="134" t="s">
        <v>808</v>
      </c>
      <c r="B398" s="134">
        <v>2018</v>
      </c>
      <c r="C398" s="134">
        <v>4</v>
      </c>
      <c r="D398" s="134">
        <v>25</v>
      </c>
      <c r="E398" s="134" t="s">
        <v>1763</v>
      </c>
      <c r="F398" s="134" t="s">
        <v>809</v>
      </c>
      <c r="G398" s="195"/>
      <c r="H398" s="195">
        <v>2458</v>
      </c>
    </row>
    <row r="399" spans="1:8" s="458" customFormat="1">
      <c r="A399" s="134" t="s">
        <v>808</v>
      </c>
      <c r="B399" s="134">
        <v>2018</v>
      </c>
      <c r="C399" s="134">
        <v>4</v>
      </c>
      <c r="D399" s="134">
        <v>27</v>
      </c>
      <c r="E399" s="134" t="s">
        <v>1768</v>
      </c>
      <c r="F399" s="134" t="s">
        <v>809</v>
      </c>
      <c r="G399" s="195"/>
      <c r="H399" s="195">
        <v>284.75</v>
      </c>
    </row>
    <row r="400" spans="1:8" s="458" customFormat="1">
      <c r="A400" s="134" t="s">
        <v>808</v>
      </c>
      <c r="B400" s="134">
        <v>2018</v>
      </c>
      <c r="C400" s="134">
        <v>4</v>
      </c>
      <c r="D400" s="134">
        <v>29</v>
      </c>
      <c r="E400" s="134" t="s">
        <v>1771</v>
      </c>
      <c r="F400" s="134" t="s">
        <v>809</v>
      </c>
      <c r="G400" s="195"/>
      <c r="H400" s="195">
        <v>360</v>
      </c>
    </row>
    <row r="401" spans="1:8" s="458" customFormat="1">
      <c r="A401" s="134" t="s">
        <v>808</v>
      </c>
      <c r="B401" s="134">
        <v>2018</v>
      </c>
      <c r="C401" s="134">
        <v>4</v>
      </c>
      <c r="D401" s="134">
        <v>29</v>
      </c>
      <c r="E401" s="134" t="s">
        <v>1772</v>
      </c>
      <c r="F401" s="134" t="s">
        <v>809</v>
      </c>
      <c r="G401" s="195"/>
      <c r="H401" s="195">
        <v>908</v>
      </c>
    </row>
    <row r="402" spans="1:8" s="458" customFormat="1">
      <c r="A402" s="134" t="s">
        <v>808</v>
      </c>
      <c r="B402" s="134">
        <v>2018</v>
      </c>
      <c r="C402" s="134">
        <v>4</v>
      </c>
      <c r="D402" s="134">
        <v>29</v>
      </c>
      <c r="E402" s="134" t="s">
        <v>1775</v>
      </c>
      <c r="F402" s="134" t="s">
        <v>809</v>
      </c>
      <c r="G402" s="195"/>
      <c r="H402" s="195">
        <v>1091.51</v>
      </c>
    </row>
    <row r="403" spans="1:8" s="458" customFormat="1">
      <c r="A403" s="134" t="s">
        <v>808</v>
      </c>
      <c r="B403" s="134">
        <v>2018</v>
      </c>
      <c r="C403" s="134">
        <v>4</v>
      </c>
      <c r="D403" s="134">
        <v>26</v>
      </c>
      <c r="E403" s="134" t="s">
        <v>1779</v>
      </c>
      <c r="F403" s="134" t="s">
        <v>809</v>
      </c>
      <c r="G403" s="195"/>
      <c r="H403" s="195">
        <v>201.2</v>
      </c>
    </row>
    <row r="404" spans="1:8" s="458" customFormat="1">
      <c r="A404" s="134" t="s">
        <v>808</v>
      </c>
      <c r="B404" s="134">
        <v>2018</v>
      </c>
      <c r="C404" s="134">
        <v>4</v>
      </c>
      <c r="D404" s="134">
        <v>29</v>
      </c>
      <c r="E404" s="134" t="s">
        <v>1780</v>
      </c>
      <c r="F404" s="134" t="s">
        <v>809</v>
      </c>
      <c r="G404" s="195"/>
      <c r="H404" s="195">
        <v>10.79</v>
      </c>
    </row>
    <row r="405" spans="1:8" s="458" customFormat="1">
      <c r="A405" s="134" t="s">
        <v>808</v>
      </c>
      <c r="B405" s="134">
        <v>2018</v>
      </c>
      <c r="C405" s="134">
        <v>4</v>
      </c>
      <c r="D405" s="134">
        <v>29</v>
      </c>
      <c r="E405" s="134" t="s">
        <v>1780</v>
      </c>
      <c r="F405" s="134" t="s">
        <v>809</v>
      </c>
      <c r="G405" s="195"/>
      <c r="H405" s="195">
        <v>29.99</v>
      </c>
    </row>
    <row r="406" spans="1:8" s="458" customFormat="1">
      <c r="A406" s="134" t="s">
        <v>808</v>
      </c>
      <c r="B406" s="134">
        <v>2018</v>
      </c>
      <c r="C406" s="134">
        <v>4</v>
      </c>
      <c r="D406" s="134">
        <v>29</v>
      </c>
      <c r="E406" s="134" t="s">
        <v>1780</v>
      </c>
      <c r="F406" s="134" t="s">
        <v>809</v>
      </c>
      <c r="G406" s="195"/>
      <c r="H406" s="195">
        <v>5.69</v>
      </c>
    </row>
    <row r="407" spans="1:8" s="458" customFormat="1">
      <c r="A407" s="134" t="s">
        <v>808</v>
      </c>
      <c r="B407" s="134">
        <v>2018</v>
      </c>
      <c r="C407" s="134">
        <v>4</v>
      </c>
      <c r="D407" s="134">
        <v>29</v>
      </c>
      <c r="E407" s="134" t="s">
        <v>1780</v>
      </c>
      <c r="F407" s="134" t="s">
        <v>809</v>
      </c>
      <c r="G407" s="195"/>
      <c r="H407" s="195">
        <v>48.75</v>
      </c>
    </row>
    <row r="408" spans="1:8" s="458" customFormat="1">
      <c r="A408" s="134" t="s">
        <v>808</v>
      </c>
      <c r="B408" s="134">
        <v>2018</v>
      </c>
      <c r="C408" s="134">
        <v>4</v>
      </c>
      <c r="D408" s="134">
        <v>29</v>
      </c>
      <c r="E408" s="134" t="s">
        <v>1782</v>
      </c>
      <c r="F408" s="134" t="s">
        <v>809</v>
      </c>
      <c r="G408" s="195"/>
      <c r="H408" s="195"/>
    </row>
    <row r="409" spans="1:8" s="458" customFormat="1">
      <c r="A409" s="134" t="s">
        <v>808</v>
      </c>
      <c r="B409" s="134">
        <v>2018</v>
      </c>
      <c r="C409" s="134">
        <v>4</v>
      </c>
      <c r="D409" s="134">
        <v>29</v>
      </c>
      <c r="E409" s="134" t="s">
        <v>1782</v>
      </c>
      <c r="F409" s="134" t="s">
        <v>809</v>
      </c>
      <c r="G409" s="195"/>
      <c r="H409" s="195">
        <v>600</v>
      </c>
    </row>
    <row r="410" spans="1:8" s="458" customFormat="1">
      <c r="A410" s="134" t="s">
        <v>808</v>
      </c>
      <c r="B410" s="134">
        <v>2018</v>
      </c>
      <c r="C410" s="134">
        <v>4</v>
      </c>
      <c r="D410" s="134">
        <v>29</v>
      </c>
      <c r="E410" s="134" t="s">
        <v>1782</v>
      </c>
      <c r="F410" s="134" t="s">
        <v>809</v>
      </c>
      <c r="G410" s="195"/>
      <c r="H410" s="195"/>
    </row>
    <row r="411" spans="1:8" s="458" customFormat="1">
      <c r="A411" s="134" t="s">
        <v>808</v>
      </c>
      <c r="B411" s="134">
        <v>2018</v>
      </c>
      <c r="C411" s="134">
        <v>4</v>
      </c>
      <c r="D411" s="134">
        <v>29</v>
      </c>
      <c r="E411" s="134" t="s">
        <v>1782</v>
      </c>
      <c r="F411" s="134" t="s">
        <v>809</v>
      </c>
      <c r="G411" s="195"/>
      <c r="H411" s="195">
        <v>600</v>
      </c>
    </row>
    <row r="412" spans="1:8" s="458" customFormat="1">
      <c r="A412" s="134" t="s">
        <v>808</v>
      </c>
      <c r="B412" s="134">
        <v>2018</v>
      </c>
      <c r="C412" s="134">
        <v>4</v>
      </c>
      <c r="D412" s="134">
        <v>29</v>
      </c>
      <c r="E412" s="134" t="s">
        <v>1782</v>
      </c>
      <c r="F412" s="134" t="s">
        <v>809</v>
      </c>
      <c r="G412" s="195"/>
      <c r="H412" s="195"/>
    </row>
    <row r="413" spans="1:8" s="458" customFormat="1">
      <c r="A413" s="134" t="s">
        <v>808</v>
      </c>
      <c r="B413" s="134">
        <v>2018</v>
      </c>
      <c r="C413" s="134">
        <v>4</v>
      </c>
      <c r="D413" s="134">
        <v>29</v>
      </c>
      <c r="E413" s="134" t="s">
        <v>1782</v>
      </c>
      <c r="F413" s="134" t="s">
        <v>809</v>
      </c>
      <c r="G413" s="195"/>
      <c r="H413" s="195"/>
    </row>
    <row r="414" spans="1:8" s="458" customFormat="1">
      <c r="A414" s="134" t="s">
        <v>808</v>
      </c>
      <c r="B414" s="134">
        <v>2018</v>
      </c>
      <c r="C414" s="134">
        <v>4</v>
      </c>
      <c r="D414" s="134">
        <v>29</v>
      </c>
      <c r="E414" s="134" t="s">
        <v>1782</v>
      </c>
      <c r="F414" s="134" t="s">
        <v>809</v>
      </c>
      <c r="G414" s="195"/>
      <c r="H414" s="195">
        <v>600</v>
      </c>
    </row>
    <row r="415" spans="1:8" s="458" customFormat="1">
      <c r="A415" s="134" t="s">
        <v>808</v>
      </c>
      <c r="B415" s="134">
        <v>2018</v>
      </c>
      <c r="C415" s="134">
        <v>4</v>
      </c>
      <c r="D415" s="134">
        <v>29</v>
      </c>
      <c r="E415" s="134" t="s">
        <v>1782</v>
      </c>
      <c r="F415" s="134" t="s">
        <v>809</v>
      </c>
      <c r="G415" s="195"/>
      <c r="H415" s="195">
        <v>600</v>
      </c>
    </row>
    <row r="416" spans="1:8" s="458" customFormat="1">
      <c r="A416" s="134" t="s">
        <v>808</v>
      </c>
      <c r="B416" s="134">
        <v>2018</v>
      </c>
      <c r="C416" s="134">
        <v>4</v>
      </c>
      <c r="D416" s="134">
        <v>29</v>
      </c>
      <c r="E416" s="134" t="s">
        <v>1783</v>
      </c>
      <c r="F416" s="134" t="s">
        <v>809</v>
      </c>
      <c r="G416" s="195"/>
      <c r="H416" s="195">
        <v>250</v>
      </c>
    </row>
    <row r="417" spans="1:8" s="458" customFormat="1">
      <c r="A417" s="134" t="s">
        <v>808</v>
      </c>
      <c r="B417" s="134">
        <v>2018</v>
      </c>
      <c r="C417" s="134">
        <v>4</v>
      </c>
      <c r="D417" s="134">
        <v>29</v>
      </c>
      <c r="E417" s="134" t="s">
        <v>1784</v>
      </c>
      <c r="F417" s="134" t="s">
        <v>809</v>
      </c>
      <c r="G417" s="195"/>
      <c r="H417" s="195">
        <v>155</v>
      </c>
    </row>
    <row r="418" spans="1:8" s="458" customFormat="1">
      <c r="A418" s="134" t="s">
        <v>808</v>
      </c>
      <c r="B418" s="134">
        <v>2018</v>
      </c>
      <c r="C418" s="134">
        <v>4</v>
      </c>
      <c r="D418" s="134">
        <v>32</v>
      </c>
      <c r="E418" s="134" t="s">
        <v>1787</v>
      </c>
      <c r="F418" s="134" t="s">
        <v>809</v>
      </c>
      <c r="G418" s="195"/>
      <c r="H418" s="195">
        <v>926.1</v>
      </c>
    </row>
    <row r="419" spans="1:8" s="458" customFormat="1">
      <c r="A419" s="134" t="s">
        <v>808</v>
      </c>
      <c r="B419" s="134">
        <v>2018</v>
      </c>
      <c r="C419" s="134">
        <v>4</v>
      </c>
      <c r="D419" s="134">
        <v>32</v>
      </c>
      <c r="E419" s="134" t="s">
        <v>1787</v>
      </c>
      <c r="F419" s="134" t="s">
        <v>809</v>
      </c>
      <c r="G419" s="195"/>
      <c r="H419" s="195">
        <v>62.75</v>
      </c>
    </row>
    <row r="420" spans="1:8" s="458" customFormat="1">
      <c r="A420" s="134" t="s">
        <v>808</v>
      </c>
      <c r="B420" s="134">
        <v>2018</v>
      </c>
      <c r="C420" s="134">
        <v>4</v>
      </c>
      <c r="D420" s="134">
        <v>32</v>
      </c>
      <c r="E420" s="134" t="s">
        <v>1787</v>
      </c>
      <c r="F420" s="134" t="s">
        <v>809</v>
      </c>
      <c r="G420" s="195"/>
      <c r="H420" s="195">
        <v>175</v>
      </c>
    </row>
    <row r="421" spans="1:8" s="458" customFormat="1">
      <c r="A421" s="134" t="s">
        <v>808</v>
      </c>
      <c r="B421" s="134">
        <v>2018</v>
      </c>
      <c r="C421" s="134">
        <v>4</v>
      </c>
      <c r="D421" s="134">
        <v>32</v>
      </c>
      <c r="E421" s="134" t="s">
        <v>1787</v>
      </c>
      <c r="F421" s="134" t="s">
        <v>809</v>
      </c>
      <c r="G421" s="195"/>
      <c r="H421" s="195">
        <v>926.1</v>
      </c>
    </row>
    <row r="422" spans="1:8" s="458" customFormat="1">
      <c r="A422" s="134" t="s">
        <v>808</v>
      </c>
      <c r="B422" s="134">
        <v>2018</v>
      </c>
      <c r="C422" s="134">
        <v>4</v>
      </c>
      <c r="D422" s="134">
        <v>40</v>
      </c>
      <c r="E422" s="134" t="s">
        <v>1791</v>
      </c>
      <c r="F422" s="134" t="s">
        <v>809</v>
      </c>
      <c r="G422" s="195"/>
      <c r="H422" s="195">
        <v>-130.99</v>
      </c>
    </row>
    <row r="423" spans="1:8" s="458" customFormat="1">
      <c r="A423" s="134" t="s">
        <v>808</v>
      </c>
      <c r="B423" s="134">
        <v>2018</v>
      </c>
      <c r="C423" s="134">
        <v>4</v>
      </c>
      <c r="D423" s="134">
        <v>40</v>
      </c>
      <c r="E423" s="134" t="s">
        <v>1791</v>
      </c>
      <c r="F423" s="134" t="s">
        <v>809</v>
      </c>
      <c r="G423" s="195"/>
      <c r="H423" s="195">
        <v>261.97000000000003</v>
      </c>
    </row>
    <row r="424" spans="1:8" s="458" customFormat="1">
      <c r="A424" s="134" t="s">
        <v>808</v>
      </c>
      <c r="B424" s="134">
        <v>2018</v>
      </c>
      <c r="C424" s="134">
        <v>4</v>
      </c>
      <c r="D424" s="134">
        <v>40</v>
      </c>
      <c r="E424" s="134" t="s">
        <v>1791</v>
      </c>
      <c r="F424" s="134" t="s">
        <v>809</v>
      </c>
      <c r="G424" s="195"/>
      <c r="H424" s="195">
        <v>-216.17</v>
      </c>
    </row>
    <row r="425" spans="1:8" s="458" customFormat="1">
      <c r="A425" s="134" t="s">
        <v>808</v>
      </c>
      <c r="B425" s="134">
        <v>2018</v>
      </c>
      <c r="C425" s="134">
        <v>4</v>
      </c>
      <c r="D425" s="134">
        <v>40</v>
      </c>
      <c r="E425" s="134" t="s">
        <v>1791</v>
      </c>
      <c r="F425" s="134" t="s">
        <v>809</v>
      </c>
      <c r="G425" s="195"/>
      <c r="H425" s="195">
        <v>432.34</v>
      </c>
    </row>
    <row r="426" spans="1:8" s="458" customFormat="1">
      <c r="A426" s="134" t="s">
        <v>808</v>
      </c>
      <c r="B426" s="134">
        <v>2018</v>
      </c>
      <c r="C426" s="134">
        <v>4</v>
      </c>
      <c r="D426" s="134">
        <v>40</v>
      </c>
      <c r="E426" s="134" t="s">
        <v>1791</v>
      </c>
      <c r="F426" s="134" t="s">
        <v>809</v>
      </c>
      <c r="G426" s="195"/>
      <c r="H426" s="195">
        <v>-431.87</v>
      </c>
    </row>
    <row r="427" spans="1:8" s="458" customFormat="1">
      <c r="A427" s="134" t="s">
        <v>808</v>
      </c>
      <c r="B427" s="134">
        <v>2018</v>
      </c>
      <c r="C427" s="134">
        <v>4</v>
      </c>
      <c r="D427" s="134">
        <v>40</v>
      </c>
      <c r="E427" s="134" t="s">
        <v>1791</v>
      </c>
      <c r="F427" s="134" t="s">
        <v>809</v>
      </c>
      <c r="G427" s="195"/>
      <c r="H427" s="195">
        <v>863.75</v>
      </c>
    </row>
    <row r="428" spans="1:8" s="458" customFormat="1">
      <c r="A428" s="134" t="s">
        <v>808</v>
      </c>
      <c r="B428" s="134">
        <v>2018</v>
      </c>
      <c r="C428" s="134">
        <v>4</v>
      </c>
      <c r="D428" s="134">
        <v>40</v>
      </c>
      <c r="E428" s="134" t="s">
        <v>1791</v>
      </c>
      <c r="F428" s="134" t="s">
        <v>809</v>
      </c>
      <c r="G428" s="195"/>
      <c r="H428" s="195">
        <v>-45.34</v>
      </c>
    </row>
    <row r="429" spans="1:8" s="458" customFormat="1">
      <c r="A429" s="134" t="s">
        <v>808</v>
      </c>
      <c r="B429" s="134">
        <v>2018</v>
      </c>
      <c r="C429" s="134">
        <v>4</v>
      </c>
      <c r="D429" s="134">
        <v>40</v>
      </c>
      <c r="E429" s="134" t="s">
        <v>1791</v>
      </c>
      <c r="F429" s="134" t="s">
        <v>809</v>
      </c>
      <c r="G429" s="195"/>
      <c r="H429" s="195">
        <v>90.67</v>
      </c>
    </row>
    <row r="430" spans="1:8" s="458" customFormat="1">
      <c r="A430" s="134" t="s">
        <v>808</v>
      </c>
      <c r="B430" s="134">
        <v>2018</v>
      </c>
      <c r="C430" s="134">
        <v>4</v>
      </c>
      <c r="D430" s="134">
        <v>41</v>
      </c>
      <c r="E430" s="134" t="s">
        <v>1792</v>
      </c>
      <c r="F430" s="134" t="s">
        <v>809</v>
      </c>
      <c r="G430" s="195"/>
      <c r="H430" s="195">
        <v>21.24</v>
      </c>
    </row>
    <row r="431" spans="1:8" s="458" customFormat="1">
      <c r="A431" s="134" t="s">
        <v>808</v>
      </c>
      <c r="B431" s="134">
        <v>2018</v>
      </c>
      <c r="C431" s="134">
        <v>4</v>
      </c>
      <c r="D431" s="134">
        <v>41</v>
      </c>
      <c r="E431" s="134" t="s">
        <v>1792</v>
      </c>
      <c r="F431" s="134" t="s">
        <v>809</v>
      </c>
      <c r="G431" s="195"/>
      <c r="H431" s="195">
        <v>35.06</v>
      </c>
    </row>
    <row r="432" spans="1:8" s="458" customFormat="1">
      <c r="A432" s="134" t="s">
        <v>808</v>
      </c>
      <c r="B432" s="134">
        <v>2018</v>
      </c>
      <c r="C432" s="134">
        <v>4</v>
      </c>
      <c r="D432" s="134">
        <v>41</v>
      </c>
      <c r="E432" s="134" t="s">
        <v>1792</v>
      </c>
      <c r="F432" s="134" t="s">
        <v>809</v>
      </c>
      <c r="G432" s="195"/>
      <c r="H432" s="195">
        <v>70.03</v>
      </c>
    </row>
    <row r="433" spans="1:8" s="458" customFormat="1">
      <c r="A433" s="134" t="s">
        <v>808</v>
      </c>
      <c r="B433" s="134">
        <v>2018</v>
      </c>
      <c r="C433" s="134">
        <v>4</v>
      </c>
      <c r="D433" s="134">
        <v>41</v>
      </c>
      <c r="E433" s="134" t="s">
        <v>1792</v>
      </c>
      <c r="F433" s="134" t="s">
        <v>809</v>
      </c>
      <c r="G433" s="195"/>
      <c r="H433" s="195">
        <v>7.35</v>
      </c>
    </row>
    <row r="434" spans="1:8" s="458" customFormat="1">
      <c r="A434" s="134" t="s">
        <v>808</v>
      </c>
      <c r="B434" s="134">
        <v>2018</v>
      </c>
      <c r="C434" s="134">
        <v>4</v>
      </c>
      <c r="D434" s="134">
        <v>38</v>
      </c>
      <c r="E434" s="134" t="s">
        <v>1793</v>
      </c>
      <c r="F434" s="134" t="s">
        <v>809</v>
      </c>
      <c r="G434" s="195"/>
      <c r="H434" s="195">
        <v>130.99</v>
      </c>
    </row>
    <row r="435" spans="1:8" s="458" customFormat="1">
      <c r="A435" s="134" t="s">
        <v>808</v>
      </c>
      <c r="B435" s="134">
        <v>2018</v>
      </c>
      <c r="C435" s="134">
        <v>4</v>
      </c>
      <c r="D435" s="134">
        <v>38</v>
      </c>
      <c r="E435" s="134" t="s">
        <v>1793</v>
      </c>
      <c r="F435" s="134" t="s">
        <v>809</v>
      </c>
      <c r="G435" s="195"/>
      <c r="H435" s="195">
        <v>216.17</v>
      </c>
    </row>
    <row r="436" spans="1:8" s="458" customFormat="1">
      <c r="A436" s="134" t="s">
        <v>808</v>
      </c>
      <c r="B436" s="134">
        <v>2018</v>
      </c>
      <c r="C436" s="134">
        <v>4</v>
      </c>
      <c r="D436" s="134">
        <v>38</v>
      </c>
      <c r="E436" s="134" t="s">
        <v>1793</v>
      </c>
      <c r="F436" s="134" t="s">
        <v>809</v>
      </c>
      <c r="G436" s="195"/>
      <c r="H436" s="195">
        <v>431.87</v>
      </c>
    </row>
    <row r="437" spans="1:8" s="458" customFormat="1">
      <c r="A437" s="134" t="s">
        <v>808</v>
      </c>
      <c r="B437" s="134">
        <v>2018</v>
      </c>
      <c r="C437" s="134">
        <v>4</v>
      </c>
      <c r="D437" s="134">
        <v>38</v>
      </c>
      <c r="E437" s="134" t="s">
        <v>1793</v>
      </c>
      <c r="F437" s="134" t="s">
        <v>809</v>
      </c>
      <c r="G437" s="195"/>
      <c r="H437" s="195">
        <v>45.34</v>
      </c>
    </row>
    <row r="438" spans="1:8" s="458" customFormat="1">
      <c r="A438" s="134" t="s">
        <v>808</v>
      </c>
      <c r="B438" s="134">
        <v>2018</v>
      </c>
      <c r="C438" s="134">
        <v>4</v>
      </c>
      <c r="D438" s="134">
        <v>11</v>
      </c>
      <c r="E438" s="134" t="s">
        <v>1794</v>
      </c>
      <c r="F438" s="134" t="s">
        <v>807</v>
      </c>
      <c r="G438" s="195"/>
      <c r="H438" s="195">
        <v>-57834.18</v>
      </c>
    </row>
    <row r="439" spans="1:8" s="458" customFormat="1">
      <c r="A439" s="134" t="s">
        <v>808</v>
      </c>
      <c r="B439" s="134">
        <v>2018</v>
      </c>
      <c r="C439" s="134">
        <v>4</v>
      </c>
      <c r="D439" s="134">
        <v>11</v>
      </c>
      <c r="E439" s="134" t="s">
        <v>1794</v>
      </c>
      <c r="F439" s="134" t="s">
        <v>810</v>
      </c>
      <c r="G439" s="195"/>
      <c r="H439" s="195">
        <v>-5988</v>
      </c>
    </row>
    <row r="440" spans="1:8" s="458" customFormat="1">
      <c r="A440" s="134" t="s">
        <v>808</v>
      </c>
      <c r="B440" s="134">
        <v>2018</v>
      </c>
      <c r="C440" s="134">
        <v>4</v>
      </c>
      <c r="D440" s="134">
        <v>45</v>
      </c>
      <c r="E440" s="134" t="s">
        <v>1795</v>
      </c>
      <c r="F440" s="134" t="s">
        <v>809</v>
      </c>
      <c r="G440" s="195"/>
      <c r="H440" s="195">
        <v>57834.18</v>
      </c>
    </row>
    <row r="441" spans="1:8" s="458" customFormat="1">
      <c r="A441" s="134" t="s">
        <v>808</v>
      </c>
      <c r="B441" s="134">
        <v>2018</v>
      </c>
      <c r="C441" s="134">
        <v>4</v>
      </c>
      <c r="D441" s="134">
        <v>45</v>
      </c>
      <c r="E441" s="134" t="s">
        <v>1795</v>
      </c>
      <c r="F441" s="134" t="s">
        <v>809</v>
      </c>
      <c r="G441" s="195"/>
      <c r="H441" s="195">
        <v>5988</v>
      </c>
    </row>
    <row r="442" spans="1:8" s="458" customFormat="1">
      <c r="A442" s="134" t="s">
        <v>808</v>
      </c>
      <c r="B442" s="134">
        <v>2019</v>
      </c>
      <c r="C442" s="134">
        <v>1</v>
      </c>
      <c r="D442" s="134">
        <v>8</v>
      </c>
      <c r="E442" s="134" t="s">
        <v>1743</v>
      </c>
      <c r="F442" s="134" t="s">
        <v>809</v>
      </c>
      <c r="G442" s="195">
        <v>-145841</v>
      </c>
      <c r="H442" s="195"/>
    </row>
    <row r="443" spans="1:8" s="458" customFormat="1">
      <c r="A443" s="134" t="s">
        <v>808</v>
      </c>
      <c r="B443" s="134">
        <v>2019</v>
      </c>
      <c r="C443" s="134">
        <v>1</v>
      </c>
      <c r="D443" s="134">
        <v>8</v>
      </c>
      <c r="E443" s="134" t="s">
        <v>1743</v>
      </c>
      <c r="F443" s="134" t="s">
        <v>809</v>
      </c>
      <c r="G443" s="195"/>
      <c r="H443" s="195">
        <v>-72920</v>
      </c>
    </row>
    <row r="444" spans="1:8" s="458" customFormat="1">
      <c r="A444" s="134" t="s">
        <v>808</v>
      </c>
      <c r="B444" s="134">
        <v>2019</v>
      </c>
      <c r="C444" s="134">
        <v>1</v>
      </c>
      <c r="D444" s="134">
        <v>17</v>
      </c>
      <c r="E444" s="134" t="s">
        <v>1745</v>
      </c>
      <c r="F444" s="134" t="s">
        <v>809</v>
      </c>
      <c r="G444" s="195">
        <v>80188</v>
      </c>
      <c r="H444" s="195"/>
    </row>
    <row r="445" spans="1:8" s="458" customFormat="1">
      <c r="A445" s="134" t="s">
        <v>808</v>
      </c>
      <c r="B445" s="134">
        <v>2019</v>
      </c>
      <c r="C445" s="134">
        <v>1</v>
      </c>
      <c r="D445" s="134">
        <v>17</v>
      </c>
      <c r="E445" s="134" t="s">
        <v>1746</v>
      </c>
      <c r="F445" s="134" t="s">
        <v>809</v>
      </c>
      <c r="G445" s="195"/>
      <c r="H445" s="195">
        <v>432.8</v>
      </c>
    </row>
    <row r="446" spans="1:8" s="458" customFormat="1">
      <c r="A446" s="134" t="s">
        <v>808</v>
      </c>
      <c r="B446" s="134">
        <v>2019</v>
      </c>
      <c r="C446" s="134">
        <v>1</v>
      </c>
      <c r="D446" s="134">
        <v>17</v>
      </c>
      <c r="E446" s="134" t="s">
        <v>1746</v>
      </c>
      <c r="F446" s="134" t="s">
        <v>809</v>
      </c>
      <c r="G446" s="195"/>
      <c r="H446" s="195">
        <v>216.4</v>
      </c>
    </row>
    <row r="447" spans="1:8" s="458" customFormat="1">
      <c r="A447" s="134" t="s">
        <v>808</v>
      </c>
      <c r="B447" s="134">
        <v>2019</v>
      </c>
      <c r="C447" s="134">
        <v>1</v>
      </c>
      <c r="D447" s="134">
        <v>17</v>
      </c>
      <c r="E447" s="134" t="s">
        <v>1746</v>
      </c>
      <c r="F447" s="134" t="s">
        <v>809</v>
      </c>
      <c r="G447" s="195"/>
      <c r="H447" s="195">
        <v>173.12</v>
      </c>
    </row>
    <row r="448" spans="1:8" s="458" customFormat="1">
      <c r="A448" s="134" t="s">
        <v>808</v>
      </c>
      <c r="B448" s="134">
        <v>2019</v>
      </c>
      <c r="C448" s="134">
        <v>1</v>
      </c>
      <c r="D448" s="134">
        <v>17</v>
      </c>
      <c r="E448" s="134" t="s">
        <v>1746</v>
      </c>
      <c r="F448" s="134" t="s">
        <v>809</v>
      </c>
      <c r="G448" s="195"/>
      <c r="H448" s="195">
        <v>56.81</v>
      </c>
    </row>
    <row r="449" spans="1:8" s="458" customFormat="1">
      <c r="A449" s="134" t="s">
        <v>808</v>
      </c>
      <c r="B449" s="134">
        <v>2019</v>
      </c>
      <c r="C449" s="134">
        <v>1</v>
      </c>
      <c r="D449" s="134">
        <v>17</v>
      </c>
      <c r="E449" s="134" t="s">
        <v>1746</v>
      </c>
      <c r="F449" s="134" t="s">
        <v>809</v>
      </c>
      <c r="G449" s="195"/>
      <c r="H449" s="195">
        <v>54.1</v>
      </c>
    </row>
    <row r="450" spans="1:8" s="458" customFormat="1">
      <c r="A450" s="134" t="s">
        <v>808</v>
      </c>
      <c r="B450" s="134">
        <v>2019</v>
      </c>
      <c r="C450" s="134">
        <v>1</v>
      </c>
      <c r="D450" s="134">
        <v>17</v>
      </c>
      <c r="E450" s="134" t="s">
        <v>1746</v>
      </c>
      <c r="F450" s="134" t="s">
        <v>809</v>
      </c>
      <c r="G450" s="195"/>
      <c r="H450" s="195">
        <v>100.09</v>
      </c>
    </row>
    <row r="451" spans="1:8" s="458" customFormat="1">
      <c r="A451" s="134" t="s">
        <v>808</v>
      </c>
      <c r="B451" s="134">
        <v>2019</v>
      </c>
      <c r="C451" s="134">
        <v>1</v>
      </c>
      <c r="D451" s="134">
        <v>17</v>
      </c>
      <c r="E451" s="134" t="s">
        <v>1746</v>
      </c>
      <c r="F451" s="134" t="s">
        <v>809</v>
      </c>
      <c r="G451" s="195"/>
      <c r="H451" s="195">
        <v>189.35</v>
      </c>
    </row>
    <row r="452" spans="1:8" s="458" customFormat="1">
      <c r="A452" s="134" t="s">
        <v>808</v>
      </c>
      <c r="B452" s="134">
        <v>2019</v>
      </c>
      <c r="C452" s="134">
        <v>1</v>
      </c>
      <c r="D452" s="134">
        <v>17</v>
      </c>
      <c r="E452" s="134" t="s">
        <v>1746</v>
      </c>
      <c r="F452" s="134" t="s">
        <v>809</v>
      </c>
      <c r="G452" s="195"/>
      <c r="H452" s="195">
        <v>183.94</v>
      </c>
    </row>
    <row r="453" spans="1:8" s="458" customFormat="1">
      <c r="A453" s="134" t="s">
        <v>808</v>
      </c>
      <c r="B453" s="134">
        <v>2019</v>
      </c>
      <c r="C453" s="134">
        <v>1</v>
      </c>
      <c r="D453" s="134">
        <v>17</v>
      </c>
      <c r="E453" s="134" t="s">
        <v>1746</v>
      </c>
      <c r="F453" s="134" t="s">
        <v>809</v>
      </c>
      <c r="G453" s="195"/>
      <c r="H453" s="195">
        <v>129.84</v>
      </c>
    </row>
    <row r="454" spans="1:8" s="458" customFormat="1">
      <c r="A454" s="134" t="s">
        <v>808</v>
      </c>
      <c r="B454" s="134">
        <v>2019</v>
      </c>
      <c r="C454" s="134">
        <v>1</v>
      </c>
      <c r="D454" s="134">
        <v>17</v>
      </c>
      <c r="E454" s="134" t="s">
        <v>1746</v>
      </c>
      <c r="F454" s="134" t="s">
        <v>809</v>
      </c>
      <c r="G454" s="195"/>
      <c r="H454" s="195">
        <v>0</v>
      </c>
    </row>
    <row r="455" spans="1:8" s="458" customFormat="1">
      <c r="A455" s="134" t="s">
        <v>808</v>
      </c>
      <c r="B455" s="134">
        <v>2019</v>
      </c>
      <c r="C455" s="134">
        <v>1</v>
      </c>
      <c r="D455" s="134">
        <v>17</v>
      </c>
      <c r="E455" s="134" t="s">
        <v>1746</v>
      </c>
      <c r="F455" s="134" t="s">
        <v>809</v>
      </c>
      <c r="G455" s="195"/>
      <c r="H455" s="195">
        <v>443.62</v>
      </c>
    </row>
    <row r="456" spans="1:8" s="458" customFormat="1">
      <c r="A456" s="134" t="s">
        <v>808</v>
      </c>
      <c r="B456" s="134">
        <v>2019</v>
      </c>
      <c r="C456" s="134">
        <v>1</v>
      </c>
      <c r="D456" s="134">
        <v>17</v>
      </c>
      <c r="E456" s="134" t="s">
        <v>1746</v>
      </c>
      <c r="F456" s="134" t="s">
        <v>809</v>
      </c>
      <c r="G456" s="195"/>
      <c r="H456" s="195">
        <v>476.08</v>
      </c>
    </row>
    <row r="457" spans="1:8" s="458" customFormat="1">
      <c r="A457" s="134" t="s">
        <v>808</v>
      </c>
      <c r="B457" s="134">
        <v>2019</v>
      </c>
      <c r="C457" s="134">
        <v>1</v>
      </c>
      <c r="D457" s="134">
        <v>17</v>
      </c>
      <c r="E457" s="134" t="s">
        <v>1746</v>
      </c>
      <c r="F457" s="134" t="s">
        <v>809</v>
      </c>
      <c r="G457" s="195"/>
      <c r="H457" s="195">
        <v>505.84</v>
      </c>
    </row>
    <row r="458" spans="1:8" s="458" customFormat="1">
      <c r="A458" s="134" t="s">
        <v>808</v>
      </c>
      <c r="B458" s="134">
        <v>2019</v>
      </c>
      <c r="C458" s="134">
        <v>1</v>
      </c>
      <c r="D458" s="134">
        <v>17</v>
      </c>
      <c r="E458" s="134" t="s">
        <v>1746</v>
      </c>
      <c r="F458" s="134" t="s">
        <v>809</v>
      </c>
      <c r="G458" s="195"/>
      <c r="H458" s="195">
        <v>432.8</v>
      </c>
    </row>
    <row r="459" spans="1:8" s="458" customFormat="1">
      <c r="A459" s="134" t="s">
        <v>808</v>
      </c>
      <c r="B459" s="134">
        <v>2019</v>
      </c>
      <c r="C459" s="134">
        <v>1</v>
      </c>
      <c r="D459" s="134">
        <v>17</v>
      </c>
      <c r="E459" s="134" t="s">
        <v>1746</v>
      </c>
      <c r="F459" s="134" t="s">
        <v>809</v>
      </c>
      <c r="G459" s="195"/>
      <c r="H459" s="195">
        <v>21.64</v>
      </c>
    </row>
    <row r="460" spans="1:8" s="458" customFormat="1">
      <c r="A460" s="134" t="s">
        <v>808</v>
      </c>
      <c r="B460" s="134">
        <v>2019</v>
      </c>
      <c r="C460" s="134">
        <v>1</v>
      </c>
      <c r="D460" s="134">
        <v>17</v>
      </c>
      <c r="E460" s="134" t="s">
        <v>1746</v>
      </c>
      <c r="F460" s="134" t="s">
        <v>809</v>
      </c>
      <c r="G460" s="195"/>
      <c r="H460" s="195">
        <v>27.05</v>
      </c>
    </row>
    <row r="461" spans="1:8" s="458" customFormat="1">
      <c r="A461" s="134" t="s">
        <v>808</v>
      </c>
      <c r="B461" s="134">
        <v>2019</v>
      </c>
      <c r="C461" s="134">
        <v>1</v>
      </c>
      <c r="D461" s="134">
        <v>17</v>
      </c>
      <c r="E461" s="134" t="s">
        <v>1746</v>
      </c>
      <c r="F461" s="134" t="s">
        <v>809</v>
      </c>
      <c r="G461" s="195"/>
      <c r="H461" s="195">
        <v>59.51</v>
      </c>
    </row>
    <row r="462" spans="1:8" s="458" customFormat="1">
      <c r="A462" s="134" t="s">
        <v>808</v>
      </c>
      <c r="B462" s="134">
        <v>2019</v>
      </c>
      <c r="C462" s="134">
        <v>1</v>
      </c>
      <c r="D462" s="134">
        <v>17</v>
      </c>
      <c r="E462" s="134" t="s">
        <v>1746</v>
      </c>
      <c r="F462" s="134" t="s">
        <v>809</v>
      </c>
      <c r="G462" s="195"/>
      <c r="H462" s="195">
        <v>100.09</v>
      </c>
    </row>
    <row r="463" spans="1:8" s="458" customFormat="1">
      <c r="A463" s="134" t="s">
        <v>808</v>
      </c>
      <c r="B463" s="134">
        <v>2019</v>
      </c>
      <c r="C463" s="134">
        <v>1</v>
      </c>
      <c r="D463" s="134">
        <v>17</v>
      </c>
      <c r="E463" s="134" t="s">
        <v>1746</v>
      </c>
      <c r="F463" s="134" t="s">
        <v>809</v>
      </c>
      <c r="G463" s="195"/>
      <c r="H463" s="195">
        <v>24.35</v>
      </c>
    </row>
    <row r="464" spans="1:8" s="458" customFormat="1">
      <c r="A464" s="134" t="s">
        <v>808</v>
      </c>
      <c r="B464" s="134">
        <v>2019</v>
      </c>
      <c r="C464" s="134">
        <v>1</v>
      </c>
      <c r="D464" s="134">
        <v>17</v>
      </c>
      <c r="E464" s="134" t="s">
        <v>1746</v>
      </c>
      <c r="F464" s="134" t="s">
        <v>809</v>
      </c>
      <c r="G464" s="195"/>
      <c r="H464" s="195">
        <v>48.69</v>
      </c>
    </row>
    <row r="465" spans="1:8" s="458" customFormat="1">
      <c r="A465" s="134" t="s">
        <v>808</v>
      </c>
      <c r="B465" s="134">
        <v>2019</v>
      </c>
      <c r="C465" s="134">
        <v>1</v>
      </c>
      <c r="D465" s="134">
        <v>17</v>
      </c>
      <c r="E465" s="134" t="s">
        <v>1746</v>
      </c>
      <c r="F465" s="134" t="s">
        <v>809</v>
      </c>
      <c r="G465" s="195"/>
      <c r="H465" s="195">
        <v>21.64</v>
      </c>
    </row>
    <row r="466" spans="1:8" s="458" customFormat="1">
      <c r="A466" s="134" t="s">
        <v>808</v>
      </c>
      <c r="B466" s="134">
        <v>2019</v>
      </c>
      <c r="C466" s="134">
        <v>1</v>
      </c>
      <c r="D466" s="134">
        <v>17</v>
      </c>
      <c r="E466" s="134" t="s">
        <v>1746</v>
      </c>
      <c r="F466" s="134" t="s">
        <v>809</v>
      </c>
      <c r="G466" s="195"/>
      <c r="H466" s="195">
        <v>5.41</v>
      </c>
    </row>
    <row r="467" spans="1:8" s="458" customFormat="1">
      <c r="A467" s="134" t="s">
        <v>808</v>
      </c>
      <c r="B467" s="134">
        <v>2019</v>
      </c>
      <c r="C467" s="134">
        <v>1</v>
      </c>
      <c r="D467" s="134">
        <v>17</v>
      </c>
      <c r="E467" s="134" t="s">
        <v>1746</v>
      </c>
      <c r="F467" s="134" t="s">
        <v>809</v>
      </c>
      <c r="G467" s="195"/>
      <c r="H467" s="195">
        <v>32.46</v>
      </c>
    </row>
    <row r="468" spans="1:8" s="458" customFormat="1">
      <c r="A468" s="134" t="s">
        <v>808</v>
      </c>
      <c r="B468" s="134">
        <v>2019</v>
      </c>
      <c r="C468" s="134">
        <v>1</v>
      </c>
      <c r="D468" s="134">
        <v>17</v>
      </c>
      <c r="E468" s="134" t="s">
        <v>1746</v>
      </c>
      <c r="F468" s="134" t="s">
        <v>809</v>
      </c>
      <c r="G468" s="195"/>
      <c r="H468" s="195">
        <v>116.32</v>
      </c>
    </row>
    <row r="469" spans="1:8" s="458" customFormat="1">
      <c r="A469" s="134" t="s">
        <v>808</v>
      </c>
      <c r="B469" s="134">
        <v>2019</v>
      </c>
      <c r="C469" s="134">
        <v>1</v>
      </c>
      <c r="D469" s="134">
        <v>17</v>
      </c>
      <c r="E469" s="134" t="s">
        <v>1746</v>
      </c>
      <c r="F469" s="134" t="s">
        <v>809</v>
      </c>
      <c r="G469" s="195"/>
      <c r="H469" s="195">
        <v>94.68</v>
      </c>
    </row>
    <row r="470" spans="1:8" s="458" customFormat="1">
      <c r="A470" s="134" t="s">
        <v>808</v>
      </c>
      <c r="B470" s="134">
        <v>2019</v>
      </c>
      <c r="C470" s="134">
        <v>1</v>
      </c>
      <c r="D470" s="134">
        <v>17</v>
      </c>
      <c r="E470" s="134" t="s">
        <v>1746</v>
      </c>
      <c r="F470" s="134" t="s">
        <v>809</v>
      </c>
      <c r="G470" s="195"/>
      <c r="H470" s="195">
        <v>238.04</v>
      </c>
    </row>
    <row r="471" spans="1:8" s="458" customFormat="1">
      <c r="A471" s="134" t="s">
        <v>808</v>
      </c>
      <c r="B471" s="134">
        <v>2019</v>
      </c>
      <c r="C471" s="134">
        <v>1</v>
      </c>
      <c r="D471" s="134">
        <v>17</v>
      </c>
      <c r="E471" s="134" t="s">
        <v>1746</v>
      </c>
      <c r="F471" s="134" t="s">
        <v>809</v>
      </c>
      <c r="G471" s="195"/>
      <c r="H471" s="195">
        <v>129.84</v>
      </c>
    </row>
    <row r="472" spans="1:8" s="458" customFormat="1">
      <c r="A472" s="134" t="s">
        <v>808</v>
      </c>
      <c r="B472" s="134">
        <v>2019</v>
      </c>
      <c r="C472" s="134">
        <v>1</v>
      </c>
      <c r="D472" s="134">
        <v>17</v>
      </c>
      <c r="E472" s="134" t="s">
        <v>1746</v>
      </c>
      <c r="F472" s="134" t="s">
        <v>809</v>
      </c>
      <c r="G472" s="195"/>
      <c r="H472" s="195">
        <v>64.92</v>
      </c>
    </row>
    <row r="473" spans="1:8" s="458" customFormat="1">
      <c r="A473" s="134" t="s">
        <v>808</v>
      </c>
      <c r="B473" s="134">
        <v>2019</v>
      </c>
      <c r="C473" s="134">
        <v>1</v>
      </c>
      <c r="D473" s="134">
        <v>17</v>
      </c>
      <c r="E473" s="134" t="s">
        <v>1746</v>
      </c>
      <c r="F473" s="134" t="s">
        <v>809</v>
      </c>
      <c r="G473" s="195"/>
      <c r="H473" s="195">
        <v>140.66</v>
      </c>
    </row>
    <row r="474" spans="1:8" s="458" customFormat="1">
      <c r="A474" s="134" t="s">
        <v>808</v>
      </c>
      <c r="B474" s="134">
        <v>2019</v>
      </c>
      <c r="C474" s="134">
        <v>1</v>
      </c>
      <c r="D474" s="134">
        <v>17</v>
      </c>
      <c r="E474" s="134" t="s">
        <v>1746</v>
      </c>
      <c r="F474" s="134" t="s">
        <v>809</v>
      </c>
      <c r="G474" s="195"/>
      <c r="H474" s="195">
        <v>227.22</v>
      </c>
    </row>
    <row r="475" spans="1:8" s="458" customFormat="1">
      <c r="A475" s="134" t="s">
        <v>808</v>
      </c>
      <c r="B475" s="134">
        <v>2019</v>
      </c>
      <c r="C475" s="134">
        <v>1</v>
      </c>
      <c r="D475" s="134">
        <v>17</v>
      </c>
      <c r="E475" s="134" t="s">
        <v>1746</v>
      </c>
      <c r="F475" s="134" t="s">
        <v>809</v>
      </c>
      <c r="G475" s="195"/>
      <c r="H475" s="195">
        <v>183.94</v>
      </c>
    </row>
    <row r="476" spans="1:8" s="458" customFormat="1">
      <c r="A476" s="134" t="s">
        <v>808</v>
      </c>
      <c r="B476" s="134">
        <v>2019</v>
      </c>
      <c r="C476" s="134">
        <v>1</v>
      </c>
      <c r="D476" s="134">
        <v>17</v>
      </c>
      <c r="E476" s="134" t="s">
        <v>1746</v>
      </c>
      <c r="F476" s="134" t="s">
        <v>809</v>
      </c>
      <c r="G476" s="195"/>
      <c r="H476" s="195">
        <v>78.45</v>
      </c>
    </row>
    <row r="477" spans="1:8" s="458" customFormat="1">
      <c r="A477" s="134" t="s">
        <v>808</v>
      </c>
      <c r="B477" s="134">
        <v>2019</v>
      </c>
      <c r="C477" s="134">
        <v>1</v>
      </c>
      <c r="D477" s="134">
        <v>17</v>
      </c>
      <c r="E477" s="134" t="s">
        <v>1746</v>
      </c>
      <c r="F477" s="134" t="s">
        <v>809</v>
      </c>
      <c r="G477" s="195"/>
      <c r="H477" s="195">
        <v>54.1</v>
      </c>
    </row>
    <row r="478" spans="1:8" s="458" customFormat="1">
      <c r="A478" s="134" t="s">
        <v>808</v>
      </c>
      <c r="B478" s="134">
        <v>2019</v>
      </c>
      <c r="C478" s="134">
        <v>1</v>
      </c>
      <c r="D478" s="134">
        <v>17</v>
      </c>
      <c r="E478" s="134" t="s">
        <v>1746</v>
      </c>
      <c r="F478" s="134" t="s">
        <v>809</v>
      </c>
      <c r="G478" s="195"/>
      <c r="H478" s="195">
        <v>-474</v>
      </c>
    </row>
    <row r="479" spans="1:8" s="458" customFormat="1">
      <c r="A479" s="134" t="s">
        <v>808</v>
      </c>
      <c r="B479" s="134">
        <v>2019</v>
      </c>
      <c r="C479" s="134">
        <v>1</v>
      </c>
      <c r="D479" s="134">
        <v>17</v>
      </c>
      <c r="E479" s="134" t="s">
        <v>1746</v>
      </c>
      <c r="F479" s="134" t="s">
        <v>809</v>
      </c>
      <c r="G479" s="195"/>
      <c r="H479" s="195">
        <v>474</v>
      </c>
    </row>
    <row r="480" spans="1:8" s="458" customFormat="1">
      <c r="A480" s="134" t="s">
        <v>808</v>
      </c>
      <c r="B480" s="134">
        <v>2019</v>
      </c>
      <c r="C480" s="134">
        <v>1</v>
      </c>
      <c r="D480" s="134">
        <v>17</v>
      </c>
      <c r="E480" s="134" t="s">
        <v>1746</v>
      </c>
      <c r="F480" s="134" t="s">
        <v>809</v>
      </c>
      <c r="G480" s="195"/>
      <c r="H480" s="195">
        <v>163.19999999999999</v>
      </c>
    </row>
    <row r="481" spans="1:8" s="458" customFormat="1">
      <c r="A481" s="134" t="s">
        <v>808</v>
      </c>
      <c r="B481" s="134">
        <v>2019</v>
      </c>
      <c r="C481" s="134">
        <v>1</v>
      </c>
      <c r="D481" s="134">
        <v>17</v>
      </c>
      <c r="E481" s="134" t="s">
        <v>1746</v>
      </c>
      <c r="F481" s="134" t="s">
        <v>809</v>
      </c>
      <c r="G481" s="195"/>
      <c r="H481" s="195">
        <v>367.2</v>
      </c>
    </row>
    <row r="482" spans="1:8" s="458" customFormat="1">
      <c r="A482" s="134" t="s">
        <v>808</v>
      </c>
      <c r="B482" s="134">
        <v>2019</v>
      </c>
      <c r="C482" s="134">
        <v>1</v>
      </c>
      <c r="D482" s="134">
        <v>17</v>
      </c>
      <c r="E482" s="134" t="s">
        <v>1746</v>
      </c>
      <c r="F482" s="134" t="s">
        <v>809</v>
      </c>
      <c r="G482" s="195"/>
      <c r="H482" s="195">
        <v>224.93</v>
      </c>
    </row>
    <row r="483" spans="1:8" s="458" customFormat="1">
      <c r="A483" s="134" t="s">
        <v>808</v>
      </c>
      <c r="B483" s="134">
        <v>2019</v>
      </c>
      <c r="C483" s="134">
        <v>1</v>
      </c>
      <c r="D483" s="134">
        <v>20</v>
      </c>
      <c r="E483" s="134" t="s">
        <v>1749</v>
      </c>
      <c r="F483" s="134" t="s">
        <v>809</v>
      </c>
      <c r="G483" s="195">
        <v>802</v>
      </c>
      <c r="H483" s="195"/>
    </row>
    <row r="484" spans="1:8" s="458" customFormat="1">
      <c r="A484" s="134" t="s">
        <v>808</v>
      </c>
      <c r="B484" s="134">
        <v>2019</v>
      </c>
      <c r="C484" s="134">
        <v>1</v>
      </c>
      <c r="D484" s="134">
        <v>20</v>
      </c>
      <c r="E484" s="134" t="s">
        <v>1750</v>
      </c>
      <c r="F484" s="134" t="s">
        <v>809</v>
      </c>
      <c r="G484" s="195"/>
      <c r="H484" s="195">
        <v>14.15</v>
      </c>
    </row>
    <row r="485" spans="1:8" s="458" customFormat="1">
      <c r="A485" s="134" t="s">
        <v>808</v>
      </c>
      <c r="B485" s="134">
        <v>2019</v>
      </c>
      <c r="C485" s="134">
        <v>1</v>
      </c>
      <c r="D485" s="134">
        <v>20</v>
      </c>
      <c r="E485" s="134" t="s">
        <v>1750</v>
      </c>
      <c r="F485" s="134" t="s">
        <v>809</v>
      </c>
      <c r="G485" s="195"/>
      <c r="H485" s="195">
        <v>10.76</v>
      </c>
    </row>
    <row r="486" spans="1:8" s="458" customFormat="1">
      <c r="A486" s="134" t="s">
        <v>808</v>
      </c>
      <c r="B486" s="134">
        <v>2019</v>
      </c>
      <c r="C486" s="134">
        <v>1</v>
      </c>
      <c r="D486" s="134">
        <v>20</v>
      </c>
      <c r="E486" s="134" t="s">
        <v>1750</v>
      </c>
      <c r="F486" s="134" t="s">
        <v>809</v>
      </c>
      <c r="G486" s="195"/>
      <c r="H486" s="195">
        <v>21.65</v>
      </c>
    </row>
    <row r="487" spans="1:8" s="458" customFormat="1">
      <c r="A487" s="134" t="s">
        <v>808</v>
      </c>
      <c r="B487" s="134">
        <v>2019</v>
      </c>
      <c r="C487" s="134">
        <v>1</v>
      </c>
      <c r="D487" s="134">
        <v>23</v>
      </c>
      <c r="E487" s="134" t="s">
        <v>1752</v>
      </c>
      <c r="F487" s="134" t="s">
        <v>809</v>
      </c>
      <c r="G487" s="195">
        <v>44065</v>
      </c>
      <c r="H487" s="195"/>
    </row>
    <row r="488" spans="1:8" s="458" customFormat="1">
      <c r="A488" s="134" t="s">
        <v>808</v>
      </c>
      <c r="B488" s="134">
        <v>2019</v>
      </c>
      <c r="C488" s="134">
        <v>1</v>
      </c>
      <c r="D488" s="134">
        <v>28</v>
      </c>
      <c r="E488" s="134" t="s">
        <v>1756</v>
      </c>
      <c r="F488" s="134" t="s">
        <v>809</v>
      </c>
      <c r="G488" s="195"/>
      <c r="H488" s="195">
        <v>2.4300000000000002</v>
      </c>
    </row>
    <row r="489" spans="1:8" s="458" customFormat="1">
      <c r="A489" s="134" t="s">
        <v>808</v>
      </c>
      <c r="B489" s="134">
        <v>2019</v>
      </c>
      <c r="C489" s="134">
        <v>1</v>
      </c>
      <c r="D489" s="134">
        <v>25</v>
      </c>
      <c r="E489" s="134" t="s">
        <v>1760</v>
      </c>
      <c r="F489" s="134" t="s">
        <v>809</v>
      </c>
      <c r="G489" s="195"/>
      <c r="H489" s="195"/>
    </row>
    <row r="490" spans="1:8" s="458" customFormat="1">
      <c r="A490" s="134" t="s">
        <v>808</v>
      </c>
      <c r="B490" s="134">
        <v>2019</v>
      </c>
      <c r="C490" s="134">
        <v>1</v>
      </c>
      <c r="D490" s="134">
        <v>25</v>
      </c>
      <c r="E490" s="134" t="s">
        <v>1760</v>
      </c>
      <c r="F490" s="134" t="s">
        <v>809</v>
      </c>
      <c r="G490" s="195"/>
      <c r="H490" s="195">
        <v>58.08</v>
      </c>
    </row>
    <row r="491" spans="1:8" s="458" customFormat="1">
      <c r="A491" s="134" t="s">
        <v>808</v>
      </c>
      <c r="B491" s="134">
        <v>2019</v>
      </c>
      <c r="C491" s="134">
        <v>1</v>
      </c>
      <c r="D491" s="134">
        <v>25</v>
      </c>
      <c r="E491" s="134" t="s">
        <v>1760</v>
      </c>
      <c r="F491" s="134" t="s">
        <v>809</v>
      </c>
      <c r="G491" s="195"/>
      <c r="H491" s="195"/>
    </row>
    <row r="492" spans="1:8" s="458" customFormat="1">
      <c r="A492" s="134" t="s">
        <v>808</v>
      </c>
      <c r="B492" s="134">
        <v>2019</v>
      </c>
      <c r="C492" s="134">
        <v>1</v>
      </c>
      <c r="D492" s="134">
        <v>25</v>
      </c>
      <c r="E492" s="134" t="s">
        <v>1760</v>
      </c>
      <c r="F492" s="134" t="s">
        <v>809</v>
      </c>
      <c r="G492" s="195"/>
      <c r="H492" s="195">
        <v>58.08</v>
      </c>
    </row>
    <row r="493" spans="1:8" s="458" customFormat="1">
      <c r="A493" s="134" t="s">
        <v>808</v>
      </c>
      <c r="B493" s="134">
        <v>2019</v>
      </c>
      <c r="C493" s="134">
        <v>1</v>
      </c>
      <c r="D493" s="134">
        <v>25</v>
      </c>
      <c r="E493" s="134" t="s">
        <v>1760</v>
      </c>
      <c r="F493" s="134" t="s">
        <v>809</v>
      </c>
      <c r="G493" s="195"/>
      <c r="H493" s="195"/>
    </row>
    <row r="494" spans="1:8" s="458" customFormat="1">
      <c r="A494" s="134" t="s">
        <v>808</v>
      </c>
      <c r="B494" s="134">
        <v>2019</v>
      </c>
      <c r="C494" s="134">
        <v>1</v>
      </c>
      <c r="D494" s="134">
        <v>25</v>
      </c>
      <c r="E494" s="134" t="s">
        <v>1760</v>
      </c>
      <c r="F494" s="134" t="s">
        <v>809</v>
      </c>
      <c r="G494" s="195"/>
      <c r="H494" s="195"/>
    </row>
    <row r="495" spans="1:8" s="458" customFormat="1">
      <c r="A495" s="134" t="s">
        <v>808</v>
      </c>
      <c r="B495" s="134">
        <v>2019</v>
      </c>
      <c r="C495" s="134">
        <v>1</v>
      </c>
      <c r="D495" s="134">
        <v>25</v>
      </c>
      <c r="E495" s="134" t="s">
        <v>1760</v>
      </c>
      <c r="F495" s="134" t="s">
        <v>809</v>
      </c>
      <c r="G495" s="195"/>
      <c r="H495" s="195">
        <v>58.08</v>
      </c>
    </row>
    <row r="496" spans="1:8" s="458" customFormat="1">
      <c r="A496" s="134" t="s">
        <v>808</v>
      </c>
      <c r="B496" s="134">
        <v>2019</v>
      </c>
      <c r="C496" s="134">
        <v>1</v>
      </c>
      <c r="D496" s="134">
        <v>29</v>
      </c>
      <c r="E496" s="134" t="s">
        <v>1771</v>
      </c>
      <c r="F496" s="134" t="s">
        <v>809</v>
      </c>
      <c r="G496" s="195"/>
      <c r="H496" s="195">
        <v>150</v>
      </c>
    </row>
    <row r="497" spans="1:8" s="458" customFormat="1">
      <c r="A497" s="134" t="s">
        <v>808</v>
      </c>
      <c r="B497" s="134">
        <v>2019</v>
      </c>
      <c r="C497" s="134">
        <v>1</v>
      </c>
      <c r="D497" s="134">
        <v>29</v>
      </c>
      <c r="E497" s="134" t="s">
        <v>1782</v>
      </c>
      <c r="F497" s="134" t="s">
        <v>809</v>
      </c>
      <c r="G497" s="195"/>
      <c r="H497" s="195">
        <v>-600</v>
      </c>
    </row>
    <row r="498" spans="1:8" s="458" customFormat="1">
      <c r="A498" s="134" t="s">
        <v>808</v>
      </c>
      <c r="B498" s="134">
        <v>2019</v>
      </c>
      <c r="C498" s="134">
        <v>1</v>
      </c>
      <c r="D498" s="134">
        <v>29</v>
      </c>
      <c r="E498" s="134" t="s">
        <v>1782</v>
      </c>
      <c r="F498" s="134" t="s">
        <v>809</v>
      </c>
      <c r="G498" s="195"/>
      <c r="H498" s="195">
        <v>600</v>
      </c>
    </row>
    <row r="499" spans="1:8" s="458" customFormat="1">
      <c r="A499" s="134" t="s">
        <v>808</v>
      </c>
      <c r="B499" s="134">
        <v>2019</v>
      </c>
      <c r="C499" s="134">
        <v>1</v>
      </c>
      <c r="D499" s="134">
        <v>29</v>
      </c>
      <c r="E499" s="134" t="s">
        <v>1782</v>
      </c>
      <c r="F499" s="134" t="s">
        <v>809</v>
      </c>
      <c r="G499" s="195"/>
      <c r="H499" s="195"/>
    </row>
    <row r="500" spans="1:8" s="458" customFormat="1">
      <c r="A500" s="134" t="s">
        <v>808</v>
      </c>
      <c r="B500" s="134">
        <v>2019</v>
      </c>
      <c r="C500" s="134">
        <v>1</v>
      </c>
      <c r="D500" s="134">
        <v>29</v>
      </c>
      <c r="E500" s="134" t="s">
        <v>1782</v>
      </c>
      <c r="F500" s="134" t="s">
        <v>809</v>
      </c>
      <c r="G500" s="195"/>
      <c r="H500" s="195"/>
    </row>
    <row r="501" spans="1:8" s="458" customFormat="1">
      <c r="A501" s="134" t="s">
        <v>808</v>
      </c>
      <c r="B501" s="134">
        <v>2019</v>
      </c>
      <c r="C501" s="134">
        <v>1</v>
      </c>
      <c r="D501" s="134">
        <v>29</v>
      </c>
      <c r="E501" s="134" t="s">
        <v>1782</v>
      </c>
      <c r="F501" s="134" t="s">
        <v>809</v>
      </c>
      <c r="G501" s="195"/>
      <c r="H501" s="195">
        <v>600</v>
      </c>
    </row>
    <row r="502" spans="1:8" s="458" customFormat="1">
      <c r="A502" s="134" t="s">
        <v>808</v>
      </c>
      <c r="B502" s="134">
        <v>2019</v>
      </c>
      <c r="C502" s="134">
        <v>1</v>
      </c>
      <c r="D502" s="134">
        <v>32</v>
      </c>
      <c r="E502" s="134" t="s">
        <v>1786</v>
      </c>
      <c r="F502" s="134" t="s">
        <v>809</v>
      </c>
      <c r="G502" s="195">
        <v>1500</v>
      </c>
      <c r="H502" s="195"/>
    </row>
    <row r="503" spans="1:8" s="458" customFormat="1">
      <c r="A503" s="134" t="s">
        <v>808</v>
      </c>
      <c r="B503" s="134">
        <v>2019</v>
      </c>
      <c r="C503" s="134">
        <v>1</v>
      </c>
      <c r="D503" s="134">
        <v>38</v>
      </c>
      <c r="E503" s="134" t="s">
        <v>1790</v>
      </c>
      <c r="F503" s="134" t="s">
        <v>809</v>
      </c>
      <c r="G503" s="195">
        <v>10000</v>
      </c>
      <c r="H503" s="195"/>
    </row>
    <row r="504" spans="1:8" s="458" customFormat="1">
      <c r="A504" s="134" t="s">
        <v>808</v>
      </c>
      <c r="B504" s="134">
        <v>2019</v>
      </c>
      <c r="C504" s="134">
        <v>1</v>
      </c>
      <c r="D504" s="134">
        <v>40</v>
      </c>
      <c r="E504" s="134" t="s">
        <v>1791</v>
      </c>
      <c r="F504" s="134" t="s">
        <v>809</v>
      </c>
      <c r="G504" s="195">
        <v>8589</v>
      </c>
      <c r="H504" s="195"/>
    </row>
    <row r="505" spans="1:8" s="458" customFormat="1">
      <c r="A505" s="134" t="s">
        <v>808</v>
      </c>
      <c r="B505" s="134">
        <v>2019</v>
      </c>
      <c r="C505" s="134">
        <v>1</v>
      </c>
      <c r="D505" s="134">
        <v>40</v>
      </c>
      <c r="E505" s="134" t="s">
        <v>1791</v>
      </c>
      <c r="F505" s="134" t="s">
        <v>809</v>
      </c>
      <c r="G505" s="195"/>
      <c r="H505" s="195">
        <v>-67.28</v>
      </c>
    </row>
    <row r="506" spans="1:8" s="458" customFormat="1">
      <c r="A506" s="134" t="s">
        <v>808</v>
      </c>
      <c r="B506" s="134">
        <v>2019</v>
      </c>
      <c r="C506" s="134">
        <v>1</v>
      </c>
      <c r="D506" s="134">
        <v>40</v>
      </c>
      <c r="E506" s="134" t="s">
        <v>1791</v>
      </c>
      <c r="F506" s="134" t="s">
        <v>809</v>
      </c>
      <c r="G506" s="195"/>
      <c r="H506" s="195">
        <v>134.57</v>
      </c>
    </row>
    <row r="507" spans="1:8" s="458" customFormat="1">
      <c r="A507" s="134" t="s">
        <v>808</v>
      </c>
      <c r="B507" s="134">
        <v>2019</v>
      </c>
      <c r="C507" s="134">
        <v>1</v>
      </c>
      <c r="D507" s="134">
        <v>40</v>
      </c>
      <c r="E507" s="134" t="s">
        <v>1791</v>
      </c>
      <c r="F507" s="134" t="s">
        <v>809</v>
      </c>
      <c r="G507" s="195"/>
      <c r="H507" s="195">
        <v>-47.77</v>
      </c>
    </row>
    <row r="508" spans="1:8" s="458" customFormat="1">
      <c r="A508" s="134" t="s">
        <v>808</v>
      </c>
      <c r="B508" s="134">
        <v>2019</v>
      </c>
      <c r="C508" s="134">
        <v>1</v>
      </c>
      <c r="D508" s="134">
        <v>40</v>
      </c>
      <c r="E508" s="134" t="s">
        <v>1791</v>
      </c>
      <c r="F508" s="134" t="s">
        <v>809</v>
      </c>
      <c r="G508" s="195"/>
      <c r="H508" s="195">
        <v>95.53</v>
      </c>
    </row>
    <row r="509" spans="1:8" s="458" customFormat="1">
      <c r="A509" s="134" t="s">
        <v>808</v>
      </c>
      <c r="B509" s="134">
        <v>2019</v>
      </c>
      <c r="C509" s="134">
        <v>1</v>
      </c>
      <c r="D509" s="134">
        <v>40</v>
      </c>
      <c r="E509" s="134" t="s">
        <v>1791</v>
      </c>
      <c r="F509" s="134" t="s">
        <v>809</v>
      </c>
      <c r="G509" s="195"/>
      <c r="H509" s="195">
        <v>-114.53</v>
      </c>
    </row>
    <row r="510" spans="1:8" s="458" customFormat="1">
      <c r="A510" s="134" t="s">
        <v>808</v>
      </c>
      <c r="B510" s="134">
        <v>2019</v>
      </c>
      <c r="C510" s="134">
        <v>1</v>
      </c>
      <c r="D510" s="134">
        <v>40</v>
      </c>
      <c r="E510" s="134" t="s">
        <v>1791</v>
      </c>
      <c r="F510" s="134" t="s">
        <v>809</v>
      </c>
      <c r="G510" s="195"/>
      <c r="H510" s="195">
        <v>229.06</v>
      </c>
    </row>
    <row r="511" spans="1:8" s="458" customFormat="1">
      <c r="A511" s="134" t="s">
        <v>808</v>
      </c>
      <c r="B511" s="134">
        <v>2019</v>
      </c>
      <c r="C511" s="134">
        <v>1</v>
      </c>
      <c r="D511" s="134">
        <v>41</v>
      </c>
      <c r="E511" s="134" t="s">
        <v>1792</v>
      </c>
      <c r="F511" s="134" t="s">
        <v>809</v>
      </c>
      <c r="G511" s="195">
        <v>696</v>
      </c>
      <c r="H511" s="195"/>
    </row>
    <row r="512" spans="1:8" s="458" customFormat="1">
      <c r="A512" s="134" t="s">
        <v>808</v>
      </c>
      <c r="B512" s="134">
        <v>2019</v>
      </c>
      <c r="C512" s="134">
        <v>1</v>
      </c>
      <c r="D512" s="134">
        <v>41</v>
      </c>
      <c r="E512" s="134" t="s">
        <v>1792</v>
      </c>
      <c r="F512" s="134" t="s">
        <v>809</v>
      </c>
      <c r="G512" s="195"/>
      <c r="H512" s="195">
        <v>12.34</v>
      </c>
    </row>
    <row r="513" spans="1:8" s="458" customFormat="1">
      <c r="A513" s="134" t="s">
        <v>808</v>
      </c>
      <c r="B513" s="134">
        <v>2019</v>
      </c>
      <c r="C513" s="134">
        <v>1</v>
      </c>
      <c r="D513" s="134">
        <v>41</v>
      </c>
      <c r="E513" s="134" t="s">
        <v>1792</v>
      </c>
      <c r="F513" s="134" t="s">
        <v>809</v>
      </c>
      <c r="G513" s="195"/>
      <c r="H513" s="195">
        <v>8.76</v>
      </c>
    </row>
    <row r="514" spans="1:8" s="458" customFormat="1">
      <c r="A514" s="134" t="s">
        <v>808</v>
      </c>
      <c r="B514" s="134">
        <v>2019</v>
      </c>
      <c r="C514" s="134">
        <v>1</v>
      </c>
      <c r="D514" s="134">
        <v>41</v>
      </c>
      <c r="E514" s="134" t="s">
        <v>1792</v>
      </c>
      <c r="F514" s="134" t="s">
        <v>809</v>
      </c>
      <c r="G514" s="195"/>
      <c r="H514" s="195">
        <v>21.01</v>
      </c>
    </row>
    <row r="515" spans="1:8" s="458" customFormat="1">
      <c r="A515" s="134" t="s">
        <v>808</v>
      </c>
      <c r="B515" s="134">
        <v>2019</v>
      </c>
      <c r="C515" s="134">
        <v>1</v>
      </c>
      <c r="D515" s="134">
        <v>38</v>
      </c>
      <c r="E515" s="134" t="s">
        <v>1793</v>
      </c>
      <c r="F515" s="134" t="s">
        <v>809</v>
      </c>
      <c r="G515" s="195"/>
      <c r="H515" s="195">
        <v>67.28</v>
      </c>
    </row>
    <row r="516" spans="1:8" s="458" customFormat="1">
      <c r="A516" s="134" t="s">
        <v>808</v>
      </c>
      <c r="B516" s="134">
        <v>2019</v>
      </c>
      <c r="C516" s="134">
        <v>1</v>
      </c>
      <c r="D516" s="134">
        <v>38</v>
      </c>
      <c r="E516" s="134" t="s">
        <v>1793</v>
      </c>
      <c r="F516" s="134" t="s">
        <v>809</v>
      </c>
      <c r="G516" s="195"/>
      <c r="H516" s="195">
        <v>47.77</v>
      </c>
    </row>
    <row r="517" spans="1:8" s="458" customFormat="1">
      <c r="A517" s="134" t="s">
        <v>808</v>
      </c>
      <c r="B517" s="134">
        <v>2019</v>
      </c>
      <c r="C517" s="134">
        <v>1</v>
      </c>
      <c r="D517" s="134">
        <v>38</v>
      </c>
      <c r="E517" s="134" t="s">
        <v>1793</v>
      </c>
      <c r="F517" s="134" t="s">
        <v>809</v>
      </c>
      <c r="G517" s="195"/>
      <c r="H517" s="195">
        <v>114.53</v>
      </c>
    </row>
    <row r="518" spans="1:8" s="458" customFormat="1">
      <c r="A518" s="134" t="s">
        <v>808</v>
      </c>
      <c r="B518" s="134">
        <v>2019</v>
      </c>
      <c r="C518" s="134">
        <v>1</v>
      </c>
      <c r="D518" s="134">
        <v>45</v>
      </c>
      <c r="E518" s="134" t="s">
        <v>1795</v>
      </c>
      <c r="F518" s="134" t="s">
        <v>807</v>
      </c>
      <c r="G518" s="195"/>
      <c r="H518" s="195">
        <v>36054.658000000003</v>
      </c>
    </row>
    <row r="519" spans="1:8" s="458" customFormat="1">
      <c r="A519" s="134" t="s">
        <v>808</v>
      </c>
      <c r="B519" s="134">
        <v>2019</v>
      </c>
      <c r="C519" s="134">
        <v>2</v>
      </c>
      <c r="D519" s="134">
        <v>17</v>
      </c>
      <c r="E519" s="134" t="s">
        <v>1746</v>
      </c>
      <c r="F519" s="134" t="s">
        <v>809</v>
      </c>
      <c r="G519" s="195"/>
      <c r="H519" s="195">
        <v>434.4</v>
      </c>
    </row>
    <row r="520" spans="1:8" s="458" customFormat="1">
      <c r="A520" s="134" t="s">
        <v>808</v>
      </c>
      <c r="B520" s="134">
        <v>2019</v>
      </c>
      <c r="C520" s="134">
        <v>2</v>
      </c>
      <c r="D520" s="134">
        <v>17</v>
      </c>
      <c r="E520" s="134" t="s">
        <v>1746</v>
      </c>
      <c r="F520" s="134" t="s">
        <v>809</v>
      </c>
      <c r="G520" s="195"/>
      <c r="H520" s="195">
        <v>434.4</v>
      </c>
    </row>
    <row r="521" spans="1:8" s="458" customFormat="1">
      <c r="A521" s="134" t="s">
        <v>808</v>
      </c>
      <c r="B521" s="134">
        <v>2019</v>
      </c>
      <c r="C521" s="134">
        <v>2</v>
      </c>
      <c r="D521" s="134">
        <v>17</v>
      </c>
      <c r="E521" s="134" t="s">
        <v>1746</v>
      </c>
      <c r="F521" s="134" t="s">
        <v>809</v>
      </c>
      <c r="G521" s="195"/>
      <c r="H521" s="195">
        <v>445.26</v>
      </c>
    </row>
    <row r="522" spans="1:8" s="458" customFormat="1">
      <c r="A522" s="134" t="s">
        <v>808</v>
      </c>
      <c r="B522" s="134">
        <v>2019</v>
      </c>
      <c r="C522" s="134">
        <v>2</v>
      </c>
      <c r="D522" s="134">
        <v>17</v>
      </c>
      <c r="E522" s="134" t="s">
        <v>1746</v>
      </c>
      <c r="F522" s="134" t="s">
        <v>809</v>
      </c>
      <c r="G522" s="195"/>
      <c r="H522" s="195">
        <v>434.4</v>
      </c>
    </row>
    <row r="523" spans="1:8" s="458" customFormat="1">
      <c r="A523" s="134" t="s">
        <v>808</v>
      </c>
      <c r="B523" s="134">
        <v>2019</v>
      </c>
      <c r="C523" s="134">
        <v>2</v>
      </c>
      <c r="D523" s="134">
        <v>17</v>
      </c>
      <c r="E523" s="134" t="s">
        <v>1746</v>
      </c>
      <c r="F523" s="134" t="s">
        <v>809</v>
      </c>
      <c r="G523" s="195"/>
      <c r="H523" s="195">
        <v>401.82</v>
      </c>
    </row>
    <row r="524" spans="1:8" s="458" customFormat="1">
      <c r="A524" s="134" t="s">
        <v>808</v>
      </c>
      <c r="B524" s="134">
        <v>2019</v>
      </c>
      <c r="C524" s="134">
        <v>2</v>
      </c>
      <c r="D524" s="134">
        <v>17</v>
      </c>
      <c r="E524" s="134" t="s">
        <v>1746</v>
      </c>
      <c r="F524" s="134" t="s">
        <v>809</v>
      </c>
      <c r="G524" s="195"/>
      <c r="H524" s="195">
        <v>260.64</v>
      </c>
    </row>
    <row r="525" spans="1:8" s="458" customFormat="1">
      <c r="A525" s="134" t="s">
        <v>808</v>
      </c>
      <c r="B525" s="134">
        <v>2019</v>
      </c>
      <c r="C525" s="134">
        <v>2</v>
      </c>
      <c r="D525" s="134">
        <v>17</v>
      </c>
      <c r="E525" s="134" t="s">
        <v>1746</v>
      </c>
      <c r="F525" s="134" t="s">
        <v>809</v>
      </c>
      <c r="G525" s="195"/>
      <c r="H525" s="195">
        <v>358.38</v>
      </c>
    </row>
    <row r="526" spans="1:8" s="458" customFormat="1">
      <c r="A526" s="134" t="s">
        <v>808</v>
      </c>
      <c r="B526" s="134">
        <v>2019</v>
      </c>
      <c r="C526" s="134">
        <v>2</v>
      </c>
      <c r="D526" s="134">
        <v>17</v>
      </c>
      <c r="E526" s="134" t="s">
        <v>1746</v>
      </c>
      <c r="F526" s="134" t="s">
        <v>809</v>
      </c>
      <c r="G526" s="195"/>
      <c r="H526" s="195">
        <v>421.98</v>
      </c>
    </row>
    <row r="527" spans="1:8" s="458" customFormat="1">
      <c r="A527" s="134" t="s">
        <v>808</v>
      </c>
      <c r="B527" s="134">
        <v>2019</v>
      </c>
      <c r="C527" s="134">
        <v>2</v>
      </c>
      <c r="D527" s="134">
        <v>17</v>
      </c>
      <c r="E527" s="134" t="s">
        <v>1746</v>
      </c>
      <c r="F527" s="134" t="s">
        <v>809</v>
      </c>
      <c r="G527" s="195"/>
      <c r="H527" s="195">
        <v>384.11</v>
      </c>
    </row>
    <row r="528" spans="1:8" s="458" customFormat="1">
      <c r="A528" s="134" t="s">
        <v>808</v>
      </c>
      <c r="B528" s="134">
        <v>2019</v>
      </c>
      <c r="C528" s="134">
        <v>2</v>
      </c>
      <c r="D528" s="134">
        <v>17</v>
      </c>
      <c r="E528" s="134" t="s">
        <v>1746</v>
      </c>
      <c r="F528" s="134" t="s">
        <v>809</v>
      </c>
      <c r="G528" s="195"/>
      <c r="H528" s="195">
        <v>367.88</v>
      </c>
    </row>
    <row r="529" spans="1:8" s="458" customFormat="1">
      <c r="A529" s="134" t="s">
        <v>808</v>
      </c>
      <c r="B529" s="134">
        <v>2019</v>
      </c>
      <c r="C529" s="134">
        <v>2</v>
      </c>
      <c r="D529" s="134">
        <v>17</v>
      </c>
      <c r="E529" s="134" t="s">
        <v>1746</v>
      </c>
      <c r="F529" s="134" t="s">
        <v>809</v>
      </c>
      <c r="G529" s="195"/>
      <c r="H529" s="195">
        <v>357.06</v>
      </c>
    </row>
    <row r="530" spans="1:8" s="458" customFormat="1">
      <c r="A530" s="134" t="s">
        <v>808</v>
      </c>
      <c r="B530" s="134">
        <v>2019</v>
      </c>
      <c r="C530" s="134">
        <v>2</v>
      </c>
      <c r="D530" s="134">
        <v>17</v>
      </c>
      <c r="E530" s="134" t="s">
        <v>1746</v>
      </c>
      <c r="F530" s="134" t="s">
        <v>809</v>
      </c>
      <c r="G530" s="195"/>
      <c r="H530" s="195">
        <v>348.95</v>
      </c>
    </row>
    <row r="531" spans="1:8" s="458" customFormat="1">
      <c r="A531" s="134" t="s">
        <v>808</v>
      </c>
      <c r="B531" s="134">
        <v>2019</v>
      </c>
      <c r="C531" s="134">
        <v>2</v>
      </c>
      <c r="D531" s="134">
        <v>17</v>
      </c>
      <c r="E531" s="134" t="s">
        <v>1746</v>
      </c>
      <c r="F531" s="134" t="s">
        <v>809</v>
      </c>
      <c r="G531" s="195"/>
      <c r="H531" s="195">
        <v>338.13</v>
      </c>
    </row>
    <row r="532" spans="1:8" s="458" customFormat="1">
      <c r="A532" s="134" t="s">
        <v>808</v>
      </c>
      <c r="B532" s="134">
        <v>2019</v>
      </c>
      <c r="C532" s="134">
        <v>2</v>
      </c>
      <c r="D532" s="134">
        <v>17</v>
      </c>
      <c r="E532" s="134" t="s">
        <v>1746</v>
      </c>
      <c r="F532" s="134" t="s">
        <v>809</v>
      </c>
      <c r="G532" s="195"/>
      <c r="H532" s="195">
        <v>351.65</v>
      </c>
    </row>
    <row r="533" spans="1:8" s="458" customFormat="1">
      <c r="A533" s="134" t="s">
        <v>808</v>
      </c>
      <c r="B533" s="134">
        <v>2019</v>
      </c>
      <c r="C533" s="134">
        <v>2</v>
      </c>
      <c r="D533" s="134">
        <v>17</v>
      </c>
      <c r="E533" s="134" t="s">
        <v>1746</v>
      </c>
      <c r="F533" s="134" t="s">
        <v>809</v>
      </c>
      <c r="G533" s="195"/>
      <c r="H533" s="195">
        <v>151.47999999999999</v>
      </c>
    </row>
    <row r="534" spans="1:8" s="458" customFormat="1">
      <c r="A534" s="134" t="s">
        <v>808</v>
      </c>
      <c r="B534" s="134">
        <v>2019</v>
      </c>
      <c r="C534" s="134">
        <v>2</v>
      </c>
      <c r="D534" s="134">
        <v>17</v>
      </c>
      <c r="E534" s="134" t="s">
        <v>1746</v>
      </c>
      <c r="F534" s="134" t="s">
        <v>809</v>
      </c>
      <c r="G534" s="195"/>
      <c r="H534" s="195">
        <v>194.76</v>
      </c>
    </row>
    <row r="535" spans="1:8" s="458" customFormat="1">
      <c r="A535" s="134" t="s">
        <v>808</v>
      </c>
      <c r="B535" s="134">
        <v>2019</v>
      </c>
      <c r="C535" s="134">
        <v>2</v>
      </c>
      <c r="D535" s="134">
        <v>17</v>
      </c>
      <c r="E535" s="134" t="s">
        <v>1746</v>
      </c>
      <c r="F535" s="134" t="s">
        <v>809</v>
      </c>
      <c r="G535" s="195"/>
      <c r="H535" s="195">
        <v>124.43</v>
      </c>
    </row>
    <row r="536" spans="1:8" s="458" customFormat="1">
      <c r="A536" s="134" t="s">
        <v>808</v>
      </c>
      <c r="B536" s="134">
        <v>2019</v>
      </c>
      <c r="C536" s="134">
        <v>2</v>
      </c>
      <c r="D536" s="134">
        <v>17</v>
      </c>
      <c r="E536" s="134" t="s">
        <v>1746</v>
      </c>
      <c r="F536" s="134" t="s">
        <v>809</v>
      </c>
      <c r="G536" s="195"/>
      <c r="H536" s="195">
        <v>43.28</v>
      </c>
    </row>
    <row r="537" spans="1:8" s="458" customFormat="1">
      <c r="A537" s="134" t="s">
        <v>808</v>
      </c>
      <c r="B537" s="134">
        <v>2019</v>
      </c>
      <c r="C537" s="134">
        <v>2</v>
      </c>
      <c r="D537" s="134">
        <v>17</v>
      </c>
      <c r="E537" s="134" t="s">
        <v>1746</v>
      </c>
      <c r="F537" s="134" t="s">
        <v>809</v>
      </c>
      <c r="G537" s="195"/>
      <c r="H537" s="195">
        <v>73.040000000000006</v>
      </c>
    </row>
    <row r="538" spans="1:8" s="458" customFormat="1">
      <c r="A538" s="134" t="s">
        <v>808</v>
      </c>
      <c r="B538" s="134">
        <v>2019</v>
      </c>
      <c r="C538" s="134">
        <v>2</v>
      </c>
      <c r="D538" s="134">
        <v>17</v>
      </c>
      <c r="E538" s="134" t="s">
        <v>1746</v>
      </c>
      <c r="F538" s="134" t="s">
        <v>809</v>
      </c>
      <c r="G538" s="195"/>
      <c r="H538" s="195">
        <v>100.09</v>
      </c>
    </row>
    <row r="539" spans="1:8" s="458" customFormat="1">
      <c r="A539" s="134" t="s">
        <v>808</v>
      </c>
      <c r="B539" s="134">
        <v>2019</v>
      </c>
      <c r="C539" s="134">
        <v>2</v>
      </c>
      <c r="D539" s="134">
        <v>17</v>
      </c>
      <c r="E539" s="134" t="s">
        <v>1746</v>
      </c>
      <c r="F539" s="134" t="s">
        <v>809</v>
      </c>
      <c r="G539" s="195"/>
      <c r="H539" s="195">
        <v>432.8</v>
      </c>
    </row>
    <row r="540" spans="1:8" s="458" customFormat="1">
      <c r="A540" s="134" t="s">
        <v>808</v>
      </c>
      <c r="B540" s="134">
        <v>2019</v>
      </c>
      <c r="C540" s="134">
        <v>2</v>
      </c>
      <c r="D540" s="134">
        <v>17</v>
      </c>
      <c r="E540" s="134" t="s">
        <v>1746</v>
      </c>
      <c r="F540" s="134" t="s">
        <v>809</v>
      </c>
      <c r="G540" s="195"/>
      <c r="H540" s="195">
        <v>432.8</v>
      </c>
    </row>
    <row r="541" spans="1:8" s="458" customFormat="1">
      <c r="A541" s="134" t="s">
        <v>808</v>
      </c>
      <c r="B541" s="134">
        <v>2019</v>
      </c>
      <c r="C541" s="134">
        <v>2</v>
      </c>
      <c r="D541" s="134">
        <v>17</v>
      </c>
      <c r="E541" s="134" t="s">
        <v>1746</v>
      </c>
      <c r="F541" s="134" t="s">
        <v>809</v>
      </c>
      <c r="G541" s="195"/>
      <c r="H541" s="195">
        <v>432.8</v>
      </c>
    </row>
    <row r="542" spans="1:8" s="458" customFormat="1">
      <c r="A542" s="134" t="s">
        <v>808</v>
      </c>
      <c r="B542" s="134">
        <v>2019</v>
      </c>
      <c r="C542" s="134">
        <v>2</v>
      </c>
      <c r="D542" s="134">
        <v>17</v>
      </c>
      <c r="E542" s="134" t="s">
        <v>1746</v>
      </c>
      <c r="F542" s="134" t="s">
        <v>809</v>
      </c>
      <c r="G542" s="195"/>
      <c r="H542" s="195">
        <v>432.8</v>
      </c>
    </row>
    <row r="543" spans="1:8" s="458" customFormat="1">
      <c r="A543" s="134" t="s">
        <v>808</v>
      </c>
      <c r="B543" s="134">
        <v>2019</v>
      </c>
      <c r="C543" s="134">
        <v>2</v>
      </c>
      <c r="D543" s="134">
        <v>17</v>
      </c>
      <c r="E543" s="134" t="s">
        <v>1746</v>
      </c>
      <c r="F543" s="134" t="s">
        <v>809</v>
      </c>
      <c r="G543" s="195"/>
      <c r="H543" s="195">
        <v>292.14</v>
      </c>
    </row>
    <row r="544" spans="1:8" s="458" customFormat="1">
      <c r="A544" s="134" t="s">
        <v>808</v>
      </c>
      <c r="B544" s="134">
        <v>2019</v>
      </c>
      <c r="C544" s="134">
        <v>2</v>
      </c>
      <c r="D544" s="134">
        <v>17</v>
      </c>
      <c r="E544" s="134" t="s">
        <v>1746</v>
      </c>
      <c r="F544" s="134" t="s">
        <v>809</v>
      </c>
      <c r="G544" s="195"/>
      <c r="H544" s="195">
        <v>865.6</v>
      </c>
    </row>
    <row r="545" spans="1:8" s="458" customFormat="1">
      <c r="A545" s="134" t="s">
        <v>808</v>
      </c>
      <c r="B545" s="134">
        <v>2019</v>
      </c>
      <c r="C545" s="134">
        <v>2</v>
      </c>
      <c r="D545" s="134">
        <v>17</v>
      </c>
      <c r="E545" s="134" t="s">
        <v>1746</v>
      </c>
      <c r="F545" s="134" t="s">
        <v>809</v>
      </c>
      <c r="G545" s="195"/>
      <c r="H545" s="195">
        <v>124.43</v>
      </c>
    </row>
    <row r="546" spans="1:8" s="458" customFormat="1">
      <c r="A546" s="134" t="s">
        <v>808</v>
      </c>
      <c r="B546" s="134">
        <v>2019</v>
      </c>
      <c r="C546" s="134">
        <v>2</v>
      </c>
      <c r="D546" s="134">
        <v>17</v>
      </c>
      <c r="E546" s="134" t="s">
        <v>1746</v>
      </c>
      <c r="F546" s="134" t="s">
        <v>809</v>
      </c>
      <c r="G546" s="195"/>
      <c r="H546" s="195">
        <v>129.84</v>
      </c>
    </row>
    <row r="547" spans="1:8" s="458" customFormat="1">
      <c r="A547" s="134" t="s">
        <v>808</v>
      </c>
      <c r="B547" s="134">
        <v>2019</v>
      </c>
      <c r="C547" s="134">
        <v>2</v>
      </c>
      <c r="D547" s="134">
        <v>17</v>
      </c>
      <c r="E547" s="134" t="s">
        <v>1746</v>
      </c>
      <c r="F547" s="134" t="s">
        <v>809</v>
      </c>
      <c r="G547" s="195"/>
      <c r="H547" s="195">
        <v>140.66</v>
      </c>
    </row>
    <row r="548" spans="1:8" s="458" customFormat="1">
      <c r="A548" s="134" t="s">
        <v>808</v>
      </c>
      <c r="B548" s="134">
        <v>2019</v>
      </c>
      <c r="C548" s="134">
        <v>2</v>
      </c>
      <c r="D548" s="134">
        <v>17</v>
      </c>
      <c r="E548" s="134" t="s">
        <v>1746</v>
      </c>
      <c r="F548" s="134" t="s">
        <v>809</v>
      </c>
      <c r="G548" s="195"/>
      <c r="H548" s="195">
        <v>108.2</v>
      </c>
    </row>
    <row r="549" spans="1:8" s="458" customFormat="1">
      <c r="A549" s="134" t="s">
        <v>808</v>
      </c>
      <c r="B549" s="134">
        <v>2019</v>
      </c>
      <c r="C549" s="134">
        <v>2</v>
      </c>
      <c r="D549" s="134">
        <v>17</v>
      </c>
      <c r="E549" s="134" t="s">
        <v>1746</v>
      </c>
      <c r="F549" s="134" t="s">
        <v>809</v>
      </c>
      <c r="G549" s="195"/>
      <c r="H549" s="195">
        <v>162.30000000000001</v>
      </c>
    </row>
    <row r="550" spans="1:8" s="458" customFormat="1">
      <c r="A550" s="134" t="s">
        <v>808</v>
      </c>
      <c r="B550" s="134">
        <v>2019</v>
      </c>
      <c r="C550" s="134">
        <v>2</v>
      </c>
      <c r="D550" s="134">
        <v>17</v>
      </c>
      <c r="E550" s="134" t="s">
        <v>1746</v>
      </c>
      <c r="F550" s="134" t="s">
        <v>809</v>
      </c>
      <c r="G550" s="195"/>
      <c r="H550" s="195">
        <v>119.02</v>
      </c>
    </row>
    <row r="551" spans="1:8" s="458" customFormat="1">
      <c r="A551" s="134" t="s">
        <v>808</v>
      </c>
      <c r="B551" s="134">
        <v>2019</v>
      </c>
      <c r="C551" s="134">
        <v>2</v>
      </c>
      <c r="D551" s="134">
        <v>17</v>
      </c>
      <c r="E551" s="134" t="s">
        <v>1746</v>
      </c>
      <c r="F551" s="134" t="s">
        <v>809</v>
      </c>
      <c r="G551" s="195"/>
      <c r="H551" s="195">
        <v>162.30000000000001</v>
      </c>
    </row>
    <row r="552" spans="1:8" s="458" customFormat="1">
      <c r="A552" s="134" t="s">
        <v>808</v>
      </c>
      <c r="B552" s="134">
        <v>2019</v>
      </c>
      <c r="C552" s="134">
        <v>2</v>
      </c>
      <c r="D552" s="134">
        <v>17</v>
      </c>
      <c r="E552" s="134" t="s">
        <v>1746</v>
      </c>
      <c r="F552" s="134" t="s">
        <v>809</v>
      </c>
      <c r="G552" s="195"/>
      <c r="H552" s="195">
        <v>81.150000000000006</v>
      </c>
    </row>
    <row r="553" spans="1:8" s="458" customFormat="1">
      <c r="A553" s="134" t="s">
        <v>808</v>
      </c>
      <c r="B553" s="134">
        <v>2019</v>
      </c>
      <c r="C553" s="134">
        <v>2</v>
      </c>
      <c r="D553" s="134">
        <v>17</v>
      </c>
      <c r="E553" s="134" t="s">
        <v>1746</v>
      </c>
      <c r="F553" s="134" t="s">
        <v>809</v>
      </c>
      <c r="G553" s="195"/>
      <c r="H553" s="195">
        <v>124.43</v>
      </c>
    </row>
    <row r="554" spans="1:8" s="458" customFormat="1">
      <c r="A554" s="134" t="s">
        <v>808</v>
      </c>
      <c r="B554" s="134">
        <v>2019</v>
      </c>
      <c r="C554" s="134">
        <v>2</v>
      </c>
      <c r="D554" s="134">
        <v>17</v>
      </c>
      <c r="E554" s="134" t="s">
        <v>1746</v>
      </c>
      <c r="F554" s="134" t="s">
        <v>809</v>
      </c>
      <c r="G554" s="195"/>
      <c r="H554" s="195">
        <v>159.6</v>
      </c>
    </row>
    <row r="555" spans="1:8" s="458" customFormat="1">
      <c r="A555" s="134" t="s">
        <v>808</v>
      </c>
      <c r="B555" s="134">
        <v>2019</v>
      </c>
      <c r="C555" s="134">
        <v>2</v>
      </c>
      <c r="D555" s="134">
        <v>17</v>
      </c>
      <c r="E555" s="134" t="s">
        <v>1746</v>
      </c>
      <c r="F555" s="134" t="s">
        <v>809</v>
      </c>
      <c r="G555" s="195"/>
      <c r="H555" s="195">
        <v>64.92</v>
      </c>
    </row>
    <row r="556" spans="1:8" s="458" customFormat="1">
      <c r="A556" s="134" t="s">
        <v>808</v>
      </c>
      <c r="B556" s="134">
        <v>2019</v>
      </c>
      <c r="C556" s="134">
        <v>2</v>
      </c>
      <c r="D556" s="134">
        <v>17</v>
      </c>
      <c r="E556" s="134" t="s">
        <v>1746</v>
      </c>
      <c r="F556" s="134" t="s">
        <v>809</v>
      </c>
      <c r="G556" s="195"/>
      <c r="H556" s="195">
        <v>35.17</v>
      </c>
    </row>
    <row r="557" spans="1:8" s="458" customFormat="1">
      <c r="A557" s="134" t="s">
        <v>808</v>
      </c>
      <c r="B557" s="134">
        <v>2019</v>
      </c>
      <c r="C557" s="134">
        <v>2</v>
      </c>
      <c r="D557" s="134">
        <v>17</v>
      </c>
      <c r="E557" s="134" t="s">
        <v>1746</v>
      </c>
      <c r="F557" s="134" t="s">
        <v>809</v>
      </c>
      <c r="G557" s="195"/>
      <c r="H557" s="195">
        <v>56.81</v>
      </c>
    </row>
    <row r="558" spans="1:8" s="458" customFormat="1">
      <c r="A558" s="134" t="s">
        <v>808</v>
      </c>
      <c r="B558" s="134">
        <v>2019</v>
      </c>
      <c r="C558" s="134">
        <v>2</v>
      </c>
      <c r="D558" s="134">
        <v>17</v>
      </c>
      <c r="E558" s="134" t="s">
        <v>1746</v>
      </c>
      <c r="F558" s="134" t="s">
        <v>809</v>
      </c>
      <c r="G558" s="195"/>
      <c r="H558" s="195">
        <v>265.08999999999997</v>
      </c>
    </row>
    <row r="559" spans="1:8" s="458" customFormat="1">
      <c r="A559" s="134" t="s">
        <v>808</v>
      </c>
      <c r="B559" s="134">
        <v>2019</v>
      </c>
      <c r="C559" s="134">
        <v>2</v>
      </c>
      <c r="D559" s="134">
        <v>17</v>
      </c>
      <c r="E559" s="134" t="s">
        <v>1746</v>
      </c>
      <c r="F559" s="134" t="s">
        <v>809</v>
      </c>
      <c r="G559" s="195"/>
      <c r="H559" s="195">
        <v>281.32</v>
      </c>
    </row>
    <row r="560" spans="1:8" s="458" customFormat="1">
      <c r="A560" s="134" t="s">
        <v>808</v>
      </c>
      <c r="B560" s="134">
        <v>2019</v>
      </c>
      <c r="C560" s="134">
        <v>2</v>
      </c>
      <c r="D560" s="134">
        <v>17</v>
      </c>
      <c r="E560" s="134" t="s">
        <v>1746</v>
      </c>
      <c r="F560" s="134" t="s">
        <v>809</v>
      </c>
      <c r="G560" s="195"/>
      <c r="H560" s="195">
        <v>270.5</v>
      </c>
    </row>
    <row r="561" spans="1:8" s="458" customFormat="1">
      <c r="A561" s="134" t="s">
        <v>808</v>
      </c>
      <c r="B561" s="134">
        <v>2019</v>
      </c>
      <c r="C561" s="134">
        <v>2</v>
      </c>
      <c r="D561" s="134">
        <v>17</v>
      </c>
      <c r="E561" s="134" t="s">
        <v>1746</v>
      </c>
      <c r="F561" s="134" t="s">
        <v>809</v>
      </c>
      <c r="G561" s="195"/>
      <c r="H561" s="195">
        <v>248.86</v>
      </c>
    </row>
    <row r="562" spans="1:8" s="458" customFormat="1">
      <c r="A562" s="134" t="s">
        <v>808</v>
      </c>
      <c r="B562" s="134">
        <v>2019</v>
      </c>
      <c r="C562" s="134">
        <v>2</v>
      </c>
      <c r="D562" s="134">
        <v>17</v>
      </c>
      <c r="E562" s="134" t="s">
        <v>1746</v>
      </c>
      <c r="F562" s="134" t="s">
        <v>809</v>
      </c>
      <c r="G562" s="195"/>
      <c r="H562" s="195">
        <v>281.32</v>
      </c>
    </row>
    <row r="563" spans="1:8" s="458" customFormat="1">
      <c r="A563" s="134" t="s">
        <v>808</v>
      </c>
      <c r="B563" s="134">
        <v>2019</v>
      </c>
      <c r="C563" s="134">
        <v>2</v>
      </c>
      <c r="D563" s="134">
        <v>17</v>
      </c>
      <c r="E563" s="134" t="s">
        <v>1746</v>
      </c>
      <c r="F563" s="134" t="s">
        <v>809</v>
      </c>
      <c r="G563" s="195"/>
      <c r="H563" s="195">
        <v>162.30000000000001</v>
      </c>
    </row>
    <row r="564" spans="1:8" s="458" customFormat="1">
      <c r="A564" s="134" t="s">
        <v>808</v>
      </c>
      <c r="B564" s="134">
        <v>2019</v>
      </c>
      <c r="C564" s="134">
        <v>2</v>
      </c>
      <c r="D564" s="134">
        <v>17</v>
      </c>
      <c r="E564" s="134" t="s">
        <v>1746</v>
      </c>
      <c r="F564" s="134" t="s">
        <v>809</v>
      </c>
      <c r="G564" s="195"/>
      <c r="H564" s="195">
        <v>227.22</v>
      </c>
    </row>
    <row r="565" spans="1:8" s="458" customFormat="1">
      <c r="A565" s="134" t="s">
        <v>808</v>
      </c>
      <c r="B565" s="134">
        <v>2019</v>
      </c>
      <c r="C565" s="134">
        <v>2</v>
      </c>
      <c r="D565" s="134">
        <v>17</v>
      </c>
      <c r="E565" s="134" t="s">
        <v>1746</v>
      </c>
      <c r="F565" s="134" t="s">
        <v>809</v>
      </c>
      <c r="G565" s="195"/>
      <c r="H565" s="195">
        <v>0</v>
      </c>
    </row>
    <row r="566" spans="1:8" s="458" customFormat="1">
      <c r="A566" s="134" t="s">
        <v>808</v>
      </c>
      <c r="B566" s="134">
        <v>2019</v>
      </c>
      <c r="C566" s="134">
        <v>2</v>
      </c>
      <c r="D566" s="134">
        <v>17</v>
      </c>
      <c r="E566" s="134" t="s">
        <v>1746</v>
      </c>
      <c r="F566" s="134" t="s">
        <v>809</v>
      </c>
      <c r="G566" s="195"/>
      <c r="H566" s="195">
        <v>0</v>
      </c>
    </row>
    <row r="567" spans="1:8" s="458" customFormat="1">
      <c r="A567" s="134" t="s">
        <v>808</v>
      </c>
      <c r="B567" s="134">
        <v>2019</v>
      </c>
      <c r="C567" s="134">
        <v>2</v>
      </c>
      <c r="D567" s="134">
        <v>17</v>
      </c>
      <c r="E567" s="134" t="s">
        <v>1746</v>
      </c>
      <c r="F567" s="134" t="s">
        <v>809</v>
      </c>
      <c r="G567" s="195"/>
      <c r="H567" s="195">
        <v>147.9</v>
      </c>
    </row>
    <row r="568" spans="1:8" s="458" customFormat="1">
      <c r="A568" s="134" t="s">
        <v>808</v>
      </c>
      <c r="B568" s="134">
        <v>2019</v>
      </c>
      <c r="C568" s="134">
        <v>2</v>
      </c>
      <c r="D568" s="134">
        <v>17</v>
      </c>
      <c r="E568" s="134" t="s">
        <v>1746</v>
      </c>
      <c r="F568" s="134" t="s">
        <v>809</v>
      </c>
      <c r="G568" s="195"/>
      <c r="H568" s="195">
        <v>178.5</v>
      </c>
    </row>
    <row r="569" spans="1:8" s="458" customFormat="1">
      <c r="A569" s="134" t="s">
        <v>808</v>
      </c>
      <c r="B569" s="134">
        <v>2019</v>
      </c>
      <c r="C569" s="134">
        <v>2</v>
      </c>
      <c r="D569" s="134">
        <v>17</v>
      </c>
      <c r="E569" s="134" t="s">
        <v>1746</v>
      </c>
      <c r="F569" s="134" t="s">
        <v>809</v>
      </c>
      <c r="G569" s="195"/>
      <c r="H569" s="195">
        <v>390.15</v>
      </c>
    </row>
    <row r="570" spans="1:8" s="458" customFormat="1">
      <c r="A570" s="134" t="s">
        <v>808</v>
      </c>
      <c r="B570" s="134">
        <v>2019</v>
      </c>
      <c r="C570" s="134">
        <v>2</v>
      </c>
      <c r="D570" s="134">
        <v>17</v>
      </c>
      <c r="E570" s="134" t="s">
        <v>1746</v>
      </c>
      <c r="F570" s="134" t="s">
        <v>809</v>
      </c>
      <c r="G570" s="195"/>
      <c r="H570" s="195">
        <v>306</v>
      </c>
    </row>
    <row r="571" spans="1:8" s="458" customFormat="1">
      <c r="A571" s="134" t="s">
        <v>808</v>
      </c>
      <c r="B571" s="134">
        <v>2019</v>
      </c>
      <c r="C571" s="134">
        <v>2</v>
      </c>
      <c r="D571" s="134">
        <v>17</v>
      </c>
      <c r="E571" s="134" t="s">
        <v>1746</v>
      </c>
      <c r="F571" s="134" t="s">
        <v>809</v>
      </c>
      <c r="G571" s="195"/>
      <c r="H571" s="195">
        <v>359.55</v>
      </c>
    </row>
    <row r="572" spans="1:8" s="458" customFormat="1">
      <c r="A572" s="134" t="s">
        <v>808</v>
      </c>
      <c r="B572" s="134">
        <v>2019</v>
      </c>
      <c r="C572" s="134">
        <v>2</v>
      </c>
      <c r="D572" s="134">
        <v>17</v>
      </c>
      <c r="E572" s="134" t="s">
        <v>1746</v>
      </c>
      <c r="F572" s="134" t="s">
        <v>809</v>
      </c>
      <c r="G572" s="195"/>
      <c r="H572" s="195">
        <v>421.98</v>
      </c>
    </row>
    <row r="573" spans="1:8" s="458" customFormat="1">
      <c r="A573" s="134" t="s">
        <v>808</v>
      </c>
      <c r="B573" s="134">
        <v>2019</v>
      </c>
      <c r="C573" s="134">
        <v>2</v>
      </c>
      <c r="D573" s="134">
        <v>17</v>
      </c>
      <c r="E573" s="134" t="s">
        <v>1746</v>
      </c>
      <c r="F573" s="134" t="s">
        <v>809</v>
      </c>
      <c r="G573" s="195"/>
      <c r="H573" s="195">
        <v>1850.22</v>
      </c>
    </row>
    <row r="574" spans="1:8" s="458" customFormat="1">
      <c r="A574" s="134" t="s">
        <v>808</v>
      </c>
      <c r="B574" s="134">
        <v>2019</v>
      </c>
      <c r="C574" s="134">
        <v>2</v>
      </c>
      <c r="D574" s="134">
        <v>17</v>
      </c>
      <c r="E574" s="134" t="s">
        <v>1746</v>
      </c>
      <c r="F574" s="134" t="s">
        <v>809</v>
      </c>
      <c r="G574" s="195"/>
      <c r="H574" s="195">
        <v>432.8</v>
      </c>
    </row>
    <row r="575" spans="1:8" s="458" customFormat="1">
      <c r="A575" s="134" t="s">
        <v>808</v>
      </c>
      <c r="B575" s="134">
        <v>2019</v>
      </c>
      <c r="C575" s="134">
        <v>2</v>
      </c>
      <c r="D575" s="134">
        <v>17</v>
      </c>
      <c r="E575" s="134" t="s">
        <v>1746</v>
      </c>
      <c r="F575" s="134" t="s">
        <v>809</v>
      </c>
      <c r="G575" s="195"/>
      <c r="H575" s="195">
        <v>346.24</v>
      </c>
    </row>
    <row r="576" spans="1:8" s="458" customFormat="1">
      <c r="A576" s="134" t="s">
        <v>808</v>
      </c>
      <c r="B576" s="134">
        <v>2019</v>
      </c>
      <c r="C576" s="134">
        <v>2</v>
      </c>
      <c r="D576" s="134">
        <v>17</v>
      </c>
      <c r="E576" s="134" t="s">
        <v>1746</v>
      </c>
      <c r="F576" s="134" t="s">
        <v>809</v>
      </c>
      <c r="G576" s="195"/>
      <c r="H576" s="195">
        <v>367.88</v>
      </c>
    </row>
    <row r="577" spans="1:8" s="458" customFormat="1">
      <c r="A577" s="134" t="s">
        <v>808</v>
      </c>
      <c r="B577" s="134">
        <v>2019</v>
      </c>
      <c r="C577" s="134">
        <v>2</v>
      </c>
      <c r="D577" s="134">
        <v>17</v>
      </c>
      <c r="E577" s="134" t="s">
        <v>1746</v>
      </c>
      <c r="F577" s="134" t="s">
        <v>809</v>
      </c>
      <c r="G577" s="195"/>
      <c r="H577" s="195">
        <v>186.99</v>
      </c>
    </row>
    <row r="578" spans="1:8" s="458" customFormat="1">
      <c r="A578" s="134" t="s">
        <v>808</v>
      </c>
      <c r="B578" s="134">
        <v>2019</v>
      </c>
      <c r="C578" s="134">
        <v>2</v>
      </c>
      <c r="D578" s="134">
        <v>17</v>
      </c>
      <c r="E578" s="134" t="s">
        <v>1746</v>
      </c>
      <c r="F578" s="134" t="s">
        <v>809</v>
      </c>
      <c r="G578" s="195"/>
      <c r="H578" s="195">
        <v>186.99</v>
      </c>
    </row>
    <row r="579" spans="1:8" s="458" customFormat="1">
      <c r="A579" s="134" t="s">
        <v>808</v>
      </c>
      <c r="B579" s="134">
        <v>2019</v>
      </c>
      <c r="C579" s="134">
        <v>2</v>
      </c>
      <c r="D579" s="134">
        <v>17</v>
      </c>
      <c r="E579" s="134" t="s">
        <v>1746</v>
      </c>
      <c r="F579" s="134" t="s">
        <v>809</v>
      </c>
      <c r="G579" s="195"/>
      <c r="H579" s="195">
        <v>73.17</v>
      </c>
    </row>
    <row r="580" spans="1:8" s="458" customFormat="1">
      <c r="A580" s="134" t="s">
        <v>808</v>
      </c>
      <c r="B580" s="134">
        <v>2019</v>
      </c>
      <c r="C580" s="134">
        <v>2</v>
      </c>
      <c r="D580" s="134">
        <v>17</v>
      </c>
      <c r="E580" s="134" t="s">
        <v>1746</v>
      </c>
      <c r="F580" s="134" t="s">
        <v>809</v>
      </c>
      <c r="G580" s="195"/>
      <c r="H580" s="195">
        <v>89.43</v>
      </c>
    </row>
    <row r="581" spans="1:8" s="458" customFormat="1">
      <c r="A581" s="134" t="s">
        <v>808</v>
      </c>
      <c r="B581" s="134">
        <v>2019</v>
      </c>
      <c r="C581" s="134">
        <v>2</v>
      </c>
      <c r="D581" s="134">
        <v>17</v>
      </c>
      <c r="E581" s="134" t="s">
        <v>1746</v>
      </c>
      <c r="F581" s="134" t="s">
        <v>809</v>
      </c>
      <c r="G581" s="195"/>
      <c r="H581" s="195">
        <v>140.91999999999999</v>
      </c>
    </row>
    <row r="582" spans="1:8" s="458" customFormat="1">
      <c r="A582" s="134" t="s">
        <v>808</v>
      </c>
      <c r="B582" s="134">
        <v>2019</v>
      </c>
      <c r="C582" s="134">
        <v>2</v>
      </c>
      <c r="D582" s="134">
        <v>17</v>
      </c>
      <c r="E582" s="134" t="s">
        <v>1746</v>
      </c>
      <c r="F582" s="134" t="s">
        <v>809</v>
      </c>
      <c r="G582" s="195"/>
      <c r="H582" s="195">
        <v>70.459999999999994</v>
      </c>
    </row>
    <row r="583" spans="1:8" s="458" customFormat="1">
      <c r="A583" s="134" t="s">
        <v>808</v>
      </c>
      <c r="B583" s="134">
        <v>2019</v>
      </c>
      <c r="C583" s="134">
        <v>2</v>
      </c>
      <c r="D583" s="134">
        <v>17</v>
      </c>
      <c r="E583" s="134" t="s">
        <v>1746</v>
      </c>
      <c r="F583" s="134" t="s">
        <v>809</v>
      </c>
      <c r="G583" s="195"/>
      <c r="H583" s="195">
        <v>170.73</v>
      </c>
    </row>
    <row r="584" spans="1:8" s="458" customFormat="1">
      <c r="A584" s="134" t="s">
        <v>808</v>
      </c>
      <c r="B584" s="134">
        <v>2019</v>
      </c>
      <c r="C584" s="134">
        <v>2</v>
      </c>
      <c r="D584" s="134">
        <v>17</v>
      </c>
      <c r="E584" s="134" t="s">
        <v>1746</v>
      </c>
      <c r="F584" s="134" t="s">
        <v>809</v>
      </c>
      <c r="G584" s="195"/>
      <c r="H584" s="195">
        <v>257.93</v>
      </c>
    </row>
    <row r="585" spans="1:8" s="458" customFormat="1">
      <c r="A585" s="134" t="s">
        <v>808</v>
      </c>
      <c r="B585" s="134">
        <v>2019</v>
      </c>
      <c r="C585" s="134">
        <v>2</v>
      </c>
      <c r="D585" s="134">
        <v>17</v>
      </c>
      <c r="E585" s="134" t="s">
        <v>1746</v>
      </c>
      <c r="F585" s="134" t="s">
        <v>809</v>
      </c>
      <c r="G585" s="195"/>
      <c r="H585" s="195">
        <v>157.47</v>
      </c>
    </row>
    <row r="586" spans="1:8" s="458" customFormat="1">
      <c r="A586" s="134" t="s">
        <v>808</v>
      </c>
      <c r="B586" s="134">
        <v>2019</v>
      </c>
      <c r="C586" s="134">
        <v>2</v>
      </c>
      <c r="D586" s="134">
        <v>17</v>
      </c>
      <c r="E586" s="134" t="s">
        <v>1746</v>
      </c>
      <c r="F586" s="134" t="s">
        <v>809</v>
      </c>
      <c r="G586" s="195"/>
      <c r="H586" s="195">
        <v>195.48</v>
      </c>
    </row>
    <row r="587" spans="1:8" s="458" customFormat="1">
      <c r="A587" s="134" t="s">
        <v>808</v>
      </c>
      <c r="B587" s="134">
        <v>2019</v>
      </c>
      <c r="C587" s="134">
        <v>2</v>
      </c>
      <c r="D587" s="134">
        <v>17</v>
      </c>
      <c r="E587" s="134" t="s">
        <v>1746</v>
      </c>
      <c r="F587" s="134" t="s">
        <v>809</v>
      </c>
      <c r="G587" s="195"/>
      <c r="H587" s="195">
        <v>86.88</v>
      </c>
    </row>
    <row r="588" spans="1:8" s="458" customFormat="1">
      <c r="A588" s="134" t="s">
        <v>808</v>
      </c>
      <c r="B588" s="134">
        <v>2019</v>
      </c>
      <c r="C588" s="134">
        <v>2</v>
      </c>
      <c r="D588" s="134">
        <v>17</v>
      </c>
      <c r="E588" s="134" t="s">
        <v>1746</v>
      </c>
      <c r="F588" s="134" t="s">
        <v>809</v>
      </c>
      <c r="G588" s="195"/>
      <c r="H588" s="195">
        <v>146.61000000000001</v>
      </c>
    </row>
    <row r="589" spans="1:8" s="458" customFormat="1">
      <c r="A589" s="134" t="s">
        <v>808</v>
      </c>
      <c r="B589" s="134">
        <v>2019</v>
      </c>
      <c r="C589" s="134">
        <v>2</v>
      </c>
      <c r="D589" s="134">
        <v>17</v>
      </c>
      <c r="E589" s="134" t="s">
        <v>1746</v>
      </c>
      <c r="F589" s="134" t="s">
        <v>809</v>
      </c>
      <c r="G589" s="195"/>
      <c r="H589" s="195">
        <v>76.02</v>
      </c>
    </row>
    <row r="590" spans="1:8" s="458" customFormat="1">
      <c r="A590" s="134" t="s">
        <v>808</v>
      </c>
      <c r="B590" s="134">
        <v>2019</v>
      </c>
      <c r="C590" s="134">
        <v>2</v>
      </c>
      <c r="D590" s="134">
        <v>17</v>
      </c>
      <c r="E590" s="134" t="s">
        <v>1746</v>
      </c>
      <c r="F590" s="134" t="s">
        <v>809</v>
      </c>
      <c r="G590" s="195"/>
      <c r="H590" s="195">
        <v>157.47</v>
      </c>
    </row>
    <row r="591" spans="1:8" s="458" customFormat="1">
      <c r="A591" s="134" t="s">
        <v>808</v>
      </c>
      <c r="B591" s="134">
        <v>2019</v>
      </c>
      <c r="C591" s="134">
        <v>2</v>
      </c>
      <c r="D591" s="134">
        <v>17</v>
      </c>
      <c r="E591" s="134" t="s">
        <v>1746</v>
      </c>
      <c r="F591" s="134" t="s">
        <v>809</v>
      </c>
      <c r="G591" s="195"/>
      <c r="H591" s="195">
        <v>550.79999999999995</v>
      </c>
    </row>
    <row r="592" spans="1:8" s="458" customFormat="1">
      <c r="A592" s="134" t="s">
        <v>808</v>
      </c>
      <c r="B592" s="134">
        <v>2019</v>
      </c>
      <c r="C592" s="134">
        <v>2</v>
      </c>
      <c r="D592" s="134">
        <v>20</v>
      </c>
      <c r="E592" s="134" t="s">
        <v>1750</v>
      </c>
      <c r="F592" s="134" t="s">
        <v>809</v>
      </c>
      <c r="G592" s="195"/>
      <c r="H592" s="195">
        <v>35.6</v>
      </c>
    </row>
    <row r="593" spans="1:8" s="458" customFormat="1">
      <c r="A593" s="134" t="s">
        <v>808</v>
      </c>
      <c r="B593" s="134">
        <v>2019</v>
      </c>
      <c r="C593" s="134">
        <v>2</v>
      </c>
      <c r="D593" s="134">
        <v>20</v>
      </c>
      <c r="E593" s="134" t="s">
        <v>1750</v>
      </c>
      <c r="F593" s="134" t="s">
        <v>809</v>
      </c>
      <c r="G593" s="195"/>
      <c r="H593" s="195">
        <v>76.14</v>
      </c>
    </row>
    <row r="594" spans="1:8" s="458" customFormat="1">
      <c r="A594" s="134" t="s">
        <v>808</v>
      </c>
      <c r="B594" s="134">
        <v>2019</v>
      </c>
      <c r="C594" s="134">
        <v>2</v>
      </c>
      <c r="D594" s="134">
        <v>20</v>
      </c>
      <c r="E594" s="134" t="s">
        <v>1750</v>
      </c>
      <c r="F594" s="134" t="s">
        <v>809</v>
      </c>
      <c r="G594" s="195"/>
      <c r="H594" s="195">
        <v>44.01</v>
      </c>
    </row>
    <row r="595" spans="1:8" s="458" customFormat="1">
      <c r="A595" s="134" t="s">
        <v>808</v>
      </c>
      <c r="B595" s="134">
        <v>2019</v>
      </c>
      <c r="C595" s="134">
        <v>2</v>
      </c>
      <c r="D595" s="134">
        <v>25</v>
      </c>
      <c r="E595" s="134" t="s">
        <v>1760</v>
      </c>
      <c r="F595" s="134" t="s">
        <v>809</v>
      </c>
      <c r="G595" s="195"/>
      <c r="H595" s="195">
        <v>58.08</v>
      </c>
    </row>
    <row r="596" spans="1:8" s="458" customFormat="1">
      <c r="A596" s="134" t="s">
        <v>808</v>
      </c>
      <c r="B596" s="134">
        <v>2019</v>
      </c>
      <c r="C596" s="134">
        <v>2</v>
      </c>
      <c r="D596" s="134">
        <v>25</v>
      </c>
      <c r="E596" s="134" t="s">
        <v>1760</v>
      </c>
      <c r="F596" s="134" t="s">
        <v>809</v>
      </c>
      <c r="G596" s="195"/>
      <c r="H596" s="195"/>
    </row>
    <row r="597" spans="1:8" s="458" customFormat="1">
      <c r="A597" s="134" t="s">
        <v>808</v>
      </c>
      <c r="B597" s="134">
        <v>2019</v>
      </c>
      <c r="C597" s="134">
        <v>2</v>
      </c>
      <c r="D597" s="134">
        <v>25</v>
      </c>
      <c r="E597" s="134" t="s">
        <v>1760</v>
      </c>
      <c r="F597" s="134" t="s">
        <v>809</v>
      </c>
      <c r="G597" s="195"/>
      <c r="H597" s="195">
        <v>58.08</v>
      </c>
    </row>
    <row r="598" spans="1:8" s="458" customFormat="1">
      <c r="A598" s="134" t="s">
        <v>808</v>
      </c>
      <c r="B598" s="134">
        <v>2019</v>
      </c>
      <c r="C598" s="134">
        <v>2</v>
      </c>
      <c r="D598" s="134">
        <v>25</v>
      </c>
      <c r="E598" s="134" t="s">
        <v>1760</v>
      </c>
      <c r="F598" s="134" t="s">
        <v>809</v>
      </c>
      <c r="G598" s="195"/>
      <c r="H598" s="195"/>
    </row>
    <row r="599" spans="1:8" s="458" customFormat="1">
      <c r="A599" s="134" t="s">
        <v>808</v>
      </c>
      <c r="B599" s="134">
        <v>2019</v>
      </c>
      <c r="C599" s="134">
        <v>2</v>
      </c>
      <c r="D599" s="134">
        <v>25</v>
      </c>
      <c r="E599" s="134" t="s">
        <v>1760</v>
      </c>
      <c r="F599" s="134" t="s">
        <v>809</v>
      </c>
      <c r="G599" s="195"/>
      <c r="H599" s="195">
        <v>58.08</v>
      </c>
    </row>
    <row r="600" spans="1:8" s="458" customFormat="1">
      <c r="A600" s="134" t="s">
        <v>808</v>
      </c>
      <c r="B600" s="134">
        <v>2019</v>
      </c>
      <c r="C600" s="134">
        <v>2</v>
      </c>
      <c r="D600" s="134">
        <v>25</v>
      </c>
      <c r="E600" s="134" t="s">
        <v>1760</v>
      </c>
      <c r="F600" s="134" t="s">
        <v>809</v>
      </c>
      <c r="G600" s="195"/>
      <c r="H600" s="195"/>
    </row>
    <row r="601" spans="1:8" s="458" customFormat="1">
      <c r="A601" s="134" t="s">
        <v>808</v>
      </c>
      <c r="B601" s="134">
        <v>2019</v>
      </c>
      <c r="C601" s="134">
        <v>2</v>
      </c>
      <c r="D601" s="134">
        <v>25</v>
      </c>
      <c r="E601" s="134" t="s">
        <v>1761</v>
      </c>
      <c r="F601" s="134" t="s">
        <v>809</v>
      </c>
      <c r="G601" s="195"/>
      <c r="H601" s="195">
        <v>144</v>
      </c>
    </row>
    <row r="602" spans="1:8" s="458" customFormat="1">
      <c r="A602" s="134" t="s">
        <v>808</v>
      </c>
      <c r="B602" s="134">
        <v>2019</v>
      </c>
      <c r="C602" s="134">
        <v>2</v>
      </c>
      <c r="D602" s="134">
        <v>28</v>
      </c>
      <c r="E602" s="134" t="s">
        <v>1770</v>
      </c>
      <c r="F602" s="134" t="s">
        <v>809</v>
      </c>
      <c r="G602" s="195"/>
      <c r="H602" s="195">
        <v>2556.06</v>
      </c>
    </row>
    <row r="603" spans="1:8" s="458" customFormat="1">
      <c r="A603" s="134" t="s">
        <v>808</v>
      </c>
      <c r="B603" s="134">
        <v>2019</v>
      </c>
      <c r="C603" s="134">
        <v>2</v>
      </c>
      <c r="D603" s="134">
        <v>28</v>
      </c>
      <c r="E603" s="134" t="s">
        <v>1770</v>
      </c>
      <c r="F603" s="134" t="s">
        <v>809</v>
      </c>
      <c r="G603" s="195"/>
      <c r="H603" s="195">
        <v>3124.8</v>
      </c>
    </row>
    <row r="604" spans="1:8" s="458" customFormat="1">
      <c r="A604" s="134" t="s">
        <v>808</v>
      </c>
      <c r="B604" s="134">
        <v>2019</v>
      </c>
      <c r="C604" s="134">
        <v>2</v>
      </c>
      <c r="D604" s="134">
        <v>29</v>
      </c>
      <c r="E604" s="134" t="s">
        <v>1775</v>
      </c>
      <c r="F604" s="134" t="s">
        <v>809</v>
      </c>
      <c r="G604" s="195"/>
      <c r="H604" s="195">
        <v>55.98</v>
      </c>
    </row>
    <row r="605" spans="1:8" s="458" customFormat="1">
      <c r="A605" s="134" t="s">
        <v>808</v>
      </c>
      <c r="B605" s="134">
        <v>2019</v>
      </c>
      <c r="C605" s="134">
        <v>2</v>
      </c>
      <c r="D605" s="134">
        <v>29</v>
      </c>
      <c r="E605" s="134" t="s">
        <v>1775</v>
      </c>
      <c r="F605" s="134" t="s">
        <v>809</v>
      </c>
      <c r="G605" s="195"/>
      <c r="H605" s="195">
        <v>316.32</v>
      </c>
    </row>
    <row r="606" spans="1:8" s="458" customFormat="1">
      <c r="A606" s="134" t="s">
        <v>808</v>
      </c>
      <c r="B606" s="134">
        <v>2019</v>
      </c>
      <c r="C606" s="134">
        <v>2</v>
      </c>
      <c r="D606" s="134">
        <v>29</v>
      </c>
      <c r="E606" s="134" t="s">
        <v>1775</v>
      </c>
      <c r="F606" s="134" t="s">
        <v>809</v>
      </c>
      <c r="G606" s="195"/>
      <c r="H606" s="195">
        <v>899.99</v>
      </c>
    </row>
    <row r="607" spans="1:8" s="458" customFormat="1">
      <c r="A607" s="134" t="s">
        <v>808</v>
      </c>
      <c r="B607" s="134">
        <v>2019</v>
      </c>
      <c r="C607" s="134">
        <v>2</v>
      </c>
      <c r="D607" s="134">
        <v>26</v>
      </c>
      <c r="E607" s="134" t="s">
        <v>1779</v>
      </c>
      <c r="F607" s="134" t="s">
        <v>809</v>
      </c>
      <c r="G607" s="195"/>
      <c r="H607" s="195">
        <v>18.989999999999998</v>
      </c>
    </row>
    <row r="608" spans="1:8" s="458" customFormat="1">
      <c r="A608" s="134" t="s">
        <v>808</v>
      </c>
      <c r="B608" s="134">
        <v>2019</v>
      </c>
      <c r="C608" s="134">
        <v>2</v>
      </c>
      <c r="D608" s="134">
        <v>26</v>
      </c>
      <c r="E608" s="134" t="s">
        <v>1779</v>
      </c>
      <c r="F608" s="134" t="s">
        <v>809</v>
      </c>
      <c r="G608" s="195"/>
      <c r="H608" s="195">
        <v>11.98</v>
      </c>
    </row>
    <row r="609" spans="1:8" s="458" customFormat="1">
      <c r="A609" s="134" t="s">
        <v>808</v>
      </c>
      <c r="B609" s="134">
        <v>2019</v>
      </c>
      <c r="C609" s="134">
        <v>2</v>
      </c>
      <c r="D609" s="134">
        <v>29</v>
      </c>
      <c r="E609" s="134" t="s">
        <v>1780</v>
      </c>
      <c r="F609" s="134" t="s">
        <v>809</v>
      </c>
      <c r="G609" s="195"/>
      <c r="H609" s="195">
        <v>40.99</v>
      </c>
    </row>
    <row r="610" spans="1:8" s="458" customFormat="1">
      <c r="A610" s="134" t="s">
        <v>808</v>
      </c>
      <c r="B610" s="134">
        <v>2019</v>
      </c>
      <c r="C610" s="134">
        <v>2</v>
      </c>
      <c r="D610" s="134">
        <v>29</v>
      </c>
      <c r="E610" s="134" t="s">
        <v>1780</v>
      </c>
      <c r="F610" s="134" t="s">
        <v>809</v>
      </c>
      <c r="G610" s="195"/>
      <c r="H610" s="195">
        <v>48.97</v>
      </c>
    </row>
    <row r="611" spans="1:8" s="458" customFormat="1">
      <c r="A611" s="134" t="s">
        <v>808</v>
      </c>
      <c r="B611" s="134">
        <v>2019</v>
      </c>
      <c r="C611" s="134">
        <v>2</v>
      </c>
      <c r="D611" s="134">
        <v>29</v>
      </c>
      <c r="E611" s="134" t="s">
        <v>1780</v>
      </c>
      <c r="F611" s="134" t="s">
        <v>809</v>
      </c>
      <c r="G611" s="195"/>
      <c r="H611" s="195">
        <v>70.599999999999994</v>
      </c>
    </row>
    <row r="612" spans="1:8" s="458" customFormat="1">
      <c r="A612" s="134" t="s">
        <v>808</v>
      </c>
      <c r="B612" s="134">
        <v>2019</v>
      </c>
      <c r="C612" s="134">
        <v>2</v>
      </c>
      <c r="D612" s="134">
        <v>29</v>
      </c>
      <c r="E612" s="134" t="s">
        <v>1781</v>
      </c>
      <c r="F612" s="134" t="s">
        <v>809</v>
      </c>
      <c r="G612" s="195"/>
      <c r="H612" s="195">
        <v>200</v>
      </c>
    </row>
    <row r="613" spans="1:8" s="458" customFormat="1">
      <c r="A613" s="134" t="s">
        <v>808</v>
      </c>
      <c r="B613" s="134">
        <v>2019</v>
      </c>
      <c r="C613" s="134">
        <v>2</v>
      </c>
      <c r="D613" s="134">
        <v>29</v>
      </c>
      <c r="E613" s="134" t="s">
        <v>1782</v>
      </c>
      <c r="F613" s="134" t="s">
        <v>809</v>
      </c>
      <c r="G613" s="195"/>
      <c r="H613" s="195"/>
    </row>
    <row r="614" spans="1:8" s="458" customFormat="1">
      <c r="A614" s="134" t="s">
        <v>808</v>
      </c>
      <c r="B614" s="134">
        <v>2019</v>
      </c>
      <c r="C614" s="134">
        <v>2</v>
      </c>
      <c r="D614" s="134">
        <v>29</v>
      </c>
      <c r="E614" s="134" t="s">
        <v>1782</v>
      </c>
      <c r="F614" s="134" t="s">
        <v>809</v>
      </c>
      <c r="G614" s="195"/>
      <c r="H614" s="195">
        <v>600</v>
      </c>
    </row>
    <row r="615" spans="1:8" s="458" customFormat="1">
      <c r="A615" s="134" t="s">
        <v>808</v>
      </c>
      <c r="B615" s="134">
        <v>2019</v>
      </c>
      <c r="C615" s="134">
        <v>2</v>
      </c>
      <c r="D615" s="134">
        <v>29</v>
      </c>
      <c r="E615" s="134" t="s">
        <v>1782</v>
      </c>
      <c r="F615" s="134" t="s">
        <v>809</v>
      </c>
      <c r="G615" s="195"/>
      <c r="H615" s="195"/>
    </row>
    <row r="616" spans="1:8" s="458" customFormat="1">
      <c r="A616" s="134" t="s">
        <v>808</v>
      </c>
      <c r="B616" s="134">
        <v>2019</v>
      </c>
      <c r="C616" s="134">
        <v>2</v>
      </c>
      <c r="D616" s="134">
        <v>29</v>
      </c>
      <c r="E616" s="134" t="s">
        <v>1782</v>
      </c>
      <c r="F616" s="134" t="s">
        <v>809</v>
      </c>
      <c r="G616" s="195"/>
      <c r="H616" s="195">
        <v>600</v>
      </c>
    </row>
    <row r="617" spans="1:8" s="458" customFormat="1">
      <c r="A617" s="134" t="s">
        <v>808</v>
      </c>
      <c r="B617" s="134">
        <v>2019</v>
      </c>
      <c r="C617" s="134">
        <v>2</v>
      </c>
      <c r="D617" s="134">
        <v>40</v>
      </c>
      <c r="E617" s="134" t="s">
        <v>1791</v>
      </c>
      <c r="F617" s="134" t="s">
        <v>809</v>
      </c>
      <c r="G617" s="195"/>
      <c r="H617" s="195">
        <v>-382.13</v>
      </c>
    </row>
    <row r="618" spans="1:8" s="458" customFormat="1">
      <c r="A618" s="134" t="s">
        <v>808</v>
      </c>
      <c r="B618" s="134">
        <v>2019</v>
      </c>
      <c r="C618" s="134">
        <v>2</v>
      </c>
      <c r="D618" s="134">
        <v>40</v>
      </c>
      <c r="E618" s="134" t="s">
        <v>1791</v>
      </c>
      <c r="F618" s="134" t="s">
        <v>809</v>
      </c>
      <c r="G618" s="195"/>
      <c r="H618" s="195">
        <v>764.27</v>
      </c>
    </row>
    <row r="619" spans="1:8" s="458" customFormat="1">
      <c r="A619" s="134" t="s">
        <v>808</v>
      </c>
      <c r="B619" s="134">
        <v>2019</v>
      </c>
      <c r="C619" s="134">
        <v>2</v>
      </c>
      <c r="D619" s="134">
        <v>40</v>
      </c>
      <c r="E619" s="134" t="s">
        <v>1791</v>
      </c>
      <c r="F619" s="134" t="s">
        <v>809</v>
      </c>
      <c r="G619" s="195"/>
      <c r="H619" s="195">
        <v>-386.07</v>
      </c>
    </row>
    <row r="620" spans="1:8" s="458" customFormat="1">
      <c r="A620" s="134" t="s">
        <v>808</v>
      </c>
      <c r="B620" s="134">
        <v>2019</v>
      </c>
      <c r="C620" s="134">
        <v>2</v>
      </c>
      <c r="D620" s="134">
        <v>40</v>
      </c>
      <c r="E620" s="134" t="s">
        <v>1791</v>
      </c>
      <c r="F620" s="134" t="s">
        <v>809</v>
      </c>
      <c r="G620" s="195"/>
      <c r="H620" s="195">
        <v>772.15</v>
      </c>
    </row>
    <row r="621" spans="1:8" s="458" customFormat="1">
      <c r="A621" s="134" t="s">
        <v>808</v>
      </c>
      <c r="B621" s="134">
        <v>2019</v>
      </c>
      <c r="C621" s="134">
        <v>2</v>
      </c>
      <c r="D621" s="134">
        <v>40</v>
      </c>
      <c r="E621" s="134" t="s">
        <v>1791</v>
      </c>
      <c r="F621" s="134" t="s">
        <v>809</v>
      </c>
      <c r="G621" s="195"/>
      <c r="H621" s="195">
        <v>-194.68</v>
      </c>
    </row>
    <row r="622" spans="1:8" s="458" customFormat="1">
      <c r="A622" s="134" t="s">
        <v>808</v>
      </c>
      <c r="B622" s="134">
        <v>2019</v>
      </c>
      <c r="C622" s="134">
        <v>2</v>
      </c>
      <c r="D622" s="134">
        <v>40</v>
      </c>
      <c r="E622" s="134" t="s">
        <v>1791</v>
      </c>
      <c r="F622" s="134" t="s">
        <v>809</v>
      </c>
      <c r="G622" s="195"/>
      <c r="H622" s="195">
        <v>389.36</v>
      </c>
    </row>
    <row r="623" spans="1:8" s="458" customFormat="1">
      <c r="A623" s="134" t="s">
        <v>808</v>
      </c>
      <c r="B623" s="134">
        <v>2019</v>
      </c>
      <c r="C623" s="134">
        <v>2</v>
      </c>
      <c r="D623" s="134">
        <v>41</v>
      </c>
      <c r="E623" s="134" t="s">
        <v>1792</v>
      </c>
      <c r="F623" s="134" t="s">
        <v>809</v>
      </c>
      <c r="G623" s="195"/>
      <c r="H623" s="195">
        <v>70.099999999999994</v>
      </c>
    </row>
    <row r="624" spans="1:8" s="458" customFormat="1">
      <c r="A624" s="134" t="s">
        <v>808</v>
      </c>
      <c r="B624" s="134">
        <v>2019</v>
      </c>
      <c r="C624" s="134">
        <v>2</v>
      </c>
      <c r="D624" s="134">
        <v>41</v>
      </c>
      <c r="E624" s="134" t="s">
        <v>1792</v>
      </c>
      <c r="F624" s="134" t="s">
        <v>809</v>
      </c>
      <c r="G624" s="195"/>
      <c r="H624" s="195">
        <v>70.819999999999993</v>
      </c>
    </row>
    <row r="625" spans="1:8" s="458" customFormat="1">
      <c r="A625" s="134" t="s">
        <v>808</v>
      </c>
      <c r="B625" s="134">
        <v>2019</v>
      </c>
      <c r="C625" s="134">
        <v>2</v>
      </c>
      <c r="D625" s="134">
        <v>41</v>
      </c>
      <c r="E625" s="134" t="s">
        <v>1792</v>
      </c>
      <c r="F625" s="134" t="s">
        <v>809</v>
      </c>
      <c r="G625" s="195"/>
      <c r="H625" s="195">
        <v>35.71</v>
      </c>
    </row>
    <row r="626" spans="1:8" s="458" customFormat="1">
      <c r="A626" s="134" t="s">
        <v>808</v>
      </c>
      <c r="B626" s="134">
        <v>2019</v>
      </c>
      <c r="C626" s="134">
        <v>2</v>
      </c>
      <c r="D626" s="134">
        <v>38</v>
      </c>
      <c r="E626" s="134" t="s">
        <v>1793</v>
      </c>
      <c r="F626" s="134" t="s">
        <v>809</v>
      </c>
      <c r="G626" s="195"/>
      <c r="H626" s="195">
        <v>382.13</v>
      </c>
    </row>
    <row r="627" spans="1:8" s="458" customFormat="1">
      <c r="A627" s="134" t="s">
        <v>808</v>
      </c>
      <c r="B627" s="134">
        <v>2019</v>
      </c>
      <c r="C627" s="134">
        <v>2</v>
      </c>
      <c r="D627" s="134">
        <v>38</v>
      </c>
      <c r="E627" s="134" t="s">
        <v>1793</v>
      </c>
      <c r="F627" s="134" t="s">
        <v>809</v>
      </c>
      <c r="G627" s="195"/>
      <c r="H627" s="195">
        <v>386.07</v>
      </c>
    </row>
    <row r="628" spans="1:8" s="458" customFormat="1">
      <c r="A628" s="134" t="s">
        <v>808</v>
      </c>
      <c r="B628" s="134">
        <v>2019</v>
      </c>
      <c r="C628" s="134">
        <v>2</v>
      </c>
      <c r="D628" s="134">
        <v>38</v>
      </c>
      <c r="E628" s="134" t="s">
        <v>1793</v>
      </c>
      <c r="F628" s="134" t="s">
        <v>809</v>
      </c>
      <c r="G628" s="195"/>
      <c r="H628" s="195">
        <v>194.68</v>
      </c>
    </row>
    <row r="629" spans="1:8" s="458" customFormat="1">
      <c r="A629" s="134" t="s">
        <v>808</v>
      </c>
      <c r="B629" s="134">
        <v>2019</v>
      </c>
      <c r="C629" s="134">
        <v>3</v>
      </c>
      <c r="D629" s="134">
        <v>8</v>
      </c>
      <c r="E629" s="134" t="s">
        <v>1743</v>
      </c>
      <c r="F629" s="134" t="s">
        <v>809</v>
      </c>
      <c r="G629" s="195"/>
      <c r="H629" s="195">
        <v>-72921</v>
      </c>
    </row>
    <row r="630" spans="1:8" s="458" customFormat="1">
      <c r="A630" s="134" t="s">
        <v>808</v>
      </c>
      <c r="B630" s="134">
        <v>2019</v>
      </c>
      <c r="C630" s="134">
        <v>3</v>
      </c>
      <c r="D630" s="134">
        <v>17</v>
      </c>
      <c r="E630" s="134" t="s">
        <v>1746</v>
      </c>
      <c r="F630" s="134" t="s">
        <v>809</v>
      </c>
      <c r="G630" s="195"/>
      <c r="H630" s="195">
        <v>432.06</v>
      </c>
    </row>
    <row r="631" spans="1:8" s="458" customFormat="1">
      <c r="A631" s="134" t="s">
        <v>808</v>
      </c>
      <c r="B631" s="134">
        <v>2019</v>
      </c>
      <c r="C631" s="134">
        <v>3</v>
      </c>
      <c r="D631" s="134">
        <v>17</v>
      </c>
      <c r="E631" s="134" t="s">
        <v>1746</v>
      </c>
      <c r="F631" s="134" t="s">
        <v>809</v>
      </c>
      <c r="G631" s="195"/>
      <c r="H631" s="195">
        <v>409.32</v>
      </c>
    </row>
    <row r="632" spans="1:8" s="458" customFormat="1">
      <c r="A632" s="134" t="s">
        <v>808</v>
      </c>
      <c r="B632" s="134">
        <v>2019</v>
      </c>
      <c r="C632" s="134">
        <v>3</v>
      </c>
      <c r="D632" s="134">
        <v>17</v>
      </c>
      <c r="E632" s="134" t="s">
        <v>1746</v>
      </c>
      <c r="F632" s="134" t="s">
        <v>809</v>
      </c>
      <c r="G632" s="195"/>
      <c r="H632" s="195">
        <v>352.47</v>
      </c>
    </row>
    <row r="633" spans="1:8" s="458" customFormat="1">
      <c r="A633" s="134" t="s">
        <v>808</v>
      </c>
      <c r="B633" s="134">
        <v>2019</v>
      </c>
      <c r="C633" s="134">
        <v>3</v>
      </c>
      <c r="D633" s="134">
        <v>17</v>
      </c>
      <c r="E633" s="134" t="s">
        <v>1746</v>
      </c>
      <c r="F633" s="134" t="s">
        <v>809</v>
      </c>
      <c r="G633" s="195"/>
      <c r="H633" s="195">
        <v>409.32</v>
      </c>
    </row>
    <row r="634" spans="1:8" s="458" customFormat="1">
      <c r="A634" s="134" t="s">
        <v>808</v>
      </c>
      <c r="B634" s="134">
        <v>2019</v>
      </c>
      <c r="C634" s="134">
        <v>3</v>
      </c>
      <c r="D634" s="134">
        <v>17</v>
      </c>
      <c r="E634" s="134" t="s">
        <v>1746</v>
      </c>
      <c r="F634" s="134" t="s">
        <v>809</v>
      </c>
      <c r="G634" s="195"/>
      <c r="H634" s="195">
        <v>110.86</v>
      </c>
    </row>
    <row r="635" spans="1:8" s="458" customFormat="1">
      <c r="A635" s="134" t="s">
        <v>808</v>
      </c>
      <c r="B635" s="134">
        <v>2019</v>
      </c>
      <c r="C635" s="134">
        <v>3</v>
      </c>
      <c r="D635" s="134">
        <v>17</v>
      </c>
      <c r="E635" s="134" t="s">
        <v>1746</v>
      </c>
      <c r="F635" s="134" t="s">
        <v>809</v>
      </c>
      <c r="G635" s="195"/>
      <c r="H635" s="195">
        <v>343.94</v>
      </c>
    </row>
    <row r="636" spans="1:8" s="458" customFormat="1">
      <c r="A636" s="134" t="s">
        <v>808</v>
      </c>
      <c r="B636" s="134">
        <v>2019</v>
      </c>
      <c r="C636" s="134">
        <v>3</v>
      </c>
      <c r="D636" s="134">
        <v>17</v>
      </c>
      <c r="E636" s="134" t="s">
        <v>1746</v>
      </c>
      <c r="F636" s="134" t="s">
        <v>809</v>
      </c>
      <c r="G636" s="195"/>
      <c r="H636" s="195">
        <v>346.79</v>
      </c>
    </row>
    <row r="637" spans="1:8" s="458" customFormat="1">
      <c r="A637" s="134" t="s">
        <v>808</v>
      </c>
      <c r="B637" s="134">
        <v>2019</v>
      </c>
      <c r="C637" s="134">
        <v>3</v>
      </c>
      <c r="D637" s="134">
        <v>17</v>
      </c>
      <c r="E637" s="134" t="s">
        <v>1746</v>
      </c>
      <c r="F637" s="134" t="s">
        <v>809</v>
      </c>
      <c r="G637" s="195"/>
      <c r="H637" s="195">
        <v>369.53</v>
      </c>
    </row>
    <row r="638" spans="1:8" s="458" customFormat="1">
      <c r="A638" s="134" t="s">
        <v>808</v>
      </c>
      <c r="B638" s="134">
        <v>2019</v>
      </c>
      <c r="C638" s="134">
        <v>3</v>
      </c>
      <c r="D638" s="134">
        <v>17</v>
      </c>
      <c r="E638" s="134" t="s">
        <v>1746</v>
      </c>
      <c r="F638" s="134" t="s">
        <v>809</v>
      </c>
      <c r="G638" s="195"/>
      <c r="H638" s="195">
        <v>341.1</v>
      </c>
    </row>
    <row r="639" spans="1:8" s="458" customFormat="1">
      <c r="A639" s="134" t="s">
        <v>808</v>
      </c>
      <c r="B639" s="134">
        <v>2019</v>
      </c>
      <c r="C639" s="134">
        <v>3</v>
      </c>
      <c r="D639" s="134">
        <v>17</v>
      </c>
      <c r="E639" s="134" t="s">
        <v>1746</v>
      </c>
      <c r="F639" s="134" t="s">
        <v>809</v>
      </c>
      <c r="G639" s="195"/>
      <c r="H639" s="195">
        <v>156.34</v>
      </c>
    </row>
    <row r="640" spans="1:8" s="458" customFormat="1">
      <c r="A640" s="134" t="s">
        <v>808</v>
      </c>
      <c r="B640" s="134">
        <v>2019</v>
      </c>
      <c r="C640" s="134">
        <v>3</v>
      </c>
      <c r="D640" s="134">
        <v>17</v>
      </c>
      <c r="E640" s="134" t="s">
        <v>1746</v>
      </c>
      <c r="F640" s="134" t="s">
        <v>809</v>
      </c>
      <c r="G640" s="195"/>
      <c r="H640" s="195">
        <v>207.5</v>
      </c>
    </row>
    <row r="641" spans="1:8" s="458" customFormat="1">
      <c r="A641" s="134" t="s">
        <v>808</v>
      </c>
      <c r="B641" s="134">
        <v>2019</v>
      </c>
      <c r="C641" s="134">
        <v>3</v>
      </c>
      <c r="D641" s="134">
        <v>17</v>
      </c>
      <c r="E641" s="134" t="s">
        <v>1746</v>
      </c>
      <c r="F641" s="134" t="s">
        <v>809</v>
      </c>
      <c r="G641" s="195"/>
      <c r="H641" s="195">
        <v>454.8</v>
      </c>
    </row>
    <row r="642" spans="1:8" s="458" customFormat="1">
      <c r="A642" s="134" t="s">
        <v>808</v>
      </c>
      <c r="B642" s="134">
        <v>2019</v>
      </c>
      <c r="C642" s="134">
        <v>3</v>
      </c>
      <c r="D642" s="134">
        <v>17</v>
      </c>
      <c r="E642" s="134" t="s">
        <v>1746</v>
      </c>
      <c r="F642" s="134" t="s">
        <v>809</v>
      </c>
      <c r="G642" s="195"/>
      <c r="H642" s="195">
        <v>454.8</v>
      </c>
    </row>
    <row r="643" spans="1:8" s="458" customFormat="1">
      <c r="A643" s="134" t="s">
        <v>808</v>
      </c>
      <c r="B643" s="134">
        <v>2019</v>
      </c>
      <c r="C643" s="134">
        <v>3</v>
      </c>
      <c r="D643" s="134">
        <v>17</v>
      </c>
      <c r="E643" s="134" t="s">
        <v>1746</v>
      </c>
      <c r="F643" s="134" t="s">
        <v>809</v>
      </c>
      <c r="G643" s="195"/>
      <c r="H643" s="195">
        <v>460.49</v>
      </c>
    </row>
    <row r="644" spans="1:8" s="458" customFormat="1">
      <c r="A644" s="134" t="s">
        <v>808</v>
      </c>
      <c r="B644" s="134">
        <v>2019</v>
      </c>
      <c r="C644" s="134">
        <v>3</v>
      </c>
      <c r="D644" s="134">
        <v>17</v>
      </c>
      <c r="E644" s="134" t="s">
        <v>1746</v>
      </c>
      <c r="F644" s="134" t="s">
        <v>809</v>
      </c>
      <c r="G644" s="195"/>
      <c r="H644" s="195">
        <v>22.74</v>
      </c>
    </row>
    <row r="645" spans="1:8" s="458" customFormat="1">
      <c r="A645" s="134" t="s">
        <v>808</v>
      </c>
      <c r="B645" s="134">
        <v>2019</v>
      </c>
      <c r="C645" s="134">
        <v>3</v>
      </c>
      <c r="D645" s="134">
        <v>17</v>
      </c>
      <c r="E645" s="134" t="s">
        <v>1746</v>
      </c>
      <c r="F645" s="134" t="s">
        <v>809</v>
      </c>
      <c r="G645" s="195"/>
      <c r="H645" s="195">
        <v>34.11</v>
      </c>
    </row>
    <row r="646" spans="1:8" s="458" customFormat="1">
      <c r="A646" s="134" t="s">
        <v>808</v>
      </c>
      <c r="B646" s="134">
        <v>2019</v>
      </c>
      <c r="C646" s="134">
        <v>3</v>
      </c>
      <c r="D646" s="134">
        <v>17</v>
      </c>
      <c r="E646" s="134" t="s">
        <v>1746</v>
      </c>
      <c r="F646" s="134" t="s">
        <v>809</v>
      </c>
      <c r="G646" s="195"/>
      <c r="H646" s="195">
        <v>181.92</v>
      </c>
    </row>
    <row r="647" spans="1:8" s="458" customFormat="1">
      <c r="A647" s="134" t="s">
        <v>808</v>
      </c>
      <c r="B647" s="134">
        <v>2019</v>
      </c>
      <c r="C647" s="134">
        <v>3</v>
      </c>
      <c r="D647" s="134">
        <v>17</v>
      </c>
      <c r="E647" s="134" t="s">
        <v>1746</v>
      </c>
      <c r="F647" s="134" t="s">
        <v>809</v>
      </c>
      <c r="G647" s="195"/>
      <c r="H647" s="195">
        <v>159.18</v>
      </c>
    </row>
    <row r="648" spans="1:8" s="458" customFormat="1">
      <c r="A648" s="134" t="s">
        <v>808</v>
      </c>
      <c r="B648" s="134">
        <v>2019</v>
      </c>
      <c r="C648" s="134">
        <v>3</v>
      </c>
      <c r="D648" s="134">
        <v>17</v>
      </c>
      <c r="E648" s="134" t="s">
        <v>1746</v>
      </c>
      <c r="F648" s="134" t="s">
        <v>809</v>
      </c>
      <c r="G648" s="195"/>
      <c r="H648" s="195">
        <v>181.92</v>
      </c>
    </row>
    <row r="649" spans="1:8" s="458" customFormat="1">
      <c r="A649" s="134" t="s">
        <v>808</v>
      </c>
      <c r="B649" s="134">
        <v>2019</v>
      </c>
      <c r="C649" s="134">
        <v>3</v>
      </c>
      <c r="D649" s="134">
        <v>17</v>
      </c>
      <c r="E649" s="134" t="s">
        <v>1746</v>
      </c>
      <c r="F649" s="134" t="s">
        <v>809</v>
      </c>
      <c r="G649" s="195"/>
      <c r="H649" s="195">
        <v>181.92</v>
      </c>
    </row>
    <row r="650" spans="1:8" s="458" customFormat="1">
      <c r="A650" s="134" t="s">
        <v>808</v>
      </c>
      <c r="B650" s="134">
        <v>2019</v>
      </c>
      <c r="C650" s="134">
        <v>3</v>
      </c>
      <c r="D650" s="134">
        <v>17</v>
      </c>
      <c r="E650" s="134" t="s">
        <v>1746</v>
      </c>
      <c r="F650" s="134" t="s">
        <v>809</v>
      </c>
      <c r="G650" s="195"/>
      <c r="H650" s="195">
        <v>79.59</v>
      </c>
    </row>
    <row r="651" spans="1:8" s="458" customFormat="1">
      <c r="A651" s="134" t="s">
        <v>808</v>
      </c>
      <c r="B651" s="134">
        <v>2019</v>
      </c>
      <c r="C651" s="134">
        <v>3</v>
      </c>
      <c r="D651" s="134">
        <v>17</v>
      </c>
      <c r="E651" s="134" t="s">
        <v>1746</v>
      </c>
      <c r="F651" s="134" t="s">
        <v>809</v>
      </c>
      <c r="G651" s="195"/>
      <c r="H651" s="195">
        <v>113.7</v>
      </c>
    </row>
    <row r="652" spans="1:8" s="458" customFormat="1">
      <c r="A652" s="134" t="s">
        <v>808</v>
      </c>
      <c r="B652" s="134">
        <v>2019</v>
      </c>
      <c r="C652" s="134">
        <v>3</v>
      </c>
      <c r="D652" s="134">
        <v>17</v>
      </c>
      <c r="E652" s="134" t="s">
        <v>1746</v>
      </c>
      <c r="F652" s="134" t="s">
        <v>809</v>
      </c>
      <c r="G652" s="195"/>
      <c r="H652" s="195">
        <v>82.43</v>
      </c>
    </row>
    <row r="653" spans="1:8" s="458" customFormat="1">
      <c r="A653" s="134" t="s">
        <v>808</v>
      </c>
      <c r="B653" s="134">
        <v>2019</v>
      </c>
      <c r="C653" s="134">
        <v>3</v>
      </c>
      <c r="D653" s="134">
        <v>17</v>
      </c>
      <c r="E653" s="134" t="s">
        <v>1746</v>
      </c>
      <c r="F653" s="134" t="s">
        <v>809</v>
      </c>
      <c r="G653" s="195"/>
      <c r="H653" s="195">
        <v>73.91</v>
      </c>
    </row>
    <row r="654" spans="1:8" s="458" customFormat="1">
      <c r="A654" s="134" t="s">
        <v>808</v>
      </c>
      <c r="B654" s="134">
        <v>2019</v>
      </c>
      <c r="C654" s="134">
        <v>3</v>
      </c>
      <c r="D654" s="134">
        <v>17</v>
      </c>
      <c r="E654" s="134" t="s">
        <v>1746</v>
      </c>
      <c r="F654" s="134" t="s">
        <v>809</v>
      </c>
      <c r="G654" s="195"/>
      <c r="H654" s="195">
        <v>48.32</v>
      </c>
    </row>
    <row r="655" spans="1:8" s="458" customFormat="1">
      <c r="A655" s="134" t="s">
        <v>808</v>
      </c>
      <c r="B655" s="134">
        <v>2019</v>
      </c>
      <c r="C655" s="134">
        <v>3</v>
      </c>
      <c r="D655" s="134">
        <v>17</v>
      </c>
      <c r="E655" s="134" t="s">
        <v>1746</v>
      </c>
      <c r="F655" s="134" t="s">
        <v>809</v>
      </c>
      <c r="G655" s="195"/>
      <c r="H655" s="195">
        <v>79.59</v>
      </c>
    </row>
    <row r="656" spans="1:8" s="458" customFormat="1">
      <c r="A656" s="134" t="s">
        <v>808</v>
      </c>
      <c r="B656" s="134">
        <v>2019</v>
      </c>
      <c r="C656" s="134">
        <v>3</v>
      </c>
      <c r="D656" s="134">
        <v>17</v>
      </c>
      <c r="E656" s="134" t="s">
        <v>1746</v>
      </c>
      <c r="F656" s="134" t="s">
        <v>809</v>
      </c>
      <c r="G656" s="195"/>
      <c r="H656" s="195">
        <v>159.18</v>
      </c>
    </row>
    <row r="657" spans="1:8" s="458" customFormat="1">
      <c r="A657" s="134" t="s">
        <v>808</v>
      </c>
      <c r="B657" s="134">
        <v>2019</v>
      </c>
      <c r="C657" s="134">
        <v>3</v>
      </c>
      <c r="D657" s="134">
        <v>17</v>
      </c>
      <c r="E657" s="134" t="s">
        <v>1746</v>
      </c>
      <c r="F657" s="134" t="s">
        <v>809</v>
      </c>
      <c r="G657" s="195"/>
      <c r="H657" s="195">
        <v>227.4</v>
      </c>
    </row>
    <row r="658" spans="1:8" s="458" customFormat="1">
      <c r="A658" s="134" t="s">
        <v>808</v>
      </c>
      <c r="B658" s="134">
        <v>2019</v>
      </c>
      <c r="C658" s="134">
        <v>3</v>
      </c>
      <c r="D658" s="134">
        <v>17</v>
      </c>
      <c r="E658" s="134" t="s">
        <v>1746</v>
      </c>
      <c r="F658" s="134" t="s">
        <v>809</v>
      </c>
      <c r="G658" s="195"/>
      <c r="H658" s="195">
        <v>159.18</v>
      </c>
    </row>
    <row r="659" spans="1:8" s="458" customFormat="1">
      <c r="A659" s="134" t="s">
        <v>808</v>
      </c>
      <c r="B659" s="134">
        <v>2019</v>
      </c>
      <c r="C659" s="134">
        <v>3</v>
      </c>
      <c r="D659" s="134">
        <v>17</v>
      </c>
      <c r="E659" s="134" t="s">
        <v>1746</v>
      </c>
      <c r="F659" s="134" t="s">
        <v>809</v>
      </c>
      <c r="G659" s="195"/>
      <c r="H659" s="195">
        <v>831.3</v>
      </c>
    </row>
    <row r="660" spans="1:8" s="458" customFormat="1">
      <c r="A660" s="134" t="s">
        <v>808</v>
      </c>
      <c r="B660" s="134">
        <v>2019</v>
      </c>
      <c r="C660" s="134">
        <v>3</v>
      </c>
      <c r="D660" s="134">
        <v>17</v>
      </c>
      <c r="E660" s="134" t="s">
        <v>1746</v>
      </c>
      <c r="F660" s="134" t="s">
        <v>809</v>
      </c>
      <c r="G660" s="195"/>
      <c r="H660" s="195">
        <v>202.58</v>
      </c>
    </row>
    <row r="661" spans="1:8" s="458" customFormat="1">
      <c r="A661" s="134" t="s">
        <v>808</v>
      </c>
      <c r="B661" s="134">
        <v>2019</v>
      </c>
      <c r="C661" s="134">
        <v>3</v>
      </c>
      <c r="D661" s="134">
        <v>17</v>
      </c>
      <c r="E661" s="134" t="s">
        <v>1746</v>
      </c>
      <c r="F661" s="134" t="s">
        <v>809</v>
      </c>
      <c r="G661" s="195"/>
      <c r="H661" s="195">
        <v>366.3</v>
      </c>
    </row>
    <row r="662" spans="1:8" s="458" customFormat="1">
      <c r="A662" s="134" t="s">
        <v>808</v>
      </c>
      <c r="B662" s="134">
        <v>2019</v>
      </c>
      <c r="C662" s="134">
        <v>3</v>
      </c>
      <c r="D662" s="134">
        <v>17</v>
      </c>
      <c r="E662" s="134" t="s">
        <v>1746</v>
      </c>
      <c r="F662" s="134" t="s">
        <v>809</v>
      </c>
      <c r="G662" s="195"/>
      <c r="H662" s="195">
        <v>371.85</v>
      </c>
    </row>
    <row r="663" spans="1:8" s="458" customFormat="1">
      <c r="A663" s="134" t="s">
        <v>808</v>
      </c>
      <c r="B663" s="134">
        <v>2019</v>
      </c>
      <c r="C663" s="134">
        <v>3</v>
      </c>
      <c r="D663" s="134">
        <v>17</v>
      </c>
      <c r="E663" s="134" t="s">
        <v>1746</v>
      </c>
      <c r="F663" s="134" t="s">
        <v>809</v>
      </c>
      <c r="G663" s="195"/>
      <c r="H663" s="195">
        <v>363.53</v>
      </c>
    </row>
    <row r="664" spans="1:8" s="458" customFormat="1">
      <c r="A664" s="134" t="s">
        <v>808</v>
      </c>
      <c r="B664" s="134">
        <v>2019</v>
      </c>
      <c r="C664" s="134">
        <v>3</v>
      </c>
      <c r="D664" s="134">
        <v>17</v>
      </c>
      <c r="E664" s="134" t="s">
        <v>1746</v>
      </c>
      <c r="F664" s="134" t="s">
        <v>809</v>
      </c>
      <c r="G664" s="195"/>
      <c r="H664" s="195">
        <v>375.21</v>
      </c>
    </row>
    <row r="665" spans="1:8" s="458" customFormat="1">
      <c r="A665" s="134" t="s">
        <v>808</v>
      </c>
      <c r="B665" s="134">
        <v>2019</v>
      </c>
      <c r="C665" s="134">
        <v>3</v>
      </c>
      <c r="D665" s="134">
        <v>17</v>
      </c>
      <c r="E665" s="134" t="s">
        <v>1746</v>
      </c>
      <c r="F665" s="134" t="s">
        <v>809</v>
      </c>
      <c r="G665" s="195"/>
      <c r="H665" s="195">
        <v>284.25</v>
      </c>
    </row>
    <row r="666" spans="1:8" s="458" customFormat="1">
      <c r="A666" s="134" t="s">
        <v>808</v>
      </c>
      <c r="B666" s="134">
        <v>2019</v>
      </c>
      <c r="C666" s="134">
        <v>3</v>
      </c>
      <c r="D666" s="134">
        <v>17</v>
      </c>
      <c r="E666" s="134" t="s">
        <v>1746</v>
      </c>
      <c r="F666" s="134" t="s">
        <v>809</v>
      </c>
      <c r="G666" s="195"/>
      <c r="H666" s="195">
        <v>449.12</v>
      </c>
    </row>
    <row r="667" spans="1:8" s="458" customFormat="1">
      <c r="A667" s="134" t="s">
        <v>808</v>
      </c>
      <c r="B667" s="134">
        <v>2019</v>
      </c>
      <c r="C667" s="134">
        <v>3</v>
      </c>
      <c r="D667" s="134">
        <v>17</v>
      </c>
      <c r="E667" s="134" t="s">
        <v>1746</v>
      </c>
      <c r="F667" s="134" t="s">
        <v>809</v>
      </c>
      <c r="G667" s="195"/>
      <c r="H667" s="195">
        <v>386.58</v>
      </c>
    </row>
    <row r="668" spans="1:8" s="458" customFormat="1">
      <c r="A668" s="134" t="s">
        <v>808</v>
      </c>
      <c r="B668" s="134">
        <v>2019</v>
      </c>
      <c r="C668" s="134">
        <v>3</v>
      </c>
      <c r="D668" s="134">
        <v>17</v>
      </c>
      <c r="E668" s="134" t="s">
        <v>1746</v>
      </c>
      <c r="F668" s="134" t="s">
        <v>809</v>
      </c>
      <c r="G668" s="195"/>
      <c r="H668" s="195">
        <v>34.11</v>
      </c>
    </row>
    <row r="669" spans="1:8" s="458" customFormat="1">
      <c r="A669" s="134" t="s">
        <v>808</v>
      </c>
      <c r="B669" s="134">
        <v>2019</v>
      </c>
      <c r="C669" s="134">
        <v>3</v>
      </c>
      <c r="D669" s="134">
        <v>17</v>
      </c>
      <c r="E669" s="134" t="s">
        <v>1746</v>
      </c>
      <c r="F669" s="134" t="s">
        <v>809</v>
      </c>
      <c r="G669" s="195"/>
      <c r="H669" s="195">
        <v>93.8</v>
      </c>
    </row>
    <row r="670" spans="1:8" s="458" customFormat="1">
      <c r="A670" s="134" t="s">
        <v>808</v>
      </c>
      <c r="B670" s="134">
        <v>2019</v>
      </c>
      <c r="C670" s="134">
        <v>3</v>
      </c>
      <c r="D670" s="134">
        <v>17</v>
      </c>
      <c r="E670" s="134" t="s">
        <v>1746</v>
      </c>
      <c r="F670" s="134" t="s">
        <v>809</v>
      </c>
      <c r="G670" s="195"/>
      <c r="H670" s="195">
        <v>170.55</v>
      </c>
    </row>
    <row r="671" spans="1:8" s="458" customFormat="1">
      <c r="A671" s="134" t="s">
        <v>808</v>
      </c>
      <c r="B671" s="134">
        <v>2019</v>
      </c>
      <c r="C671" s="134">
        <v>3</v>
      </c>
      <c r="D671" s="134">
        <v>17</v>
      </c>
      <c r="E671" s="134" t="s">
        <v>1746</v>
      </c>
      <c r="F671" s="134" t="s">
        <v>809</v>
      </c>
      <c r="G671" s="195"/>
      <c r="H671" s="195">
        <v>181.92</v>
      </c>
    </row>
    <row r="672" spans="1:8" s="458" customFormat="1">
      <c r="A672" s="134" t="s">
        <v>808</v>
      </c>
      <c r="B672" s="134">
        <v>2019</v>
      </c>
      <c r="C672" s="134">
        <v>3</v>
      </c>
      <c r="D672" s="134">
        <v>17</v>
      </c>
      <c r="E672" s="134" t="s">
        <v>1746</v>
      </c>
      <c r="F672" s="134" t="s">
        <v>809</v>
      </c>
      <c r="G672" s="195"/>
      <c r="H672" s="195">
        <v>275.72000000000003</v>
      </c>
    </row>
    <row r="673" spans="1:8" s="458" customFormat="1">
      <c r="A673" s="134" t="s">
        <v>808</v>
      </c>
      <c r="B673" s="134">
        <v>2019</v>
      </c>
      <c r="C673" s="134">
        <v>3</v>
      </c>
      <c r="D673" s="134">
        <v>17</v>
      </c>
      <c r="E673" s="134" t="s">
        <v>1746</v>
      </c>
      <c r="F673" s="134" t="s">
        <v>809</v>
      </c>
      <c r="G673" s="195"/>
      <c r="H673" s="195">
        <v>281.41000000000003</v>
      </c>
    </row>
    <row r="674" spans="1:8" s="458" customFormat="1">
      <c r="A674" s="134" t="s">
        <v>808</v>
      </c>
      <c r="B674" s="134">
        <v>2019</v>
      </c>
      <c r="C674" s="134">
        <v>3</v>
      </c>
      <c r="D674" s="134">
        <v>17</v>
      </c>
      <c r="E674" s="134" t="s">
        <v>1746</v>
      </c>
      <c r="F674" s="134" t="s">
        <v>809</v>
      </c>
      <c r="G674" s="195"/>
      <c r="H674" s="195">
        <v>142.13</v>
      </c>
    </row>
    <row r="675" spans="1:8" s="458" customFormat="1">
      <c r="A675" s="134" t="s">
        <v>808</v>
      </c>
      <c r="B675" s="134">
        <v>2019</v>
      </c>
      <c r="C675" s="134">
        <v>3</v>
      </c>
      <c r="D675" s="134">
        <v>17</v>
      </c>
      <c r="E675" s="134" t="s">
        <v>1746</v>
      </c>
      <c r="F675" s="134" t="s">
        <v>809</v>
      </c>
      <c r="G675" s="195"/>
      <c r="H675" s="195">
        <v>73.91</v>
      </c>
    </row>
    <row r="676" spans="1:8" s="458" customFormat="1">
      <c r="A676" s="134" t="s">
        <v>808</v>
      </c>
      <c r="B676" s="134">
        <v>2019</v>
      </c>
      <c r="C676" s="134">
        <v>3</v>
      </c>
      <c r="D676" s="134">
        <v>17</v>
      </c>
      <c r="E676" s="134" t="s">
        <v>1746</v>
      </c>
      <c r="F676" s="134" t="s">
        <v>809</v>
      </c>
      <c r="G676" s="195"/>
      <c r="H676" s="195">
        <v>272.88</v>
      </c>
    </row>
    <row r="677" spans="1:8" s="458" customFormat="1">
      <c r="A677" s="134" t="s">
        <v>808</v>
      </c>
      <c r="B677" s="134">
        <v>2019</v>
      </c>
      <c r="C677" s="134">
        <v>3</v>
      </c>
      <c r="D677" s="134">
        <v>17</v>
      </c>
      <c r="E677" s="134" t="s">
        <v>1746</v>
      </c>
      <c r="F677" s="134" t="s">
        <v>809</v>
      </c>
      <c r="G677" s="195"/>
      <c r="H677" s="195">
        <v>113.7</v>
      </c>
    </row>
    <row r="678" spans="1:8" s="458" customFormat="1">
      <c r="A678" s="134" t="s">
        <v>808</v>
      </c>
      <c r="B678" s="134">
        <v>2019</v>
      </c>
      <c r="C678" s="134">
        <v>3</v>
      </c>
      <c r="D678" s="134">
        <v>17</v>
      </c>
      <c r="E678" s="134" t="s">
        <v>1746</v>
      </c>
      <c r="F678" s="134" t="s">
        <v>809</v>
      </c>
      <c r="G678" s="195"/>
      <c r="H678" s="195">
        <v>130.43</v>
      </c>
    </row>
    <row r="679" spans="1:8" s="458" customFormat="1">
      <c r="A679" s="134" t="s">
        <v>808</v>
      </c>
      <c r="B679" s="134">
        <v>2019</v>
      </c>
      <c r="C679" s="134">
        <v>3</v>
      </c>
      <c r="D679" s="134">
        <v>17</v>
      </c>
      <c r="E679" s="134" t="s">
        <v>1746</v>
      </c>
      <c r="F679" s="134" t="s">
        <v>809</v>
      </c>
      <c r="G679" s="195"/>
      <c r="H679" s="195">
        <v>133.19999999999999</v>
      </c>
    </row>
    <row r="680" spans="1:8" s="458" customFormat="1">
      <c r="A680" s="134" t="s">
        <v>808</v>
      </c>
      <c r="B680" s="134">
        <v>2019</v>
      </c>
      <c r="C680" s="134">
        <v>3</v>
      </c>
      <c r="D680" s="134">
        <v>20</v>
      </c>
      <c r="E680" s="134" t="s">
        <v>1750</v>
      </c>
      <c r="F680" s="134" t="s">
        <v>809</v>
      </c>
      <c r="G680" s="195"/>
      <c r="H680" s="195">
        <v>20.100000000000001</v>
      </c>
    </row>
    <row r="681" spans="1:8" s="458" customFormat="1">
      <c r="A681" s="134" t="s">
        <v>808</v>
      </c>
      <c r="B681" s="134">
        <v>2019</v>
      </c>
      <c r="C681" s="134">
        <v>3</v>
      </c>
      <c r="D681" s="134">
        <v>20</v>
      </c>
      <c r="E681" s="134" t="s">
        <v>1750</v>
      </c>
      <c r="F681" s="134" t="s">
        <v>809</v>
      </c>
      <c r="G681" s="195"/>
      <c r="H681" s="195">
        <v>40.97</v>
      </c>
    </row>
    <row r="682" spans="1:8" s="458" customFormat="1">
      <c r="A682" s="134" t="s">
        <v>808</v>
      </c>
      <c r="B682" s="134">
        <v>2019</v>
      </c>
      <c r="C682" s="134">
        <v>3</v>
      </c>
      <c r="D682" s="134">
        <v>20</v>
      </c>
      <c r="E682" s="134" t="s">
        <v>1750</v>
      </c>
      <c r="F682" s="134" t="s">
        <v>809</v>
      </c>
      <c r="G682" s="195"/>
      <c r="H682" s="195">
        <v>36.29</v>
      </c>
    </row>
    <row r="683" spans="1:8" s="458" customFormat="1">
      <c r="A683" s="134" t="s">
        <v>808</v>
      </c>
      <c r="B683" s="134">
        <v>2019</v>
      </c>
      <c r="C683" s="134">
        <v>3</v>
      </c>
      <c r="D683" s="134">
        <v>25</v>
      </c>
      <c r="E683" s="134" t="s">
        <v>1760</v>
      </c>
      <c r="F683" s="134" t="s">
        <v>809</v>
      </c>
      <c r="G683" s="195"/>
      <c r="H683" s="195">
        <v>58.08</v>
      </c>
    </row>
    <row r="684" spans="1:8" s="458" customFormat="1">
      <c r="A684" s="134" t="s">
        <v>808</v>
      </c>
      <c r="B684" s="134">
        <v>2019</v>
      </c>
      <c r="C684" s="134">
        <v>3</v>
      </c>
      <c r="D684" s="134">
        <v>25</v>
      </c>
      <c r="E684" s="134" t="s">
        <v>1760</v>
      </c>
      <c r="F684" s="134" t="s">
        <v>809</v>
      </c>
      <c r="G684" s="195"/>
      <c r="H684" s="195"/>
    </row>
    <row r="685" spans="1:8" s="458" customFormat="1">
      <c r="A685" s="134" t="s">
        <v>808</v>
      </c>
      <c r="B685" s="134">
        <v>2019</v>
      </c>
      <c r="C685" s="134">
        <v>3</v>
      </c>
      <c r="D685" s="134">
        <v>25</v>
      </c>
      <c r="E685" s="134" t="s">
        <v>1760</v>
      </c>
      <c r="F685" s="134" t="s">
        <v>809</v>
      </c>
      <c r="G685" s="195"/>
      <c r="H685" s="195">
        <v>58.08</v>
      </c>
    </row>
    <row r="686" spans="1:8" s="458" customFormat="1">
      <c r="A686" s="134" t="s">
        <v>808</v>
      </c>
      <c r="B686" s="134">
        <v>2019</v>
      </c>
      <c r="C686" s="134">
        <v>3</v>
      </c>
      <c r="D686" s="134">
        <v>25</v>
      </c>
      <c r="E686" s="134" t="s">
        <v>1760</v>
      </c>
      <c r="F686" s="134" t="s">
        <v>809</v>
      </c>
      <c r="G686" s="195"/>
      <c r="H686" s="195"/>
    </row>
    <row r="687" spans="1:8" s="458" customFormat="1">
      <c r="A687" s="134" t="s">
        <v>808</v>
      </c>
      <c r="B687" s="134">
        <v>2019</v>
      </c>
      <c r="C687" s="134">
        <v>3</v>
      </c>
      <c r="D687" s="134">
        <v>25</v>
      </c>
      <c r="E687" s="134" t="s">
        <v>1760</v>
      </c>
      <c r="F687" s="134" t="s">
        <v>809</v>
      </c>
      <c r="G687" s="195"/>
      <c r="H687" s="195">
        <v>58.08</v>
      </c>
    </row>
    <row r="688" spans="1:8" s="458" customFormat="1">
      <c r="A688" s="134" t="s">
        <v>808</v>
      </c>
      <c r="B688" s="134">
        <v>2019</v>
      </c>
      <c r="C688" s="134">
        <v>3</v>
      </c>
      <c r="D688" s="134">
        <v>25</v>
      </c>
      <c r="E688" s="134" t="s">
        <v>1760</v>
      </c>
      <c r="F688" s="134" t="s">
        <v>809</v>
      </c>
      <c r="G688" s="195"/>
      <c r="H688" s="195"/>
    </row>
    <row r="689" spans="1:8" s="458" customFormat="1">
      <c r="A689" s="134" t="s">
        <v>808</v>
      </c>
      <c r="B689" s="134">
        <v>2019</v>
      </c>
      <c r="C689" s="134">
        <v>3</v>
      </c>
      <c r="D689" s="134">
        <v>27</v>
      </c>
      <c r="E689" s="134" t="s">
        <v>1768</v>
      </c>
      <c r="F689" s="134" t="s">
        <v>809</v>
      </c>
      <c r="G689" s="195"/>
      <c r="H689" s="195">
        <v>371.25</v>
      </c>
    </row>
    <row r="690" spans="1:8" s="458" customFormat="1">
      <c r="A690" s="134" t="s">
        <v>808</v>
      </c>
      <c r="B690" s="134">
        <v>2019</v>
      </c>
      <c r="C690" s="134">
        <v>3</v>
      </c>
      <c r="D690" s="134">
        <v>26</v>
      </c>
      <c r="E690" s="134" t="s">
        <v>1779</v>
      </c>
      <c r="F690" s="134" t="s">
        <v>809</v>
      </c>
      <c r="G690" s="195"/>
      <c r="H690" s="195">
        <v>18.989999999999998</v>
      </c>
    </row>
    <row r="691" spans="1:8" s="458" customFormat="1">
      <c r="A691" s="134" t="s">
        <v>808</v>
      </c>
      <c r="B691" s="134">
        <v>2019</v>
      </c>
      <c r="C691" s="134">
        <v>3</v>
      </c>
      <c r="D691" s="134">
        <v>26</v>
      </c>
      <c r="E691" s="134" t="s">
        <v>1779</v>
      </c>
      <c r="F691" s="134" t="s">
        <v>809</v>
      </c>
      <c r="G691" s="195"/>
      <c r="H691" s="195">
        <v>18.989999999999998</v>
      </c>
    </row>
    <row r="692" spans="1:8" s="458" customFormat="1">
      <c r="A692" s="134" t="s">
        <v>808</v>
      </c>
      <c r="B692" s="134">
        <v>2019</v>
      </c>
      <c r="C692" s="134">
        <v>3</v>
      </c>
      <c r="D692" s="134">
        <v>29</v>
      </c>
      <c r="E692" s="134" t="s">
        <v>1782</v>
      </c>
      <c r="F692" s="134" t="s">
        <v>809</v>
      </c>
      <c r="G692" s="195"/>
      <c r="H692" s="195"/>
    </row>
    <row r="693" spans="1:8" s="458" customFormat="1">
      <c r="A693" s="134" t="s">
        <v>808</v>
      </c>
      <c r="B693" s="134">
        <v>2019</v>
      </c>
      <c r="C693" s="134">
        <v>3</v>
      </c>
      <c r="D693" s="134">
        <v>29</v>
      </c>
      <c r="E693" s="134" t="s">
        <v>1782</v>
      </c>
      <c r="F693" s="134" t="s">
        <v>809</v>
      </c>
      <c r="G693" s="195"/>
      <c r="H693" s="195">
        <v>600</v>
      </c>
    </row>
    <row r="694" spans="1:8" s="458" customFormat="1">
      <c r="A694" s="134" t="s">
        <v>808</v>
      </c>
      <c r="B694" s="134">
        <v>2019</v>
      </c>
      <c r="C694" s="134">
        <v>3</v>
      </c>
      <c r="D694" s="134">
        <v>29</v>
      </c>
      <c r="E694" s="134" t="s">
        <v>1782</v>
      </c>
      <c r="F694" s="134" t="s">
        <v>809</v>
      </c>
      <c r="G694" s="195"/>
      <c r="H694" s="195"/>
    </row>
    <row r="695" spans="1:8" s="458" customFormat="1">
      <c r="A695" s="134" t="s">
        <v>808</v>
      </c>
      <c r="B695" s="134">
        <v>2019</v>
      </c>
      <c r="C695" s="134">
        <v>3</v>
      </c>
      <c r="D695" s="134">
        <v>29</v>
      </c>
      <c r="E695" s="134" t="s">
        <v>1782</v>
      </c>
      <c r="F695" s="134" t="s">
        <v>809</v>
      </c>
      <c r="G695" s="195"/>
      <c r="H695" s="195">
        <v>600</v>
      </c>
    </row>
    <row r="696" spans="1:8" s="458" customFormat="1">
      <c r="A696" s="134" t="s">
        <v>808</v>
      </c>
      <c r="B696" s="134">
        <v>2019</v>
      </c>
      <c r="C696" s="134">
        <v>3</v>
      </c>
      <c r="D696" s="134">
        <v>29</v>
      </c>
      <c r="E696" s="134" t="s">
        <v>1782</v>
      </c>
      <c r="F696" s="134" t="s">
        <v>809</v>
      </c>
      <c r="G696" s="195"/>
      <c r="H696" s="195"/>
    </row>
    <row r="697" spans="1:8" s="458" customFormat="1">
      <c r="A697" s="134" t="s">
        <v>808</v>
      </c>
      <c r="B697" s="134">
        <v>2019</v>
      </c>
      <c r="C697" s="134">
        <v>3</v>
      </c>
      <c r="D697" s="134">
        <v>29</v>
      </c>
      <c r="E697" s="134" t="s">
        <v>1782</v>
      </c>
      <c r="F697" s="134" t="s">
        <v>809</v>
      </c>
      <c r="G697" s="195"/>
      <c r="H697" s="195">
        <v>600</v>
      </c>
    </row>
    <row r="698" spans="1:8" s="458" customFormat="1">
      <c r="A698" s="134" t="s">
        <v>808</v>
      </c>
      <c r="B698" s="134">
        <v>2019</v>
      </c>
      <c r="C698" s="134">
        <v>3</v>
      </c>
      <c r="D698" s="134">
        <v>29</v>
      </c>
      <c r="E698" s="134" t="s">
        <v>1782</v>
      </c>
      <c r="F698" s="134" t="s">
        <v>809</v>
      </c>
      <c r="G698" s="195"/>
      <c r="H698" s="195"/>
    </row>
    <row r="699" spans="1:8" s="458" customFormat="1">
      <c r="A699" s="134" t="s">
        <v>808</v>
      </c>
      <c r="B699" s="134">
        <v>2019</v>
      </c>
      <c r="C699" s="134">
        <v>3</v>
      </c>
      <c r="D699" s="134">
        <v>29</v>
      </c>
      <c r="E699" s="134" t="s">
        <v>1782</v>
      </c>
      <c r="F699" s="134" t="s">
        <v>809</v>
      </c>
      <c r="G699" s="195"/>
      <c r="H699" s="195"/>
    </row>
    <row r="700" spans="1:8" s="458" customFormat="1">
      <c r="A700" s="134" t="s">
        <v>808</v>
      </c>
      <c r="B700" s="134">
        <v>2019</v>
      </c>
      <c r="C700" s="134">
        <v>3</v>
      </c>
      <c r="D700" s="134">
        <v>29</v>
      </c>
      <c r="E700" s="134" t="s">
        <v>1782</v>
      </c>
      <c r="F700" s="134" t="s">
        <v>809</v>
      </c>
      <c r="G700" s="195"/>
      <c r="H700" s="195">
        <v>600</v>
      </c>
    </row>
    <row r="701" spans="1:8" s="458" customFormat="1">
      <c r="A701" s="134" t="s">
        <v>808</v>
      </c>
      <c r="B701" s="134">
        <v>2019</v>
      </c>
      <c r="C701" s="134">
        <v>3</v>
      </c>
      <c r="D701" s="134">
        <v>29</v>
      </c>
      <c r="E701" s="134" t="s">
        <v>1782</v>
      </c>
      <c r="F701" s="134" t="s">
        <v>809</v>
      </c>
      <c r="G701" s="195"/>
      <c r="H701" s="195">
        <v>600</v>
      </c>
    </row>
    <row r="702" spans="1:8" s="458" customFormat="1">
      <c r="A702" s="134" t="s">
        <v>808</v>
      </c>
      <c r="B702" s="134">
        <v>2019</v>
      </c>
      <c r="C702" s="134">
        <v>3</v>
      </c>
      <c r="D702" s="134">
        <v>29</v>
      </c>
      <c r="E702" s="134" t="s">
        <v>1785</v>
      </c>
      <c r="F702" s="134" t="s">
        <v>809</v>
      </c>
      <c r="G702" s="195"/>
      <c r="H702" s="195">
        <v>1925</v>
      </c>
    </row>
    <row r="703" spans="1:8" s="458" customFormat="1">
      <c r="A703" s="134" t="s">
        <v>808</v>
      </c>
      <c r="B703" s="134">
        <v>2019</v>
      </c>
      <c r="C703" s="134">
        <v>3</v>
      </c>
      <c r="D703" s="134">
        <v>40</v>
      </c>
      <c r="E703" s="134" t="s">
        <v>1791</v>
      </c>
      <c r="F703" s="134" t="s">
        <v>809</v>
      </c>
      <c r="G703" s="195"/>
      <c r="H703" s="195">
        <v>-120.38</v>
      </c>
    </row>
    <row r="704" spans="1:8" s="458" customFormat="1">
      <c r="A704" s="134" t="s">
        <v>808</v>
      </c>
      <c r="B704" s="134">
        <v>2019</v>
      </c>
      <c r="C704" s="134">
        <v>3</v>
      </c>
      <c r="D704" s="134">
        <v>40</v>
      </c>
      <c r="E704" s="134" t="s">
        <v>1791</v>
      </c>
      <c r="F704" s="134" t="s">
        <v>809</v>
      </c>
      <c r="G704" s="195"/>
      <c r="H704" s="195">
        <v>240.75</v>
      </c>
    </row>
    <row r="705" spans="1:8" s="458" customFormat="1">
      <c r="A705" s="134" t="s">
        <v>808</v>
      </c>
      <c r="B705" s="134">
        <v>2019</v>
      </c>
      <c r="C705" s="134">
        <v>3</v>
      </c>
      <c r="D705" s="134">
        <v>40</v>
      </c>
      <c r="E705" s="134" t="s">
        <v>1791</v>
      </c>
      <c r="F705" s="134" t="s">
        <v>809</v>
      </c>
      <c r="G705" s="195"/>
      <c r="H705" s="195">
        <v>-198.01</v>
      </c>
    </row>
    <row r="706" spans="1:8" s="458" customFormat="1">
      <c r="A706" s="134" t="s">
        <v>808</v>
      </c>
      <c r="B706" s="134">
        <v>2019</v>
      </c>
      <c r="C706" s="134">
        <v>3</v>
      </c>
      <c r="D706" s="134">
        <v>40</v>
      </c>
      <c r="E706" s="134" t="s">
        <v>1791</v>
      </c>
      <c r="F706" s="134" t="s">
        <v>809</v>
      </c>
      <c r="G706" s="195"/>
      <c r="H706" s="195">
        <v>396.02</v>
      </c>
    </row>
    <row r="707" spans="1:8" s="458" customFormat="1">
      <c r="A707" s="134" t="s">
        <v>808</v>
      </c>
      <c r="B707" s="134">
        <v>2019</v>
      </c>
      <c r="C707" s="134">
        <v>3</v>
      </c>
      <c r="D707" s="134">
        <v>40</v>
      </c>
      <c r="E707" s="134" t="s">
        <v>1791</v>
      </c>
      <c r="F707" s="134" t="s">
        <v>809</v>
      </c>
      <c r="G707" s="195"/>
      <c r="H707" s="195">
        <v>-282.39999999999998</v>
      </c>
    </row>
    <row r="708" spans="1:8" s="458" customFormat="1">
      <c r="A708" s="134" t="s">
        <v>808</v>
      </c>
      <c r="B708" s="134">
        <v>2019</v>
      </c>
      <c r="C708" s="134">
        <v>3</v>
      </c>
      <c r="D708" s="134">
        <v>40</v>
      </c>
      <c r="E708" s="134" t="s">
        <v>1791</v>
      </c>
      <c r="F708" s="134" t="s">
        <v>809</v>
      </c>
      <c r="G708" s="195"/>
      <c r="H708" s="195">
        <v>564.79999999999995</v>
      </c>
    </row>
    <row r="709" spans="1:8" s="458" customFormat="1">
      <c r="A709" s="134" t="s">
        <v>808</v>
      </c>
      <c r="B709" s="134">
        <v>2019</v>
      </c>
      <c r="C709" s="134">
        <v>3</v>
      </c>
      <c r="D709" s="134">
        <v>41</v>
      </c>
      <c r="E709" s="134" t="s">
        <v>1792</v>
      </c>
      <c r="F709" s="134" t="s">
        <v>809</v>
      </c>
      <c r="G709" s="195"/>
      <c r="H709" s="195">
        <v>22.08</v>
      </c>
    </row>
    <row r="710" spans="1:8" s="458" customFormat="1">
      <c r="A710" s="134" t="s">
        <v>808</v>
      </c>
      <c r="B710" s="134">
        <v>2019</v>
      </c>
      <c r="C710" s="134">
        <v>3</v>
      </c>
      <c r="D710" s="134">
        <v>41</v>
      </c>
      <c r="E710" s="134" t="s">
        <v>1792</v>
      </c>
      <c r="F710" s="134" t="s">
        <v>809</v>
      </c>
      <c r="G710" s="195"/>
      <c r="H710" s="195">
        <v>36.32</v>
      </c>
    </row>
    <row r="711" spans="1:8" s="458" customFormat="1">
      <c r="A711" s="134" t="s">
        <v>808</v>
      </c>
      <c r="B711" s="134">
        <v>2019</v>
      </c>
      <c r="C711" s="134">
        <v>3</v>
      </c>
      <c r="D711" s="134">
        <v>41</v>
      </c>
      <c r="E711" s="134" t="s">
        <v>1792</v>
      </c>
      <c r="F711" s="134" t="s">
        <v>809</v>
      </c>
      <c r="G711" s="195"/>
      <c r="H711" s="195">
        <v>51.8</v>
      </c>
    </row>
    <row r="712" spans="1:8" s="458" customFormat="1">
      <c r="A712" s="134" t="s">
        <v>808</v>
      </c>
      <c r="B712" s="134">
        <v>2019</v>
      </c>
      <c r="C712" s="134">
        <v>3</v>
      </c>
      <c r="D712" s="134">
        <v>38</v>
      </c>
      <c r="E712" s="134" t="s">
        <v>1793</v>
      </c>
      <c r="F712" s="134" t="s">
        <v>809</v>
      </c>
      <c r="G712" s="195"/>
      <c r="H712" s="195">
        <v>120.38</v>
      </c>
    </row>
    <row r="713" spans="1:8" s="458" customFormat="1">
      <c r="A713" s="134" t="s">
        <v>808</v>
      </c>
      <c r="B713" s="134">
        <v>2019</v>
      </c>
      <c r="C713" s="134">
        <v>3</v>
      </c>
      <c r="D713" s="134">
        <v>38</v>
      </c>
      <c r="E713" s="134" t="s">
        <v>1793</v>
      </c>
      <c r="F713" s="134" t="s">
        <v>809</v>
      </c>
      <c r="G713" s="195"/>
      <c r="H713" s="195">
        <v>198.01</v>
      </c>
    </row>
    <row r="714" spans="1:8" s="458" customFormat="1">
      <c r="A714" s="134" t="s">
        <v>808</v>
      </c>
      <c r="B714" s="134">
        <v>2019</v>
      </c>
      <c r="C714" s="134">
        <v>3</v>
      </c>
      <c r="D714" s="134">
        <v>38</v>
      </c>
      <c r="E714" s="134" t="s">
        <v>1793</v>
      </c>
      <c r="F714" s="134" t="s">
        <v>809</v>
      </c>
      <c r="G714" s="195"/>
      <c r="H714" s="195">
        <v>282.39999999999998</v>
      </c>
    </row>
    <row r="715" spans="1:8" s="458" customFormat="1">
      <c r="A715" s="134" t="s">
        <v>808</v>
      </c>
      <c r="B715" s="134">
        <v>2019</v>
      </c>
      <c r="C715" s="134">
        <v>4</v>
      </c>
      <c r="D715" s="134">
        <v>17</v>
      </c>
      <c r="E715" s="134" t="s">
        <v>1746</v>
      </c>
      <c r="F715" s="134" t="s">
        <v>809</v>
      </c>
      <c r="G715" s="195"/>
      <c r="H715" s="195">
        <v>454.8</v>
      </c>
    </row>
    <row r="716" spans="1:8" s="458" customFormat="1">
      <c r="A716" s="134" t="s">
        <v>808</v>
      </c>
      <c r="B716" s="134">
        <v>2019</v>
      </c>
      <c r="C716" s="134">
        <v>4</v>
      </c>
      <c r="D716" s="134">
        <v>17</v>
      </c>
      <c r="E716" s="134" t="s">
        <v>1746</v>
      </c>
      <c r="F716" s="134" t="s">
        <v>809</v>
      </c>
      <c r="G716" s="195"/>
      <c r="H716" s="195">
        <v>454.8</v>
      </c>
    </row>
    <row r="717" spans="1:8" s="458" customFormat="1">
      <c r="A717" s="134" t="s">
        <v>808</v>
      </c>
      <c r="B717" s="134">
        <v>2019</v>
      </c>
      <c r="C717" s="134">
        <v>4</v>
      </c>
      <c r="D717" s="134">
        <v>17</v>
      </c>
      <c r="E717" s="134" t="s">
        <v>1746</v>
      </c>
      <c r="F717" s="134" t="s">
        <v>809</v>
      </c>
      <c r="G717" s="195"/>
      <c r="H717" s="195">
        <v>454.8</v>
      </c>
    </row>
    <row r="718" spans="1:8" s="458" customFormat="1">
      <c r="A718" s="134" t="s">
        <v>808</v>
      </c>
      <c r="B718" s="134">
        <v>2019</v>
      </c>
      <c r="C718" s="134">
        <v>4</v>
      </c>
      <c r="D718" s="134">
        <v>17</v>
      </c>
      <c r="E718" s="134" t="s">
        <v>1746</v>
      </c>
      <c r="F718" s="134" t="s">
        <v>809</v>
      </c>
      <c r="G718" s="195"/>
      <c r="H718" s="195">
        <v>454.8</v>
      </c>
    </row>
    <row r="719" spans="1:8" s="458" customFormat="1">
      <c r="A719" s="134" t="s">
        <v>808</v>
      </c>
      <c r="B719" s="134">
        <v>2019</v>
      </c>
      <c r="C719" s="134">
        <v>4</v>
      </c>
      <c r="D719" s="134">
        <v>17</v>
      </c>
      <c r="E719" s="134" t="s">
        <v>1746</v>
      </c>
      <c r="F719" s="134" t="s">
        <v>809</v>
      </c>
      <c r="G719" s="195"/>
      <c r="H719" s="195">
        <v>375.21</v>
      </c>
    </row>
    <row r="720" spans="1:8" s="458" customFormat="1">
      <c r="A720" s="134" t="s">
        <v>808</v>
      </c>
      <c r="B720" s="134">
        <v>2019</v>
      </c>
      <c r="C720" s="134">
        <v>4</v>
      </c>
      <c r="D720" s="134">
        <v>17</v>
      </c>
      <c r="E720" s="134" t="s">
        <v>1746</v>
      </c>
      <c r="F720" s="134" t="s">
        <v>809</v>
      </c>
      <c r="G720" s="195"/>
      <c r="H720" s="195">
        <v>397.95</v>
      </c>
    </row>
    <row r="721" spans="1:8" s="458" customFormat="1">
      <c r="A721" s="134" t="s">
        <v>808</v>
      </c>
      <c r="B721" s="134">
        <v>2019</v>
      </c>
      <c r="C721" s="134">
        <v>4</v>
      </c>
      <c r="D721" s="134">
        <v>17</v>
      </c>
      <c r="E721" s="134" t="s">
        <v>1746</v>
      </c>
      <c r="F721" s="134" t="s">
        <v>809</v>
      </c>
      <c r="G721" s="195"/>
      <c r="H721" s="195">
        <v>352.47</v>
      </c>
    </row>
    <row r="722" spans="1:8" s="458" customFormat="1">
      <c r="A722" s="134" t="s">
        <v>808</v>
      </c>
      <c r="B722" s="134">
        <v>2019</v>
      </c>
      <c r="C722" s="134">
        <v>4</v>
      </c>
      <c r="D722" s="134">
        <v>17</v>
      </c>
      <c r="E722" s="134" t="s">
        <v>1746</v>
      </c>
      <c r="F722" s="134" t="s">
        <v>809</v>
      </c>
      <c r="G722" s="195"/>
      <c r="H722" s="195">
        <v>534.39</v>
      </c>
    </row>
    <row r="723" spans="1:8" s="458" customFormat="1">
      <c r="A723" s="134" t="s">
        <v>808</v>
      </c>
      <c r="B723" s="134">
        <v>2019</v>
      </c>
      <c r="C723" s="134">
        <v>4</v>
      </c>
      <c r="D723" s="134">
        <v>17</v>
      </c>
      <c r="E723" s="134" t="s">
        <v>1746</v>
      </c>
      <c r="F723" s="134" t="s">
        <v>809</v>
      </c>
      <c r="G723" s="195"/>
      <c r="H723" s="195">
        <v>420.69</v>
      </c>
    </row>
    <row r="724" spans="1:8" s="458" customFormat="1">
      <c r="A724" s="134" t="s">
        <v>808</v>
      </c>
      <c r="B724" s="134">
        <v>2019</v>
      </c>
      <c r="C724" s="134">
        <v>4</v>
      </c>
      <c r="D724" s="134">
        <v>17</v>
      </c>
      <c r="E724" s="134" t="s">
        <v>1746</v>
      </c>
      <c r="F724" s="134" t="s">
        <v>809</v>
      </c>
      <c r="G724" s="195"/>
      <c r="H724" s="195">
        <v>304.14999999999998</v>
      </c>
    </row>
    <row r="725" spans="1:8" s="458" customFormat="1">
      <c r="A725" s="134" t="s">
        <v>808</v>
      </c>
      <c r="B725" s="134">
        <v>2019</v>
      </c>
      <c r="C725" s="134">
        <v>4</v>
      </c>
      <c r="D725" s="134">
        <v>17</v>
      </c>
      <c r="E725" s="134" t="s">
        <v>1746</v>
      </c>
      <c r="F725" s="134" t="s">
        <v>809</v>
      </c>
      <c r="G725" s="195"/>
      <c r="H725" s="195">
        <v>454.8</v>
      </c>
    </row>
    <row r="726" spans="1:8" s="458" customFormat="1">
      <c r="A726" s="134" t="s">
        <v>808</v>
      </c>
      <c r="B726" s="134">
        <v>2019</v>
      </c>
      <c r="C726" s="134">
        <v>4</v>
      </c>
      <c r="D726" s="134">
        <v>17</v>
      </c>
      <c r="E726" s="134" t="s">
        <v>1746</v>
      </c>
      <c r="F726" s="134" t="s">
        <v>809</v>
      </c>
      <c r="G726" s="195"/>
      <c r="H726" s="195">
        <v>454.8</v>
      </c>
    </row>
    <row r="727" spans="1:8" s="458" customFormat="1">
      <c r="A727" s="134" t="s">
        <v>808</v>
      </c>
      <c r="B727" s="134">
        <v>2019</v>
      </c>
      <c r="C727" s="134">
        <v>4</v>
      </c>
      <c r="D727" s="134">
        <v>17</v>
      </c>
      <c r="E727" s="134" t="s">
        <v>1746</v>
      </c>
      <c r="F727" s="134" t="s">
        <v>809</v>
      </c>
      <c r="G727" s="195"/>
      <c r="H727" s="195">
        <v>454.8</v>
      </c>
    </row>
    <row r="728" spans="1:8" s="458" customFormat="1">
      <c r="A728" s="134" t="s">
        <v>808</v>
      </c>
      <c r="B728" s="134">
        <v>2019</v>
      </c>
      <c r="C728" s="134">
        <v>4</v>
      </c>
      <c r="D728" s="134">
        <v>17</v>
      </c>
      <c r="E728" s="134" t="s">
        <v>1746</v>
      </c>
      <c r="F728" s="134" t="s">
        <v>809</v>
      </c>
      <c r="G728" s="195"/>
      <c r="H728" s="195">
        <v>454.8</v>
      </c>
    </row>
    <row r="729" spans="1:8" s="458" customFormat="1">
      <c r="A729" s="134" t="s">
        <v>808</v>
      </c>
      <c r="B729" s="134">
        <v>2019</v>
      </c>
      <c r="C729" s="134">
        <v>4</v>
      </c>
      <c r="D729" s="134">
        <v>17</v>
      </c>
      <c r="E729" s="134" t="s">
        <v>1746</v>
      </c>
      <c r="F729" s="134" t="s">
        <v>809</v>
      </c>
      <c r="G729" s="195"/>
      <c r="H729" s="195">
        <v>454.8</v>
      </c>
    </row>
    <row r="730" spans="1:8" s="458" customFormat="1">
      <c r="A730" s="134" t="s">
        <v>808</v>
      </c>
      <c r="B730" s="134">
        <v>2019</v>
      </c>
      <c r="C730" s="134">
        <v>4</v>
      </c>
      <c r="D730" s="134">
        <v>17</v>
      </c>
      <c r="E730" s="134" t="s">
        <v>1746</v>
      </c>
      <c r="F730" s="134" t="s">
        <v>809</v>
      </c>
      <c r="G730" s="195"/>
      <c r="H730" s="195">
        <v>454.8</v>
      </c>
    </row>
    <row r="731" spans="1:8" s="458" customFormat="1">
      <c r="A731" s="134" t="s">
        <v>808</v>
      </c>
      <c r="B731" s="134">
        <v>2019</v>
      </c>
      <c r="C731" s="134">
        <v>4</v>
      </c>
      <c r="D731" s="134">
        <v>17</v>
      </c>
      <c r="E731" s="134" t="s">
        <v>1746</v>
      </c>
      <c r="F731" s="134" t="s">
        <v>809</v>
      </c>
      <c r="G731" s="195"/>
      <c r="H731" s="195">
        <v>454.8</v>
      </c>
    </row>
    <row r="732" spans="1:8" s="458" customFormat="1">
      <c r="A732" s="134" t="s">
        <v>808</v>
      </c>
      <c r="B732" s="134">
        <v>2019</v>
      </c>
      <c r="C732" s="134">
        <v>4</v>
      </c>
      <c r="D732" s="134">
        <v>17</v>
      </c>
      <c r="E732" s="134" t="s">
        <v>1746</v>
      </c>
      <c r="F732" s="134" t="s">
        <v>809</v>
      </c>
      <c r="G732" s="195"/>
      <c r="H732" s="195">
        <v>335.42</v>
      </c>
    </row>
    <row r="733" spans="1:8" s="458" customFormat="1">
      <c r="A733" s="134" t="s">
        <v>808</v>
      </c>
      <c r="B733" s="134">
        <v>2019</v>
      </c>
      <c r="C733" s="134">
        <v>4</v>
      </c>
      <c r="D733" s="134">
        <v>17</v>
      </c>
      <c r="E733" s="134" t="s">
        <v>1746</v>
      </c>
      <c r="F733" s="134" t="s">
        <v>809</v>
      </c>
      <c r="G733" s="195"/>
      <c r="H733" s="195">
        <v>682.2</v>
      </c>
    </row>
    <row r="734" spans="1:8" s="458" customFormat="1">
      <c r="A734" s="134" t="s">
        <v>808</v>
      </c>
      <c r="B734" s="134">
        <v>2019</v>
      </c>
      <c r="C734" s="134">
        <v>4</v>
      </c>
      <c r="D734" s="134">
        <v>17</v>
      </c>
      <c r="E734" s="134" t="s">
        <v>1746</v>
      </c>
      <c r="F734" s="134" t="s">
        <v>809</v>
      </c>
      <c r="G734" s="195"/>
      <c r="H734" s="195">
        <v>662.3</v>
      </c>
    </row>
    <row r="735" spans="1:8" s="458" customFormat="1">
      <c r="A735" s="134" t="s">
        <v>808</v>
      </c>
      <c r="B735" s="134">
        <v>2019</v>
      </c>
      <c r="C735" s="134">
        <v>4</v>
      </c>
      <c r="D735" s="134">
        <v>17</v>
      </c>
      <c r="E735" s="134" t="s">
        <v>1746</v>
      </c>
      <c r="F735" s="134" t="s">
        <v>809</v>
      </c>
      <c r="G735" s="195"/>
      <c r="H735" s="195">
        <v>181.92</v>
      </c>
    </row>
    <row r="736" spans="1:8" s="458" customFormat="1">
      <c r="A736" s="134" t="s">
        <v>808</v>
      </c>
      <c r="B736" s="134">
        <v>2019</v>
      </c>
      <c r="C736" s="134">
        <v>4</v>
      </c>
      <c r="D736" s="134">
        <v>17</v>
      </c>
      <c r="E736" s="134" t="s">
        <v>1746</v>
      </c>
      <c r="F736" s="134" t="s">
        <v>809</v>
      </c>
      <c r="G736" s="195"/>
      <c r="H736" s="195">
        <v>113.7</v>
      </c>
    </row>
    <row r="737" spans="1:8" s="458" customFormat="1">
      <c r="A737" s="134" t="s">
        <v>808</v>
      </c>
      <c r="B737" s="134">
        <v>2019</v>
      </c>
      <c r="C737" s="134">
        <v>4</v>
      </c>
      <c r="D737" s="134">
        <v>17</v>
      </c>
      <c r="E737" s="134" t="s">
        <v>1746</v>
      </c>
      <c r="F737" s="134" t="s">
        <v>809</v>
      </c>
      <c r="G737" s="195"/>
      <c r="H737" s="195">
        <v>204.66</v>
      </c>
    </row>
    <row r="738" spans="1:8" s="458" customFormat="1">
      <c r="A738" s="134" t="s">
        <v>808</v>
      </c>
      <c r="B738" s="134">
        <v>2019</v>
      </c>
      <c r="C738" s="134">
        <v>4</v>
      </c>
      <c r="D738" s="134">
        <v>17</v>
      </c>
      <c r="E738" s="134" t="s">
        <v>1746</v>
      </c>
      <c r="F738" s="134" t="s">
        <v>809</v>
      </c>
      <c r="G738" s="195"/>
      <c r="H738" s="195">
        <v>170.55</v>
      </c>
    </row>
    <row r="739" spans="1:8" s="458" customFormat="1">
      <c r="A739" s="134" t="s">
        <v>808</v>
      </c>
      <c r="B739" s="134">
        <v>2019</v>
      </c>
      <c r="C739" s="134">
        <v>4</v>
      </c>
      <c r="D739" s="134">
        <v>17</v>
      </c>
      <c r="E739" s="134" t="s">
        <v>1746</v>
      </c>
      <c r="F739" s="134" t="s">
        <v>809</v>
      </c>
      <c r="G739" s="195"/>
      <c r="H739" s="195">
        <v>82.43</v>
      </c>
    </row>
    <row r="740" spans="1:8" s="458" customFormat="1">
      <c r="A740" s="134" t="s">
        <v>808</v>
      </c>
      <c r="B740" s="134">
        <v>2019</v>
      </c>
      <c r="C740" s="134">
        <v>4</v>
      </c>
      <c r="D740" s="134">
        <v>17</v>
      </c>
      <c r="E740" s="134" t="s">
        <v>1746</v>
      </c>
      <c r="F740" s="134" t="s">
        <v>809</v>
      </c>
      <c r="G740" s="195"/>
      <c r="H740" s="195">
        <v>59.69</v>
      </c>
    </row>
    <row r="741" spans="1:8" s="458" customFormat="1">
      <c r="A741" s="134" t="s">
        <v>808</v>
      </c>
      <c r="B741" s="134">
        <v>2019</v>
      </c>
      <c r="C741" s="134">
        <v>4</v>
      </c>
      <c r="D741" s="134">
        <v>17</v>
      </c>
      <c r="E741" s="134" t="s">
        <v>1746</v>
      </c>
      <c r="F741" s="134" t="s">
        <v>809</v>
      </c>
      <c r="G741" s="195"/>
      <c r="H741" s="195">
        <v>93.8</v>
      </c>
    </row>
    <row r="742" spans="1:8" s="458" customFormat="1">
      <c r="A742" s="134" t="s">
        <v>808</v>
      </c>
      <c r="B742" s="134">
        <v>2019</v>
      </c>
      <c r="C742" s="134">
        <v>4</v>
      </c>
      <c r="D742" s="134">
        <v>17</v>
      </c>
      <c r="E742" s="134" t="s">
        <v>1746</v>
      </c>
      <c r="F742" s="134" t="s">
        <v>809</v>
      </c>
      <c r="G742" s="195"/>
      <c r="H742" s="195">
        <v>306.99</v>
      </c>
    </row>
    <row r="743" spans="1:8" s="458" customFormat="1">
      <c r="A743" s="134" t="s">
        <v>808</v>
      </c>
      <c r="B743" s="134">
        <v>2019</v>
      </c>
      <c r="C743" s="134">
        <v>4</v>
      </c>
      <c r="D743" s="134">
        <v>17</v>
      </c>
      <c r="E743" s="134" t="s">
        <v>1746</v>
      </c>
      <c r="F743" s="134" t="s">
        <v>809</v>
      </c>
      <c r="G743" s="195"/>
      <c r="H743" s="195">
        <v>181.92</v>
      </c>
    </row>
    <row r="744" spans="1:8" s="458" customFormat="1">
      <c r="A744" s="134" t="s">
        <v>808</v>
      </c>
      <c r="B744" s="134">
        <v>2019</v>
      </c>
      <c r="C744" s="134">
        <v>4</v>
      </c>
      <c r="D744" s="134">
        <v>17</v>
      </c>
      <c r="E744" s="134" t="s">
        <v>1746</v>
      </c>
      <c r="F744" s="134" t="s">
        <v>809</v>
      </c>
      <c r="G744" s="195"/>
      <c r="H744" s="195">
        <v>204.66</v>
      </c>
    </row>
    <row r="745" spans="1:8" s="458" customFormat="1">
      <c r="A745" s="134" t="s">
        <v>808</v>
      </c>
      <c r="B745" s="134">
        <v>2019</v>
      </c>
      <c r="C745" s="134">
        <v>4</v>
      </c>
      <c r="D745" s="134">
        <v>17</v>
      </c>
      <c r="E745" s="134" t="s">
        <v>1746</v>
      </c>
      <c r="F745" s="134" t="s">
        <v>809</v>
      </c>
      <c r="G745" s="195"/>
      <c r="H745" s="195">
        <v>318.36</v>
      </c>
    </row>
    <row r="746" spans="1:8" s="458" customFormat="1">
      <c r="A746" s="134" t="s">
        <v>808</v>
      </c>
      <c r="B746" s="134">
        <v>2019</v>
      </c>
      <c r="C746" s="134">
        <v>4</v>
      </c>
      <c r="D746" s="134">
        <v>17</v>
      </c>
      <c r="E746" s="134" t="s">
        <v>1746</v>
      </c>
      <c r="F746" s="134" t="s">
        <v>809</v>
      </c>
      <c r="G746" s="195"/>
      <c r="H746" s="195">
        <v>125.07</v>
      </c>
    </row>
    <row r="747" spans="1:8" s="458" customFormat="1">
      <c r="A747" s="134" t="s">
        <v>808</v>
      </c>
      <c r="B747" s="134">
        <v>2019</v>
      </c>
      <c r="C747" s="134">
        <v>4</v>
      </c>
      <c r="D747" s="134">
        <v>17</v>
      </c>
      <c r="E747" s="134" t="s">
        <v>1746</v>
      </c>
      <c r="F747" s="134" t="s">
        <v>809</v>
      </c>
      <c r="G747" s="195"/>
      <c r="H747" s="195">
        <v>238.77</v>
      </c>
    </row>
    <row r="748" spans="1:8" s="458" customFormat="1">
      <c r="A748" s="134" t="s">
        <v>808</v>
      </c>
      <c r="B748" s="134">
        <v>2019</v>
      </c>
      <c r="C748" s="134">
        <v>4</v>
      </c>
      <c r="D748" s="134">
        <v>17</v>
      </c>
      <c r="E748" s="134" t="s">
        <v>1746</v>
      </c>
      <c r="F748" s="134" t="s">
        <v>809</v>
      </c>
      <c r="G748" s="195"/>
      <c r="H748" s="195">
        <v>250.14</v>
      </c>
    </row>
    <row r="749" spans="1:8" s="458" customFormat="1">
      <c r="A749" s="134" t="s">
        <v>808</v>
      </c>
      <c r="B749" s="134">
        <v>2019</v>
      </c>
      <c r="C749" s="134">
        <v>4</v>
      </c>
      <c r="D749" s="134">
        <v>17</v>
      </c>
      <c r="E749" s="134" t="s">
        <v>1746</v>
      </c>
      <c r="F749" s="134" t="s">
        <v>809</v>
      </c>
      <c r="G749" s="195"/>
      <c r="H749" s="195">
        <v>91.2</v>
      </c>
    </row>
    <row r="750" spans="1:8" s="458" customFormat="1">
      <c r="A750" s="134" t="s">
        <v>808</v>
      </c>
      <c r="B750" s="134">
        <v>2019</v>
      </c>
      <c r="C750" s="134">
        <v>4</v>
      </c>
      <c r="D750" s="134">
        <v>17</v>
      </c>
      <c r="E750" s="134" t="s">
        <v>1746</v>
      </c>
      <c r="F750" s="134" t="s">
        <v>809</v>
      </c>
      <c r="G750" s="195"/>
      <c r="H750" s="195">
        <v>450.3</v>
      </c>
    </row>
    <row r="751" spans="1:8" s="458" customFormat="1">
      <c r="A751" s="134" t="s">
        <v>808</v>
      </c>
      <c r="B751" s="134">
        <v>2019</v>
      </c>
      <c r="C751" s="134">
        <v>4</v>
      </c>
      <c r="D751" s="134">
        <v>17</v>
      </c>
      <c r="E751" s="134" t="s">
        <v>1746</v>
      </c>
      <c r="F751" s="134" t="s">
        <v>809</v>
      </c>
      <c r="G751" s="195"/>
      <c r="H751" s="195">
        <v>344.11</v>
      </c>
    </row>
    <row r="752" spans="1:8" s="458" customFormat="1">
      <c r="A752" s="134" t="s">
        <v>808</v>
      </c>
      <c r="B752" s="134">
        <v>2019</v>
      </c>
      <c r="C752" s="134">
        <v>4</v>
      </c>
      <c r="D752" s="134">
        <v>17</v>
      </c>
      <c r="E752" s="134" t="s">
        <v>1746</v>
      </c>
      <c r="F752" s="134" t="s">
        <v>809</v>
      </c>
      <c r="G752" s="195"/>
      <c r="H752" s="195">
        <v>777</v>
      </c>
    </row>
    <row r="753" spans="1:8" s="458" customFormat="1">
      <c r="A753" s="134" t="s">
        <v>808</v>
      </c>
      <c r="B753" s="134">
        <v>2019</v>
      </c>
      <c r="C753" s="134">
        <v>4</v>
      </c>
      <c r="D753" s="134">
        <v>17</v>
      </c>
      <c r="E753" s="134" t="s">
        <v>1746</v>
      </c>
      <c r="F753" s="134" t="s">
        <v>809</v>
      </c>
      <c r="G753" s="195"/>
      <c r="H753" s="195">
        <v>163.72999999999999</v>
      </c>
    </row>
    <row r="754" spans="1:8" s="458" customFormat="1">
      <c r="A754" s="134" t="s">
        <v>808</v>
      </c>
      <c r="B754" s="134">
        <v>2019</v>
      </c>
      <c r="C754" s="134">
        <v>4</v>
      </c>
      <c r="D754" s="134">
        <v>17</v>
      </c>
      <c r="E754" s="134" t="s">
        <v>1746</v>
      </c>
      <c r="F754" s="134" t="s">
        <v>809</v>
      </c>
      <c r="G754" s="195"/>
      <c r="H754" s="195">
        <v>280.27999999999997</v>
      </c>
    </row>
    <row r="755" spans="1:8" s="458" customFormat="1">
      <c r="A755" s="134" t="s">
        <v>808</v>
      </c>
      <c r="B755" s="134">
        <v>2019</v>
      </c>
      <c r="C755" s="134">
        <v>4</v>
      </c>
      <c r="D755" s="134">
        <v>17</v>
      </c>
      <c r="E755" s="134" t="s">
        <v>1746</v>
      </c>
      <c r="F755" s="134" t="s">
        <v>809</v>
      </c>
      <c r="G755" s="195"/>
      <c r="H755" s="195">
        <v>371.85</v>
      </c>
    </row>
    <row r="756" spans="1:8" s="458" customFormat="1">
      <c r="A756" s="134" t="s">
        <v>808</v>
      </c>
      <c r="B756" s="134">
        <v>2019</v>
      </c>
      <c r="C756" s="134">
        <v>4</v>
      </c>
      <c r="D756" s="134">
        <v>17</v>
      </c>
      <c r="E756" s="134" t="s">
        <v>1746</v>
      </c>
      <c r="F756" s="134" t="s">
        <v>809</v>
      </c>
      <c r="G756" s="195"/>
      <c r="H756" s="195">
        <v>222</v>
      </c>
    </row>
    <row r="757" spans="1:8" s="458" customFormat="1">
      <c r="A757" s="134" t="s">
        <v>808</v>
      </c>
      <c r="B757" s="134">
        <v>2019</v>
      </c>
      <c r="C757" s="134">
        <v>4</v>
      </c>
      <c r="D757" s="134">
        <v>17</v>
      </c>
      <c r="E757" s="134" t="s">
        <v>1746</v>
      </c>
      <c r="F757" s="134" t="s">
        <v>809</v>
      </c>
      <c r="G757" s="195"/>
      <c r="H757" s="195">
        <v>754.8</v>
      </c>
    </row>
    <row r="758" spans="1:8" s="458" customFormat="1">
      <c r="A758" s="134" t="s">
        <v>808</v>
      </c>
      <c r="B758" s="134">
        <v>2019</v>
      </c>
      <c r="C758" s="134">
        <v>4</v>
      </c>
      <c r="D758" s="134">
        <v>17</v>
      </c>
      <c r="E758" s="134" t="s">
        <v>1746</v>
      </c>
      <c r="F758" s="134" t="s">
        <v>809</v>
      </c>
      <c r="G758" s="195"/>
      <c r="H758" s="195">
        <v>740.93</v>
      </c>
    </row>
    <row r="759" spans="1:8" s="458" customFormat="1">
      <c r="A759" s="134" t="s">
        <v>808</v>
      </c>
      <c r="B759" s="134">
        <v>2019</v>
      </c>
      <c r="C759" s="134">
        <v>4</v>
      </c>
      <c r="D759" s="134">
        <v>17</v>
      </c>
      <c r="E759" s="134" t="s">
        <v>1746</v>
      </c>
      <c r="F759" s="134" t="s">
        <v>809</v>
      </c>
      <c r="G759" s="195"/>
      <c r="H759" s="195">
        <v>352.47</v>
      </c>
    </row>
    <row r="760" spans="1:8" s="458" customFormat="1">
      <c r="A760" s="134" t="s">
        <v>808</v>
      </c>
      <c r="B760" s="134">
        <v>2019</v>
      </c>
      <c r="C760" s="134">
        <v>4</v>
      </c>
      <c r="D760" s="134">
        <v>17</v>
      </c>
      <c r="E760" s="134" t="s">
        <v>1746</v>
      </c>
      <c r="F760" s="134" t="s">
        <v>809</v>
      </c>
      <c r="G760" s="195"/>
      <c r="H760" s="195">
        <v>136.44</v>
      </c>
    </row>
    <row r="761" spans="1:8" s="458" customFormat="1">
      <c r="A761" s="134" t="s">
        <v>808</v>
      </c>
      <c r="B761" s="134">
        <v>2019</v>
      </c>
      <c r="C761" s="134">
        <v>4</v>
      </c>
      <c r="D761" s="134">
        <v>17</v>
      </c>
      <c r="E761" s="134" t="s">
        <v>1746</v>
      </c>
      <c r="F761" s="134" t="s">
        <v>809</v>
      </c>
      <c r="G761" s="195"/>
      <c r="H761" s="195">
        <v>386.58</v>
      </c>
    </row>
    <row r="762" spans="1:8" s="458" customFormat="1">
      <c r="A762" s="134" t="s">
        <v>808</v>
      </c>
      <c r="B762" s="134">
        <v>2019</v>
      </c>
      <c r="C762" s="134">
        <v>4</v>
      </c>
      <c r="D762" s="134">
        <v>17</v>
      </c>
      <c r="E762" s="134" t="s">
        <v>1746</v>
      </c>
      <c r="F762" s="134" t="s">
        <v>809</v>
      </c>
      <c r="G762" s="195"/>
      <c r="H762" s="195">
        <v>90.96</v>
      </c>
    </row>
    <row r="763" spans="1:8" s="458" customFormat="1">
      <c r="A763" s="134" t="s">
        <v>808</v>
      </c>
      <c r="B763" s="134">
        <v>2019</v>
      </c>
      <c r="C763" s="134">
        <v>4</v>
      </c>
      <c r="D763" s="134">
        <v>17</v>
      </c>
      <c r="E763" s="134" t="s">
        <v>1746</v>
      </c>
      <c r="F763" s="134" t="s">
        <v>809</v>
      </c>
      <c r="G763" s="195"/>
      <c r="H763" s="195">
        <v>338.26</v>
      </c>
    </row>
    <row r="764" spans="1:8" s="458" customFormat="1">
      <c r="A764" s="134" t="s">
        <v>808</v>
      </c>
      <c r="B764" s="134">
        <v>2019</v>
      </c>
      <c r="C764" s="134">
        <v>4</v>
      </c>
      <c r="D764" s="134">
        <v>17</v>
      </c>
      <c r="E764" s="134" t="s">
        <v>1746</v>
      </c>
      <c r="F764" s="134" t="s">
        <v>809</v>
      </c>
      <c r="G764" s="195"/>
      <c r="H764" s="195">
        <v>162.02000000000001</v>
      </c>
    </row>
    <row r="765" spans="1:8" s="458" customFormat="1">
      <c r="A765" s="134" t="s">
        <v>808</v>
      </c>
      <c r="B765" s="134">
        <v>2019</v>
      </c>
      <c r="C765" s="134">
        <v>4</v>
      </c>
      <c r="D765" s="134">
        <v>17</v>
      </c>
      <c r="E765" s="134" t="s">
        <v>1746</v>
      </c>
      <c r="F765" s="134" t="s">
        <v>809</v>
      </c>
      <c r="G765" s="195"/>
      <c r="H765" s="195">
        <v>292.77999999999997</v>
      </c>
    </row>
    <row r="766" spans="1:8" s="458" customFormat="1">
      <c r="A766" s="134" t="s">
        <v>808</v>
      </c>
      <c r="B766" s="134">
        <v>2019</v>
      </c>
      <c r="C766" s="134">
        <v>4</v>
      </c>
      <c r="D766" s="134">
        <v>17</v>
      </c>
      <c r="E766" s="134" t="s">
        <v>1746</v>
      </c>
      <c r="F766" s="134" t="s">
        <v>809</v>
      </c>
      <c r="G766" s="195"/>
      <c r="H766" s="195">
        <v>267.2</v>
      </c>
    </row>
    <row r="767" spans="1:8" s="458" customFormat="1">
      <c r="A767" s="134" t="s">
        <v>808</v>
      </c>
      <c r="B767" s="134">
        <v>2019</v>
      </c>
      <c r="C767" s="134">
        <v>4</v>
      </c>
      <c r="D767" s="134">
        <v>17</v>
      </c>
      <c r="E767" s="134" t="s">
        <v>1746</v>
      </c>
      <c r="F767" s="134" t="s">
        <v>809</v>
      </c>
      <c r="G767" s="195"/>
      <c r="H767" s="195">
        <v>39.799999999999997</v>
      </c>
    </row>
    <row r="768" spans="1:8" s="458" customFormat="1">
      <c r="A768" s="134" t="s">
        <v>808</v>
      </c>
      <c r="B768" s="134">
        <v>2019</v>
      </c>
      <c r="C768" s="134">
        <v>4</v>
      </c>
      <c r="D768" s="134">
        <v>17</v>
      </c>
      <c r="E768" s="134" t="s">
        <v>1746</v>
      </c>
      <c r="F768" s="134" t="s">
        <v>809</v>
      </c>
      <c r="G768" s="195"/>
      <c r="H768" s="195">
        <v>34.11</v>
      </c>
    </row>
    <row r="769" spans="1:8" s="458" customFormat="1">
      <c r="A769" s="134" t="s">
        <v>808</v>
      </c>
      <c r="B769" s="134">
        <v>2019</v>
      </c>
      <c r="C769" s="134">
        <v>4</v>
      </c>
      <c r="D769" s="134">
        <v>17</v>
      </c>
      <c r="E769" s="134" t="s">
        <v>1746</v>
      </c>
      <c r="F769" s="134" t="s">
        <v>809</v>
      </c>
      <c r="G769" s="195"/>
      <c r="H769" s="195">
        <v>216.03</v>
      </c>
    </row>
    <row r="770" spans="1:8" s="458" customFormat="1">
      <c r="A770" s="134" t="s">
        <v>808</v>
      </c>
      <c r="B770" s="134">
        <v>2019</v>
      </c>
      <c r="C770" s="134">
        <v>4</v>
      </c>
      <c r="D770" s="134">
        <v>17</v>
      </c>
      <c r="E770" s="134" t="s">
        <v>1746</v>
      </c>
      <c r="F770" s="134" t="s">
        <v>809</v>
      </c>
      <c r="G770" s="195"/>
      <c r="H770" s="195">
        <v>250.14</v>
      </c>
    </row>
    <row r="771" spans="1:8" s="458" customFormat="1">
      <c r="A771" s="134" t="s">
        <v>808</v>
      </c>
      <c r="B771" s="134">
        <v>2019</v>
      </c>
      <c r="C771" s="134">
        <v>4</v>
      </c>
      <c r="D771" s="134">
        <v>17</v>
      </c>
      <c r="E771" s="134" t="s">
        <v>1746</v>
      </c>
      <c r="F771" s="134" t="s">
        <v>809</v>
      </c>
      <c r="G771" s="195"/>
      <c r="H771" s="195">
        <v>136.44</v>
      </c>
    </row>
    <row r="772" spans="1:8" s="458" customFormat="1">
      <c r="A772" s="134" t="s">
        <v>808</v>
      </c>
      <c r="B772" s="134">
        <v>2019</v>
      </c>
      <c r="C772" s="134">
        <v>4</v>
      </c>
      <c r="D772" s="134">
        <v>17</v>
      </c>
      <c r="E772" s="134" t="s">
        <v>1746</v>
      </c>
      <c r="F772" s="134" t="s">
        <v>809</v>
      </c>
      <c r="G772" s="195"/>
      <c r="H772" s="195">
        <v>284.25</v>
      </c>
    </row>
    <row r="773" spans="1:8" s="458" customFormat="1">
      <c r="A773" s="134" t="s">
        <v>808</v>
      </c>
      <c r="B773" s="134">
        <v>2019</v>
      </c>
      <c r="C773" s="134">
        <v>4</v>
      </c>
      <c r="D773" s="134">
        <v>17</v>
      </c>
      <c r="E773" s="134" t="s">
        <v>1746</v>
      </c>
      <c r="F773" s="134" t="s">
        <v>809</v>
      </c>
      <c r="G773" s="195"/>
      <c r="H773" s="195">
        <v>255.83</v>
      </c>
    </row>
    <row r="774" spans="1:8" s="458" customFormat="1">
      <c r="A774" s="134" t="s">
        <v>808</v>
      </c>
      <c r="B774" s="134">
        <v>2019</v>
      </c>
      <c r="C774" s="134">
        <v>4</v>
      </c>
      <c r="D774" s="134">
        <v>17</v>
      </c>
      <c r="E774" s="134" t="s">
        <v>1746</v>
      </c>
      <c r="F774" s="134" t="s">
        <v>809</v>
      </c>
      <c r="G774" s="195"/>
      <c r="H774" s="195">
        <v>164.87</v>
      </c>
    </row>
    <row r="775" spans="1:8" s="458" customFormat="1">
      <c r="A775" s="134" t="s">
        <v>808</v>
      </c>
      <c r="B775" s="134">
        <v>2019</v>
      </c>
      <c r="C775" s="134">
        <v>4</v>
      </c>
      <c r="D775" s="134">
        <v>17</v>
      </c>
      <c r="E775" s="134" t="s">
        <v>1746</v>
      </c>
      <c r="F775" s="134" t="s">
        <v>809</v>
      </c>
      <c r="G775" s="195"/>
      <c r="H775" s="195">
        <v>176.24</v>
      </c>
    </row>
    <row r="776" spans="1:8" s="458" customFormat="1">
      <c r="A776" s="134" t="s">
        <v>808</v>
      </c>
      <c r="B776" s="134">
        <v>2019</v>
      </c>
      <c r="C776" s="134">
        <v>4</v>
      </c>
      <c r="D776" s="134">
        <v>17</v>
      </c>
      <c r="E776" s="134" t="s">
        <v>1746</v>
      </c>
      <c r="F776" s="134" t="s">
        <v>809</v>
      </c>
      <c r="G776" s="195"/>
      <c r="H776" s="195">
        <v>271.95</v>
      </c>
    </row>
    <row r="777" spans="1:8" s="458" customFormat="1">
      <c r="A777" s="134" t="s">
        <v>808</v>
      </c>
      <c r="B777" s="134">
        <v>2019</v>
      </c>
      <c r="C777" s="134">
        <v>4</v>
      </c>
      <c r="D777" s="134">
        <v>17</v>
      </c>
      <c r="E777" s="134" t="s">
        <v>1746</v>
      </c>
      <c r="F777" s="134" t="s">
        <v>809</v>
      </c>
      <c r="G777" s="195"/>
      <c r="H777" s="195">
        <v>399.6</v>
      </c>
    </row>
    <row r="778" spans="1:8" s="458" customFormat="1">
      <c r="A778" s="134" t="s">
        <v>808</v>
      </c>
      <c r="B778" s="134">
        <v>2019</v>
      </c>
      <c r="C778" s="134">
        <v>4</v>
      </c>
      <c r="D778" s="134">
        <v>17</v>
      </c>
      <c r="E778" s="134" t="s">
        <v>1746</v>
      </c>
      <c r="F778" s="134" t="s">
        <v>809</v>
      </c>
      <c r="G778" s="195"/>
      <c r="H778" s="195">
        <v>66.599999999999994</v>
      </c>
    </row>
    <row r="779" spans="1:8" s="458" customFormat="1">
      <c r="A779" s="134" t="s">
        <v>808</v>
      </c>
      <c r="B779" s="134">
        <v>2019</v>
      </c>
      <c r="C779" s="134">
        <v>4</v>
      </c>
      <c r="D779" s="134">
        <v>17</v>
      </c>
      <c r="E779" s="134" t="s">
        <v>1746</v>
      </c>
      <c r="F779" s="134" t="s">
        <v>809</v>
      </c>
      <c r="G779" s="195"/>
      <c r="H779" s="195">
        <v>133.19999999999999</v>
      </c>
    </row>
    <row r="780" spans="1:8" s="458" customFormat="1">
      <c r="A780" s="134" t="s">
        <v>808</v>
      </c>
      <c r="B780" s="134">
        <v>2019</v>
      </c>
      <c r="C780" s="134">
        <v>4</v>
      </c>
      <c r="D780" s="134">
        <v>17</v>
      </c>
      <c r="E780" s="134" t="s">
        <v>1746</v>
      </c>
      <c r="F780" s="134" t="s">
        <v>809</v>
      </c>
      <c r="G780" s="195"/>
      <c r="H780" s="195">
        <v>133.19999999999999</v>
      </c>
    </row>
    <row r="781" spans="1:8" s="458" customFormat="1">
      <c r="A781" s="134" t="s">
        <v>808</v>
      </c>
      <c r="B781" s="134">
        <v>2019</v>
      </c>
      <c r="C781" s="134">
        <v>4</v>
      </c>
      <c r="D781" s="134">
        <v>17</v>
      </c>
      <c r="E781" s="134" t="s">
        <v>1746</v>
      </c>
      <c r="F781" s="134" t="s">
        <v>809</v>
      </c>
      <c r="G781" s="195"/>
      <c r="H781" s="195">
        <v>66.599999999999994</v>
      </c>
    </row>
    <row r="782" spans="1:8" s="458" customFormat="1">
      <c r="A782" s="134" t="s">
        <v>808</v>
      </c>
      <c r="B782" s="134">
        <v>2019</v>
      </c>
      <c r="C782" s="134">
        <v>4</v>
      </c>
      <c r="D782" s="134">
        <v>17</v>
      </c>
      <c r="E782" s="134" t="s">
        <v>1746</v>
      </c>
      <c r="F782" s="134" t="s">
        <v>809</v>
      </c>
      <c r="G782" s="195"/>
      <c r="H782" s="195">
        <v>199.8</v>
      </c>
    </row>
    <row r="783" spans="1:8" s="458" customFormat="1">
      <c r="A783" s="134" t="s">
        <v>808</v>
      </c>
      <c r="B783" s="134">
        <v>2019</v>
      </c>
      <c r="C783" s="134">
        <v>4</v>
      </c>
      <c r="D783" s="134">
        <v>17</v>
      </c>
      <c r="E783" s="134" t="s">
        <v>1746</v>
      </c>
      <c r="F783" s="134" t="s">
        <v>809</v>
      </c>
      <c r="G783" s="195"/>
      <c r="H783" s="195">
        <v>183.15</v>
      </c>
    </row>
    <row r="784" spans="1:8" s="458" customFormat="1">
      <c r="A784" s="134" t="s">
        <v>808</v>
      </c>
      <c r="B784" s="134">
        <v>2019</v>
      </c>
      <c r="C784" s="134">
        <v>4</v>
      </c>
      <c r="D784" s="134">
        <v>17</v>
      </c>
      <c r="E784" s="134" t="s">
        <v>1746</v>
      </c>
      <c r="F784" s="134" t="s">
        <v>809</v>
      </c>
      <c r="G784" s="195"/>
      <c r="H784" s="195">
        <v>99.75</v>
      </c>
    </row>
    <row r="785" spans="1:8" s="458" customFormat="1">
      <c r="A785" s="134" t="s">
        <v>808</v>
      </c>
      <c r="B785" s="134">
        <v>2019</v>
      </c>
      <c r="C785" s="134">
        <v>4</v>
      </c>
      <c r="D785" s="134">
        <v>17</v>
      </c>
      <c r="E785" s="134" t="s">
        <v>1746</v>
      </c>
      <c r="F785" s="134" t="s">
        <v>809</v>
      </c>
      <c r="G785" s="195"/>
      <c r="H785" s="195">
        <v>102.6</v>
      </c>
    </row>
    <row r="786" spans="1:8" s="458" customFormat="1">
      <c r="A786" s="134" t="s">
        <v>808</v>
      </c>
      <c r="B786" s="134">
        <v>2019</v>
      </c>
      <c r="C786" s="134">
        <v>4</v>
      </c>
      <c r="D786" s="134">
        <v>17</v>
      </c>
      <c r="E786" s="134" t="s">
        <v>1746</v>
      </c>
      <c r="F786" s="134" t="s">
        <v>809</v>
      </c>
      <c r="G786" s="195"/>
      <c r="H786" s="195">
        <v>273.60000000000002</v>
      </c>
    </row>
    <row r="787" spans="1:8" s="458" customFormat="1">
      <c r="A787" s="134" t="s">
        <v>808</v>
      </c>
      <c r="B787" s="134">
        <v>2019</v>
      </c>
      <c r="C787" s="134">
        <v>4</v>
      </c>
      <c r="D787" s="134">
        <v>17</v>
      </c>
      <c r="E787" s="134" t="s">
        <v>1748</v>
      </c>
      <c r="F787" s="134" t="s">
        <v>809</v>
      </c>
      <c r="G787" s="195"/>
      <c r="H787" s="195">
        <v>4.16</v>
      </c>
    </row>
    <row r="788" spans="1:8" s="458" customFormat="1">
      <c r="A788" s="134" t="s">
        <v>808</v>
      </c>
      <c r="B788" s="134">
        <v>2019</v>
      </c>
      <c r="C788" s="134">
        <v>4</v>
      </c>
      <c r="D788" s="134">
        <v>20</v>
      </c>
      <c r="E788" s="134" t="s">
        <v>1750</v>
      </c>
      <c r="F788" s="134" t="s">
        <v>809</v>
      </c>
      <c r="G788" s="195"/>
      <c r="H788" s="195">
        <v>58.59</v>
      </c>
    </row>
    <row r="789" spans="1:8" s="458" customFormat="1">
      <c r="A789" s="134" t="s">
        <v>808</v>
      </c>
      <c r="B789" s="134">
        <v>2019</v>
      </c>
      <c r="C789" s="134">
        <v>4</v>
      </c>
      <c r="D789" s="134">
        <v>20</v>
      </c>
      <c r="E789" s="134" t="s">
        <v>1750</v>
      </c>
      <c r="F789" s="134" t="s">
        <v>809</v>
      </c>
      <c r="G789" s="195"/>
      <c r="H789" s="195">
        <v>59.05</v>
      </c>
    </row>
    <row r="790" spans="1:8" s="458" customFormat="1">
      <c r="A790" s="134" t="s">
        <v>808</v>
      </c>
      <c r="B790" s="134">
        <v>2019</v>
      </c>
      <c r="C790" s="134">
        <v>4</v>
      </c>
      <c r="D790" s="134">
        <v>20</v>
      </c>
      <c r="E790" s="134" t="s">
        <v>1750</v>
      </c>
      <c r="F790" s="134" t="s">
        <v>809</v>
      </c>
      <c r="G790" s="195"/>
      <c r="H790" s="195">
        <v>34.270000000000003</v>
      </c>
    </row>
    <row r="791" spans="1:8" s="458" customFormat="1">
      <c r="A791" s="134" t="s">
        <v>808</v>
      </c>
      <c r="B791" s="134">
        <v>2019</v>
      </c>
      <c r="C791" s="134">
        <v>4</v>
      </c>
      <c r="D791" s="134">
        <v>20</v>
      </c>
      <c r="E791" s="134" t="s">
        <v>1750</v>
      </c>
      <c r="F791" s="134" t="s">
        <v>809</v>
      </c>
      <c r="G791" s="195"/>
      <c r="H791" s="195">
        <v>0.03</v>
      </c>
    </row>
    <row r="792" spans="1:8" s="458" customFormat="1">
      <c r="A792" s="134" t="s">
        <v>808</v>
      </c>
      <c r="B792" s="134">
        <v>2019</v>
      </c>
      <c r="C792" s="134">
        <v>4</v>
      </c>
      <c r="D792" s="134">
        <v>20</v>
      </c>
      <c r="E792" s="134" t="s">
        <v>1750</v>
      </c>
      <c r="F792" s="134" t="s">
        <v>809</v>
      </c>
      <c r="G792" s="195"/>
      <c r="H792" s="195">
        <v>18.579999999999998</v>
      </c>
    </row>
    <row r="793" spans="1:8" s="458" customFormat="1">
      <c r="A793" s="134" t="s">
        <v>808</v>
      </c>
      <c r="B793" s="134">
        <v>2019</v>
      </c>
      <c r="C793" s="134">
        <v>4</v>
      </c>
      <c r="D793" s="134">
        <v>29</v>
      </c>
      <c r="E793" s="134" t="s">
        <v>1757</v>
      </c>
      <c r="F793" s="134" t="s">
        <v>809</v>
      </c>
      <c r="G793" s="195"/>
      <c r="H793" s="195">
        <v>350</v>
      </c>
    </row>
    <row r="794" spans="1:8" s="458" customFormat="1">
      <c r="A794" s="134" t="s">
        <v>808</v>
      </c>
      <c r="B794" s="134">
        <v>2019</v>
      </c>
      <c r="C794" s="134">
        <v>4</v>
      </c>
      <c r="D794" s="134">
        <v>29</v>
      </c>
      <c r="E794" s="134" t="s">
        <v>1757</v>
      </c>
      <c r="F794" s="134" t="s">
        <v>809</v>
      </c>
      <c r="G794" s="195"/>
      <c r="H794" s="195">
        <v>350</v>
      </c>
    </row>
    <row r="795" spans="1:8" s="458" customFormat="1">
      <c r="A795" s="134" t="s">
        <v>808</v>
      </c>
      <c r="B795" s="134">
        <v>2019</v>
      </c>
      <c r="C795" s="134">
        <v>4</v>
      </c>
      <c r="D795" s="134">
        <v>29</v>
      </c>
      <c r="E795" s="134" t="s">
        <v>1757</v>
      </c>
      <c r="F795" s="134" t="s">
        <v>809</v>
      </c>
      <c r="G795" s="195"/>
      <c r="H795" s="195">
        <v>350</v>
      </c>
    </row>
    <row r="796" spans="1:8" s="458" customFormat="1">
      <c r="A796" s="134" t="s">
        <v>808</v>
      </c>
      <c r="B796" s="134">
        <v>2019</v>
      </c>
      <c r="C796" s="134">
        <v>4</v>
      </c>
      <c r="D796" s="134">
        <v>29</v>
      </c>
      <c r="E796" s="134" t="s">
        <v>1757</v>
      </c>
      <c r="F796" s="134" t="s">
        <v>809</v>
      </c>
      <c r="G796" s="195"/>
      <c r="H796" s="195">
        <v>350</v>
      </c>
    </row>
    <row r="797" spans="1:8" s="458" customFormat="1">
      <c r="A797" s="134" t="s">
        <v>808</v>
      </c>
      <c r="B797" s="134">
        <v>2019</v>
      </c>
      <c r="C797" s="134">
        <v>4</v>
      </c>
      <c r="D797" s="134">
        <v>25</v>
      </c>
      <c r="E797" s="134" t="s">
        <v>1758</v>
      </c>
      <c r="F797" s="134" t="s">
        <v>809</v>
      </c>
      <c r="G797" s="195"/>
      <c r="H797" s="195">
        <v>634.14</v>
      </c>
    </row>
    <row r="798" spans="1:8" s="458" customFormat="1">
      <c r="A798" s="134" t="s">
        <v>808</v>
      </c>
      <c r="B798" s="134">
        <v>2019</v>
      </c>
      <c r="C798" s="134">
        <v>4</v>
      </c>
      <c r="D798" s="134">
        <v>25</v>
      </c>
      <c r="E798" s="134" t="s">
        <v>1760</v>
      </c>
      <c r="F798" s="134" t="s">
        <v>809</v>
      </c>
      <c r="G798" s="195"/>
      <c r="H798" s="195">
        <v>58.08</v>
      </c>
    </row>
    <row r="799" spans="1:8" s="458" customFormat="1">
      <c r="A799" s="134" t="s">
        <v>808</v>
      </c>
      <c r="B799" s="134">
        <v>2019</v>
      </c>
      <c r="C799" s="134">
        <v>4</v>
      </c>
      <c r="D799" s="134">
        <v>25</v>
      </c>
      <c r="E799" s="134" t="s">
        <v>1760</v>
      </c>
      <c r="F799" s="134" t="s">
        <v>809</v>
      </c>
      <c r="G799" s="195"/>
      <c r="H799" s="195"/>
    </row>
    <row r="800" spans="1:8" s="458" customFormat="1">
      <c r="A800" s="134" t="s">
        <v>808</v>
      </c>
      <c r="B800" s="134">
        <v>2019</v>
      </c>
      <c r="C800" s="134">
        <v>4</v>
      </c>
      <c r="D800" s="134">
        <v>25</v>
      </c>
      <c r="E800" s="134" t="s">
        <v>1760</v>
      </c>
      <c r="F800" s="134" t="s">
        <v>809</v>
      </c>
      <c r="G800" s="195"/>
      <c r="H800" s="195">
        <v>58.08</v>
      </c>
    </row>
    <row r="801" spans="1:8" s="458" customFormat="1">
      <c r="A801" s="134" t="s">
        <v>808</v>
      </c>
      <c r="B801" s="134">
        <v>2019</v>
      </c>
      <c r="C801" s="134">
        <v>4</v>
      </c>
      <c r="D801" s="134">
        <v>25</v>
      </c>
      <c r="E801" s="134" t="s">
        <v>1760</v>
      </c>
      <c r="F801" s="134" t="s">
        <v>809</v>
      </c>
      <c r="G801" s="195"/>
      <c r="H801" s="195"/>
    </row>
    <row r="802" spans="1:8" s="458" customFormat="1">
      <c r="A802" s="134" t="s">
        <v>808</v>
      </c>
      <c r="B802" s="134">
        <v>2019</v>
      </c>
      <c r="C802" s="134">
        <v>4</v>
      </c>
      <c r="D802" s="134">
        <v>25</v>
      </c>
      <c r="E802" s="134" t="s">
        <v>1760</v>
      </c>
      <c r="F802" s="134" t="s">
        <v>809</v>
      </c>
      <c r="G802" s="195"/>
      <c r="H802" s="195">
        <v>58.08</v>
      </c>
    </row>
    <row r="803" spans="1:8" s="458" customFormat="1">
      <c r="A803" s="134" t="s">
        <v>808</v>
      </c>
      <c r="B803" s="134">
        <v>2019</v>
      </c>
      <c r="C803" s="134">
        <v>4</v>
      </c>
      <c r="D803" s="134">
        <v>25</v>
      </c>
      <c r="E803" s="134" t="s">
        <v>1760</v>
      </c>
      <c r="F803" s="134" t="s">
        <v>809</v>
      </c>
      <c r="G803" s="195"/>
      <c r="H803" s="195"/>
    </row>
    <row r="804" spans="1:8" s="458" customFormat="1">
      <c r="A804" s="134" t="s">
        <v>808</v>
      </c>
      <c r="B804" s="134">
        <v>2019</v>
      </c>
      <c r="C804" s="134">
        <v>4</v>
      </c>
      <c r="D804" s="134">
        <v>25</v>
      </c>
      <c r="E804" s="134" t="s">
        <v>1761</v>
      </c>
      <c r="F804" s="134" t="s">
        <v>809</v>
      </c>
      <c r="G804" s="195"/>
      <c r="H804" s="195">
        <v>39.700000000000003</v>
      </c>
    </row>
    <row r="805" spans="1:8" s="458" customFormat="1">
      <c r="A805" s="134" t="s">
        <v>808</v>
      </c>
      <c r="B805" s="134">
        <v>2019</v>
      </c>
      <c r="C805" s="134">
        <v>4</v>
      </c>
      <c r="D805" s="134">
        <v>25</v>
      </c>
      <c r="E805" s="134" t="s">
        <v>1761</v>
      </c>
      <c r="F805" s="134" t="s">
        <v>809</v>
      </c>
      <c r="G805" s="195"/>
      <c r="H805" s="195">
        <v>192</v>
      </c>
    </row>
    <row r="806" spans="1:8" s="458" customFormat="1">
      <c r="A806" s="134" t="s">
        <v>808</v>
      </c>
      <c r="B806" s="134">
        <v>2019</v>
      </c>
      <c r="C806" s="134">
        <v>4</v>
      </c>
      <c r="D806" s="134">
        <v>28</v>
      </c>
      <c r="E806" s="134" t="s">
        <v>1770</v>
      </c>
      <c r="F806" s="134" t="s">
        <v>809</v>
      </c>
      <c r="G806" s="195"/>
      <c r="H806" s="195">
        <v>6383.36</v>
      </c>
    </row>
    <row r="807" spans="1:8" s="458" customFormat="1">
      <c r="A807" s="134" t="s">
        <v>808</v>
      </c>
      <c r="B807" s="134">
        <v>2019</v>
      </c>
      <c r="C807" s="134">
        <v>4</v>
      </c>
      <c r="D807" s="134">
        <v>29</v>
      </c>
      <c r="E807" s="134" t="s">
        <v>1771</v>
      </c>
      <c r="F807" s="134" t="s">
        <v>809</v>
      </c>
      <c r="G807" s="195"/>
      <c r="H807" s="195">
        <v>360</v>
      </c>
    </row>
    <row r="808" spans="1:8" s="458" customFormat="1">
      <c r="A808" s="134" t="s">
        <v>808</v>
      </c>
      <c r="B808" s="134">
        <v>2019</v>
      </c>
      <c r="C808" s="134">
        <v>4</v>
      </c>
      <c r="D808" s="134">
        <v>29</v>
      </c>
      <c r="E808" s="134" t="s">
        <v>1772</v>
      </c>
      <c r="F808" s="134" t="s">
        <v>809</v>
      </c>
      <c r="G808" s="195"/>
      <c r="H808" s="195">
        <v>159</v>
      </c>
    </row>
    <row r="809" spans="1:8" s="458" customFormat="1">
      <c r="A809" s="134" t="s">
        <v>808</v>
      </c>
      <c r="B809" s="134">
        <v>2019</v>
      </c>
      <c r="C809" s="134">
        <v>4</v>
      </c>
      <c r="D809" s="134">
        <v>26</v>
      </c>
      <c r="E809" s="134" t="s">
        <v>1777</v>
      </c>
      <c r="F809" s="134" t="s">
        <v>809</v>
      </c>
      <c r="G809" s="195"/>
      <c r="H809" s="195">
        <v>140.55000000000001</v>
      </c>
    </row>
    <row r="810" spans="1:8" s="458" customFormat="1">
      <c r="A810" s="134" t="s">
        <v>808</v>
      </c>
      <c r="B810" s="134">
        <v>2019</v>
      </c>
      <c r="C810" s="134">
        <v>4</v>
      </c>
      <c r="D810" s="134">
        <v>26</v>
      </c>
      <c r="E810" s="134" t="s">
        <v>1779</v>
      </c>
      <c r="F810" s="134" t="s">
        <v>809</v>
      </c>
      <c r="G810" s="195"/>
      <c r="H810" s="195">
        <v>639</v>
      </c>
    </row>
    <row r="811" spans="1:8" s="458" customFormat="1">
      <c r="A811" s="134" t="s">
        <v>808</v>
      </c>
      <c r="B811" s="134">
        <v>2019</v>
      </c>
      <c r="C811" s="134">
        <v>4</v>
      </c>
      <c r="D811" s="134">
        <v>29</v>
      </c>
      <c r="E811" s="134" t="s">
        <v>1781</v>
      </c>
      <c r="F811" s="134" t="s">
        <v>809</v>
      </c>
      <c r="G811" s="195"/>
      <c r="H811" s="195">
        <v>1500</v>
      </c>
    </row>
    <row r="812" spans="1:8" s="458" customFormat="1">
      <c r="A812" s="134" t="s">
        <v>808</v>
      </c>
      <c r="B812" s="134">
        <v>2019</v>
      </c>
      <c r="C812" s="134">
        <v>4</v>
      </c>
      <c r="D812" s="134">
        <v>29</v>
      </c>
      <c r="E812" s="134" t="s">
        <v>1781</v>
      </c>
      <c r="F812" s="134" t="s">
        <v>809</v>
      </c>
      <c r="G812" s="195"/>
      <c r="H812" s="195">
        <v>1500</v>
      </c>
    </row>
    <row r="813" spans="1:8" s="458" customFormat="1">
      <c r="A813" s="134" t="s">
        <v>808</v>
      </c>
      <c r="B813" s="134">
        <v>2019</v>
      </c>
      <c r="C813" s="134">
        <v>4</v>
      </c>
      <c r="D813" s="134">
        <v>29</v>
      </c>
      <c r="E813" s="134" t="s">
        <v>1781</v>
      </c>
      <c r="F813" s="134" t="s">
        <v>809</v>
      </c>
      <c r="G813" s="195"/>
      <c r="H813" s="195">
        <v>1500</v>
      </c>
    </row>
    <row r="814" spans="1:8" s="458" customFormat="1">
      <c r="A814" s="134" t="s">
        <v>808</v>
      </c>
      <c r="B814" s="134">
        <v>2019</v>
      </c>
      <c r="C814" s="134">
        <v>4</v>
      </c>
      <c r="D814" s="134">
        <v>29</v>
      </c>
      <c r="E814" s="134" t="s">
        <v>1781</v>
      </c>
      <c r="F814" s="134" t="s">
        <v>809</v>
      </c>
      <c r="G814" s="195"/>
      <c r="H814" s="195">
        <v>1000</v>
      </c>
    </row>
    <row r="815" spans="1:8" s="458" customFormat="1">
      <c r="A815" s="134" t="s">
        <v>808</v>
      </c>
      <c r="B815" s="134">
        <v>2019</v>
      </c>
      <c r="C815" s="134">
        <v>4</v>
      </c>
      <c r="D815" s="134">
        <v>29</v>
      </c>
      <c r="E815" s="134" t="s">
        <v>1782</v>
      </c>
      <c r="F815" s="134" t="s">
        <v>809</v>
      </c>
      <c r="G815" s="195"/>
      <c r="H815" s="195"/>
    </row>
    <row r="816" spans="1:8" s="458" customFormat="1">
      <c r="A816" s="134" t="s">
        <v>808</v>
      </c>
      <c r="B816" s="134">
        <v>2019</v>
      </c>
      <c r="C816" s="134">
        <v>4</v>
      </c>
      <c r="D816" s="134">
        <v>29</v>
      </c>
      <c r="E816" s="134" t="s">
        <v>1782</v>
      </c>
      <c r="F816" s="134" t="s">
        <v>809</v>
      </c>
      <c r="G816" s="195"/>
      <c r="H816" s="195">
        <v>600</v>
      </c>
    </row>
    <row r="817" spans="1:8" s="458" customFormat="1">
      <c r="A817" s="134" t="s">
        <v>808</v>
      </c>
      <c r="B817" s="134">
        <v>2019</v>
      </c>
      <c r="C817" s="134">
        <v>4</v>
      </c>
      <c r="D817" s="134">
        <v>29</v>
      </c>
      <c r="E817" s="134" t="s">
        <v>1782</v>
      </c>
      <c r="F817" s="134" t="s">
        <v>809</v>
      </c>
      <c r="G817" s="195"/>
      <c r="H817" s="195"/>
    </row>
    <row r="818" spans="1:8" s="458" customFormat="1">
      <c r="A818" s="134" t="s">
        <v>808</v>
      </c>
      <c r="B818" s="134">
        <v>2019</v>
      </c>
      <c r="C818" s="134">
        <v>4</v>
      </c>
      <c r="D818" s="134">
        <v>29</v>
      </c>
      <c r="E818" s="134" t="s">
        <v>1782</v>
      </c>
      <c r="F818" s="134" t="s">
        <v>809</v>
      </c>
      <c r="G818" s="195"/>
      <c r="H818" s="195">
        <v>600</v>
      </c>
    </row>
    <row r="819" spans="1:8" s="458" customFormat="1">
      <c r="A819" s="134" t="s">
        <v>808</v>
      </c>
      <c r="B819" s="134">
        <v>2019</v>
      </c>
      <c r="C819" s="134">
        <v>4</v>
      </c>
      <c r="D819" s="134">
        <v>29</v>
      </c>
      <c r="E819" s="134" t="s">
        <v>1782</v>
      </c>
      <c r="F819" s="134" t="s">
        <v>809</v>
      </c>
      <c r="G819" s="195"/>
      <c r="H819" s="195"/>
    </row>
    <row r="820" spans="1:8" s="458" customFormat="1">
      <c r="A820" s="134" t="s">
        <v>808</v>
      </c>
      <c r="B820" s="134">
        <v>2019</v>
      </c>
      <c r="C820" s="134">
        <v>4</v>
      </c>
      <c r="D820" s="134">
        <v>29</v>
      </c>
      <c r="E820" s="134" t="s">
        <v>1782</v>
      </c>
      <c r="F820" s="134" t="s">
        <v>809</v>
      </c>
      <c r="G820" s="195"/>
      <c r="H820" s="195"/>
    </row>
    <row r="821" spans="1:8" s="458" customFormat="1">
      <c r="A821" s="134" t="s">
        <v>808</v>
      </c>
      <c r="B821" s="134">
        <v>2019</v>
      </c>
      <c r="C821" s="134">
        <v>4</v>
      </c>
      <c r="D821" s="134">
        <v>29</v>
      </c>
      <c r="E821" s="134" t="s">
        <v>1782</v>
      </c>
      <c r="F821" s="134" t="s">
        <v>809</v>
      </c>
      <c r="G821" s="195"/>
      <c r="H821" s="195">
        <v>600</v>
      </c>
    </row>
    <row r="822" spans="1:8" s="458" customFormat="1">
      <c r="A822" s="134" t="s">
        <v>808</v>
      </c>
      <c r="B822" s="134">
        <v>2019</v>
      </c>
      <c r="C822" s="134">
        <v>4</v>
      </c>
      <c r="D822" s="134">
        <v>29</v>
      </c>
      <c r="E822" s="134" t="s">
        <v>1782</v>
      </c>
      <c r="F822" s="134" t="s">
        <v>809</v>
      </c>
      <c r="G822" s="195"/>
      <c r="H822" s="195">
        <v>600</v>
      </c>
    </row>
    <row r="823" spans="1:8" s="458" customFormat="1">
      <c r="A823" s="134" t="s">
        <v>808</v>
      </c>
      <c r="B823" s="134">
        <v>2019</v>
      </c>
      <c r="C823" s="134">
        <v>4</v>
      </c>
      <c r="D823" s="134">
        <v>32</v>
      </c>
      <c r="E823" s="134" t="s">
        <v>1787</v>
      </c>
      <c r="F823" s="134" t="s">
        <v>809</v>
      </c>
      <c r="G823" s="195"/>
      <c r="H823" s="195">
        <v>-1902.53</v>
      </c>
    </row>
    <row r="824" spans="1:8" s="458" customFormat="1">
      <c r="A824" s="134" t="s">
        <v>808</v>
      </c>
      <c r="B824" s="134">
        <v>2019</v>
      </c>
      <c r="C824" s="134">
        <v>4</v>
      </c>
      <c r="D824" s="134">
        <v>32</v>
      </c>
      <c r="E824" s="134" t="s">
        <v>1787</v>
      </c>
      <c r="F824" s="134" t="s">
        <v>809</v>
      </c>
      <c r="G824" s="195"/>
      <c r="H824" s="195">
        <v>1902.53</v>
      </c>
    </row>
    <row r="825" spans="1:8" s="458" customFormat="1">
      <c r="A825" s="134" t="s">
        <v>808</v>
      </c>
      <c r="B825" s="134">
        <v>2019</v>
      </c>
      <c r="C825" s="134">
        <v>4</v>
      </c>
      <c r="D825" s="134">
        <v>32</v>
      </c>
      <c r="E825" s="134" t="s">
        <v>1787</v>
      </c>
      <c r="F825" s="134" t="s">
        <v>809</v>
      </c>
      <c r="G825" s="195"/>
      <c r="H825" s="195">
        <v>2887</v>
      </c>
    </row>
    <row r="826" spans="1:8" s="458" customFormat="1">
      <c r="A826" s="134" t="s">
        <v>808</v>
      </c>
      <c r="B826" s="134">
        <v>2019</v>
      </c>
      <c r="C826" s="134">
        <v>4</v>
      </c>
      <c r="D826" s="134">
        <v>32</v>
      </c>
      <c r="E826" s="134" t="s">
        <v>1787</v>
      </c>
      <c r="F826" s="134" t="s">
        <v>809</v>
      </c>
      <c r="G826" s="195"/>
      <c r="H826" s="195">
        <v>545.64</v>
      </c>
    </row>
    <row r="827" spans="1:8" s="458" customFormat="1">
      <c r="A827" s="134" t="s">
        <v>808</v>
      </c>
      <c r="B827" s="134">
        <v>2019</v>
      </c>
      <c r="C827" s="134">
        <v>4</v>
      </c>
      <c r="D827" s="134">
        <v>32</v>
      </c>
      <c r="E827" s="134" t="s">
        <v>1787</v>
      </c>
      <c r="F827" s="134" t="s">
        <v>809</v>
      </c>
      <c r="G827" s="195"/>
      <c r="H827" s="195">
        <v>980.72</v>
      </c>
    </row>
    <row r="828" spans="1:8" s="458" customFormat="1">
      <c r="A828" s="134" t="s">
        <v>808</v>
      </c>
      <c r="B828" s="134">
        <v>2019</v>
      </c>
      <c r="C828" s="134">
        <v>4</v>
      </c>
      <c r="D828" s="134">
        <v>32</v>
      </c>
      <c r="E828" s="134" t="s">
        <v>1787</v>
      </c>
      <c r="F828" s="134" t="s">
        <v>809</v>
      </c>
      <c r="G828" s="195"/>
      <c r="H828" s="195">
        <v>980.72</v>
      </c>
    </row>
    <row r="829" spans="1:8" s="458" customFormat="1">
      <c r="A829" s="134" t="s">
        <v>808</v>
      </c>
      <c r="B829" s="134">
        <v>2019</v>
      </c>
      <c r="C829" s="134">
        <v>4</v>
      </c>
      <c r="D829" s="134">
        <v>33</v>
      </c>
      <c r="E829" s="134" t="s">
        <v>1788</v>
      </c>
      <c r="F829" s="134" t="s">
        <v>809</v>
      </c>
      <c r="G829" s="195"/>
      <c r="H829" s="195">
        <v>85</v>
      </c>
    </row>
    <row r="830" spans="1:8" s="458" customFormat="1">
      <c r="A830" s="134" t="s">
        <v>808</v>
      </c>
      <c r="B830" s="134">
        <v>2019</v>
      </c>
      <c r="C830" s="134">
        <v>4</v>
      </c>
      <c r="D830" s="134">
        <v>40</v>
      </c>
      <c r="E830" s="134" t="s">
        <v>1791</v>
      </c>
      <c r="F830" s="134" t="s">
        <v>809</v>
      </c>
      <c r="G830" s="195"/>
      <c r="H830" s="195">
        <v>-820.03</v>
      </c>
    </row>
    <row r="831" spans="1:8" s="458" customFormat="1">
      <c r="A831" s="134" t="s">
        <v>808</v>
      </c>
      <c r="B831" s="134">
        <v>2019</v>
      </c>
      <c r="C831" s="134">
        <v>4</v>
      </c>
      <c r="D831" s="134">
        <v>40</v>
      </c>
      <c r="E831" s="134" t="s">
        <v>1791</v>
      </c>
      <c r="F831" s="134" t="s">
        <v>809</v>
      </c>
      <c r="G831" s="195"/>
      <c r="H831" s="195">
        <v>1640.06</v>
      </c>
    </row>
    <row r="832" spans="1:8" s="458" customFormat="1">
      <c r="A832" s="134" t="s">
        <v>808</v>
      </c>
      <c r="B832" s="134">
        <v>2019</v>
      </c>
      <c r="C832" s="134">
        <v>4</v>
      </c>
      <c r="D832" s="134">
        <v>40</v>
      </c>
      <c r="E832" s="134" t="s">
        <v>1791</v>
      </c>
      <c r="F832" s="134" t="s">
        <v>809</v>
      </c>
      <c r="G832" s="195"/>
      <c r="H832" s="195">
        <v>-408.77</v>
      </c>
    </row>
    <row r="833" spans="1:8" s="458" customFormat="1">
      <c r="A833" s="134" t="s">
        <v>808</v>
      </c>
      <c r="B833" s="134">
        <v>2019</v>
      </c>
      <c r="C833" s="134">
        <v>4</v>
      </c>
      <c r="D833" s="134">
        <v>40</v>
      </c>
      <c r="E833" s="134" t="s">
        <v>1791</v>
      </c>
      <c r="F833" s="134" t="s">
        <v>809</v>
      </c>
      <c r="G833" s="195"/>
      <c r="H833" s="195">
        <v>817.54</v>
      </c>
    </row>
    <row r="834" spans="1:8" s="458" customFormat="1">
      <c r="A834" s="134" t="s">
        <v>808</v>
      </c>
      <c r="B834" s="134">
        <v>2019</v>
      </c>
      <c r="C834" s="134">
        <v>4</v>
      </c>
      <c r="D834" s="134">
        <v>40</v>
      </c>
      <c r="E834" s="134" t="s">
        <v>1791</v>
      </c>
      <c r="F834" s="134" t="s">
        <v>809</v>
      </c>
      <c r="G834" s="195"/>
      <c r="H834" s="195">
        <v>-192.36</v>
      </c>
    </row>
    <row r="835" spans="1:8" s="458" customFormat="1">
      <c r="A835" s="134" t="s">
        <v>808</v>
      </c>
      <c r="B835" s="134">
        <v>2019</v>
      </c>
      <c r="C835" s="134">
        <v>4</v>
      </c>
      <c r="D835" s="134">
        <v>40</v>
      </c>
      <c r="E835" s="134" t="s">
        <v>1791</v>
      </c>
      <c r="F835" s="134" t="s">
        <v>809</v>
      </c>
      <c r="G835" s="195"/>
      <c r="H835" s="195">
        <v>384.71</v>
      </c>
    </row>
    <row r="836" spans="1:8" s="458" customFormat="1">
      <c r="A836" s="134" t="s">
        <v>808</v>
      </c>
      <c r="B836" s="134">
        <v>2019</v>
      </c>
      <c r="C836" s="134">
        <v>4</v>
      </c>
      <c r="D836" s="134">
        <v>40</v>
      </c>
      <c r="E836" s="134" t="s">
        <v>1791</v>
      </c>
      <c r="F836" s="134" t="s">
        <v>809</v>
      </c>
      <c r="G836" s="195"/>
      <c r="H836" s="195">
        <v>-99.4</v>
      </c>
    </row>
    <row r="837" spans="1:8" s="458" customFormat="1">
      <c r="A837" s="134" t="s">
        <v>808</v>
      </c>
      <c r="B837" s="134">
        <v>2019</v>
      </c>
      <c r="C837" s="134">
        <v>4</v>
      </c>
      <c r="D837" s="134">
        <v>40</v>
      </c>
      <c r="E837" s="134" t="s">
        <v>1791</v>
      </c>
      <c r="F837" s="134" t="s">
        <v>809</v>
      </c>
      <c r="G837" s="195"/>
      <c r="H837" s="195">
        <v>198.79</v>
      </c>
    </row>
    <row r="838" spans="1:8" s="458" customFormat="1">
      <c r="A838" s="134" t="s">
        <v>808</v>
      </c>
      <c r="B838" s="134">
        <v>2019</v>
      </c>
      <c r="C838" s="134">
        <v>4</v>
      </c>
      <c r="D838" s="134">
        <v>41</v>
      </c>
      <c r="E838" s="134" t="s">
        <v>1792</v>
      </c>
      <c r="F838" s="134" t="s">
        <v>809</v>
      </c>
      <c r="G838" s="195"/>
      <c r="H838" s="195">
        <v>150.41999999999999</v>
      </c>
    </row>
    <row r="839" spans="1:8" s="458" customFormat="1">
      <c r="A839" s="134" t="s">
        <v>808</v>
      </c>
      <c r="B839" s="134">
        <v>2019</v>
      </c>
      <c r="C839" s="134">
        <v>4</v>
      </c>
      <c r="D839" s="134">
        <v>41</v>
      </c>
      <c r="E839" s="134" t="s">
        <v>1792</v>
      </c>
      <c r="F839" s="134" t="s">
        <v>809</v>
      </c>
      <c r="G839" s="195"/>
      <c r="H839" s="195">
        <v>74.98</v>
      </c>
    </row>
    <row r="840" spans="1:8" s="458" customFormat="1">
      <c r="A840" s="134" t="s">
        <v>808</v>
      </c>
      <c r="B840" s="134">
        <v>2019</v>
      </c>
      <c r="C840" s="134">
        <v>4</v>
      </c>
      <c r="D840" s="134">
        <v>41</v>
      </c>
      <c r="E840" s="134" t="s">
        <v>1792</v>
      </c>
      <c r="F840" s="134" t="s">
        <v>809</v>
      </c>
      <c r="G840" s="195"/>
      <c r="H840" s="195">
        <v>35.28</v>
      </c>
    </row>
    <row r="841" spans="1:8" s="458" customFormat="1">
      <c r="A841" s="134" t="s">
        <v>808</v>
      </c>
      <c r="B841" s="134">
        <v>2019</v>
      </c>
      <c r="C841" s="134">
        <v>4</v>
      </c>
      <c r="D841" s="134">
        <v>41</v>
      </c>
      <c r="E841" s="134" t="s">
        <v>1792</v>
      </c>
      <c r="F841" s="134" t="s">
        <v>809</v>
      </c>
      <c r="G841" s="195"/>
      <c r="H841" s="195">
        <v>18.23</v>
      </c>
    </row>
    <row r="842" spans="1:8" s="458" customFormat="1">
      <c r="A842" s="134" t="s">
        <v>808</v>
      </c>
      <c r="B842" s="134">
        <v>2019</v>
      </c>
      <c r="C842" s="134">
        <v>4</v>
      </c>
      <c r="D842" s="134">
        <v>38</v>
      </c>
      <c r="E842" s="134" t="s">
        <v>1793</v>
      </c>
      <c r="F842" s="134" t="s">
        <v>809</v>
      </c>
      <c r="G842" s="195"/>
      <c r="H842" s="195">
        <v>820.03</v>
      </c>
    </row>
    <row r="843" spans="1:8" s="458" customFormat="1">
      <c r="A843" s="134" t="s">
        <v>808</v>
      </c>
      <c r="B843" s="134">
        <v>2019</v>
      </c>
      <c r="C843" s="134">
        <v>4</v>
      </c>
      <c r="D843" s="134">
        <v>38</v>
      </c>
      <c r="E843" s="134" t="s">
        <v>1793</v>
      </c>
      <c r="F843" s="134" t="s">
        <v>809</v>
      </c>
      <c r="G843" s="195"/>
      <c r="H843" s="195">
        <v>408.77</v>
      </c>
    </row>
    <row r="844" spans="1:8" s="458" customFormat="1">
      <c r="A844" s="134" t="s">
        <v>808</v>
      </c>
      <c r="B844" s="134">
        <v>2019</v>
      </c>
      <c r="C844" s="134">
        <v>4</v>
      </c>
      <c r="D844" s="134">
        <v>38</v>
      </c>
      <c r="E844" s="134" t="s">
        <v>1793</v>
      </c>
      <c r="F844" s="134" t="s">
        <v>809</v>
      </c>
      <c r="G844" s="195"/>
      <c r="H844" s="195">
        <v>192.36</v>
      </c>
    </row>
    <row r="845" spans="1:8" s="458" customFormat="1">
      <c r="A845" s="134" t="s">
        <v>808</v>
      </c>
      <c r="B845" s="134">
        <v>2019</v>
      </c>
      <c r="C845" s="134">
        <v>4</v>
      </c>
      <c r="D845" s="134">
        <v>38</v>
      </c>
      <c r="E845" s="134" t="s">
        <v>1793</v>
      </c>
      <c r="F845" s="134" t="s">
        <v>809</v>
      </c>
      <c r="G845" s="195"/>
      <c r="H845" s="195">
        <v>99.4</v>
      </c>
    </row>
    <row r="846" spans="1:8" s="458" customFormat="1">
      <c r="A846" s="134" t="s">
        <v>808</v>
      </c>
      <c r="B846" s="134">
        <v>2019</v>
      </c>
      <c r="C846" s="134">
        <v>4</v>
      </c>
      <c r="D846" s="134">
        <v>11</v>
      </c>
      <c r="E846" s="134" t="s">
        <v>1794</v>
      </c>
      <c r="F846" s="134" t="s">
        <v>807</v>
      </c>
      <c r="G846" s="195"/>
      <c r="H846" s="195">
        <v>-40564.04</v>
      </c>
    </row>
    <row r="847" spans="1:8" s="458" customFormat="1">
      <c r="A847" s="134" t="s">
        <v>808</v>
      </c>
      <c r="B847" s="134">
        <v>2019</v>
      </c>
      <c r="C847" s="134">
        <v>4</v>
      </c>
      <c r="D847" s="134">
        <v>11</v>
      </c>
      <c r="E847" s="134" t="s">
        <v>1794</v>
      </c>
      <c r="F847" s="134" t="s">
        <v>807</v>
      </c>
      <c r="G847" s="195"/>
      <c r="H847" s="195">
        <v>-5988</v>
      </c>
    </row>
    <row r="848" spans="1:8" s="458" customFormat="1">
      <c r="A848" s="134" t="s">
        <v>808</v>
      </c>
      <c r="B848" s="134">
        <v>2019</v>
      </c>
      <c r="C848" s="134">
        <v>4</v>
      </c>
      <c r="D848" s="134">
        <v>45</v>
      </c>
      <c r="E848" s="134" t="s">
        <v>1795</v>
      </c>
      <c r="F848" s="134" t="s">
        <v>809</v>
      </c>
      <c r="G848" s="195"/>
      <c r="H848" s="195">
        <v>40564.04</v>
      </c>
    </row>
    <row r="849" spans="1:8" s="458" customFormat="1">
      <c r="A849" s="134" t="s">
        <v>808</v>
      </c>
      <c r="B849" s="134">
        <v>2019</v>
      </c>
      <c r="C849" s="134">
        <v>4</v>
      </c>
      <c r="D849" s="134">
        <v>45</v>
      </c>
      <c r="E849" s="134" t="s">
        <v>1795</v>
      </c>
      <c r="F849" s="134" t="s">
        <v>810</v>
      </c>
      <c r="G849" s="195"/>
      <c r="H849" s="195">
        <v>5988</v>
      </c>
    </row>
    <row r="850" spans="1:8" s="458" customFormat="1">
      <c r="A850" s="134" t="s">
        <v>808</v>
      </c>
      <c r="B850" s="134">
        <v>2020</v>
      </c>
      <c r="C850" s="134">
        <v>1</v>
      </c>
      <c r="D850" s="134">
        <v>8</v>
      </c>
      <c r="E850" s="134" t="s">
        <v>1743</v>
      </c>
      <c r="F850" s="134" t="s">
        <v>809</v>
      </c>
      <c r="G850" s="195">
        <v>-147042</v>
      </c>
      <c r="H850" s="195"/>
    </row>
    <row r="851" spans="1:8" s="458" customFormat="1">
      <c r="A851" s="134" t="s">
        <v>808</v>
      </c>
      <c r="B851" s="134">
        <v>2020</v>
      </c>
      <c r="C851" s="134">
        <v>1</v>
      </c>
      <c r="D851" s="134">
        <v>8</v>
      </c>
      <c r="E851" s="134" t="s">
        <v>1744</v>
      </c>
      <c r="F851" s="134" t="s">
        <v>809</v>
      </c>
      <c r="G851" s="195"/>
      <c r="H851" s="195">
        <v>-73521</v>
      </c>
    </row>
    <row r="852" spans="1:8" s="458" customFormat="1">
      <c r="A852" s="134" t="s">
        <v>808</v>
      </c>
      <c r="B852" s="134">
        <v>2020</v>
      </c>
      <c r="C852" s="134">
        <v>1</v>
      </c>
      <c r="D852" s="134">
        <v>17</v>
      </c>
      <c r="E852" s="134" t="s">
        <v>1745</v>
      </c>
      <c r="F852" s="134" t="s">
        <v>809</v>
      </c>
      <c r="G852" s="195">
        <v>80188</v>
      </c>
      <c r="H852" s="195"/>
    </row>
    <row r="853" spans="1:8" s="458" customFormat="1">
      <c r="A853" s="134" t="s">
        <v>808</v>
      </c>
      <c r="B853" s="134">
        <v>2020</v>
      </c>
      <c r="C853" s="134">
        <v>1</v>
      </c>
      <c r="D853" s="134">
        <v>17</v>
      </c>
      <c r="E853" s="134" t="s">
        <v>1746</v>
      </c>
      <c r="F853" s="134" t="s">
        <v>809</v>
      </c>
      <c r="G853" s="195"/>
      <c r="H853" s="195">
        <v>201.82</v>
      </c>
    </row>
    <row r="854" spans="1:8" s="458" customFormat="1">
      <c r="A854" s="134" t="s">
        <v>808</v>
      </c>
      <c r="B854" s="134">
        <v>2020</v>
      </c>
      <c r="C854" s="134">
        <v>1</v>
      </c>
      <c r="D854" s="134">
        <v>17</v>
      </c>
      <c r="E854" s="134" t="s">
        <v>1746</v>
      </c>
      <c r="F854" s="134" t="s">
        <v>809</v>
      </c>
      <c r="G854" s="195"/>
      <c r="H854" s="195">
        <v>355.31</v>
      </c>
    </row>
    <row r="855" spans="1:8" s="458" customFormat="1">
      <c r="A855" s="134" t="s">
        <v>808</v>
      </c>
      <c r="B855" s="134">
        <v>2020</v>
      </c>
      <c r="C855" s="134">
        <v>1</v>
      </c>
      <c r="D855" s="134">
        <v>17</v>
      </c>
      <c r="E855" s="134" t="s">
        <v>1746</v>
      </c>
      <c r="F855" s="134" t="s">
        <v>809</v>
      </c>
      <c r="G855" s="195"/>
      <c r="H855" s="195">
        <v>1307.55</v>
      </c>
    </row>
    <row r="856" spans="1:8" s="458" customFormat="1">
      <c r="A856" s="134" t="s">
        <v>808</v>
      </c>
      <c r="B856" s="134">
        <v>2020</v>
      </c>
      <c r="C856" s="134">
        <v>1</v>
      </c>
      <c r="D856" s="134">
        <v>17</v>
      </c>
      <c r="E856" s="134" t="s">
        <v>1746</v>
      </c>
      <c r="F856" s="134" t="s">
        <v>809</v>
      </c>
      <c r="G856" s="195"/>
      <c r="H856" s="195">
        <v>19.899999999999999</v>
      </c>
    </row>
    <row r="857" spans="1:8" s="458" customFormat="1">
      <c r="A857" s="134" t="s">
        <v>808</v>
      </c>
      <c r="B857" s="134">
        <v>2020</v>
      </c>
      <c r="C857" s="134">
        <v>1</v>
      </c>
      <c r="D857" s="134">
        <v>17</v>
      </c>
      <c r="E857" s="134" t="s">
        <v>1746</v>
      </c>
      <c r="F857" s="134" t="s">
        <v>809</v>
      </c>
      <c r="G857" s="195"/>
      <c r="H857" s="195">
        <v>79.59</v>
      </c>
    </row>
    <row r="858" spans="1:8" s="458" customFormat="1">
      <c r="A858" s="134" t="s">
        <v>808</v>
      </c>
      <c r="B858" s="134">
        <v>2020</v>
      </c>
      <c r="C858" s="134">
        <v>1</v>
      </c>
      <c r="D858" s="134">
        <v>17</v>
      </c>
      <c r="E858" s="134" t="s">
        <v>1746</v>
      </c>
      <c r="F858" s="134" t="s">
        <v>809</v>
      </c>
      <c r="G858" s="195"/>
      <c r="H858" s="195">
        <v>250.14</v>
      </c>
    </row>
    <row r="859" spans="1:8" s="458" customFormat="1">
      <c r="A859" s="134" t="s">
        <v>808</v>
      </c>
      <c r="B859" s="134">
        <v>2020</v>
      </c>
      <c r="C859" s="134">
        <v>1</v>
      </c>
      <c r="D859" s="134">
        <v>17</v>
      </c>
      <c r="E859" s="134" t="s">
        <v>1746</v>
      </c>
      <c r="F859" s="134" t="s">
        <v>809</v>
      </c>
      <c r="G859" s="195"/>
      <c r="H859" s="195">
        <v>204.66</v>
      </c>
    </row>
    <row r="860" spans="1:8" s="458" customFormat="1">
      <c r="A860" s="134" t="s">
        <v>808</v>
      </c>
      <c r="B860" s="134">
        <v>2020</v>
      </c>
      <c r="C860" s="134">
        <v>1</v>
      </c>
      <c r="D860" s="134">
        <v>17</v>
      </c>
      <c r="E860" s="134" t="s">
        <v>1746</v>
      </c>
      <c r="F860" s="134" t="s">
        <v>809</v>
      </c>
      <c r="G860" s="195"/>
      <c r="H860" s="195">
        <v>591.24</v>
      </c>
    </row>
    <row r="861" spans="1:8" s="458" customFormat="1">
      <c r="A861" s="134" t="s">
        <v>808</v>
      </c>
      <c r="B861" s="134">
        <v>2020</v>
      </c>
      <c r="C861" s="134">
        <v>1</v>
      </c>
      <c r="D861" s="134">
        <v>17</v>
      </c>
      <c r="E861" s="134" t="s">
        <v>1746</v>
      </c>
      <c r="F861" s="134" t="s">
        <v>809</v>
      </c>
      <c r="G861" s="195"/>
      <c r="H861" s="195">
        <v>159.6</v>
      </c>
    </row>
    <row r="862" spans="1:8" s="458" customFormat="1">
      <c r="A862" s="134" t="s">
        <v>808</v>
      </c>
      <c r="B862" s="134">
        <v>2020</v>
      </c>
      <c r="C862" s="134">
        <v>1</v>
      </c>
      <c r="D862" s="134">
        <v>17</v>
      </c>
      <c r="E862" s="134" t="s">
        <v>1746</v>
      </c>
      <c r="F862" s="134" t="s">
        <v>809</v>
      </c>
      <c r="G862" s="195"/>
      <c r="H862" s="195">
        <v>250.8</v>
      </c>
    </row>
    <row r="863" spans="1:8" s="458" customFormat="1">
      <c r="A863" s="134" t="s">
        <v>808</v>
      </c>
      <c r="B863" s="134">
        <v>2020</v>
      </c>
      <c r="C863" s="134">
        <v>1</v>
      </c>
      <c r="D863" s="134">
        <v>17</v>
      </c>
      <c r="E863" s="134" t="s">
        <v>1746</v>
      </c>
      <c r="F863" s="134" t="s">
        <v>809</v>
      </c>
      <c r="G863" s="195"/>
      <c r="H863" s="195">
        <v>0</v>
      </c>
    </row>
    <row r="864" spans="1:8" s="458" customFormat="1">
      <c r="A864" s="134" t="s">
        <v>808</v>
      </c>
      <c r="B864" s="134">
        <v>2020</v>
      </c>
      <c r="C864" s="134">
        <v>1</v>
      </c>
      <c r="D864" s="134">
        <v>17</v>
      </c>
      <c r="E864" s="134" t="s">
        <v>1746</v>
      </c>
      <c r="F864" s="134" t="s">
        <v>809</v>
      </c>
      <c r="G864" s="195"/>
      <c r="H864" s="195">
        <v>461.7</v>
      </c>
    </row>
    <row r="865" spans="1:8" s="458" customFormat="1">
      <c r="A865" s="134" t="s">
        <v>808</v>
      </c>
      <c r="B865" s="134">
        <v>2020</v>
      </c>
      <c r="C865" s="134">
        <v>1</v>
      </c>
      <c r="D865" s="134">
        <v>17</v>
      </c>
      <c r="E865" s="134" t="s">
        <v>1746</v>
      </c>
      <c r="F865" s="134" t="s">
        <v>809</v>
      </c>
      <c r="G865" s="195"/>
      <c r="H865" s="195">
        <v>535.79999999999995</v>
      </c>
    </row>
    <row r="866" spans="1:8" s="458" customFormat="1">
      <c r="A866" s="134" t="s">
        <v>808</v>
      </c>
      <c r="B866" s="134">
        <v>2020</v>
      </c>
      <c r="C866" s="134">
        <v>1</v>
      </c>
      <c r="D866" s="134">
        <v>17</v>
      </c>
      <c r="E866" s="134" t="s">
        <v>1746</v>
      </c>
      <c r="F866" s="134" t="s">
        <v>809</v>
      </c>
      <c r="G866" s="195"/>
      <c r="H866" s="195">
        <v>763.8</v>
      </c>
    </row>
    <row r="867" spans="1:8" s="458" customFormat="1">
      <c r="A867" s="134" t="s">
        <v>808</v>
      </c>
      <c r="B867" s="134">
        <v>2020</v>
      </c>
      <c r="C867" s="134">
        <v>1</v>
      </c>
      <c r="D867" s="134">
        <v>17</v>
      </c>
      <c r="E867" s="134" t="s">
        <v>1746</v>
      </c>
      <c r="F867" s="134" t="s">
        <v>809</v>
      </c>
      <c r="G867" s="195"/>
      <c r="H867" s="195">
        <v>444.6</v>
      </c>
    </row>
    <row r="868" spans="1:8" s="458" customFormat="1">
      <c r="A868" s="134" t="s">
        <v>808</v>
      </c>
      <c r="B868" s="134">
        <v>2020</v>
      </c>
      <c r="C868" s="134">
        <v>1</v>
      </c>
      <c r="D868" s="134">
        <v>17</v>
      </c>
      <c r="E868" s="134" t="s">
        <v>1746</v>
      </c>
      <c r="F868" s="134" t="s">
        <v>809</v>
      </c>
      <c r="G868" s="195"/>
      <c r="H868" s="195">
        <v>665.15</v>
      </c>
    </row>
    <row r="869" spans="1:8" s="458" customFormat="1">
      <c r="A869" s="134" t="s">
        <v>808</v>
      </c>
      <c r="B869" s="134">
        <v>2020</v>
      </c>
      <c r="C869" s="134">
        <v>1</v>
      </c>
      <c r="D869" s="134">
        <v>17</v>
      </c>
      <c r="E869" s="134" t="s">
        <v>1746</v>
      </c>
      <c r="F869" s="134" t="s">
        <v>809</v>
      </c>
      <c r="G869" s="195"/>
      <c r="H869" s="195">
        <v>389.42</v>
      </c>
    </row>
    <row r="870" spans="1:8" s="458" customFormat="1">
      <c r="A870" s="134" t="s">
        <v>808</v>
      </c>
      <c r="B870" s="134">
        <v>2020</v>
      </c>
      <c r="C870" s="134">
        <v>1</v>
      </c>
      <c r="D870" s="134">
        <v>17</v>
      </c>
      <c r="E870" s="134" t="s">
        <v>1746</v>
      </c>
      <c r="F870" s="134" t="s">
        <v>809</v>
      </c>
      <c r="G870" s="195"/>
      <c r="H870" s="195">
        <v>469.01</v>
      </c>
    </row>
    <row r="871" spans="1:8" s="458" customFormat="1">
      <c r="A871" s="134" t="s">
        <v>808</v>
      </c>
      <c r="B871" s="134">
        <v>2020</v>
      </c>
      <c r="C871" s="134">
        <v>1</v>
      </c>
      <c r="D871" s="134">
        <v>17</v>
      </c>
      <c r="E871" s="134" t="s">
        <v>1746</v>
      </c>
      <c r="F871" s="134" t="s">
        <v>809</v>
      </c>
      <c r="G871" s="195"/>
      <c r="H871" s="195">
        <v>1387.14</v>
      </c>
    </row>
    <row r="872" spans="1:8" s="458" customFormat="1">
      <c r="A872" s="134" t="s">
        <v>808</v>
      </c>
      <c r="B872" s="134">
        <v>2020</v>
      </c>
      <c r="C872" s="134">
        <v>1</v>
      </c>
      <c r="D872" s="134">
        <v>17</v>
      </c>
      <c r="E872" s="134" t="s">
        <v>1746</v>
      </c>
      <c r="F872" s="134" t="s">
        <v>809</v>
      </c>
      <c r="G872" s="195"/>
      <c r="H872" s="195">
        <v>272.88</v>
      </c>
    </row>
    <row r="873" spans="1:8" s="458" customFormat="1">
      <c r="A873" s="134" t="s">
        <v>808</v>
      </c>
      <c r="B873" s="134">
        <v>2020</v>
      </c>
      <c r="C873" s="134">
        <v>1</v>
      </c>
      <c r="D873" s="134">
        <v>17</v>
      </c>
      <c r="E873" s="134" t="s">
        <v>1746</v>
      </c>
      <c r="F873" s="134" t="s">
        <v>809</v>
      </c>
      <c r="G873" s="195"/>
      <c r="H873" s="195">
        <v>250.14</v>
      </c>
    </row>
    <row r="874" spans="1:8" s="458" customFormat="1">
      <c r="A874" s="134" t="s">
        <v>808</v>
      </c>
      <c r="B874" s="134">
        <v>2020</v>
      </c>
      <c r="C874" s="134">
        <v>1</v>
      </c>
      <c r="D874" s="134">
        <v>17</v>
      </c>
      <c r="E874" s="134" t="s">
        <v>1746</v>
      </c>
      <c r="F874" s="134" t="s">
        <v>809</v>
      </c>
      <c r="G874" s="195"/>
      <c r="H874" s="195">
        <v>181.92</v>
      </c>
    </row>
    <row r="875" spans="1:8" s="458" customFormat="1">
      <c r="A875" s="134" t="s">
        <v>808</v>
      </c>
      <c r="B875" s="134">
        <v>2020</v>
      </c>
      <c r="C875" s="134">
        <v>1</v>
      </c>
      <c r="D875" s="134">
        <v>17</v>
      </c>
      <c r="E875" s="134" t="s">
        <v>1746</v>
      </c>
      <c r="F875" s="134" t="s">
        <v>809</v>
      </c>
      <c r="G875" s="195"/>
      <c r="H875" s="195">
        <v>352.47</v>
      </c>
    </row>
    <row r="876" spans="1:8" s="458" customFormat="1">
      <c r="A876" s="134" t="s">
        <v>808</v>
      </c>
      <c r="B876" s="134">
        <v>2020</v>
      </c>
      <c r="C876" s="134">
        <v>1</v>
      </c>
      <c r="D876" s="134">
        <v>17</v>
      </c>
      <c r="E876" s="134" t="s">
        <v>1746</v>
      </c>
      <c r="F876" s="134" t="s">
        <v>809</v>
      </c>
      <c r="G876" s="195"/>
      <c r="H876" s="195">
        <v>153.5</v>
      </c>
    </row>
    <row r="877" spans="1:8" s="458" customFormat="1">
      <c r="A877" s="134" t="s">
        <v>808</v>
      </c>
      <c r="B877" s="134">
        <v>2020</v>
      </c>
      <c r="C877" s="134">
        <v>1</v>
      </c>
      <c r="D877" s="134">
        <v>17</v>
      </c>
      <c r="E877" s="134" t="s">
        <v>1746</v>
      </c>
      <c r="F877" s="134" t="s">
        <v>809</v>
      </c>
      <c r="G877" s="195"/>
      <c r="H877" s="195">
        <v>415.01</v>
      </c>
    </row>
    <row r="878" spans="1:8" s="458" customFormat="1">
      <c r="A878" s="134" t="s">
        <v>808</v>
      </c>
      <c r="B878" s="134">
        <v>2020</v>
      </c>
      <c r="C878" s="134">
        <v>1</v>
      </c>
      <c r="D878" s="134">
        <v>17</v>
      </c>
      <c r="E878" s="134" t="s">
        <v>1746</v>
      </c>
      <c r="F878" s="134" t="s">
        <v>809</v>
      </c>
      <c r="G878" s="195"/>
      <c r="H878" s="195">
        <v>283.05</v>
      </c>
    </row>
    <row r="879" spans="1:8" s="458" customFormat="1">
      <c r="A879" s="134" t="s">
        <v>808</v>
      </c>
      <c r="B879" s="134">
        <v>2020</v>
      </c>
      <c r="C879" s="134">
        <v>1</v>
      </c>
      <c r="D879" s="134">
        <v>17</v>
      </c>
      <c r="E879" s="134" t="s">
        <v>1746</v>
      </c>
      <c r="F879" s="134" t="s">
        <v>809</v>
      </c>
      <c r="G879" s="195"/>
      <c r="H879" s="195">
        <v>333</v>
      </c>
    </row>
    <row r="880" spans="1:8" s="458" customFormat="1">
      <c r="A880" s="134" t="s">
        <v>808</v>
      </c>
      <c r="B880" s="134">
        <v>2020</v>
      </c>
      <c r="C880" s="134">
        <v>1</v>
      </c>
      <c r="D880" s="134">
        <v>17</v>
      </c>
      <c r="E880" s="134" t="s">
        <v>1746</v>
      </c>
      <c r="F880" s="134" t="s">
        <v>809</v>
      </c>
      <c r="G880" s="195"/>
      <c r="H880" s="195">
        <v>421.8</v>
      </c>
    </row>
    <row r="881" spans="1:8" s="458" customFormat="1">
      <c r="A881" s="134" t="s">
        <v>808</v>
      </c>
      <c r="B881" s="134">
        <v>2020</v>
      </c>
      <c r="C881" s="134">
        <v>1</v>
      </c>
      <c r="D881" s="134">
        <v>17</v>
      </c>
      <c r="E881" s="134" t="s">
        <v>1746</v>
      </c>
      <c r="F881" s="134" t="s">
        <v>809</v>
      </c>
      <c r="G881" s="195"/>
      <c r="H881" s="195">
        <v>449.55</v>
      </c>
    </row>
    <row r="882" spans="1:8" s="458" customFormat="1">
      <c r="A882" s="134" t="s">
        <v>808</v>
      </c>
      <c r="B882" s="134">
        <v>2020</v>
      </c>
      <c r="C882" s="134">
        <v>1</v>
      </c>
      <c r="D882" s="134">
        <v>17</v>
      </c>
      <c r="E882" s="134" t="s">
        <v>1746</v>
      </c>
      <c r="F882" s="134" t="s">
        <v>809</v>
      </c>
      <c r="G882" s="195"/>
      <c r="H882" s="195">
        <v>327.45</v>
      </c>
    </row>
    <row r="883" spans="1:8" s="458" customFormat="1">
      <c r="A883" s="134" t="s">
        <v>808</v>
      </c>
      <c r="B883" s="134">
        <v>2020</v>
      </c>
      <c r="C883" s="134">
        <v>1</v>
      </c>
      <c r="D883" s="134">
        <v>17</v>
      </c>
      <c r="E883" s="134" t="s">
        <v>1746</v>
      </c>
      <c r="F883" s="134" t="s">
        <v>809</v>
      </c>
      <c r="G883" s="195"/>
      <c r="H883" s="195">
        <v>458.85</v>
      </c>
    </row>
    <row r="884" spans="1:8" s="458" customFormat="1">
      <c r="A884" s="134" t="s">
        <v>808</v>
      </c>
      <c r="B884" s="134">
        <v>2020</v>
      </c>
      <c r="C884" s="134">
        <v>1</v>
      </c>
      <c r="D884" s="134">
        <v>17</v>
      </c>
      <c r="E884" s="134" t="s">
        <v>1746</v>
      </c>
      <c r="F884" s="134" t="s">
        <v>809</v>
      </c>
      <c r="G884" s="195"/>
      <c r="H884" s="195">
        <v>444.6</v>
      </c>
    </row>
    <row r="885" spans="1:8" s="458" customFormat="1">
      <c r="A885" s="134" t="s">
        <v>808</v>
      </c>
      <c r="B885" s="134">
        <v>2020</v>
      </c>
      <c r="C885" s="134">
        <v>1</v>
      </c>
      <c r="D885" s="134">
        <v>17</v>
      </c>
      <c r="E885" s="134" t="s">
        <v>1746</v>
      </c>
      <c r="F885" s="134" t="s">
        <v>809</v>
      </c>
      <c r="G885" s="195"/>
      <c r="H885" s="195">
        <v>364.8</v>
      </c>
    </row>
    <row r="886" spans="1:8" s="458" customFormat="1">
      <c r="A886" s="134" t="s">
        <v>808</v>
      </c>
      <c r="B886" s="134">
        <v>2020</v>
      </c>
      <c r="C886" s="134">
        <v>1</v>
      </c>
      <c r="D886" s="134">
        <v>17</v>
      </c>
      <c r="E886" s="134" t="s">
        <v>1746</v>
      </c>
      <c r="F886" s="134" t="s">
        <v>809</v>
      </c>
      <c r="G886" s="195"/>
      <c r="H886" s="195">
        <v>718.2</v>
      </c>
    </row>
    <row r="887" spans="1:8" s="458" customFormat="1">
      <c r="A887" s="134" t="s">
        <v>808</v>
      </c>
      <c r="B887" s="134">
        <v>2020</v>
      </c>
      <c r="C887" s="134">
        <v>1</v>
      </c>
      <c r="D887" s="134">
        <v>17</v>
      </c>
      <c r="E887" s="134" t="s">
        <v>1746</v>
      </c>
      <c r="F887" s="134" t="s">
        <v>809</v>
      </c>
      <c r="G887" s="195"/>
      <c r="H887" s="195">
        <v>393.3</v>
      </c>
    </row>
    <row r="888" spans="1:8" s="458" customFormat="1">
      <c r="A888" s="134" t="s">
        <v>808</v>
      </c>
      <c r="B888" s="134">
        <v>2020</v>
      </c>
      <c r="C888" s="134">
        <v>1</v>
      </c>
      <c r="D888" s="134">
        <v>17</v>
      </c>
      <c r="E888" s="134" t="s">
        <v>1746</v>
      </c>
      <c r="F888" s="134" t="s">
        <v>809</v>
      </c>
      <c r="G888" s="195"/>
      <c r="H888" s="195">
        <v>57</v>
      </c>
    </row>
    <row r="889" spans="1:8" s="458" customFormat="1">
      <c r="A889" s="134" t="s">
        <v>808</v>
      </c>
      <c r="B889" s="134">
        <v>2020</v>
      </c>
      <c r="C889" s="134">
        <v>1</v>
      </c>
      <c r="D889" s="134">
        <v>17</v>
      </c>
      <c r="E889" s="134" t="s">
        <v>1746</v>
      </c>
      <c r="F889" s="134" t="s">
        <v>809</v>
      </c>
      <c r="G889" s="195"/>
      <c r="H889" s="195">
        <v>60</v>
      </c>
    </row>
    <row r="890" spans="1:8" s="458" customFormat="1">
      <c r="A890" s="134" t="s">
        <v>808</v>
      </c>
      <c r="B890" s="134">
        <v>2020</v>
      </c>
      <c r="C890" s="134">
        <v>1</v>
      </c>
      <c r="D890" s="134">
        <v>17</v>
      </c>
      <c r="E890" s="134" t="s">
        <v>1746</v>
      </c>
      <c r="F890" s="134" t="s">
        <v>809</v>
      </c>
      <c r="G890" s="195"/>
      <c r="H890" s="195">
        <v>246</v>
      </c>
    </row>
    <row r="891" spans="1:8" s="458" customFormat="1">
      <c r="A891" s="134" t="s">
        <v>808</v>
      </c>
      <c r="B891" s="134">
        <v>2020</v>
      </c>
      <c r="C891" s="134">
        <v>1</v>
      </c>
      <c r="D891" s="134">
        <v>20</v>
      </c>
      <c r="E891" s="134" t="s">
        <v>1749</v>
      </c>
      <c r="F891" s="134" t="s">
        <v>809</v>
      </c>
      <c r="G891" s="195">
        <v>882</v>
      </c>
      <c r="H891" s="195"/>
    </row>
    <row r="892" spans="1:8" s="458" customFormat="1">
      <c r="A892" s="134" t="s">
        <v>808</v>
      </c>
      <c r="B892" s="134">
        <v>2020</v>
      </c>
      <c r="C892" s="134">
        <v>1</v>
      </c>
      <c r="D892" s="134">
        <v>20</v>
      </c>
      <c r="E892" s="134" t="s">
        <v>1750</v>
      </c>
      <c r="F892" s="134" t="s">
        <v>809</v>
      </c>
      <c r="G892" s="195"/>
      <c r="H892" s="195">
        <v>32.97</v>
      </c>
    </row>
    <row r="893" spans="1:8" s="458" customFormat="1">
      <c r="A893" s="134" t="s">
        <v>808</v>
      </c>
      <c r="B893" s="134">
        <v>2020</v>
      </c>
      <c r="C893" s="134">
        <v>1</v>
      </c>
      <c r="D893" s="134">
        <v>20</v>
      </c>
      <c r="E893" s="134" t="s">
        <v>1750</v>
      </c>
      <c r="F893" s="134" t="s">
        <v>809</v>
      </c>
      <c r="G893" s="195"/>
      <c r="H893" s="195">
        <v>31.5</v>
      </c>
    </row>
    <row r="894" spans="1:8" s="458" customFormat="1">
      <c r="A894" s="134" t="s">
        <v>808</v>
      </c>
      <c r="B894" s="134">
        <v>2020</v>
      </c>
      <c r="C894" s="134">
        <v>1</v>
      </c>
      <c r="D894" s="134">
        <v>20</v>
      </c>
      <c r="E894" s="134" t="s">
        <v>1750</v>
      </c>
      <c r="F894" s="134" t="s">
        <v>809</v>
      </c>
      <c r="G894" s="195"/>
      <c r="H894" s="195">
        <v>97.46</v>
      </c>
    </row>
    <row r="895" spans="1:8" s="458" customFormat="1">
      <c r="A895" s="134" t="s">
        <v>808</v>
      </c>
      <c r="B895" s="134">
        <v>2020</v>
      </c>
      <c r="C895" s="134">
        <v>1</v>
      </c>
      <c r="D895" s="134">
        <v>24</v>
      </c>
      <c r="E895" s="134" t="s">
        <v>1751</v>
      </c>
      <c r="F895" s="134" t="s">
        <v>809</v>
      </c>
      <c r="G895" s="195">
        <v>7652</v>
      </c>
      <c r="H895" s="195"/>
    </row>
    <row r="896" spans="1:8" s="458" customFormat="1">
      <c r="A896" s="134" t="s">
        <v>808</v>
      </c>
      <c r="B896" s="134">
        <v>2020</v>
      </c>
      <c r="C896" s="134">
        <v>1</v>
      </c>
      <c r="D896" s="134">
        <v>23</v>
      </c>
      <c r="E896" s="134" t="s">
        <v>1752</v>
      </c>
      <c r="F896" s="134" t="s">
        <v>809</v>
      </c>
      <c r="G896" s="195">
        <v>40181</v>
      </c>
      <c r="H896" s="195"/>
    </row>
    <row r="897" spans="1:8" s="458" customFormat="1">
      <c r="A897" s="134" t="s">
        <v>808</v>
      </c>
      <c r="B897" s="134">
        <v>2020</v>
      </c>
      <c r="C897" s="134">
        <v>1</v>
      </c>
      <c r="D897" s="134">
        <v>28</v>
      </c>
      <c r="E897" s="134" t="s">
        <v>1756</v>
      </c>
      <c r="F897" s="134" t="s">
        <v>809</v>
      </c>
      <c r="G897" s="195"/>
      <c r="H897" s="195">
        <v>1.8</v>
      </c>
    </row>
    <row r="898" spans="1:8" s="458" customFormat="1">
      <c r="A898" s="134" t="s">
        <v>808</v>
      </c>
      <c r="B898" s="134">
        <v>2020</v>
      </c>
      <c r="C898" s="134">
        <v>1</v>
      </c>
      <c r="D898" s="134">
        <v>25</v>
      </c>
      <c r="E898" s="134" t="s">
        <v>1760</v>
      </c>
      <c r="F898" s="134" t="s">
        <v>809</v>
      </c>
      <c r="G898" s="195"/>
      <c r="H898" s="195"/>
    </row>
    <row r="899" spans="1:8" s="458" customFormat="1">
      <c r="A899" s="134" t="s">
        <v>808</v>
      </c>
      <c r="B899" s="134">
        <v>2020</v>
      </c>
      <c r="C899" s="134">
        <v>1</v>
      </c>
      <c r="D899" s="134">
        <v>25</v>
      </c>
      <c r="E899" s="134" t="s">
        <v>1760</v>
      </c>
      <c r="F899" s="134" t="s">
        <v>809</v>
      </c>
      <c r="G899" s="195"/>
      <c r="H899" s="195">
        <v>65.33</v>
      </c>
    </row>
    <row r="900" spans="1:8" s="458" customFormat="1">
      <c r="A900" s="134" t="s">
        <v>808</v>
      </c>
      <c r="B900" s="134">
        <v>2020</v>
      </c>
      <c r="C900" s="134">
        <v>1</v>
      </c>
      <c r="D900" s="134">
        <v>25</v>
      </c>
      <c r="E900" s="134" t="s">
        <v>1760</v>
      </c>
      <c r="F900" s="134" t="s">
        <v>809</v>
      </c>
      <c r="G900" s="195"/>
      <c r="H900" s="195"/>
    </row>
    <row r="901" spans="1:8" s="458" customFormat="1">
      <c r="A901" s="134" t="s">
        <v>808</v>
      </c>
      <c r="B901" s="134">
        <v>2020</v>
      </c>
      <c r="C901" s="134">
        <v>1</v>
      </c>
      <c r="D901" s="134">
        <v>25</v>
      </c>
      <c r="E901" s="134" t="s">
        <v>1760</v>
      </c>
      <c r="F901" s="134" t="s">
        <v>809</v>
      </c>
      <c r="G901" s="195"/>
      <c r="H901" s="195">
        <v>65.33</v>
      </c>
    </row>
    <row r="902" spans="1:8" s="458" customFormat="1">
      <c r="A902" s="134" t="s">
        <v>808</v>
      </c>
      <c r="B902" s="134">
        <v>2020</v>
      </c>
      <c r="C902" s="134">
        <v>1</v>
      </c>
      <c r="D902" s="134">
        <v>25</v>
      </c>
      <c r="E902" s="134" t="s">
        <v>1760</v>
      </c>
      <c r="F902" s="134" t="s">
        <v>809</v>
      </c>
      <c r="G902" s="195"/>
      <c r="H902" s="195"/>
    </row>
    <row r="903" spans="1:8" s="458" customFormat="1">
      <c r="A903" s="134" t="s">
        <v>808</v>
      </c>
      <c r="B903" s="134">
        <v>2020</v>
      </c>
      <c r="C903" s="134">
        <v>1</v>
      </c>
      <c r="D903" s="134">
        <v>25</v>
      </c>
      <c r="E903" s="134" t="s">
        <v>1760</v>
      </c>
      <c r="F903" s="134" t="s">
        <v>809</v>
      </c>
      <c r="G903" s="195"/>
      <c r="H903" s="195"/>
    </row>
    <row r="904" spans="1:8" s="458" customFormat="1">
      <c r="A904" s="134" t="s">
        <v>808</v>
      </c>
      <c r="B904" s="134">
        <v>2020</v>
      </c>
      <c r="C904" s="134">
        <v>1</v>
      </c>
      <c r="D904" s="134">
        <v>25</v>
      </c>
      <c r="E904" s="134" t="s">
        <v>1760</v>
      </c>
      <c r="F904" s="134" t="s">
        <v>809</v>
      </c>
      <c r="G904" s="195"/>
      <c r="H904" s="195">
        <v>65.33</v>
      </c>
    </row>
    <row r="905" spans="1:8" s="458" customFormat="1">
      <c r="A905" s="134" t="s">
        <v>808</v>
      </c>
      <c r="B905" s="134">
        <v>2020</v>
      </c>
      <c r="C905" s="134">
        <v>1</v>
      </c>
      <c r="D905" s="134">
        <v>25</v>
      </c>
      <c r="E905" s="134" t="s">
        <v>1761</v>
      </c>
      <c r="F905" s="134" t="s">
        <v>809</v>
      </c>
      <c r="G905" s="195"/>
      <c r="H905" s="195">
        <v>2415</v>
      </c>
    </row>
    <row r="906" spans="1:8" s="458" customFormat="1">
      <c r="A906" s="134" t="s">
        <v>808</v>
      </c>
      <c r="B906" s="134">
        <v>2020</v>
      </c>
      <c r="C906" s="134">
        <v>1</v>
      </c>
      <c r="D906" s="134">
        <v>25</v>
      </c>
      <c r="E906" s="134" t="s">
        <v>1764</v>
      </c>
      <c r="F906" s="134" t="s">
        <v>809</v>
      </c>
      <c r="G906" s="195"/>
      <c r="H906" s="195">
        <v>199.99</v>
      </c>
    </row>
    <row r="907" spans="1:8" s="458" customFormat="1">
      <c r="A907" s="134" t="s">
        <v>808</v>
      </c>
      <c r="B907" s="134">
        <v>2020</v>
      </c>
      <c r="C907" s="134">
        <v>1</v>
      </c>
      <c r="D907" s="134">
        <v>29</v>
      </c>
      <c r="E907" s="134" t="s">
        <v>1771</v>
      </c>
      <c r="F907" s="134" t="s">
        <v>809</v>
      </c>
      <c r="G907" s="195"/>
      <c r="H907" s="195">
        <v>150</v>
      </c>
    </row>
    <row r="908" spans="1:8" s="458" customFormat="1">
      <c r="A908" s="134" t="s">
        <v>808</v>
      </c>
      <c r="B908" s="134">
        <v>2020</v>
      </c>
      <c r="C908" s="134">
        <v>1</v>
      </c>
      <c r="D908" s="134">
        <v>29</v>
      </c>
      <c r="E908" s="134" t="s">
        <v>1772</v>
      </c>
      <c r="F908" s="134" t="s">
        <v>809</v>
      </c>
      <c r="G908" s="195"/>
      <c r="H908" s="195">
        <v>926</v>
      </c>
    </row>
    <row r="909" spans="1:8" s="458" customFormat="1">
      <c r="A909" s="134" t="s">
        <v>808</v>
      </c>
      <c r="B909" s="134">
        <v>2020</v>
      </c>
      <c r="C909" s="134">
        <v>1</v>
      </c>
      <c r="D909" s="134">
        <v>29</v>
      </c>
      <c r="E909" s="134" t="s">
        <v>1772</v>
      </c>
      <c r="F909" s="134" t="s">
        <v>809</v>
      </c>
      <c r="G909" s="195"/>
      <c r="H909" s="195">
        <v>159</v>
      </c>
    </row>
    <row r="910" spans="1:8" s="458" customFormat="1">
      <c r="A910" s="134" t="s">
        <v>808</v>
      </c>
      <c r="B910" s="134">
        <v>2020</v>
      </c>
      <c r="C910" s="134">
        <v>1</v>
      </c>
      <c r="D910" s="134">
        <v>29</v>
      </c>
      <c r="E910" s="134" t="s">
        <v>1774</v>
      </c>
      <c r="F910" s="134" t="s">
        <v>807</v>
      </c>
      <c r="G910" s="195"/>
      <c r="H910" s="195">
        <v>3016</v>
      </c>
    </row>
    <row r="911" spans="1:8" s="458" customFormat="1">
      <c r="A911" s="134" t="s">
        <v>808</v>
      </c>
      <c r="B911" s="134">
        <v>2020</v>
      </c>
      <c r="C911" s="134">
        <v>1</v>
      </c>
      <c r="D911" s="134">
        <v>29</v>
      </c>
      <c r="E911" s="134" t="s">
        <v>1774</v>
      </c>
      <c r="F911" s="134" t="s">
        <v>807</v>
      </c>
      <c r="G911" s="195"/>
      <c r="H911" s="195">
        <v>1975</v>
      </c>
    </row>
    <row r="912" spans="1:8" s="458" customFormat="1">
      <c r="A912" s="134" t="s">
        <v>808</v>
      </c>
      <c r="B912" s="134">
        <v>2020</v>
      </c>
      <c r="C912" s="134">
        <v>1</v>
      </c>
      <c r="D912" s="134">
        <v>29</v>
      </c>
      <c r="E912" s="134" t="s">
        <v>1780</v>
      </c>
      <c r="F912" s="134" t="s">
        <v>809</v>
      </c>
      <c r="G912" s="195"/>
      <c r="H912" s="195">
        <v>385</v>
      </c>
    </row>
    <row r="913" spans="1:8" s="458" customFormat="1">
      <c r="A913" s="134" t="s">
        <v>808</v>
      </c>
      <c r="B913" s="134">
        <v>2020</v>
      </c>
      <c r="C913" s="134">
        <v>1</v>
      </c>
      <c r="D913" s="134">
        <v>29</v>
      </c>
      <c r="E913" s="134" t="s">
        <v>1780</v>
      </c>
      <c r="F913" s="134" t="s">
        <v>809</v>
      </c>
      <c r="G913" s="195"/>
      <c r="H913" s="195">
        <v>158.03</v>
      </c>
    </row>
    <row r="914" spans="1:8" s="458" customFormat="1">
      <c r="A914" s="134" t="s">
        <v>808</v>
      </c>
      <c r="B914" s="134">
        <v>2020</v>
      </c>
      <c r="C914" s="134">
        <v>1</v>
      </c>
      <c r="D914" s="134">
        <v>29</v>
      </c>
      <c r="E914" s="134" t="s">
        <v>1780</v>
      </c>
      <c r="F914" s="134" t="s">
        <v>809</v>
      </c>
      <c r="G914" s="195"/>
      <c r="H914" s="195">
        <v>51.96</v>
      </c>
    </row>
    <row r="915" spans="1:8" s="458" customFormat="1">
      <c r="A915" s="134" t="s">
        <v>808</v>
      </c>
      <c r="B915" s="134">
        <v>2020</v>
      </c>
      <c r="C915" s="134">
        <v>1</v>
      </c>
      <c r="D915" s="134">
        <v>29</v>
      </c>
      <c r="E915" s="134" t="s">
        <v>1782</v>
      </c>
      <c r="F915" s="134" t="s">
        <v>809</v>
      </c>
      <c r="G915" s="195"/>
      <c r="H915" s="195"/>
    </row>
    <row r="916" spans="1:8" s="458" customFormat="1">
      <c r="A916" s="134" t="s">
        <v>808</v>
      </c>
      <c r="B916" s="134">
        <v>2020</v>
      </c>
      <c r="C916" s="134">
        <v>1</v>
      </c>
      <c r="D916" s="134">
        <v>29</v>
      </c>
      <c r="E916" s="134" t="s">
        <v>1782</v>
      </c>
      <c r="F916" s="134" t="s">
        <v>809</v>
      </c>
      <c r="G916" s="195"/>
      <c r="H916" s="195">
        <v>-600</v>
      </c>
    </row>
    <row r="917" spans="1:8" s="458" customFormat="1">
      <c r="A917" s="134" t="s">
        <v>808</v>
      </c>
      <c r="B917" s="134">
        <v>2020</v>
      </c>
      <c r="C917" s="134">
        <v>1</v>
      </c>
      <c r="D917" s="134">
        <v>29</v>
      </c>
      <c r="E917" s="134" t="s">
        <v>1782</v>
      </c>
      <c r="F917" s="134" t="s">
        <v>809</v>
      </c>
      <c r="G917" s="195"/>
      <c r="H917" s="195"/>
    </row>
    <row r="918" spans="1:8" s="458" customFormat="1">
      <c r="A918" s="134" t="s">
        <v>808</v>
      </c>
      <c r="B918" s="134">
        <v>2020</v>
      </c>
      <c r="C918" s="134">
        <v>1</v>
      </c>
      <c r="D918" s="134">
        <v>29</v>
      </c>
      <c r="E918" s="134" t="s">
        <v>1782</v>
      </c>
      <c r="F918" s="134" t="s">
        <v>809</v>
      </c>
      <c r="G918" s="195"/>
      <c r="H918" s="195">
        <v>600</v>
      </c>
    </row>
    <row r="919" spans="1:8" s="458" customFormat="1">
      <c r="A919" s="134" t="s">
        <v>808</v>
      </c>
      <c r="B919" s="134">
        <v>2020</v>
      </c>
      <c r="C919" s="134">
        <v>1</v>
      </c>
      <c r="D919" s="134">
        <v>29</v>
      </c>
      <c r="E919" s="134" t="s">
        <v>1782</v>
      </c>
      <c r="F919" s="134" t="s">
        <v>809</v>
      </c>
      <c r="G919" s="195"/>
      <c r="H919" s="195"/>
    </row>
    <row r="920" spans="1:8" s="458" customFormat="1">
      <c r="A920" s="134" t="s">
        <v>808</v>
      </c>
      <c r="B920" s="134">
        <v>2020</v>
      </c>
      <c r="C920" s="134">
        <v>1</v>
      </c>
      <c r="D920" s="134">
        <v>29</v>
      </c>
      <c r="E920" s="134" t="s">
        <v>1782</v>
      </c>
      <c r="F920" s="134" t="s">
        <v>809</v>
      </c>
      <c r="G920" s="195"/>
      <c r="H920" s="195">
        <v>600</v>
      </c>
    </row>
    <row r="921" spans="1:8" s="458" customFormat="1">
      <c r="A921" s="134" t="s">
        <v>808</v>
      </c>
      <c r="B921" s="134">
        <v>2020</v>
      </c>
      <c r="C921" s="134">
        <v>1</v>
      </c>
      <c r="D921" s="134">
        <v>29</v>
      </c>
      <c r="E921" s="134" t="s">
        <v>1782</v>
      </c>
      <c r="F921" s="134" t="s">
        <v>809</v>
      </c>
      <c r="G921" s="195"/>
      <c r="H921" s="195"/>
    </row>
    <row r="922" spans="1:8" s="458" customFormat="1">
      <c r="A922" s="134" t="s">
        <v>808</v>
      </c>
      <c r="B922" s="134">
        <v>2020</v>
      </c>
      <c r="C922" s="134">
        <v>1</v>
      </c>
      <c r="D922" s="134">
        <v>29</v>
      </c>
      <c r="E922" s="134" t="s">
        <v>1782</v>
      </c>
      <c r="F922" s="134" t="s">
        <v>809</v>
      </c>
      <c r="G922" s="195"/>
      <c r="H922" s="195">
        <v>600</v>
      </c>
    </row>
    <row r="923" spans="1:8" s="458" customFormat="1">
      <c r="A923" s="134" t="s">
        <v>808</v>
      </c>
      <c r="B923" s="134">
        <v>2020</v>
      </c>
      <c r="C923" s="134">
        <v>1</v>
      </c>
      <c r="D923" s="134">
        <v>32</v>
      </c>
      <c r="E923" s="134" t="s">
        <v>1786</v>
      </c>
      <c r="F923" s="134" t="s">
        <v>809</v>
      </c>
      <c r="G923" s="195">
        <v>7652</v>
      </c>
      <c r="H923" s="195"/>
    </row>
    <row r="924" spans="1:8" s="458" customFormat="1">
      <c r="A924" s="134" t="s">
        <v>808</v>
      </c>
      <c r="B924" s="134">
        <v>2020</v>
      </c>
      <c r="C924" s="134">
        <v>1</v>
      </c>
      <c r="D924" s="134">
        <v>37</v>
      </c>
      <c r="E924" s="134" t="s">
        <v>1789</v>
      </c>
      <c r="F924" s="134" t="s">
        <v>809</v>
      </c>
      <c r="G924" s="195"/>
      <c r="H924" s="195">
        <v>746.53</v>
      </c>
    </row>
    <row r="925" spans="1:8" s="458" customFormat="1">
      <c r="A925" s="134" t="s">
        <v>808</v>
      </c>
      <c r="B925" s="134">
        <v>2020</v>
      </c>
      <c r="C925" s="134">
        <v>1</v>
      </c>
      <c r="D925" s="134">
        <v>37</v>
      </c>
      <c r="E925" s="134" t="s">
        <v>1789</v>
      </c>
      <c r="F925" s="134" t="s">
        <v>809</v>
      </c>
      <c r="G925" s="195"/>
      <c r="H925" s="195">
        <v>730.77</v>
      </c>
    </row>
    <row r="926" spans="1:8" s="458" customFormat="1">
      <c r="A926" s="134" t="s">
        <v>808</v>
      </c>
      <c r="B926" s="134">
        <v>2020</v>
      </c>
      <c r="C926" s="134">
        <v>1</v>
      </c>
      <c r="D926" s="134">
        <v>40</v>
      </c>
      <c r="E926" s="134" t="s">
        <v>1791</v>
      </c>
      <c r="F926" s="134" t="s">
        <v>809</v>
      </c>
      <c r="G926" s="195">
        <v>9640</v>
      </c>
      <c r="H926" s="195"/>
    </row>
    <row r="927" spans="1:8" s="458" customFormat="1">
      <c r="A927" s="134" t="s">
        <v>808</v>
      </c>
      <c r="B927" s="134">
        <v>2020</v>
      </c>
      <c r="C927" s="134">
        <v>1</v>
      </c>
      <c r="D927" s="134">
        <v>40</v>
      </c>
      <c r="E927" s="134" t="s">
        <v>1791</v>
      </c>
      <c r="F927" s="134" t="s">
        <v>809</v>
      </c>
      <c r="G927" s="195"/>
      <c r="H927" s="195">
        <v>-130.44999999999999</v>
      </c>
    </row>
    <row r="928" spans="1:8" s="458" customFormat="1">
      <c r="A928" s="134" t="s">
        <v>808</v>
      </c>
      <c r="B928" s="134">
        <v>2020</v>
      </c>
      <c r="C928" s="134">
        <v>1</v>
      </c>
      <c r="D928" s="134">
        <v>40</v>
      </c>
      <c r="E928" s="134" t="s">
        <v>1791</v>
      </c>
      <c r="F928" s="134" t="s">
        <v>809</v>
      </c>
      <c r="G928" s="195"/>
      <c r="H928" s="195">
        <v>260.89999999999998</v>
      </c>
    </row>
    <row r="929" spans="1:8" s="458" customFormat="1">
      <c r="A929" s="134" t="s">
        <v>808</v>
      </c>
      <c r="B929" s="134">
        <v>2020</v>
      </c>
      <c r="C929" s="134">
        <v>1</v>
      </c>
      <c r="D929" s="134">
        <v>40</v>
      </c>
      <c r="E929" s="134" t="s">
        <v>1791</v>
      </c>
      <c r="F929" s="134" t="s">
        <v>809</v>
      </c>
      <c r="G929" s="195"/>
      <c r="H929" s="195">
        <v>-216.11</v>
      </c>
    </row>
    <row r="930" spans="1:8" s="458" customFormat="1">
      <c r="A930" s="134" t="s">
        <v>808</v>
      </c>
      <c r="B930" s="134">
        <v>2020</v>
      </c>
      <c r="C930" s="134">
        <v>1</v>
      </c>
      <c r="D930" s="134">
        <v>40</v>
      </c>
      <c r="E930" s="134" t="s">
        <v>1791</v>
      </c>
      <c r="F930" s="134" t="s">
        <v>809</v>
      </c>
      <c r="G930" s="195"/>
      <c r="H930" s="195">
        <v>432.22</v>
      </c>
    </row>
    <row r="931" spans="1:8" s="458" customFormat="1">
      <c r="A931" s="134" t="s">
        <v>808</v>
      </c>
      <c r="B931" s="134">
        <v>2020</v>
      </c>
      <c r="C931" s="134">
        <v>1</v>
      </c>
      <c r="D931" s="134">
        <v>40</v>
      </c>
      <c r="E931" s="134" t="s">
        <v>1791</v>
      </c>
      <c r="F931" s="134" t="s">
        <v>809</v>
      </c>
      <c r="G931" s="195"/>
      <c r="H931" s="195">
        <v>-437.2</v>
      </c>
    </row>
    <row r="932" spans="1:8" s="458" customFormat="1">
      <c r="A932" s="134" t="s">
        <v>808</v>
      </c>
      <c r="B932" s="134">
        <v>2020</v>
      </c>
      <c r="C932" s="134">
        <v>1</v>
      </c>
      <c r="D932" s="134">
        <v>40</v>
      </c>
      <c r="E932" s="134" t="s">
        <v>1791</v>
      </c>
      <c r="F932" s="134" t="s">
        <v>807</v>
      </c>
      <c r="G932" s="195"/>
      <c r="H932" s="195">
        <v>-176.18</v>
      </c>
    </row>
    <row r="933" spans="1:8" s="458" customFormat="1">
      <c r="A933" s="134" t="s">
        <v>808</v>
      </c>
      <c r="B933" s="134">
        <v>2020</v>
      </c>
      <c r="C933" s="134">
        <v>1</v>
      </c>
      <c r="D933" s="134">
        <v>40</v>
      </c>
      <c r="E933" s="134" t="s">
        <v>1791</v>
      </c>
      <c r="F933" s="134" t="s">
        <v>809</v>
      </c>
      <c r="G933" s="195"/>
      <c r="H933" s="195">
        <v>874.4</v>
      </c>
    </row>
    <row r="934" spans="1:8" s="458" customFormat="1">
      <c r="A934" s="134" t="s">
        <v>808</v>
      </c>
      <c r="B934" s="134">
        <v>2020</v>
      </c>
      <c r="C934" s="134">
        <v>1</v>
      </c>
      <c r="D934" s="134">
        <v>40</v>
      </c>
      <c r="E934" s="134" t="s">
        <v>1791</v>
      </c>
      <c r="F934" s="134" t="s">
        <v>807</v>
      </c>
      <c r="G934" s="195"/>
      <c r="H934" s="195">
        <v>352.37</v>
      </c>
    </row>
    <row r="935" spans="1:8" s="458" customFormat="1">
      <c r="A935" s="134" t="s">
        <v>808</v>
      </c>
      <c r="B935" s="134">
        <v>2020</v>
      </c>
      <c r="C935" s="134">
        <v>1</v>
      </c>
      <c r="D935" s="134">
        <v>41</v>
      </c>
      <c r="E935" s="134" t="s">
        <v>1792</v>
      </c>
      <c r="F935" s="134" t="s">
        <v>809</v>
      </c>
      <c r="G935" s="195">
        <v>846</v>
      </c>
      <c r="H935" s="195"/>
    </row>
    <row r="936" spans="1:8" s="458" customFormat="1">
      <c r="A936" s="134" t="s">
        <v>808</v>
      </c>
      <c r="B936" s="134">
        <v>2020</v>
      </c>
      <c r="C936" s="134">
        <v>1</v>
      </c>
      <c r="D936" s="134">
        <v>41</v>
      </c>
      <c r="E936" s="134" t="s">
        <v>1792</v>
      </c>
      <c r="F936" s="134" t="s">
        <v>809</v>
      </c>
      <c r="G936" s="195"/>
      <c r="H936" s="195">
        <v>22.91</v>
      </c>
    </row>
    <row r="937" spans="1:8" s="458" customFormat="1">
      <c r="A937" s="134" t="s">
        <v>808</v>
      </c>
      <c r="B937" s="134">
        <v>2020</v>
      </c>
      <c r="C937" s="134">
        <v>1</v>
      </c>
      <c r="D937" s="134">
        <v>41</v>
      </c>
      <c r="E937" s="134" t="s">
        <v>1792</v>
      </c>
      <c r="F937" s="134" t="s">
        <v>809</v>
      </c>
      <c r="G937" s="195"/>
      <c r="H937" s="195">
        <v>37.96</v>
      </c>
    </row>
    <row r="938" spans="1:8" s="458" customFormat="1">
      <c r="A938" s="134" t="s">
        <v>808</v>
      </c>
      <c r="B938" s="134">
        <v>2020</v>
      </c>
      <c r="C938" s="134">
        <v>1</v>
      </c>
      <c r="D938" s="134">
        <v>41</v>
      </c>
      <c r="E938" s="134" t="s">
        <v>1792</v>
      </c>
      <c r="F938" s="134" t="s">
        <v>809</v>
      </c>
      <c r="G938" s="195"/>
      <c r="H938" s="195">
        <v>76.790000000000006</v>
      </c>
    </row>
    <row r="939" spans="1:8" s="458" customFormat="1">
      <c r="A939" s="134" t="s">
        <v>808</v>
      </c>
      <c r="B939" s="134">
        <v>2020</v>
      </c>
      <c r="C939" s="134">
        <v>1</v>
      </c>
      <c r="D939" s="134">
        <v>41</v>
      </c>
      <c r="E939" s="134" t="s">
        <v>1792</v>
      </c>
      <c r="F939" s="134" t="s">
        <v>807</v>
      </c>
      <c r="G939" s="195"/>
      <c r="H939" s="195">
        <v>30.94</v>
      </c>
    </row>
    <row r="940" spans="1:8" s="458" customFormat="1">
      <c r="A940" s="134" t="s">
        <v>808</v>
      </c>
      <c r="B940" s="134">
        <v>2020</v>
      </c>
      <c r="C940" s="134">
        <v>1</v>
      </c>
      <c r="D940" s="134">
        <v>38</v>
      </c>
      <c r="E940" s="134" t="s">
        <v>1793</v>
      </c>
      <c r="F940" s="134" t="s">
        <v>809</v>
      </c>
      <c r="G940" s="195"/>
      <c r="H940" s="195">
        <v>130.44999999999999</v>
      </c>
    </row>
    <row r="941" spans="1:8" s="458" customFormat="1">
      <c r="A941" s="134" t="s">
        <v>808</v>
      </c>
      <c r="B941" s="134">
        <v>2020</v>
      </c>
      <c r="C941" s="134">
        <v>1</v>
      </c>
      <c r="D941" s="134">
        <v>38</v>
      </c>
      <c r="E941" s="134" t="s">
        <v>1793</v>
      </c>
      <c r="F941" s="134" t="s">
        <v>809</v>
      </c>
      <c r="G941" s="195"/>
      <c r="H941" s="195">
        <v>216.11</v>
      </c>
    </row>
    <row r="942" spans="1:8" s="458" customFormat="1">
      <c r="A942" s="134" t="s">
        <v>808</v>
      </c>
      <c r="B942" s="134">
        <v>2020</v>
      </c>
      <c r="C942" s="134">
        <v>1</v>
      </c>
      <c r="D942" s="134">
        <v>38</v>
      </c>
      <c r="E942" s="134" t="s">
        <v>1793</v>
      </c>
      <c r="F942" s="134" t="s">
        <v>809</v>
      </c>
      <c r="G942" s="195"/>
      <c r="H942" s="195">
        <v>437.2</v>
      </c>
    </row>
    <row r="943" spans="1:8" s="458" customFormat="1">
      <c r="A943" s="134" t="s">
        <v>808</v>
      </c>
      <c r="B943" s="134">
        <v>2020</v>
      </c>
      <c r="C943" s="134">
        <v>1</v>
      </c>
      <c r="D943" s="134">
        <v>38</v>
      </c>
      <c r="E943" s="134" t="s">
        <v>1793</v>
      </c>
      <c r="F943" s="134" t="s">
        <v>807</v>
      </c>
      <c r="G943" s="195"/>
      <c r="H943" s="195">
        <v>176.18</v>
      </c>
    </row>
    <row r="944" spans="1:8" s="458" customFormat="1">
      <c r="A944" s="134" t="s">
        <v>808</v>
      </c>
      <c r="B944" s="134">
        <v>2020</v>
      </c>
      <c r="C944" s="134">
        <v>1</v>
      </c>
      <c r="D944" s="134">
        <v>45</v>
      </c>
      <c r="E944" s="134" t="s">
        <v>1795</v>
      </c>
      <c r="F944" s="134" t="s">
        <v>807</v>
      </c>
      <c r="G944" s="195"/>
      <c r="H944" s="195">
        <v>37265</v>
      </c>
    </row>
    <row r="945" spans="1:8" s="458" customFormat="1">
      <c r="A945" s="134" t="s">
        <v>808</v>
      </c>
      <c r="B945" s="134">
        <v>2020</v>
      </c>
      <c r="C945" s="134">
        <v>2</v>
      </c>
      <c r="D945" s="134">
        <v>17</v>
      </c>
      <c r="E945" s="134" t="s">
        <v>1746</v>
      </c>
      <c r="F945" s="134" t="s">
        <v>809</v>
      </c>
      <c r="G945" s="195"/>
      <c r="H945" s="195">
        <v>99.49</v>
      </c>
    </row>
    <row r="946" spans="1:8" s="458" customFormat="1">
      <c r="A946" s="134" t="s">
        <v>808</v>
      </c>
      <c r="B946" s="134">
        <v>2020</v>
      </c>
      <c r="C946" s="134">
        <v>2</v>
      </c>
      <c r="D946" s="134">
        <v>17</v>
      </c>
      <c r="E946" s="134" t="s">
        <v>1746</v>
      </c>
      <c r="F946" s="134" t="s">
        <v>809</v>
      </c>
      <c r="G946" s="195"/>
      <c r="H946" s="195">
        <v>184.76</v>
      </c>
    </row>
    <row r="947" spans="1:8" s="458" customFormat="1">
      <c r="A947" s="134" t="s">
        <v>808</v>
      </c>
      <c r="B947" s="134">
        <v>2020</v>
      </c>
      <c r="C947" s="134">
        <v>2</v>
      </c>
      <c r="D947" s="134">
        <v>17</v>
      </c>
      <c r="E947" s="134" t="s">
        <v>1746</v>
      </c>
      <c r="F947" s="134" t="s">
        <v>809</v>
      </c>
      <c r="G947" s="195"/>
      <c r="H947" s="195">
        <v>65.38</v>
      </c>
    </row>
    <row r="948" spans="1:8" s="458" customFormat="1">
      <c r="A948" s="134" t="s">
        <v>808</v>
      </c>
      <c r="B948" s="134">
        <v>2020</v>
      </c>
      <c r="C948" s="134">
        <v>2</v>
      </c>
      <c r="D948" s="134">
        <v>17</v>
      </c>
      <c r="E948" s="134" t="s">
        <v>1746</v>
      </c>
      <c r="F948" s="134" t="s">
        <v>809</v>
      </c>
      <c r="G948" s="195"/>
      <c r="H948" s="195">
        <v>224.56</v>
      </c>
    </row>
    <row r="949" spans="1:8" s="458" customFormat="1">
      <c r="A949" s="134" t="s">
        <v>808</v>
      </c>
      <c r="B949" s="134">
        <v>2020</v>
      </c>
      <c r="C949" s="134">
        <v>2</v>
      </c>
      <c r="D949" s="134">
        <v>17</v>
      </c>
      <c r="E949" s="134" t="s">
        <v>1746</v>
      </c>
      <c r="F949" s="134" t="s">
        <v>809</v>
      </c>
      <c r="G949" s="195"/>
      <c r="H949" s="195">
        <v>275.72000000000003</v>
      </c>
    </row>
    <row r="950" spans="1:8" s="458" customFormat="1">
      <c r="A950" s="134" t="s">
        <v>808</v>
      </c>
      <c r="B950" s="134">
        <v>2020</v>
      </c>
      <c r="C950" s="134">
        <v>2</v>
      </c>
      <c r="D950" s="134">
        <v>17</v>
      </c>
      <c r="E950" s="134" t="s">
        <v>1746</v>
      </c>
      <c r="F950" s="134" t="s">
        <v>809</v>
      </c>
      <c r="G950" s="195"/>
      <c r="H950" s="195">
        <v>113.7</v>
      </c>
    </row>
    <row r="951" spans="1:8" s="458" customFormat="1">
      <c r="A951" s="134" t="s">
        <v>808</v>
      </c>
      <c r="B951" s="134">
        <v>2020</v>
      </c>
      <c r="C951" s="134">
        <v>2</v>
      </c>
      <c r="D951" s="134">
        <v>17</v>
      </c>
      <c r="E951" s="134" t="s">
        <v>1746</v>
      </c>
      <c r="F951" s="134" t="s">
        <v>809</v>
      </c>
      <c r="G951" s="195"/>
      <c r="H951" s="195">
        <v>210.35</v>
      </c>
    </row>
    <row r="952" spans="1:8" s="458" customFormat="1">
      <c r="A952" s="134" t="s">
        <v>808</v>
      </c>
      <c r="B952" s="134">
        <v>2020</v>
      </c>
      <c r="C952" s="134">
        <v>2</v>
      </c>
      <c r="D952" s="134">
        <v>17</v>
      </c>
      <c r="E952" s="134" t="s">
        <v>1746</v>
      </c>
      <c r="F952" s="134" t="s">
        <v>809</v>
      </c>
      <c r="G952" s="195"/>
      <c r="H952" s="195">
        <v>176.24</v>
      </c>
    </row>
    <row r="953" spans="1:8" s="458" customFormat="1">
      <c r="A953" s="134" t="s">
        <v>808</v>
      </c>
      <c r="B953" s="134">
        <v>2020</v>
      </c>
      <c r="C953" s="134">
        <v>2</v>
      </c>
      <c r="D953" s="134">
        <v>17</v>
      </c>
      <c r="E953" s="134" t="s">
        <v>1746</v>
      </c>
      <c r="F953" s="134" t="s">
        <v>809</v>
      </c>
      <c r="G953" s="195"/>
      <c r="H953" s="195">
        <v>210.35</v>
      </c>
    </row>
    <row r="954" spans="1:8" s="458" customFormat="1">
      <c r="A954" s="134" t="s">
        <v>808</v>
      </c>
      <c r="B954" s="134">
        <v>2020</v>
      </c>
      <c r="C954" s="134">
        <v>2</v>
      </c>
      <c r="D954" s="134">
        <v>17</v>
      </c>
      <c r="E954" s="134" t="s">
        <v>1746</v>
      </c>
      <c r="F954" s="134" t="s">
        <v>809</v>
      </c>
      <c r="G954" s="195"/>
      <c r="H954" s="195">
        <v>170.55</v>
      </c>
    </row>
    <row r="955" spans="1:8" s="458" customFormat="1">
      <c r="A955" s="134" t="s">
        <v>808</v>
      </c>
      <c r="B955" s="134">
        <v>2020</v>
      </c>
      <c r="C955" s="134">
        <v>2</v>
      </c>
      <c r="D955" s="134">
        <v>17</v>
      </c>
      <c r="E955" s="134" t="s">
        <v>1746</v>
      </c>
      <c r="F955" s="134" t="s">
        <v>809</v>
      </c>
      <c r="G955" s="195"/>
      <c r="H955" s="195">
        <v>204.66</v>
      </c>
    </row>
    <row r="956" spans="1:8" s="458" customFormat="1">
      <c r="A956" s="134" t="s">
        <v>808</v>
      </c>
      <c r="B956" s="134">
        <v>2020</v>
      </c>
      <c r="C956" s="134">
        <v>2</v>
      </c>
      <c r="D956" s="134">
        <v>17</v>
      </c>
      <c r="E956" s="134" t="s">
        <v>1746</v>
      </c>
      <c r="F956" s="134" t="s">
        <v>809</v>
      </c>
      <c r="G956" s="195"/>
      <c r="H956" s="195">
        <v>176.24</v>
      </c>
    </row>
    <row r="957" spans="1:8" s="458" customFormat="1">
      <c r="A957" s="134" t="s">
        <v>808</v>
      </c>
      <c r="B957" s="134">
        <v>2020</v>
      </c>
      <c r="C957" s="134">
        <v>2</v>
      </c>
      <c r="D957" s="134">
        <v>17</v>
      </c>
      <c r="E957" s="134" t="s">
        <v>1746</v>
      </c>
      <c r="F957" s="134" t="s">
        <v>809</v>
      </c>
      <c r="G957" s="195"/>
      <c r="H957" s="195">
        <v>90.96</v>
      </c>
    </row>
    <row r="958" spans="1:8" s="458" customFormat="1">
      <c r="A958" s="134" t="s">
        <v>808</v>
      </c>
      <c r="B958" s="134">
        <v>2020</v>
      </c>
      <c r="C958" s="134">
        <v>2</v>
      </c>
      <c r="D958" s="134">
        <v>17</v>
      </c>
      <c r="E958" s="134" t="s">
        <v>1746</v>
      </c>
      <c r="F958" s="134" t="s">
        <v>809</v>
      </c>
      <c r="G958" s="195"/>
      <c r="H958" s="195">
        <v>181.92</v>
      </c>
    </row>
    <row r="959" spans="1:8" s="458" customFormat="1">
      <c r="A959" s="134" t="s">
        <v>808</v>
      </c>
      <c r="B959" s="134">
        <v>2020</v>
      </c>
      <c r="C959" s="134">
        <v>2</v>
      </c>
      <c r="D959" s="134">
        <v>17</v>
      </c>
      <c r="E959" s="134" t="s">
        <v>1746</v>
      </c>
      <c r="F959" s="134" t="s">
        <v>809</v>
      </c>
      <c r="G959" s="195"/>
      <c r="H959" s="195">
        <v>285</v>
      </c>
    </row>
    <row r="960" spans="1:8" s="458" customFormat="1">
      <c r="A960" s="134" t="s">
        <v>808</v>
      </c>
      <c r="B960" s="134">
        <v>2020</v>
      </c>
      <c r="C960" s="134">
        <v>2</v>
      </c>
      <c r="D960" s="134">
        <v>17</v>
      </c>
      <c r="E960" s="134" t="s">
        <v>1746</v>
      </c>
      <c r="F960" s="134" t="s">
        <v>809</v>
      </c>
      <c r="G960" s="195"/>
      <c r="H960" s="195">
        <v>239.4</v>
      </c>
    </row>
    <row r="961" spans="1:8" s="458" customFormat="1">
      <c r="A961" s="134" t="s">
        <v>808</v>
      </c>
      <c r="B961" s="134">
        <v>2020</v>
      </c>
      <c r="C961" s="134">
        <v>2</v>
      </c>
      <c r="D961" s="134">
        <v>17</v>
      </c>
      <c r="E961" s="134" t="s">
        <v>1746</v>
      </c>
      <c r="F961" s="134" t="s">
        <v>809</v>
      </c>
      <c r="G961" s="195"/>
      <c r="H961" s="195">
        <v>250.8</v>
      </c>
    </row>
    <row r="962" spans="1:8" s="458" customFormat="1">
      <c r="A962" s="134" t="s">
        <v>808</v>
      </c>
      <c r="B962" s="134">
        <v>2020</v>
      </c>
      <c r="C962" s="134">
        <v>2</v>
      </c>
      <c r="D962" s="134">
        <v>17</v>
      </c>
      <c r="E962" s="134" t="s">
        <v>1746</v>
      </c>
      <c r="F962" s="134" t="s">
        <v>809</v>
      </c>
      <c r="G962" s="195"/>
      <c r="H962" s="195">
        <v>159.6</v>
      </c>
    </row>
    <row r="963" spans="1:8" s="458" customFormat="1">
      <c r="A963" s="134" t="s">
        <v>808</v>
      </c>
      <c r="B963" s="134">
        <v>2020</v>
      </c>
      <c r="C963" s="134">
        <v>2</v>
      </c>
      <c r="D963" s="134">
        <v>17</v>
      </c>
      <c r="E963" s="134" t="s">
        <v>1746</v>
      </c>
      <c r="F963" s="134" t="s">
        <v>809</v>
      </c>
      <c r="G963" s="195"/>
      <c r="H963" s="195">
        <v>182.4</v>
      </c>
    </row>
    <row r="964" spans="1:8" s="458" customFormat="1">
      <c r="A964" s="134" t="s">
        <v>808</v>
      </c>
      <c r="B964" s="134">
        <v>2020</v>
      </c>
      <c r="C964" s="134">
        <v>2</v>
      </c>
      <c r="D964" s="134">
        <v>17</v>
      </c>
      <c r="E964" s="134" t="s">
        <v>1746</v>
      </c>
      <c r="F964" s="134" t="s">
        <v>809</v>
      </c>
      <c r="G964" s="195"/>
      <c r="H964" s="195">
        <v>114</v>
      </c>
    </row>
    <row r="965" spans="1:8" s="458" customFormat="1">
      <c r="A965" s="134" t="s">
        <v>808</v>
      </c>
      <c r="B965" s="134">
        <v>2020</v>
      </c>
      <c r="C965" s="134">
        <v>2</v>
      </c>
      <c r="D965" s="134">
        <v>17</v>
      </c>
      <c r="E965" s="134" t="s">
        <v>1746</v>
      </c>
      <c r="F965" s="134" t="s">
        <v>809</v>
      </c>
      <c r="G965" s="195"/>
      <c r="H965" s="195">
        <v>262.2</v>
      </c>
    </row>
    <row r="966" spans="1:8" s="458" customFormat="1">
      <c r="A966" s="134" t="s">
        <v>808</v>
      </c>
      <c r="B966" s="134">
        <v>2020</v>
      </c>
      <c r="C966" s="134">
        <v>2</v>
      </c>
      <c r="D966" s="134">
        <v>17</v>
      </c>
      <c r="E966" s="134" t="s">
        <v>1746</v>
      </c>
      <c r="F966" s="134" t="s">
        <v>809</v>
      </c>
      <c r="G966" s="195"/>
      <c r="H966" s="195">
        <v>410.4</v>
      </c>
    </row>
    <row r="967" spans="1:8" s="458" customFormat="1">
      <c r="A967" s="134" t="s">
        <v>808</v>
      </c>
      <c r="B967" s="134">
        <v>2020</v>
      </c>
      <c r="C967" s="134">
        <v>2</v>
      </c>
      <c r="D967" s="134">
        <v>17</v>
      </c>
      <c r="E967" s="134" t="s">
        <v>1746</v>
      </c>
      <c r="F967" s="134" t="s">
        <v>809</v>
      </c>
      <c r="G967" s="195"/>
      <c r="H967" s="195">
        <v>433.2</v>
      </c>
    </row>
    <row r="968" spans="1:8" s="458" customFormat="1">
      <c r="A968" s="134" t="s">
        <v>808</v>
      </c>
      <c r="B968" s="134">
        <v>2020</v>
      </c>
      <c r="C968" s="134">
        <v>2</v>
      </c>
      <c r="D968" s="134">
        <v>17</v>
      </c>
      <c r="E968" s="134" t="s">
        <v>1746</v>
      </c>
      <c r="F968" s="134" t="s">
        <v>809</v>
      </c>
      <c r="G968" s="195"/>
      <c r="H968" s="195">
        <v>484.5</v>
      </c>
    </row>
    <row r="969" spans="1:8" s="458" customFormat="1">
      <c r="A969" s="134" t="s">
        <v>808</v>
      </c>
      <c r="B969" s="134">
        <v>2020</v>
      </c>
      <c r="C969" s="134">
        <v>2</v>
      </c>
      <c r="D969" s="134">
        <v>17</v>
      </c>
      <c r="E969" s="134" t="s">
        <v>1746</v>
      </c>
      <c r="F969" s="134" t="s">
        <v>809</v>
      </c>
      <c r="G969" s="195"/>
      <c r="H969" s="195">
        <v>456</v>
      </c>
    </row>
    <row r="970" spans="1:8" s="458" customFormat="1">
      <c r="A970" s="134" t="s">
        <v>808</v>
      </c>
      <c r="B970" s="134">
        <v>2020</v>
      </c>
      <c r="C970" s="134">
        <v>2</v>
      </c>
      <c r="D970" s="134">
        <v>17</v>
      </c>
      <c r="E970" s="134" t="s">
        <v>1746</v>
      </c>
      <c r="F970" s="134" t="s">
        <v>809</v>
      </c>
      <c r="G970" s="195"/>
      <c r="H970" s="195">
        <v>433.2</v>
      </c>
    </row>
    <row r="971" spans="1:8" s="458" customFormat="1">
      <c r="A971" s="134" t="s">
        <v>808</v>
      </c>
      <c r="B971" s="134">
        <v>2020</v>
      </c>
      <c r="C971" s="134">
        <v>2</v>
      </c>
      <c r="D971" s="134">
        <v>17</v>
      </c>
      <c r="E971" s="134" t="s">
        <v>1746</v>
      </c>
      <c r="F971" s="134" t="s">
        <v>809</v>
      </c>
      <c r="G971" s="195"/>
      <c r="H971" s="195">
        <v>457.88</v>
      </c>
    </row>
    <row r="972" spans="1:8" s="458" customFormat="1">
      <c r="A972" s="134" t="s">
        <v>808</v>
      </c>
      <c r="B972" s="134">
        <v>2020</v>
      </c>
      <c r="C972" s="134">
        <v>2</v>
      </c>
      <c r="D972" s="134">
        <v>17</v>
      </c>
      <c r="E972" s="134" t="s">
        <v>1746</v>
      </c>
      <c r="F972" s="134" t="s">
        <v>809</v>
      </c>
      <c r="G972" s="195"/>
      <c r="H972" s="195">
        <v>369.08</v>
      </c>
    </row>
    <row r="973" spans="1:8" s="458" customFormat="1">
      <c r="A973" s="134" t="s">
        <v>808</v>
      </c>
      <c r="B973" s="134">
        <v>2020</v>
      </c>
      <c r="C973" s="134">
        <v>2</v>
      </c>
      <c r="D973" s="134">
        <v>17</v>
      </c>
      <c r="E973" s="134" t="s">
        <v>1746</v>
      </c>
      <c r="F973" s="134" t="s">
        <v>809</v>
      </c>
      <c r="G973" s="195"/>
      <c r="H973" s="195">
        <v>432.9</v>
      </c>
    </row>
    <row r="974" spans="1:8" s="458" customFormat="1">
      <c r="A974" s="134" t="s">
        <v>808</v>
      </c>
      <c r="B974" s="134">
        <v>2020</v>
      </c>
      <c r="C974" s="134">
        <v>2</v>
      </c>
      <c r="D974" s="134">
        <v>17</v>
      </c>
      <c r="E974" s="134" t="s">
        <v>1746</v>
      </c>
      <c r="F974" s="134" t="s">
        <v>809</v>
      </c>
      <c r="G974" s="195"/>
      <c r="H974" s="195">
        <v>66.599999999999994</v>
      </c>
    </row>
    <row r="975" spans="1:8" s="458" customFormat="1">
      <c r="A975" s="134" t="s">
        <v>808</v>
      </c>
      <c r="B975" s="134">
        <v>2020</v>
      </c>
      <c r="C975" s="134">
        <v>2</v>
      </c>
      <c r="D975" s="134">
        <v>17</v>
      </c>
      <c r="E975" s="134" t="s">
        <v>1746</v>
      </c>
      <c r="F975" s="134" t="s">
        <v>809</v>
      </c>
      <c r="G975" s="195"/>
      <c r="H975" s="195">
        <v>216.03</v>
      </c>
    </row>
    <row r="976" spans="1:8" s="458" customFormat="1">
      <c r="A976" s="134" t="s">
        <v>808</v>
      </c>
      <c r="B976" s="134">
        <v>2020</v>
      </c>
      <c r="C976" s="134">
        <v>2</v>
      </c>
      <c r="D976" s="134">
        <v>17</v>
      </c>
      <c r="E976" s="134" t="s">
        <v>1746</v>
      </c>
      <c r="F976" s="134" t="s">
        <v>809</v>
      </c>
      <c r="G976" s="195"/>
      <c r="H976" s="195">
        <v>227.4</v>
      </c>
    </row>
    <row r="977" spans="1:8" s="458" customFormat="1">
      <c r="A977" s="134" t="s">
        <v>808</v>
      </c>
      <c r="B977" s="134">
        <v>2020</v>
      </c>
      <c r="C977" s="134">
        <v>2</v>
      </c>
      <c r="D977" s="134">
        <v>17</v>
      </c>
      <c r="E977" s="134" t="s">
        <v>1746</v>
      </c>
      <c r="F977" s="134" t="s">
        <v>809</v>
      </c>
      <c r="G977" s="195"/>
      <c r="H977" s="195">
        <v>261.51</v>
      </c>
    </row>
    <row r="978" spans="1:8" s="458" customFormat="1">
      <c r="A978" s="134" t="s">
        <v>808</v>
      </c>
      <c r="B978" s="134">
        <v>2020</v>
      </c>
      <c r="C978" s="134">
        <v>2</v>
      </c>
      <c r="D978" s="134">
        <v>17</v>
      </c>
      <c r="E978" s="134" t="s">
        <v>1746</v>
      </c>
      <c r="F978" s="134" t="s">
        <v>809</v>
      </c>
      <c r="G978" s="195"/>
      <c r="H978" s="195">
        <v>250.14</v>
      </c>
    </row>
    <row r="979" spans="1:8" s="458" customFormat="1">
      <c r="A979" s="134" t="s">
        <v>808</v>
      </c>
      <c r="B979" s="134">
        <v>2020</v>
      </c>
      <c r="C979" s="134">
        <v>2</v>
      </c>
      <c r="D979" s="134">
        <v>17</v>
      </c>
      <c r="E979" s="134" t="s">
        <v>1746</v>
      </c>
      <c r="F979" s="134" t="s">
        <v>809</v>
      </c>
      <c r="G979" s="195"/>
      <c r="H979" s="195">
        <v>289.94</v>
      </c>
    </row>
    <row r="980" spans="1:8" s="458" customFormat="1">
      <c r="A980" s="134" t="s">
        <v>808</v>
      </c>
      <c r="B980" s="134">
        <v>2020</v>
      </c>
      <c r="C980" s="134">
        <v>2</v>
      </c>
      <c r="D980" s="134">
        <v>17</v>
      </c>
      <c r="E980" s="134" t="s">
        <v>1746</v>
      </c>
      <c r="F980" s="134" t="s">
        <v>809</v>
      </c>
      <c r="G980" s="195"/>
      <c r="H980" s="195">
        <v>244.46</v>
      </c>
    </row>
    <row r="981" spans="1:8" s="458" customFormat="1">
      <c r="A981" s="134" t="s">
        <v>808</v>
      </c>
      <c r="B981" s="134">
        <v>2020</v>
      </c>
      <c r="C981" s="134">
        <v>2</v>
      </c>
      <c r="D981" s="134">
        <v>17</v>
      </c>
      <c r="E981" s="134" t="s">
        <v>1746</v>
      </c>
      <c r="F981" s="134" t="s">
        <v>809</v>
      </c>
      <c r="G981" s="195"/>
      <c r="H981" s="195">
        <v>301.31</v>
      </c>
    </row>
    <row r="982" spans="1:8" s="458" customFormat="1">
      <c r="A982" s="134" t="s">
        <v>808</v>
      </c>
      <c r="B982" s="134">
        <v>2020</v>
      </c>
      <c r="C982" s="134">
        <v>2</v>
      </c>
      <c r="D982" s="134">
        <v>17</v>
      </c>
      <c r="E982" s="134" t="s">
        <v>1746</v>
      </c>
      <c r="F982" s="134" t="s">
        <v>809</v>
      </c>
      <c r="G982" s="195"/>
      <c r="H982" s="195">
        <v>260.85000000000002</v>
      </c>
    </row>
    <row r="983" spans="1:8" s="458" customFormat="1">
      <c r="A983" s="134" t="s">
        <v>808</v>
      </c>
      <c r="B983" s="134">
        <v>2020</v>
      </c>
      <c r="C983" s="134">
        <v>2</v>
      </c>
      <c r="D983" s="134">
        <v>17</v>
      </c>
      <c r="E983" s="134" t="s">
        <v>1746</v>
      </c>
      <c r="F983" s="134" t="s">
        <v>809</v>
      </c>
      <c r="G983" s="195"/>
      <c r="H983" s="195">
        <v>260.85000000000002</v>
      </c>
    </row>
    <row r="984" spans="1:8" s="458" customFormat="1">
      <c r="A984" s="134" t="s">
        <v>808</v>
      </c>
      <c r="B984" s="134">
        <v>2020</v>
      </c>
      <c r="C984" s="134">
        <v>2</v>
      </c>
      <c r="D984" s="134">
        <v>17</v>
      </c>
      <c r="E984" s="134" t="s">
        <v>1746</v>
      </c>
      <c r="F984" s="134" t="s">
        <v>809</v>
      </c>
      <c r="G984" s="195"/>
      <c r="H984" s="195">
        <v>260.85000000000002</v>
      </c>
    </row>
    <row r="985" spans="1:8" s="458" customFormat="1">
      <c r="A985" s="134" t="s">
        <v>808</v>
      </c>
      <c r="B985" s="134">
        <v>2020</v>
      </c>
      <c r="C985" s="134">
        <v>2</v>
      </c>
      <c r="D985" s="134">
        <v>17</v>
      </c>
      <c r="E985" s="134" t="s">
        <v>1746</v>
      </c>
      <c r="F985" s="134" t="s">
        <v>809</v>
      </c>
      <c r="G985" s="195"/>
      <c r="H985" s="195">
        <v>244.2</v>
      </c>
    </row>
    <row r="986" spans="1:8" s="458" customFormat="1">
      <c r="A986" s="134" t="s">
        <v>808</v>
      </c>
      <c r="B986" s="134">
        <v>2020</v>
      </c>
      <c r="C986" s="134">
        <v>2</v>
      </c>
      <c r="D986" s="134">
        <v>17</v>
      </c>
      <c r="E986" s="134" t="s">
        <v>1746</v>
      </c>
      <c r="F986" s="134" t="s">
        <v>809</v>
      </c>
      <c r="G986" s="195"/>
      <c r="H986" s="195">
        <v>266.39999999999998</v>
      </c>
    </row>
    <row r="987" spans="1:8" s="458" customFormat="1">
      <c r="A987" s="134" t="s">
        <v>808</v>
      </c>
      <c r="B987" s="134">
        <v>2020</v>
      </c>
      <c r="C987" s="134">
        <v>2</v>
      </c>
      <c r="D987" s="134">
        <v>17</v>
      </c>
      <c r="E987" s="134" t="s">
        <v>1746</v>
      </c>
      <c r="F987" s="134" t="s">
        <v>809</v>
      </c>
      <c r="G987" s="195"/>
      <c r="H987" s="195">
        <v>260.85000000000002</v>
      </c>
    </row>
    <row r="988" spans="1:8" s="458" customFormat="1">
      <c r="A988" s="134" t="s">
        <v>808</v>
      </c>
      <c r="B988" s="134">
        <v>2020</v>
      </c>
      <c r="C988" s="134">
        <v>2</v>
      </c>
      <c r="D988" s="134">
        <v>17</v>
      </c>
      <c r="E988" s="134" t="s">
        <v>1746</v>
      </c>
      <c r="F988" s="134" t="s">
        <v>809</v>
      </c>
      <c r="G988" s="195"/>
      <c r="H988" s="195">
        <v>266.39999999999998</v>
      </c>
    </row>
    <row r="989" spans="1:8" s="458" customFormat="1">
      <c r="A989" s="134" t="s">
        <v>808</v>
      </c>
      <c r="B989" s="134">
        <v>2020</v>
      </c>
      <c r="C989" s="134">
        <v>2</v>
      </c>
      <c r="D989" s="134">
        <v>17</v>
      </c>
      <c r="E989" s="134" t="s">
        <v>1746</v>
      </c>
      <c r="F989" s="134" t="s">
        <v>809</v>
      </c>
      <c r="G989" s="195"/>
      <c r="H989" s="195">
        <v>91.2</v>
      </c>
    </row>
    <row r="990" spans="1:8" s="458" customFormat="1">
      <c r="A990" s="134" t="s">
        <v>808</v>
      </c>
      <c r="B990" s="134">
        <v>2020</v>
      </c>
      <c r="C990" s="134">
        <v>2</v>
      </c>
      <c r="D990" s="134">
        <v>17</v>
      </c>
      <c r="E990" s="134" t="s">
        <v>1746</v>
      </c>
      <c r="F990" s="134" t="s">
        <v>809</v>
      </c>
      <c r="G990" s="195"/>
      <c r="H990" s="195">
        <v>57</v>
      </c>
    </row>
    <row r="991" spans="1:8" s="458" customFormat="1">
      <c r="A991" s="134" t="s">
        <v>808</v>
      </c>
      <c r="B991" s="134">
        <v>2020</v>
      </c>
      <c r="C991" s="134">
        <v>2</v>
      </c>
      <c r="D991" s="134">
        <v>17</v>
      </c>
      <c r="E991" s="134" t="s">
        <v>1746</v>
      </c>
      <c r="F991" s="134" t="s">
        <v>809</v>
      </c>
      <c r="G991" s="195"/>
      <c r="H991" s="195">
        <v>94.05</v>
      </c>
    </row>
    <row r="992" spans="1:8" s="458" customFormat="1">
      <c r="A992" s="134" t="s">
        <v>808</v>
      </c>
      <c r="B992" s="134">
        <v>2020</v>
      </c>
      <c r="C992" s="134">
        <v>2</v>
      </c>
      <c r="D992" s="134">
        <v>17</v>
      </c>
      <c r="E992" s="134" t="s">
        <v>1746</v>
      </c>
      <c r="F992" s="134" t="s">
        <v>809</v>
      </c>
      <c r="G992" s="195"/>
      <c r="H992" s="195">
        <v>122.55</v>
      </c>
    </row>
    <row r="993" spans="1:8" s="458" customFormat="1">
      <c r="A993" s="134" t="s">
        <v>808</v>
      </c>
      <c r="B993" s="134">
        <v>2020</v>
      </c>
      <c r="C993" s="134">
        <v>2</v>
      </c>
      <c r="D993" s="134">
        <v>17</v>
      </c>
      <c r="E993" s="134" t="s">
        <v>1746</v>
      </c>
      <c r="F993" s="134" t="s">
        <v>809</v>
      </c>
      <c r="G993" s="195"/>
      <c r="H993" s="195">
        <v>139.65</v>
      </c>
    </row>
    <row r="994" spans="1:8" s="458" customFormat="1">
      <c r="A994" s="134" t="s">
        <v>808</v>
      </c>
      <c r="B994" s="134">
        <v>2020</v>
      </c>
      <c r="C994" s="134">
        <v>2</v>
      </c>
      <c r="D994" s="134">
        <v>17</v>
      </c>
      <c r="E994" s="134" t="s">
        <v>1746</v>
      </c>
      <c r="F994" s="134" t="s">
        <v>809</v>
      </c>
      <c r="G994" s="195"/>
      <c r="H994" s="195">
        <v>79.8</v>
      </c>
    </row>
    <row r="995" spans="1:8" s="458" customFormat="1">
      <c r="A995" s="134" t="s">
        <v>808</v>
      </c>
      <c r="B995" s="134">
        <v>2020</v>
      </c>
      <c r="C995" s="134">
        <v>2</v>
      </c>
      <c r="D995" s="134">
        <v>17</v>
      </c>
      <c r="E995" s="134" t="s">
        <v>1746</v>
      </c>
      <c r="F995" s="134" t="s">
        <v>809</v>
      </c>
      <c r="G995" s="195"/>
      <c r="H995" s="195">
        <v>427.5</v>
      </c>
    </row>
    <row r="996" spans="1:8" s="458" customFormat="1">
      <c r="A996" s="134" t="s">
        <v>808</v>
      </c>
      <c r="B996" s="134">
        <v>2020</v>
      </c>
      <c r="C996" s="134">
        <v>2</v>
      </c>
      <c r="D996" s="134">
        <v>17</v>
      </c>
      <c r="E996" s="134" t="s">
        <v>1746</v>
      </c>
      <c r="F996" s="134" t="s">
        <v>809</v>
      </c>
      <c r="G996" s="195"/>
      <c r="H996" s="195">
        <v>498.75</v>
      </c>
    </row>
    <row r="997" spans="1:8" s="458" customFormat="1">
      <c r="A997" s="134" t="s">
        <v>808</v>
      </c>
      <c r="B997" s="134">
        <v>2020</v>
      </c>
      <c r="C997" s="134">
        <v>2</v>
      </c>
      <c r="D997" s="134">
        <v>17</v>
      </c>
      <c r="E997" s="134" t="s">
        <v>1746</v>
      </c>
      <c r="F997" s="134" t="s">
        <v>809</v>
      </c>
      <c r="G997" s="195"/>
      <c r="H997" s="195">
        <v>324.89999999999998</v>
      </c>
    </row>
    <row r="998" spans="1:8" s="458" customFormat="1">
      <c r="A998" s="134" t="s">
        <v>808</v>
      </c>
      <c r="B998" s="134">
        <v>2020</v>
      </c>
      <c r="C998" s="134">
        <v>2</v>
      </c>
      <c r="D998" s="134">
        <v>17</v>
      </c>
      <c r="E998" s="134" t="s">
        <v>1746</v>
      </c>
      <c r="F998" s="134" t="s">
        <v>809</v>
      </c>
      <c r="G998" s="195"/>
      <c r="H998" s="195">
        <v>387.6</v>
      </c>
    </row>
    <row r="999" spans="1:8" s="458" customFormat="1">
      <c r="A999" s="134" t="s">
        <v>808</v>
      </c>
      <c r="B999" s="134">
        <v>2020</v>
      </c>
      <c r="C999" s="134">
        <v>2</v>
      </c>
      <c r="D999" s="134">
        <v>17</v>
      </c>
      <c r="E999" s="134" t="s">
        <v>1746</v>
      </c>
      <c r="F999" s="134" t="s">
        <v>809</v>
      </c>
      <c r="G999" s="195"/>
      <c r="H999" s="195">
        <v>473.1</v>
      </c>
    </row>
    <row r="1000" spans="1:8" s="458" customFormat="1">
      <c r="A1000" s="134" t="s">
        <v>808</v>
      </c>
      <c r="B1000" s="134">
        <v>2020</v>
      </c>
      <c r="C1000" s="134">
        <v>2</v>
      </c>
      <c r="D1000" s="134">
        <v>17</v>
      </c>
      <c r="E1000" s="134" t="s">
        <v>1746</v>
      </c>
      <c r="F1000" s="134" t="s">
        <v>809</v>
      </c>
      <c r="G1000" s="195"/>
      <c r="H1000" s="195">
        <v>575.70000000000005</v>
      </c>
    </row>
    <row r="1001" spans="1:8" s="458" customFormat="1">
      <c r="A1001" s="134" t="s">
        <v>808</v>
      </c>
      <c r="B1001" s="134">
        <v>2020</v>
      </c>
      <c r="C1001" s="134">
        <v>2</v>
      </c>
      <c r="D1001" s="134">
        <v>17</v>
      </c>
      <c r="E1001" s="134" t="s">
        <v>1746</v>
      </c>
      <c r="F1001" s="134" t="s">
        <v>809</v>
      </c>
      <c r="G1001" s="195"/>
      <c r="H1001" s="195">
        <v>473.1</v>
      </c>
    </row>
    <row r="1002" spans="1:8" s="458" customFormat="1">
      <c r="A1002" s="134" t="s">
        <v>808</v>
      </c>
      <c r="B1002" s="134">
        <v>2020</v>
      </c>
      <c r="C1002" s="134">
        <v>2</v>
      </c>
      <c r="D1002" s="134">
        <v>17</v>
      </c>
      <c r="E1002" s="134" t="s">
        <v>1746</v>
      </c>
      <c r="F1002" s="134" t="s">
        <v>809</v>
      </c>
      <c r="G1002" s="195"/>
      <c r="H1002" s="195">
        <v>136.80000000000001</v>
      </c>
    </row>
    <row r="1003" spans="1:8" s="458" customFormat="1">
      <c r="A1003" s="134" t="s">
        <v>808</v>
      </c>
      <c r="B1003" s="134">
        <v>2020</v>
      </c>
      <c r="C1003" s="134">
        <v>2</v>
      </c>
      <c r="D1003" s="134">
        <v>17</v>
      </c>
      <c r="E1003" s="134" t="s">
        <v>1746</v>
      </c>
      <c r="F1003" s="134" t="s">
        <v>809</v>
      </c>
      <c r="G1003" s="195"/>
      <c r="H1003" s="195">
        <v>205.2</v>
      </c>
    </row>
    <row r="1004" spans="1:8" s="458" customFormat="1">
      <c r="A1004" s="134" t="s">
        <v>808</v>
      </c>
      <c r="B1004" s="134">
        <v>2020</v>
      </c>
      <c r="C1004" s="134">
        <v>2</v>
      </c>
      <c r="D1004" s="134">
        <v>17</v>
      </c>
      <c r="E1004" s="134" t="s">
        <v>1746</v>
      </c>
      <c r="F1004" s="134" t="s">
        <v>809</v>
      </c>
      <c r="G1004" s="195"/>
      <c r="H1004" s="195">
        <v>79.8</v>
      </c>
    </row>
    <row r="1005" spans="1:8" s="458" customFormat="1">
      <c r="A1005" s="134" t="s">
        <v>808</v>
      </c>
      <c r="B1005" s="134">
        <v>2020</v>
      </c>
      <c r="C1005" s="134">
        <v>2</v>
      </c>
      <c r="D1005" s="134">
        <v>17</v>
      </c>
      <c r="E1005" s="134" t="s">
        <v>1746</v>
      </c>
      <c r="F1005" s="134" t="s">
        <v>809</v>
      </c>
      <c r="G1005" s="195"/>
      <c r="H1005" s="195">
        <v>219.45</v>
      </c>
    </row>
    <row r="1006" spans="1:8" s="458" customFormat="1">
      <c r="A1006" s="134" t="s">
        <v>808</v>
      </c>
      <c r="B1006" s="134">
        <v>2020</v>
      </c>
      <c r="C1006" s="134">
        <v>2</v>
      </c>
      <c r="D1006" s="134">
        <v>17</v>
      </c>
      <c r="E1006" s="134" t="s">
        <v>1746</v>
      </c>
      <c r="F1006" s="134" t="s">
        <v>809</v>
      </c>
      <c r="G1006" s="195"/>
      <c r="H1006" s="195">
        <v>279</v>
      </c>
    </row>
    <row r="1007" spans="1:8" s="458" customFormat="1">
      <c r="A1007" s="134" t="s">
        <v>808</v>
      </c>
      <c r="B1007" s="134">
        <v>2020</v>
      </c>
      <c r="C1007" s="134">
        <v>2</v>
      </c>
      <c r="D1007" s="134">
        <v>17</v>
      </c>
      <c r="E1007" s="134" t="s">
        <v>1746</v>
      </c>
      <c r="F1007" s="134" t="s">
        <v>809</v>
      </c>
      <c r="G1007" s="195"/>
      <c r="H1007" s="195">
        <v>180</v>
      </c>
    </row>
    <row r="1008" spans="1:8" s="458" customFormat="1">
      <c r="A1008" s="134" t="s">
        <v>808</v>
      </c>
      <c r="B1008" s="134">
        <v>2020</v>
      </c>
      <c r="C1008" s="134">
        <v>2</v>
      </c>
      <c r="D1008" s="134">
        <v>17</v>
      </c>
      <c r="E1008" s="134" t="s">
        <v>1746</v>
      </c>
      <c r="F1008" s="134" t="s">
        <v>809</v>
      </c>
      <c r="G1008" s="195"/>
      <c r="H1008" s="195">
        <v>267</v>
      </c>
    </row>
    <row r="1009" spans="1:8" s="458" customFormat="1">
      <c r="A1009" s="134" t="s">
        <v>808</v>
      </c>
      <c r="B1009" s="134">
        <v>2020</v>
      </c>
      <c r="C1009" s="134">
        <v>2</v>
      </c>
      <c r="D1009" s="134">
        <v>17</v>
      </c>
      <c r="E1009" s="134" t="s">
        <v>1746</v>
      </c>
      <c r="F1009" s="134" t="s">
        <v>809</v>
      </c>
      <c r="G1009" s="195"/>
      <c r="H1009" s="195">
        <v>249</v>
      </c>
    </row>
    <row r="1010" spans="1:8" s="458" customFormat="1">
      <c r="A1010" s="134" t="s">
        <v>808</v>
      </c>
      <c r="B1010" s="134">
        <v>2020</v>
      </c>
      <c r="C1010" s="134">
        <v>2</v>
      </c>
      <c r="D1010" s="134">
        <v>17</v>
      </c>
      <c r="E1010" s="134" t="s">
        <v>1746</v>
      </c>
      <c r="F1010" s="134" t="s">
        <v>809</v>
      </c>
      <c r="G1010" s="195"/>
      <c r="H1010" s="195">
        <v>237</v>
      </c>
    </row>
    <row r="1011" spans="1:8" s="458" customFormat="1">
      <c r="A1011" s="134" t="s">
        <v>808</v>
      </c>
      <c r="B1011" s="134">
        <v>2020</v>
      </c>
      <c r="C1011" s="134">
        <v>2</v>
      </c>
      <c r="D1011" s="134">
        <v>17</v>
      </c>
      <c r="E1011" s="134" t="s">
        <v>1746</v>
      </c>
      <c r="F1011" s="134" t="s">
        <v>809</v>
      </c>
      <c r="G1011" s="195"/>
      <c r="H1011" s="195">
        <v>150</v>
      </c>
    </row>
    <row r="1012" spans="1:8" s="458" customFormat="1">
      <c r="A1012" s="134" t="s">
        <v>808</v>
      </c>
      <c r="B1012" s="134">
        <v>2020</v>
      </c>
      <c r="C1012" s="134">
        <v>2</v>
      </c>
      <c r="D1012" s="134">
        <v>17</v>
      </c>
      <c r="E1012" s="134" t="s">
        <v>1746</v>
      </c>
      <c r="F1012" s="134" t="s">
        <v>809</v>
      </c>
      <c r="G1012" s="195"/>
      <c r="H1012" s="195">
        <v>192</v>
      </c>
    </row>
    <row r="1013" spans="1:8" s="458" customFormat="1">
      <c r="A1013" s="134" t="s">
        <v>808</v>
      </c>
      <c r="B1013" s="134">
        <v>2020</v>
      </c>
      <c r="C1013" s="134">
        <v>2</v>
      </c>
      <c r="D1013" s="134">
        <v>20</v>
      </c>
      <c r="E1013" s="134" t="s">
        <v>1750</v>
      </c>
      <c r="F1013" s="134" t="s">
        <v>809</v>
      </c>
      <c r="G1013" s="195"/>
      <c r="H1013" s="195">
        <v>49.91</v>
      </c>
    </row>
    <row r="1014" spans="1:8" s="458" customFormat="1">
      <c r="A1014" s="134" t="s">
        <v>808</v>
      </c>
      <c r="B1014" s="134">
        <v>2020</v>
      </c>
      <c r="C1014" s="134">
        <v>2</v>
      </c>
      <c r="D1014" s="134">
        <v>20</v>
      </c>
      <c r="E1014" s="134" t="s">
        <v>1750</v>
      </c>
      <c r="F1014" s="134" t="s">
        <v>809</v>
      </c>
      <c r="G1014" s="195"/>
      <c r="H1014" s="195">
        <v>84.56</v>
      </c>
    </row>
    <row r="1015" spans="1:8" s="458" customFormat="1">
      <c r="A1015" s="134" t="s">
        <v>808</v>
      </c>
      <c r="B1015" s="134">
        <v>2020</v>
      </c>
      <c r="C1015" s="134">
        <v>2</v>
      </c>
      <c r="D1015" s="134">
        <v>20</v>
      </c>
      <c r="E1015" s="134" t="s">
        <v>1750</v>
      </c>
      <c r="F1015" s="134" t="s">
        <v>809</v>
      </c>
      <c r="G1015" s="195"/>
      <c r="H1015" s="195">
        <v>52.24</v>
      </c>
    </row>
    <row r="1016" spans="1:8" s="458" customFormat="1">
      <c r="A1016" s="134" t="s">
        <v>808</v>
      </c>
      <c r="B1016" s="134">
        <v>2020</v>
      </c>
      <c r="C1016" s="134">
        <v>2</v>
      </c>
      <c r="D1016" s="134">
        <v>25</v>
      </c>
      <c r="E1016" s="134" t="s">
        <v>1760</v>
      </c>
      <c r="F1016" s="134" t="s">
        <v>809</v>
      </c>
      <c r="G1016" s="195"/>
      <c r="H1016" s="195">
        <v>65.33</v>
      </c>
    </row>
    <row r="1017" spans="1:8" s="458" customFormat="1">
      <c r="A1017" s="134" t="s">
        <v>808</v>
      </c>
      <c r="B1017" s="134">
        <v>2020</v>
      </c>
      <c r="C1017" s="134">
        <v>2</v>
      </c>
      <c r="D1017" s="134">
        <v>25</v>
      </c>
      <c r="E1017" s="134" t="s">
        <v>1760</v>
      </c>
      <c r="F1017" s="134" t="s">
        <v>809</v>
      </c>
      <c r="G1017" s="195"/>
      <c r="H1017" s="195"/>
    </row>
    <row r="1018" spans="1:8" s="458" customFormat="1">
      <c r="A1018" s="134" t="s">
        <v>808</v>
      </c>
      <c r="B1018" s="134">
        <v>2020</v>
      </c>
      <c r="C1018" s="134">
        <v>2</v>
      </c>
      <c r="D1018" s="134">
        <v>25</v>
      </c>
      <c r="E1018" s="134" t="s">
        <v>1760</v>
      </c>
      <c r="F1018" s="134" t="s">
        <v>809</v>
      </c>
      <c r="G1018" s="195"/>
      <c r="H1018" s="195">
        <v>65.33</v>
      </c>
    </row>
    <row r="1019" spans="1:8" s="458" customFormat="1">
      <c r="A1019" s="134" t="s">
        <v>808</v>
      </c>
      <c r="B1019" s="134">
        <v>2020</v>
      </c>
      <c r="C1019" s="134">
        <v>2</v>
      </c>
      <c r="D1019" s="134">
        <v>25</v>
      </c>
      <c r="E1019" s="134" t="s">
        <v>1760</v>
      </c>
      <c r="F1019" s="134" t="s">
        <v>809</v>
      </c>
      <c r="G1019" s="195"/>
      <c r="H1019" s="195"/>
    </row>
    <row r="1020" spans="1:8" s="458" customFormat="1">
      <c r="A1020" s="134" t="s">
        <v>808</v>
      </c>
      <c r="B1020" s="134">
        <v>2020</v>
      </c>
      <c r="C1020" s="134">
        <v>2</v>
      </c>
      <c r="D1020" s="134">
        <v>25</v>
      </c>
      <c r="E1020" s="134" t="s">
        <v>1760</v>
      </c>
      <c r="F1020" s="134" t="s">
        <v>809</v>
      </c>
      <c r="G1020" s="195"/>
      <c r="H1020" s="195">
        <v>65.33</v>
      </c>
    </row>
    <row r="1021" spans="1:8" s="458" customFormat="1">
      <c r="A1021" s="134" t="s">
        <v>808</v>
      </c>
      <c r="B1021" s="134">
        <v>2020</v>
      </c>
      <c r="C1021" s="134">
        <v>2</v>
      </c>
      <c r="D1021" s="134">
        <v>25</v>
      </c>
      <c r="E1021" s="134" t="s">
        <v>1760</v>
      </c>
      <c r="F1021" s="134" t="s">
        <v>809</v>
      </c>
      <c r="G1021" s="195"/>
      <c r="H1021" s="195"/>
    </row>
    <row r="1022" spans="1:8" s="458" customFormat="1">
      <c r="A1022" s="134" t="s">
        <v>808</v>
      </c>
      <c r="B1022" s="134">
        <v>2020</v>
      </c>
      <c r="C1022" s="134">
        <v>2</v>
      </c>
      <c r="D1022" s="134">
        <v>27</v>
      </c>
      <c r="E1022" s="134" t="s">
        <v>1766</v>
      </c>
      <c r="F1022" s="134" t="s">
        <v>809</v>
      </c>
      <c r="G1022" s="195"/>
      <c r="H1022" s="195">
        <v>6500</v>
      </c>
    </row>
    <row r="1023" spans="1:8" s="458" customFormat="1">
      <c r="A1023" s="134" t="s">
        <v>808</v>
      </c>
      <c r="B1023" s="134">
        <v>2020</v>
      </c>
      <c r="C1023" s="134">
        <v>2</v>
      </c>
      <c r="D1023" s="134">
        <v>27</v>
      </c>
      <c r="E1023" s="134" t="s">
        <v>1768</v>
      </c>
      <c r="F1023" s="134" t="s">
        <v>809</v>
      </c>
      <c r="G1023" s="195"/>
      <c r="H1023" s="195">
        <v>152</v>
      </c>
    </row>
    <row r="1024" spans="1:8" s="458" customFormat="1">
      <c r="A1024" s="134" t="s">
        <v>808</v>
      </c>
      <c r="B1024" s="134">
        <v>2020</v>
      </c>
      <c r="C1024" s="134">
        <v>2</v>
      </c>
      <c r="D1024" s="134">
        <v>29</v>
      </c>
      <c r="E1024" s="134" t="s">
        <v>1780</v>
      </c>
      <c r="F1024" s="134" t="s">
        <v>809</v>
      </c>
      <c r="G1024" s="195"/>
      <c r="H1024" s="195">
        <v>123.93</v>
      </c>
    </row>
    <row r="1025" spans="1:8" s="458" customFormat="1">
      <c r="A1025" s="134" t="s">
        <v>808</v>
      </c>
      <c r="B1025" s="134">
        <v>2020</v>
      </c>
      <c r="C1025" s="134">
        <v>2</v>
      </c>
      <c r="D1025" s="134">
        <v>29</v>
      </c>
      <c r="E1025" s="134" t="s">
        <v>1782</v>
      </c>
      <c r="F1025" s="134" t="s">
        <v>809</v>
      </c>
      <c r="G1025" s="195"/>
      <c r="H1025" s="195"/>
    </row>
    <row r="1026" spans="1:8" s="458" customFormat="1">
      <c r="A1026" s="134" t="s">
        <v>808</v>
      </c>
      <c r="B1026" s="134">
        <v>2020</v>
      </c>
      <c r="C1026" s="134">
        <v>2</v>
      </c>
      <c r="D1026" s="134">
        <v>29</v>
      </c>
      <c r="E1026" s="134" t="s">
        <v>1782</v>
      </c>
      <c r="F1026" s="134" t="s">
        <v>809</v>
      </c>
      <c r="G1026" s="195"/>
      <c r="H1026" s="195">
        <v>600</v>
      </c>
    </row>
    <row r="1027" spans="1:8" s="458" customFormat="1">
      <c r="A1027" s="134" t="s">
        <v>808</v>
      </c>
      <c r="B1027" s="134">
        <v>2020</v>
      </c>
      <c r="C1027" s="134">
        <v>2</v>
      </c>
      <c r="D1027" s="134">
        <v>29</v>
      </c>
      <c r="E1027" s="134" t="s">
        <v>1782</v>
      </c>
      <c r="F1027" s="134" t="s">
        <v>809</v>
      </c>
      <c r="G1027" s="195"/>
      <c r="H1027" s="195"/>
    </row>
    <row r="1028" spans="1:8" s="458" customFormat="1">
      <c r="A1028" s="134" t="s">
        <v>808</v>
      </c>
      <c r="B1028" s="134">
        <v>2020</v>
      </c>
      <c r="C1028" s="134">
        <v>2</v>
      </c>
      <c r="D1028" s="134">
        <v>29</v>
      </c>
      <c r="E1028" s="134" t="s">
        <v>1782</v>
      </c>
      <c r="F1028" s="134" t="s">
        <v>809</v>
      </c>
      <c r="G1028" s="195"/>
      <c r="H1028" s="195">
        <v>600</v>
      </c>
    </row>
    <row r="1029" spans="1:8" s="458" customFormat="1">
      <c r="A1029" s="134" t="s">
        <v>808</v>
      </c>
      <c r="B1029" s="134">
        <v>2020</v>
      </c>
      <c r="C1029" s="134">
        <v>2</v>
      </c>
      <c r="D1029" s="134">
        <v>29</v>
      </c>
      <c r="E1029" s="134" t="s">
        <v>1782</v>
      </c>
      <c r="F1029" s="134" t="s">
        <v>809</v>
      </c>
      <c r="G1029" s="195"/>
      <c r="H1029" s="195"/>
    </row>
    <row r="1030" spans="1:8" s="458" customFormat="1">
      <c r="A1030" s="134" t="s">
        <v>808</v>
      </c>
      <c r="B1030" s="134">
        <v>2020</v>
      </c>
      <c r="C1030" s="134">
        <v>2</v>
      </c>
      <c r="D1030" s="134">
        <v>29</v>
      </c>
      <c r="E1030" s="134" t="s">
        <v>1782</v>
      </c>
      <c r="F1030" s="134" t="s">
        <v>809</v>
      </c>
      <c r="G1030" s="195"/>
      <c r="H1030" s="195">
        <v>600</v>
      </c>
    </row>
    <row r="1031" spans="1:8" s="458" customFormat="1">
      <c r="A1031" s="134" t="s">
        <v>808</v>
      </c>
      <c r="B1031" s="134">
        <v>2020</v>
      </c>
      <c r="C1031" s="134">
        <v>2</v>
      </c>
      <c r="D1031" s="134">
        <v>37</v>
      </c>
      <c r="E1031" s="134" t="s">
        <v>1789</v>
      </c>
      <c r="F1031" s="134" t="s">
        <v>809</v>
      </c>
      <c r="G1031" s="195"/>
      <c r="H1031" s="195">
        <v>699.31</v>
      </c>
    </row>
    <row r="1032" spans="1:8" s="458" customFormat="1">
      <c r="A1032" s="134" t="s">
        <v>808</v>
      </c>
      <c r="B1032" s="134">
        <v>2020</v>
      </c>
      <c r="C1032" s="134">
        <v>2</v>
      </c>
      <c r="D1032" s="134">
        <v>37</v>
      </c>
      <c r="E1032" s="134" t="s">
        <v>1789</v>
      </c>
      <c r="F1032" s="134" t="s">
        <v>809</v>
      </c>
      <c r="G1032" s="195"/>
      <c r="H1032" s="195">
        <v>609.29999999999995</v>
      </c>
    </row>
    <row r="1033" spans="1:8" s="458" customFormat="1">
      <c r="A1033" s="134" t="s">
        <v>808</v>
      </c>
      <c r="B1033" s="134">
        <v>2020</v>
      </c>
      <c r="C1033" s="134">
        <v>2</v>
      </c>
      <c r="D1033" s="134">
        <v>37</v>
      </c>
      <c r="E1033" s="134" t="s">
        <v>1789</v>
      </c>
      <c r="F1033" s="134" t="s">
        <v>809</v>
      </c>
      <c r="G1033" s="195"/>
      <c r="H1033" s="195">
        <v>630.16</v>
      </c>
    </row>
    <row r="1034" spans="1:8" s="458" customFormat="1">
      <c r="A1034" s="134" t="s">
        <v>808</v>
      </c>
      <c r="B1034" s="134">
        <v>2020</v>
      </c>
      <c r="C1034" s="134">
        <v>2</v>
      </c>
      <c r="D1034" s="134">
        <v>40</v>
      </c>
      <c r="E1034" s="134" t="s">
        <v>1791</v>
      </c>
      <c r="F1034" s="134" t="s">
        <v>809</v>
      </c>
      <c r="G1034" s="195"/>
      <c r="H1034" s="195">
        <v>-439.56</v>
      </c>
    </row>
    <row r="1035" spans="1:8" s="458" customFormat="1">
      <c r="A1035" s="134" t="s">
        <v>808</v>
      </c>
      <c r="B1035" s="134">
        <v>2020</v>
      </c>
      <c r="C1035" s="134">
        <v>2</v>
      </c>
      <c r="D1035" s="134">
        <v>40</v>
      </c>
      <c r="E1035" s="134" t="s">
        <v>1791</v>
      </c>
      <c r="F1035" s="134" t="s">
        <v>809</v>
      </c>
      <c r="G1035" s="195"/>
      <c r="H1035" s="195">
        <v>879.11</v>
      </c>
    </row>
    <row r="1036" spans="1:8" s="458" customFormat="1">
      <c r="A1036" s="134" t="s">
        <v>808</v>
      </c>
      <c r="B1036" s="134">
        <v>2020</v>
      </c>
      <c r="C1036" s="134">
        <v>2</v>
      </c>
      <c r="D1036" s="134">
        <v>40</v>
      </c>
      <c r="E1036" s="134" t="s">
        <v>1791</v>
      </c>
      <c r="F1036" s="134" t="s">
        <v>809</v>
      </c>
      <c r="G1036" s="195"/>
      <c r="H1036" s="195">
        <v>-323.70999999999998</v>
      </c>
    </row>
    <row r="1037" spans="1:8" s="458" customFormat="1">
      <c r="A1037" s="134" t="s">
        <v>808</v>
      </c>
      <c r="B1037" s="134">
        <v>2020</v>
      </c>
      <c r="C1037" s="134">
        <v>2</v>
      </c>
      <c r="D1037" s="134">
        <v>40</v>
      </c>
      <c r="E1037" s="134" t="s">
        <v>1791</v>
      </c>
      <c r="F1037" s="134" t="s">
        <v>809</v>
      </c>
      <c r="G1037" s="195"/>
      <c r="H1037" s="195">
        <v>647.42999999999995</v>
      </c>
    </row>
    <row r="1038" spans="1:8" s="458" customFormat="1">
      <c r="A1038" s="134" t="s">
        <v>808</v>
      </c>
      <c r="B1038" s="134">
        <v>2020</v>
      </c>
      <c r="C1038" s="134">
        <v>2</v>
      </c>
      <c r="D1038" s="134">
        <v>40</v>
      </c>
      <c r="E1038" s="134" t="s">
        <v>1791</v>
      </c>
      <c r="F1038" s="134" t="s">
        <v>809</v>
      </c>
      <c r="G1038" s="195"/>
      <c r="H1038" s="195">
        <v>-220.57</v>
      </c>
    </row>
    <row r="1039" spans="1:8" s="458" customFormat="1">
      <c r="A1039" s="134" t="s">
        <v>808</v>
      </c>
      <c r="B1039" s="134">
        <v>2020</v>
      </c>
      <c r="C1039" s="134">
        <v>2</v>
      </c>
      <c r="D1039" s="134">
        <v>40</v>
      </c>
      <c r="E1039" s="134" t="s">
        <v>1791</v>
      </c>
      <c r="F1039" s="134" t="s">
        <v>809</v>
      </c>
      <c r="G1039" s="195"/>
      <c r="H1039" s="195">
        <v>441.14</v>
      </c>
    </row>
    <row r="1040" spans="1:8" s="458" customFormat="1">
      <c r="A1040" s="134" t="s">
        <v>808</v>
      </c>
      <c r="B1040" s="134">
        <v>2020</v>
      </c>
      <c r="C1040" s="134">
        <v>2</v>
      </c>
      <c r="D1040" s="134">
        <v>41</v>
      </c>
      <c r="E1040" s="134" t="s">
        <v>1792</v>
      </c>
      <c r="F1040" s="134" t="s">
        <v>809</v>
      </c>
      <c r="G1040" s="195"/>
      <c r="H1040" s="195">
        <v>77.2</v>
      </c>
    </row>
    <row r="1041" spans="1:8" s="458" customFormat="1">
      <c r="A1041" s="134" t="s">
        <v>808</v>
      </c>
      <c r="B1041" s="134">
        <v>2020</v>
      </c>
      <c r="C1041" s="134">
        <v>2</v>
      </c>
      <c r="D1041" s="134">
        <v>41</v>
      </c>
      <c r="E1041" s="134" t="s">
        <v>1792</v>
      </c>
      <c r="F1041" s="134" t="s">
        <v>809</v>
      </c>
      <c r="G1041" s="195"/>
      <c r="H1041" s="195">
        <v>56.86</v>
      </c>
    </row>
    <row r="1042" spans="1:8" s="458" customFormat="1">
      <c r="A1042" s="134" t="s">
        <v>808</v>
      </c>
      <c r="B1042" s="134">
        <v>2020</v>
      </c>
      <c r="C1042" s="134">
        <v>2</v>
      </c>
      <c r="D1042" s="134">
        <v>41</v>
      </c>
      <c r="E1042" s="134" t="s">
        <v>1792</v>
      </c>
      <c r="F1042" s="134" t="s">
        <v>809</v>
      </c>
      <c r="G1042" s="195"/>
      <c r="H1042" s="195">
        <v>38.74</v>
      </c>
    </row>
    <row r="1043" spans="1:8" s="458" customFormat="1">
      <c r="A1043" s="134" t="s">
        <v>808</v>
      </c>
      <c r="B1043" s="134">
        <v>2020</v>
      </c>
      <c r="C1043" s="134">
        <v>2</v>
      </c>
      <c r="D1043" s="134">
        <v>38</v>
      </c>
      <c r="E1043" s="134" t="s">
        <v>1793</v>
      </c>
      <c r="F1043" s="134" t="s">
        <v>809</v>
      </c>
      <c r="G1043" s="195"/>
      <c r="H1043" s="195">
        <v>439.56</v>
      </c>
    </row>
    <row r="1044" spans="1:8" s="458" customFormat="1">
      <c r="A1044" s="134" t="s">
        <v>808</v>
      </c>
      <c r="B1044" s="134">
        <v>2020</v>
      </c>
      <c r="C1044" s="134">
        <v>2</v>
      </c>
      <c r="D1044" s="134">
        <v>38</v>
      </c>
      <c r="E1044" s="134" t="s">
        <v>1793</v>
      </c>
      <c r="F1044" s="134" t="s">
        <v>809</v>
      </c>
      <c r="G1044" s="195"/>
      <c r="H1044" s="195">
        <v>323.70999999999998</v>
      </c>
    </row>
    <row r="1045" spans="1:8" s="458" customFormat="1">
      <c r="A1045" s="134" t="s">
        <v>808</v>
      </c>
      <c r="B1045" s="134">
        <v>2020</v>
      </c>
      <c r="C1045" s="134">
        <v>2</v>
      </c>
      <c r="D1045" s="134">
        <v>38</v>
      </c>
      <c r="E1045" s="134" t="s">
        <v>1793</v>
      </c>
      <c r="F1045" s="134" t="s">
        <v>809</v>
      </c>
      <c r="G1045" s="195"/>
      <c r="H1045" s="195">
        <v>220.57</v>
      </c>
    </row>
    <row r="1046" spans="1:8" s="458" customFormat="1">
      <c r="A1046" s="134" t="s">
        <v>808</v>
      </c>
      <c r="B1046" s="134">
        <v>2020</v>
      </c>
      <c r="C1046" s="134">
        <v>3</v>
      </c>
      <c r="D1046" s="134">
        <v>8</v>
      </c>
      <c r="E1046" s="134" t="s">
        <v>1744</v>
      </c>
      <c r="F1046" s="134" t="s">
        <v>809</v>
      </c>
      <c r="G1046" s="195"/>
      <c r="H1046" s="195">
        <v>-73521</v>
      </c>
    </row>
    <row r="1047" spans="1:8" s="458" customFormat="1">
      <c r="A1047" s="134" t="s">
        <v>808</v>
      </c>
      <c r="B1047" s="134">
        <v>2020</v>
      </c>
      <c r="C1047" s="134">
        <v>3</v>
      </c>
      <c r="D1047" s="134">
        <v>17</v>
      </c>
      <c r="E1047" s="134" t="s">
        <v>1746</v>
      </c>
      <c r="F1047" s="134" t="s">
        <v>809</v>
      </c>
      <c r="G1047" s="195"/>
      <c r="H1047" s="195">
        <v>48</v>
      </c>
    </row>
    <row r="1048" spans="1:8" s="458" customFormat="1">
      <c r="A1048" s="134" t="s">
        <v>808</v>
      </c>
      <c r="B1048" s="134">
        <v>2020</v>
      </c>
      <c r="C1048" s="134">
        <v>3</v>
      </c>
      <c r="D1048" s="134">
        <v>17</v>
      </c>
      <c r="E1048" s="134" t="s">
        <v>1746</v>
      </c>
      <c r="F1048" s="134" t="s">
        <v>809</v>
      </c>
      <c r="G1048" s="195"/>
      <c r="H1048" s="195">
        <v>90</v>
      </c>
    </row>
    <row r="1049" spans="1:8" s="458" customFormat="1">
      <c r="A1049" s="134" t="s">
        <v>808</v>
      </c>
      <c r="B1049" s="134">
        <v>2020</v>
      </c>
      <c r="C1049" s="134">
        <v>3</v>
      </c>
      <c r="D1049" s="134">
        <v>17</v>
      </c>
      <c r="E1049" s="134" t="s">
        <v>1746</v>
      </c>
      <c r="F1049" s="134" t="s">
        <v>809</v>
      </c>
      <c r="G1049" s="195"/>
      <c r="H1049" s="195">
        <v>132</v>
      </c>
    </row>
    <row r="1050" spans="1:8" s="458" customFormat="1">
      <c r="A1050" s="134" t="s">
        <v>808</v>
      </c>
      <c r="B1050" s="134">
        <v>2020</v>
      </c>
      <c r="C1050" s="134">
        <v>3</v>
      </c>
      <c r="D1050" s="134">
        <v>17</v>
      </c>
      <c r="E1050" s="134" t="s">
        <v>1746</v>
      </c>
      <c r="F1050" s="134" t="s">
        <v>809</v>
      </c>
      <c r="G1050" s="195"/>
      <c r="H1050" s="195">
        <v>192</v>
      </c>
    </row>
    <row r="1051" spans="1:8" s="458" customFormat="1">
      <c r="A1051" s="134" t="s">
        <v>808</v>
      </c>
      <c r="B1051" s="134">
        <v>2020</v>
      </c>
      <c r="C1051" s="134">
        <v>3</v>
      </c>
      <c r="D1051" s="134">
        <v>17</v>
      </c>
      <c r="E1051" s="134" t="s">
        <v>1746</v>
      </c>
      <c r="F1051" s="134" t="s">
        <v>809</v>
      </c>
      <c r="G1051" s="195"/>
      <c r="H1051" s="195">
        <v>120</v>
      </c>
    </row>
    <row r="1052" spans="1:8" s="458" customFormat="1">
      <c r="A1052" s="134" t="s">
        <v>808</v>
      </c>
      <c r="B1052" s="134">
        <v>2020</v>
      </c>
      <c r="C1052" s="134">
        <v>3</v>
      </c>
      <c r="D1052" s="134">
        <v>17</v>
      </c>
      <c r="E1052" s="134" t="s">
        <v>1746</v>
      </c>
      <c r="F1052" s="134" t="s">
        <v>809</v>
      </c>
      <c r="G1052" s="195"/>
      <c r="H1052" s="195">
        <v>552</v>
      </c>
    </row>
    <row r="1053" spans="1:8" s="458" customFormat="1">
      <c r="A1053" s="134" t="s">
        <v>808</v>
      </c>
      <c r="B1053" s="134">
        <v>2020</v>
      </c>
      <c r="C1053" s="134">
        <v>3</v>
      </c>
      <c r="D1053" s="134">
        <v>17</v>
      </c>
      <c r="E1053" s="134" t="s">
        <v>1746</v>
      </c>
      <c r="F1053" s="134" t="s">
        <v>809</v>
      </c>
      <c r="G1053" s="195"/>
      <c r="H1053" s="195">
        <v>483</v>
      </c>
    </row>
    <row r="1054" spans="1:8" s="458" customFormat="1">
      <c r="A1054" s="134" t="s">
        <v>808</v>
      </c>
      <c r="B1054" s="134">
        <v>2020</v>
      </c>
      <c r="C1054" s="134">
        <v>3</v>
      </c>
      <c r="D1054" s="134">
        <v>17</v>
      </c>
      <c r="E1054" s="134" t="s">
        <v>1746</v>
      </c>
      <c r="F1054" s="134" t="s">
        <v>809</v>
      </c>
      <c r="G1054" s="195"/>
      <c r="H1054" s="195">
        <v>492</v>
      </c>
    </row>
    <row r="1055" spans="1:8" s="458" customFormat="1">
      <c r="A1055" s="134" t="s">
        <v>808</v>
      </c>
      <c r="B1055" s="134">
        <v>2020</v>
      </c>
      <c r="C1055" s="134">
        <v>3</v>
      </c>
      <c r="D1055" s="134">
        <v>17</v>
      </c>
      <c r="E1055" s="134" t="s">
        <v>1746</v>
      </c>
      <c r="F1055" s="134" t="s">
        <v>809</v>
      </c>
      <c r="G1055" s="195"/>
      <c r="H1055" s="195">
        <v>513</v>
      </c>
    </row>
    <row r="1056" spans="1:8" s="458" customFormat="1">
      <c r="A1056" s="134" t="s">
        <v>808</v>
      </c>
      <c r="B1056" s="134">
        <v>2020</v>
      </c>
      <c r="C1056" s="134">
        <v>3</v>
      </c>
      <c r="D1056" s="134">
        <v>17</v>
      </c>
      <c r="E1056" s="134" t="s">
        <v>1746</v>
      </c>
      <c r="F1056" s="134" t="s">
        <v>809</v>
      </c>
      <c r="G1056" s="195"/>
      <c r="H1056" s="195">
        <v>480</v>
      </c>
    </row>
    <row r="1057" spans="1:8" s="458" customFormat="1">
      <c r="A1057" s="134" t="s">
        <v>808</v>
      </c>
      <c r="B1057" s="134">
        <v>2020</v>
      </c>
      <c r="C1057" s="134">
        <v>3</v>
      </c>
      <c r="D1057" s="134">
        <v>17</v>
      </c>
      <c r="E1057" s="134" t="s">
        <v>1746</v>
      </c>
      <c r="F1057" s="134" t="s">
        <v>809</v>
      </c>
      <c r="G1057" s="195"/>
      <c r="H1057" s="195">
        <v>765.91</v>
      </c>
    </row>
    <row r="1058" spans="1:8" s="458" customFormat="1">
      <c r="A1058" s="134" t="s">
        <v>808</v>
      </c>
      <c r="B1058" s="134">
        <v>2020</v>
      </c>
      <c r="C1058" s="134">
        <v>3</v>
      </c>
      <c r="D1058" s="134">
        <v>17</v>
      </c>
      <c r="E1058" s="134" t="s">
        <v>1746</v>
      </c>
      <c r="F1058" s="134" t="s">
        <v>809</v>
      </c>
      <c r="G1058" s="195"/>
      <c r="H1058" s="195">
        <v>437.75</v>
      </c>
    </row>
    <row r="1059" spans="1:8" s="458" customFormat="1">
      <c r="A1059" s="134" t="s">
        <v>808</v>
      </c>
      <c r="B1059" s="134">
        <v>2020</v>
      </c>
      <c r="C1059" s="134">
        <v>3</v>
      </c>
      <c r="D1059" s="134">
        <v>17</v>
      </c>
      <c r="E1059" s="134" t="s">
        <v>1746</v>
      </c>
      <c r="F1059" s="134" t="s">
        <v>809</v>
      </c>
      <c r="G1059" s="195"/>
      <c r="H1059" s="195">
        <v>192</v>
      </c>
    </row>
    <row r="1060" spans="1:8" s="458" customFormat="1">
      <c r="A1060" s="134" t="s">
        <v>808</v>
      </c>
      <c r="B1060" s="134">
        <v>2020</v>
      </c>
      <c r="C1060" s="134">
        <v>3</v>
      </c>
      <c r="D1060" s="134">
        <v>17</v>
      </c>
      <c r="E1060" s="134" t="s">
        <v>1746</v>
      </c>
      <c r="F1060" s="134" t="s">
        <v>809</v>
      </c>
      <c r="G1060" s="195"/>
      <c r="H1060" s="195">
        <v>438</v>
      </c>
    </row>
    <row r="1061" spans="1:8" s="458" customFormat="1">
      <c r="A1061" s="134" t="s">
        <v>808</v>
      </c>
      <c r="B1061" s="134">
        <v>2020</v>
      </c>
      <c r="C1061" s="134">
        <v>3</v>
      </c>
      <c r="D1061" s="134">
        <v>17</v>
      </c>
      <c r="E1061" s="134" t="s">
        <v>1746</v>
      </c>
      <c r="F1061" s="134" t="s">
        <v>809</v>
      </c>
      <c r="G1061" s="195"/>
      <c r="H1061" s="195">
        <v>444</v>
      </c>
    </row>
    <row r="1062" spans="1:8" s="458" customFormat="1">
      <c r="A1062" s="134" t="s">
        <v>808</v>
      </c>
      <c r="B1062" s="134">
        <v>2020</v>
      </c>
      <c r="C1062" s="134">
        <v>3</v>
      </c>
      <c r="D1062" s="134">
        <v>17</v>
      </c>
      <c r="E1062" s="134" t="s">
        <v>1746</v>
      </c>
      <c r="F1062" s="134" t="s">
        <v>809</v>
      </c>
      <c r="G1062" s="195"/>
      <c r="H1062" s="195">
        <v>579</v>
      </c>
    </row>
    <row r="1063" spans="1:8" s="458" customFormat="1">
      <c r="A1063" s="134" t="s">
        <v>808</v>
      </c>
      <c r="B1063" s="134">
        <v>2020</v>
      </c>
      <c r="C1063" s="134">
        <v>3</v>
      </c>
      <c r="D1063" s="134">
        <v>17</v>
      </c>
      <c r="E1063" s="134" t="s">
        <v>1746</v>
      </c>
      <c r="F1063" s="134" t="s">
        <v>809</v>
      </c>
      <c r="G1063" s="195"/>
      <c r="H1063" s="195">
        <v>114</v>
      </c>
    </row>
    <row r="1064" spans="1:8" s="458" customFormat="1">
      <c r="A1064" s="134" t="s">
        <v>808</v>
      </c>
      <c r="B1064" s="134">
        <v>2020</v>
      </c>
      <c r="C1064" s="134">
        <v>3</v>
      </c>
      <c r="D1064" s="134">
        <v>17</v>
      </c>
      <c r="E1064" s="134" t="s">
        <v>1746</v>
      </c>
      <c r="F1064" s="134" t="s">
        <v>809</v>
      </c>
      <c r="G1064" s="195"/>
      <c r="H1064" s="195">
        <v>120</v>
      </c>
    </row>
    <row r="1065" spans="1:8" s="458" customFormat="1">
      <c r="A1065" s="134" t="s">
        <v>808</v>
      </c>
      <c r="B1065" s="134">
        <v>2020</v>
      </c>
      <c r="C1065" s="134">
        <v>3</v>
      </c>
      <c r="D1065" s="134">
        <v>17</v>
      </c>
      <c r="E1065" s="134" t="s">
        <v>1746</v>
      </c>
      <c r="F1065" s="134" t="s">
        <v>809</v>
      </c>
      <c r="G1065" s="195"/>
      <c r="H1065" s="195">
        <v>261</v>
      </c>
    </row>
    <row r="1066" spans="1:8" s="458" customFormat="1">
      <c r="A1066" s="134" t="s">
        <v>808</v>
      </c>
      <c r="B1066" s="134">
        <v>2020</v>
      </c>
      <c r="C1066" s="134">
        <v>3</v>
      </c>
      <c r="D1066" s="134">
        <v>17</v>
      </c>
      <c r="E1066" s="134" t="s">
        <v>1746</v>
      </c>
      <c r="F1066" s="134" t="s">
        <v>809</v>
      </c>
      <c r="G1066" s="195"/>
      <c r="H1066" s="195">
        <v>216</v>
      </c>
    </row>
    <row r="1067" spans="1:8" s="458" customFormat="1">
      <c r="A1067" s="134" t="s">
        <v>808</v>
      </c>
      <c r="B1067" s="134">
        <v>2020</v>
      </c>
      <c r="C1067" s="134">
        <v>3</v>
      </c>
      <c r="D1067" s="134">
        <v>17</v>
      </c>
      <c r="E1067" s="134" t="s">
        <v>1746</v>
      </c>
      <c r="F1067" s="134" t="s">
        <v>809</v>
      </c>
      <c r="G1067" s="195"/>
      <c r="H1067" s="195">
        <v>372</v>
      </c>
    </row>
    <row r="1068" spans="1:8" s="458" customFormat="1">
      <c r="A1068" s="134" t="s">
        <v>808</v>
      </c>
      <c r="B1068" s="134">
        <v>2020</v>
      </c>
      <c r="C1068" s="134">
        <v>3</v>
      </c>
      <c r="D1068" s="134">
        <v>17</v>
      </c>
      <c r="E1068" s="134" t="s">
        <v>1746</v>
      </c>
      <c r="F1068" s="134" t="s">
        <v>809</v>
      </c>
      <c r="G1068" s="195"/>
      <c r="H1068" s="195">
        <v>360</v>
      </c>
    </row>
    <row r="1069" spans="1:8" s="458" customFormat="1">
      <c r="A1069" s="134" t="s">
        <v>808</v>
      </c>
      <c r="B1069" s="134">
        <v>2020</v>
      </c>
      <c r="C1069" s="134">
        <v>3</v>
      </c>
      <c r="D1069" s="134">
        <v>17</v>
      </c>
      <c r="E1069" s="134" t="s">
        <v>1746</v>
      </c>
      <c r="F1069" s="134" t="s">
        <v>809</v>
      </c>
      <c r="G1069" s="195"/>
      <c r="H1069" s="195">
        <v>336</v>
      </c>
    </row>
    <row r="1070" spans="1:8" s="458" customFormat="1">
      <c r="A1070" s="134" t="s">
        <v>808</v>
      </c>
      <c r="B1070" s="134">
        <v>2020</v>
      </c>
      <c r="C1070" s="134">
        <v>3</v>
      </c>
      <c r="D1070" s="134">
        <v>17</v>
      </c>
      <c r="E1070" s="134" t="s">
        <v>1746</v>
      </c>
      <c r="F1070" s="134" t="s">
        <v>809</v>
      </c>
      <c r="G1070" s="195"/>
      <c r="H1070" s="195">
        <v>276</v>
      </c>
    </row>
    <row r="1071" spans="1:8" s="458" customFormat="1">
      <c r="A1071" s="134" t="s">
        <v>808</v>
      </c>
      <c r="B1071" s="134">
        <v>2020</v>
      </c>
      <c r="C1071" s="134">
        <v>3</v>
      </c>
      <c r="D1071" s="134">
        <v>17</v>
      </c>
      <c r="E1071" s="134" t="s">
        <v>1746</v>
      </c>
      <c r="F1071" s="134" t="s">
        <v>809</v>
      </c>
      <c r="G1071" s="195"/>
      <c r="H1071" s="195">
        <v>240</v>
      </c>
    </row>
    <row r="1072" spans="1:8" s="458" customFormat="1">
      <c r="A1072" s="134" t="s">
        <v>808</v>
      </c>
      <c r="B1072" s="134">
        <v>2020</v>
      </c>
      <c r="C1072" s="134">
        <v>3</v>
      </c>
      <c r="D1072" s="134">
        <v>17</v>
      </c>
      <c r="E1072" s="134" t="s">
        <v>1746</v>
      </c>
      <c r="F1072" s="134" t="s">
        <v>809</v>
      </c>
      <c r="G1072" s="195"/>
      <c r="H1072" s="195">
        <v>288</v>
      </c>
    </row>
    <row r="1073" spans="1:8" s="458" customFormat="1">
      <c r="A1073" s="134" t="s">
        <v>808</v>
      </c>
      <c r="B1073" s="134">
        <v>2020</v>
      </c>
      <c r="C1073" s="134">
        <v>3</v>
      </c>
      <c r="D1073" s="134">
        <v>17</v>
      </c>
      <c r="E1073" s="134" t="s">
        <v>1746</v>
      </c>
      <c r="F1073" s="134" t="s">
        <v>809</v>
      </c>
      <c r="G1073" s="195"/>
      <c r="H1073" s="195">
        <v>276</v>
      </c>
    </row>
    <row r="1074" spans="1:8" s="458" customFormat="1">
      <c r="A1074" s="134" t="s">
        <v>808</v>
      </c>
      <c r="B1074" s="134">
        <v>2020</v>
      </c>
      <c r="C1074" s="134">
        <v>3</v>
      </c>
      <c r="D1074" s="134">
        <v>17</v>
      </c>
      <c r="E1074" s="134" t="s">
        <v>1746</v>
      </c>
      <c r="F1074" s="134" t="s">
        <v>809</v>
      </c>
      <c r="G1074" s="195"/>
      <c r="H1074" s="195">
        <v>288</v>
      </c>
    </row>
    <row r="1075" spans="1:8" s="458" customFormat="1">
      <c r="A1075" s="134" t="s">
        <v>808</v>
      </c>
      <c r="B1075" s="134">
        <v>2020</v>
      </c>
      <c r="C1075" s="134">
        <v>3</v>
      </c>
      <c r="D1075" s="134">
        <v>17</v>
      </c>
      <c r="E1075" s="134" t="s">
        <v>1746</v>
      </c>
      <c r="F1075" s="134" t="s">
        <v>809</v>
      </c>
      <c r="G1075" s="195"/>
      <c r="H1075" s="195">
        <v>282</v>
      </c>
    </row>
    <row r="1076" spans="1:8" s="458" customFormat="1">
      <c r="A1076" s="134" t="s">
        <v>808</v>
      </c>
      <c r="B1076" s="134">
        <v>2020</v>
      </c>
      <c r="C1076" s="134">
        <v>3</v>
      </c>
      <c r="D1076" s="134">
        <v>17</v>
      </c>
      <c r="E1076" s="134" t="s">
        <v>1746</v>
      </c>
      <c r="F1076" s="134" t="s">
        <v>809</v>
      </c>
      <c r="G1076" s="195"/>
      <c r="H1076" s="195">
        <v>60</v>
      </c>
    </row>
    <row r="1077" spans="1:8" s="458" customFormat="1">
      <c r="A1077" s="134" t="s">
        <v>808</v>
      </c>
      <c r="B1077" s="134">
        <v>2020</v>
      </c>
      <c r="C1077" s="134">
        <v>3</v>
      </c>
      <c r="D1077" s="134">
        <v>17</v>
      </c>
      <c r="E1077" s="134" t="s">
        <v>1746</v>
      </c>
      <c r="F1077" s="134" t="s">
        <v>809</v>
      </c>
      <c r="G1077" s="195"/>
      <c r="H1077" s="195">
        <v>90</v>
      </c>
    </row>
    <row r="1078" spans="1:8" s="458" customFormat="1">
      <c r="A1078" s="134" t="s">
        <v>808</v>
      </c>
      <c r="B1078" s="134">
        <v>2020</v>
      </c>
      <c r="C1078" s="134">
        <v>3</v>
      </c>
      <c r="D1078" s="134">
        <v>17</v>
      </c>
      <c r="E1078" s="134" t="s">
        <v>1746</v>
      </c>
      <c r="F1078" s="134" t="s">
        <v>809</v>
      </c>
      <c r="G1078" s="195"/>
      <c r="H1078" s="195">
        <v>108</v>
      </c>
    </row>
    <row r="1079" spans="1:8" s="458" customFormat="1">
      <c r="A1079" s="134" t="s">
        <v>808</v>
      </c>
      <c r="B1079" s="134">
        <v>2020</v>
      </c>
      <c r="C1079" s="134">
        <v>3</v>
      </c>
      <c r="D1079" s="134">
        <v>17</v>
      </c>
      <c r="E1079" s="134" t="s">
        <v>1746</v>
      </c>
      <c r="F1079" s="134" t="s">
        <v>809</v>
      </c>
      <c r="G1079" s="195"/>
      <c r="H1079" s="195">
        <v>84</v>
      </c>
    </row>
    <row r="1080" spans="1:8" s="458" customFormat="1">
      <c r="A1080" s="134" t="s">
        <v>808</v>
      </c>
      <c r="B1080" s="134">
        <v>2020</v>
      </c>
      <c r="C1080" s="134">
        <v>3</v>
      </c>
      <c r="D1080" s="134">
        <v>17</v>
      </c>
      <c r="E1080" s="134" t="s">
        <v>1746</v>
      </c>
      <c r="F1080" s="134" t="s">
        <v>809</v>
      </c>
      <c r="G1080" s="195"/>
      <c r="H1080" s="195">
        <v>528</v>
      </c>
    </row>
    <row r="1081" spans="1:8" s="458" customFormat="1">
      <c r="A1081" s="134" t="s">
        <v>808</v>
      </c>
      <c r="B1081" s="134">
        <v>2020</v>
      </c>
      <c r="C1081" s="134">
        <v>3</v>
      </c>
      <c r="D1081" s="134">
        <v>17</v>
      </c>
      <c r="E1081" s="134" t="s">
        <v>1746</v>
      </c>
      <c r="F1081" s="134" t="s">
        <v>809</v>
      </c>
      <c r="G1081" s="195"/>
      <c r="H1081" s="195">
        <v>600</v>
      </c>
    </row>
    <row r="1082" spans="1:8" s="458" customFormat="1">
      <c r="A1082" s="134" t="s">
        <v>808</v>
      </c>
      <c r="B1082" s="134">
        <v>2020</v>
      </c>
      <c r="C1082" s="134">
        <v>3</v>
      </c>
      <c r="D1082" s="134">
        <v>17</v>
      </c>
      <c r="E1082" s="134" t="s">
        <v>1746</v>
      </c>
      <c r="F1082" s="134" t="s">
        <v>809</v>
      </c>
      <c r="G1082" s="195"/>
      <c r="H1082" s="195">
        <v>600</v>
      </c>
    </row>
    <row r="1083" spans="1:8" s="458" customFormat="1">
      <c r="A1083" s="134" t="s">
        <v>808</v>
      </c>
      <c r="B1083" s="134">
        <v>2020</v>
      </c>
      <c r="C1083" s="134">
        <v>3</v>
      </c>
      <c r="D1083" s="134">
        <v>17</v>
      </c>
      <c r="E1083" s="134" t="s">
        <v>1746</v>
      </c>
      <c r="F1083" s="134" t="s">
        <v>809</v>
      </c>
      <c r="G1083" s="195"/>
      <c r="H1083" s="195">
        <v>600</v>
      </c>
    </row>
    <row r="1084" spans="1:8" s="458" customFormat="1">
      <c r="A1084" s="134" t="s">
        <v>808</v>
      </c>
      <c r="B1084" s="134">
        <v>2020</v>
      </c>
      <c r="C1084" s="134">
        <v>3</v>
      </c>
      <c r="D1084" s="134">
        <v>17</v>
      </c>
      <c r="E1084" s="134" t="s">
        <v>1746</v>
      </c>
      <c r="F1084" s="134" t="s">
        <v>809</v>
      </c>
      <c r="G1084" s="195"/>
      <c r="H1084" s="195">
        <v>600</v>
      </c>
    </row>
    <row r="1085" spans="1:8" s="458" customFormat="1">
      <c r="A1085" s="134" t="s">
        <v>808</v>
      </c>
      <c r="B1085" s="134">
        <v>2020</v>
      </c>
      <c r="C1085" s="134">
        <v>3</v>
      </c>
      <c r="D1085" s="134">
        <v>17</v>
      </c>
      <c r="E1085" s="134" t="s">
        <v>1746</v>
      </c>
      <c r="F1085" s="134" t="s">
        <v>809</v>
      </c>
      <c r="G1085" s="195"/>
      <c r="H1085" s="195">
        <v>162</v>
      </c>
    </row>
    <row r="1086" spans="1:8" s="458" customFormat="1">
      <c r="A1086" s="134" t="s">
        <v>808</v>
      </c>
      <c r="B1086" s="134">
        <v>2020</v>
      </c>
      <c r="C1086" s="134">
        <v>3</v>
      </c>
      <c r="D1086" s="134">
        <v>17</v>
      </c>
      <c r="E1086" s="134" t="s">
        <v>1746</v>
      </c>
      <c r="F1086" s="134" t="s">
        <v>809</v>
      </c>
      <c r="G1086" s="195"/>
      <c r="H1086" s="195">
        <v>138</v>
      </c>
    </row>
    <row r="1087" spans="1:8" s="458" customFormat="1">
      <c r="A1087" s="134" t="s">
        <v>808</v>
      </c>
      <c r="B1087" s="134">
        <v>2020</v>
      </c>
      <c r="C1087" s="134">
        <v>3</v>
      </c>
      <c r="D1087" s="134">
        <v>17</v>
      </c>
      <c r="E1087" s="134" t="s">
        <v>1746</v>
      </c>
      <c r="F1087" s="134" t="s">
        <v>809</v>
      </c>
      <c r="G1087" s="195"/>
      <c r="H1087" s="195">
        <v>132</v>
      </c>
    </row>
    <row r="1088" spans="1:8" s="458" customFormat="1">
      <c r="A1088" s="134" t="s">
        <v>808</v>
      </c>
      <c r="B1088" s="134">
        <v>2020</v>
      </c>
      <c r="C1088" s="134">
        <v>3</v>
      </c>
      <c r="D1088" s="134">
        <v>17</v>
      </c>
      <c r="E1088" s="134" t="s">
        <v>1746</v>
      </c>
      <c r="F1088" s="134" t="s">
        <v>809</v>
      </c>
      <c r="G1088" s="195"/>
      <c r="H1088" s="195">
        <v>198</v>
      </c>
    </row>
    <row r="1089" spans="1:8" s="458" customFormat="1">
      <c r="A1089" s="134" t="s">
        <v>808</v>
      </c>
      <c r="B1089" s="134">
        <v>2020</v>
      </c>
      <c r="C1089" s="134">
        <v>3</v>
      </c>
      <c r="D1089" s="134">
        <v>17</v>
      </c>
      <c r="E1089" s="134" t="s">
        <v>1746</v>
      </c>
      <c r="F1089" s="134" t="s">
        <v>809</v>
      </c>
      <c r="G1089" s="195"/>
      <c r="H1089" s="195">
        <v>108</v>
      </c>
    </row>
    <row r="1090" spans="1:8" s="458" customFormat="1">
      <c r="A1090" s="134" t="s">
        <v>808</v>
      </c>
      <c r="B1090" s="134">
        <v>2020</v>
      </c>
      <c r="C1090" s="134">
        <v>3</v>
      </c>
      <c r="D1090" s="134">
        <v>17</v>
      </c>
      <c r="E1090" s="134" t="s">
        <v>1746</v>
      </c>
      <c r="F1090" s="134" t="s">
        <v>809</v>
      </c>
      <c r="G1090" s="195"/>
      <c r="H1090" s="195">
        <v>234</v>
      </c>
    </row>
    <row r="1091" spans="1:8" s="458" customFormat="1">
      <c r="A1091" s="134" t="s">
        <v>808</v>
      </c>
      <c r="B1091" s="134">
        <v>2020</v>
      </c>
      <c r="C1091" s="134">
        <v>3</v>
      </c>
      <c r="D1091" s="134">
        <v>17</v>
      </c>
      <c r="E1091" s="134" t="s">
        <v>1746</v>
      </c>
      <c r="F1091" s="134" t="s">
        <v>809</v>
      </c>
      <c r="G1091" s="195"/>
      <c r="H1091" s="195">
        <v>300</v>
      </c>
    </row>
    <row r="1092" spans="1:8" s="458" customFormat="1">
      <c r="A1092" s="134" t="s">
        <v>808</v>
      </c>
      <c r="B1092" s="134">
        <v>2020</v>
      </c>
      <c r="C1092" s="134">
        <v>3</v>
      </c>
      <c r="D1092" s="134">
        <v>17</v>
      </c>
      <c r="E1092" s="134" t="s">
        <v>1746</v>
      </c>
      <c r="F1092" s="134" t="s">
        <v>809</v>
      </c>
      <c r="G1092" s="195"/>
      <c r="H1092" s="195">
        <v>396</v>
      </c>
    </row>
    <row r="1093" spans="1:8" s="458" customFormat="1">
      <c r="A1093" s="134" t="s">
        <v>808</v>
      </c>
      <c r="B1093" s="134">
        <v>2020</v>
      </c>
      <c r="C1093" s="134">
        <v>3</v>
      </c>
      <c r="D1093" s="134">
        <v>17</v>
      </c>
      <c r="E1093" s="134" t="s">
        <v>1746</v>
      </c>
      <c r="F1093" s="134" t="s">
        <v>809</v>
      </c>
      <c r="G1093" s="195"/>
      <c r="H1093" s="195">
        <v>324</v>
      </c>
    </row>
    <row r="1094" spans="1:8" s="458" customFormat="1">
      <c r="A1094" s="134" t="s">
        <v>808</v>
      </c>
      <c r="B1094" s="134">
        <v>2020</v>
      </c>
      <c r="C1094" s="134">
        <v>3</v>
      </c>
      <c r="D1094" s="134">
        <v>17</v>
      </c>
      <c r="E1094" s="134" t="s">
        <v>1746</v>
      </c>
      <c r="F1094" s="134" t="s">
        <v>809</v>
      </c>
      <c r="G1094" s="195"/>
      <c r="H1094" s="195">
        <v>180</v>
      </c>
    </row>
    <row r="1095" spans="1:8" s="458" customFormat="1">
      <c r="A1095" s="134" t="s">
        <v>808</v>
      </c>
      <c r="B1095" s="134">
        <v>2020</v>
      </c>
      <c r="C1095" s="134">
        <v>3</v>
      </c>
      <c r="D1095" s="134">
        <v>17</v>
      </c>
      <c r="E1095" s="134" t="s">
        <v>1746</v>
      </c>
      <c r="F1095" s="134" t="s">
        <v>809</v>
      </c>
      <c r="G1095" s="195"/>
      <c r="H1095" s="195">
        <v>144</v>
      </c>
    </row>
    <row r="1096" spans="1:8" s="458" customFormat="1">
      <c r="A1096" s="134" t="s">
        <v>808</v>
      </c>
      <c r="B1096" s="134">
        <v>2020</v>
      </c>
      <c r="C1096" s="134">
        <v>3</v>
      </c>
      <c r="D1096" s="134">
        <v>17</v>
      </c>
      <c r="E1096" s="134" t="s">
        <v>1746</v>
      </c>
      <c r="F1096" s="134" t="s">
        <v>809</v>
      </c>
      <c r="G1096" s="195"/>
      <c r="H1096" s="195">
        <v>144</v>
      </c>
    </row>
    <row r="1097" spans="1:8" s="458" customFormat="1">
      <c r="A1097" s="134" t="s">
        <v>808</v>
      </c>
      <c r="B1097" s="134">
        <v>2020</v>
      </c>
      <c r="C1097" s="134">
        <v>3</v>
      </c>
      <c r="D1097" s="134">
        <v>17</v>
      </c>
      <c r="E1097" s="134" t="s">
        <v>1746</v>
      </c>
      <c r="F1097" s="134" t="s">
        <v>809</v>
      </c>
      <c r="G1097" s="195"/>
      <c r="H1097" s="195">
        <v>339</v>
      </c>
    </row>
    <row r="1098" spans="1:8" s="458" customFormat="1">
      <c r="A1098" s="134" t="s">
        <v>808</v>
      </c>
      <c r="B1098" s="134">
        <v>2020</v>
      </c>
      <c r="C1098" s="134">
        <v>3</v>
      </c>
      <c r="D1098" s="134">
        <v>20</v>
      </c>
      <c r="E1098" s="134" t="s">
        <v>1750</v>
      </c>
      <c r="F1098" s="134" t="s">
        <v>809</v>
      </c>
      <c r="G1098" s="195"/>
      <c r="H1098" s="195">
        <v>33.11</v>
      </c>
    </row>
    <row r="1099" spans="1:8" s="458" customFormat="1">
      <c r="A1099" s="134" t="s">
        <v>808</v>
      </c>
      <c r="B1099" s="134">
        <v>2020</v>
      </c>
      <c r="C1099" s="134">
        <v>3</v>
      </c>
      <c r="D1099" s="134">
        <v>20</v>
      </c>
      <c r="E1099" s="134" t="s">
        <v>1750</v>
      </c>
      <c r="F1099" s="134" t="s">
        <v>809</v>
      </c>
      <c r="G1099" s="195"/>
      <c r="H1099" s="195">
        <v>59.7</v>
      </c>
    </row>
    <row r="1100" spans="1:8" s="458" customFormat="1">
      <c r="A1100" s="134" t="s">
        <v>808</v>
      </c>
      <c r="B1100" s="134">
        <v>2020</v>
      </c>
      <c r="C1100" s="134">
        <v>3</v>
      </c>
      <c r="D1100" s="134">
        <v>20</v>
      </c>
      <c r="E1100" s="134" t="s">
        <v>1750</v>
      </c>
      <c r="F1100" s="134" t="s">
        <v>809</v>
      </c>
      <c r="G1100" s="195"/>
      <c r="H1100" s="195">
        <v>77.22</v>
      </c>
    </row>
    <row r="1101" spans="1:8" s="458" customFormat="1">
      <c r="A1101" s="134" t="s">
        <v>808</v>
      </c>
      <c r="B1101" s="134">
        <v>2020</v>
      </c>
      <c r="C1101" s="134">
        <v>3</v>
      </c>
      <c r="D1101" s="134">
        <v>28</v>
      </c>
      <c r="E1101" s="134" t="s">
        <v>1756</v>
      </c>
      <c r="F1101" s="134" t="s">
        <v>809</v>
      </c>
      <c r="G1101" s="195"/>
      <c r="H1101" s="195">
        <v>19.600000000000001</v>
      </c>
    </row>
    <row r="1102" spans="1:8" s="458" customFormat="1">
      <c r="A1102" s="134" t="s">
        <v>808</v>
      </c>
      <c r="B1102" s="134">
        <v>2020</v>
      </c>
      <c r="C1102" s="134">
        <v>3</v>
      </c>
      <c r="D1102" s="134">
        <v>25</v>
      </c>
      <c r="E1102" s="134" t="s">
        <v>1760</v>
      </c>
      <c r="F1102" s="134" t="s">
        <v>809</v>
      </c>
      <c r="G1102" s="195"/>
      <c r="H1102" s="195">
        <v>65.33</v>
      </c>
    </row>
    <row r="1103" spans="1:8" s="458" customFormat="1">
      <c r="A1103" s="134" t="s">
        <v>808</v>
      </c>
      <c r="B1103" s="134">
        <v>2020</v>
      </c>
      <c r="C1103" s="134">
        <v>3</v>
      </c>
      <c r="D1103" s="134">
        <v>25</v>
      </c>
      <c r="E1103" s="134" t="s">
        <v>1760</v>
      </c>
      <c r="F1103" s="134" t="s">
        <v>809</v>
      </c>
      <c r="G1103" s="195"/>
      <c r="H1103" s="195"/>
    </row>
    <row r="1104" spans="1:8" s="458" customFormat="1">
      <c r="A1104" s="134" t="s">
        <v>808</v>
      </c>
      <c r="B1104" s="134">
        <v>2020</v>
      </c>
      <c r="C1104" s="134">
        <v>3</v>
      </c>
      <c r="D1104" s="134">
        <v>25</v>
      </c>
      <c r="E1104" s="134" t="s">
        <v>1760</v>
      </c>
      <c r="F1104" s="134" t="s">
        <v>809</v>
      </c>
      <c r="G1104" s="195"/>
      <c r="H1104" s="195">
        <v>65.33</v>
      </c>
    </row>
    <row r="1105" spans="1:8" s="458" customFormat="1">
      <c r="A1105" s="134" t="s">
        <v>808</v>
      </c>
      <c r="B1105" s="134">
        <v>2020</v>
      </c>
      <c r="C1105" s="134">
        <v>3</v>
      </c>
      <c r="D1105" s="134">
        <v>25</v>
      </c>
      <c r="E1105" s="134" t="s">
        <v>1760</v>
      </c>
      <c r="F1105" s="134" t="s">
        <v>809</v>
      </c>
      <c r="G1105" s="195"/>
      <c r="H1105" s="195"/>
    </row>
    <row r="1106" spans="1:8" s="458" customFormat="1">
      <c r="A1106" s="134" t="s">
        <v>808</v>
      </c>
      <c r="B1106" s="134">
        <v>2020</v>
      </c>
      <c r="C1106" s="134">
        <v>3</v>
      </c>
      <c r="D1106" s="134">
        <v>25</v>
      </c>
      <c r="E1106" s="134" t="s">
        <v>1760</v>
      </c>
      <c r="F1106" s="134" t="s">
        <v>809</v>
      </c>
      <c r="G1106" s="195"/>
      <c r="H1106" s="195">
        <v>65.33</v>
      </c>
    </row>
    <row r="1107" spans="1:8" s="458" customFormat="1">
      <c r="A1107" s="134" t="s">
        <v>808</v>
      </c>
      <c r="B1107" s="134">
        <v>2020</v>
      </c>
      <c r="C1107" s="134">
        <v>3</v>
      </c>
      <c r="D1107" s="134">
        <v>25</v>
      </c>
      <c r="E1107" s="134" t="s">
        <v>1760</v>
      </c>
      <c r="F1107" s="134" t="s">
        <v>809</v>
      </c>
      <c r="G1107" s="195"/>
      <c r="H1107" s="195"/>
    </row>
    <row r="1108" spans="1:8" s="458" customFormat="1">
      <c r="A1108" s="134" t="s">
        <v>808</v>
      </c>
      <c r="B1108" s="134">
        <v>2020</v>
      </c>
      <c r="C1108" s="134">
        <v>3</v>
      </c>
      <c r="D1108" s="134">
        <v>25</v>
      </c>
      <c r="E1108" s="134" t="s">
        <v>1762</v>
      </c>
      <c r="F1108" s="134" t="s">
        <v>809</v>
      </c>
      <c r="G1108" s="195"/>
      <c r="H1108" s="195">
        <v>7.99</v>
      </c>
    </row>
    <row r="1109" spans="1:8" s="458" customFormat="1">
      <c r="A1109" s="134" t="s">
        <v>808</v>
      </c>
      <c r="B1109" s="134">
        <v>2020</v>
      </c>
      <c r="C1109" s="134">
        <v>3</v>
      </c>
      <c r="D1109" s="134">
        <v>25</v>
      </c>
      <c r="E1109" s="134" t="s">
        <v>1763</v>
      </c>
      <c r="F1109" s="134" t="s">
        <v>809</v>
      </c>
      <c r="G1109" s="195"/>
      <c r="H1109" s="195">
        <v>803.74</v>
      </c>
    </row>
    <row r="1110" spans="1:8" s="458" customFormat="1">
      <c r="A1110" s="134" t="s">
        <v>808</v>
      </c>
      <c r="B1110" s="134">
        <v>2020</v>
      </c>
      <c r="C1110" s="134">
        <v>3</v>
      </c>
      <c r="D1110" s="134">
        <v>25</v>
      </c>
      <c r="E1110" s="134" t="s">
        <v>1764</v>
      </c>
      <c r="F1110" s="134" t="s">
        <v>809</v>
      </c>
      <c r="G1110" s="195"/>
      <c r="H1110" s="195">
        <v>165.96</v>
      </c>
    </row>
    <row r="1111" spans="1:8" s="458" customFormat="1">
      <c r="A1111" s="134" t="s">
        <v>808</v>
      </c>
      <c r="B1111" s="134">
        <v>2020</v>
      </c>
      <c r="C1111" s="134">
        <v>3</v>
      </c>
      <c r="D1111" s="134">
        <v>25</v>
      </c>
      <c r="E1111" s="134" t="s">
        <v>1773</v>
      </c>
      <c r="F1111" s="134" t="s">
        <v>809</v>
      </c>
      <c r="G1111" s="195"/>
      <c r="H1111" s="195">
        <v>144</v>
      </c>
    </row>
    <row r="1112" spans="1:8" s="458" customFormat="1">
      <c r="A1112" s="134" t="s">
        <v>808</v>
      </c>
      <c r="B1112" s="134">
        <v>2020</v>
      </c>
      <c r="C1112" s="134">
        <v>3</v>
      </c>
      <c r="D1112" s="134">
        <v>26</v>
      </c>
      <c r="E1112" s="134" t="s">
        <v>1777</v>
      </c>
      <c r="F1112" s="134" t="s">
        <v>809</v>
      </c>
      <c r="G1112" s="195"/>
      <c r="H1112" s="195">
        <v>146</v>
      </c>
    </row>
    <row r="1113" spans="1:8" s="458" customFormat="1">
      <c r="A1113" s="134" t="s">
        <v>808</v>
      </c>
      <c r="B1113" s="134">
        <v>2020</v>
      </c>
      <c r="C1113" s="134">
        <v>3</v>
      </c>
      <c r="D1113" s="134">
        <v>29</v>
      </c>
      <c r="E1113" s="134" t="s">
        <v>1781</v>
      </c>
      <c r="F1113" s="134" t="s">
        <v>809</v>
      </c>
      <c r="G1113" s="195"/>
      <c r="H1113" s="195">
        <v>16.95</v>
      </c>
    </row>
    <row r="1114" spans="1:8" s="458" customFormat="1">
      <c r="A1114" s="134" t="s">
        <v>808</v>
      </c>
      <c r="B1114" s="134">
        <v>2020</v>
      </c>
      <c r="C1114" s="134">
        <v>3</v>
      </c>
      <c r="D1114" s="134">
        <v>29</v>
      </c>
      <c r="E1114" s="134" t="s">
        <v>1782</v>
      </c>
      <c r="F1114" s="134" t="s">
        <v>809</v>
      </c>
      <c r="G1114" s="195"/>
      <c r="H1114" s="195"/>
    </row>
    <row r="1115" spans="1:8" s="458" customFormat="1">
      <c r="A1115" s="134" t="s">
        <v>808</v>
      </c>
      <c r="B1115" s="134">
        <v>2020</v>
      </c>
      <c r="C1115" s="134">
        <v>3</v>
      </c>
      <c r="D1115" s="134">
        <v>29</v>
      </c>
      <c r="E1115" s="134" t="s">
        <v>1782</v>
      </c>
      <c r="F1115" s="134" t="s">
        <v>809</v>
      </c>
      <c r="G1115" s="195"/>
      <c r="H1115" s="195">
        <v>600</v>
      </c>
    </row>
    <row r="1116" spans="1:8" s="458" customFormat="1">
      <c r="A1116" s="134" t="s">
        <v>808</v>
      </c>
      <c r="B1116" s="134">
        <v>2020</v>
      </c>
      <c r="C1116" s="134">
        <v>3</v>
      </c>
      <c r="D1116" s="134">
        <v>29</v>
      </c>
      <c r="E1116" s="134" t="s">
        <v>1782</v>
      </c>
      <c r="F1116" s="134" t="s">
        <v>809</v>
      </c>
      <c r="G1116" s="195"/>
      <c r="H1116" s="195"/>
    </row>
    <row r="1117" spans="1:8" s="458" customFormat="1">
      <c r="A1117" s="134" t="s">
        <v>808</v>
      </c>
      <c r="B1117" s="134">
        <v>2020</v>
      </c>
      <c r="C1117" s="134">
        <v>3</v>
      </c>
      <c r="D1117" s="134">
        <v>29</v>
      </c>
      <c r="E1117" s="134" t="s">
        <v>1782</v>
      </c>
      <c r="F1117" s="134" t="s">
        <v>809</v>
      </c>
      <c r="G1117" s="195"/>
      <c r="H1117" s="195">
        <v>600</v>
      </c>
    </row>
    <row r="1118" spans="1:8" s="458" customFormat="1">
      <c r="A1118" s="134" t="s">
        <v>808</v>
      </c>
      <c r="B1118" s="134">
        <v>2020</v>
      </c>
      <c r="C1118" s="134">
        <v>3</v>
      </c>
      <c r="D1118" s="134">
        <v>29</v>
      </c>
      <c r="E1118" s="134" t="s">
        <v>1782</v>
      </c>
      <c r="F1118" s="134" t="s">
        <v>809</v>
      </c>
      <c r="G1118" s="195"/>
      <c r="H1118" s="195"/>
    </row>
    <row r="1119" spans="1:8" s="458" customFormat="1">
      <c r="A1119" s="134" t="s">
        <v>808</v>
      </c>
      <c r="B1119" s="134">
        <v>2020</v>
      </c>
      <c r="C1119" s="134">
        <v>3</v>
      </c>
      <c r="D1119" s="134">
        <v>29</v>
      </c>
      <c r="E1119" s="134" t="s">
        <v>1782</v>
      </c>
      <c r="F1119" s="134" t="s">
        <v>809</v>
      </c>
      <c r="G1119" s="195"/>
      <c r="H1119" s="195">
        <v>600</v>
      </c>
    </row>
    <row r="1120" spans="1:8" s="458" customFormat="1">
      <c r="A1120" s="134" t="s">
        <v>808</v>
      </c>
      <c r="B1120" s="134">
        <v>2020</v>
      </c>
      <c r="C1120" s="134">
        <v>3</v>
      </c>
      <c r="D1120" s="134">
        <v>29</v>
      </c>
      <c r="E1120" s="134" t="s">
        <v>1785</v>
      </c>
      <c r="F1120" s="134" t="s">
        <v>809</v>
      </c>
      <c r="G1120" s="195"/>
      <c r="H1120" s="195">
        <v>395</v>
      </c>
    </row>
    <row r="1121" spans="1:8" s="458" customFormat="1">
      <c r="A1121" s="134" t="s">
        <v>808</v>
      </c>
      <c r="B1121" s="134">
        <v>2020</v>
      </c>
      <c r="C1121" s="134">
        <v>3</v>
      </c>
      <c r="D1121" s="134">
        <v>29</v>
      </c>
      <c r="E1121" s="134" t="s">
        <v>1785</v>
      </c>
      <c r="F1121" s="134" t="s">
        <v>809</v>
      </c>
      <c r="G1121" s="195"/>
      <c r="H1121" s="195">
        <v>495</v>
      </c>
    </row>
    <row r="1122" spans="1:8" s="458" customFormat="1">
      <c r="A1122" s="134" t="s">
        <v>808</v>
      </c>
      <c r="B1122" s="134">
        <v>2020</v>
      </c>
      <c r="C1122" s="134">
        <v>3</v>
      </c>
      <c r="D1122" s="134">
        <v>29</v>
      </c>
      <c r="E1122" s="134" t="s">
        <v>1785</v>
      </c>
      <c r="F1122" s="134" t="s">
        <v>809</v>
      </c>
      <c r="G1122" s="195"/>
      <c r="H1122" s="195">
        <v>395</v>
      </c>
    </row>
    <row r="1123" spans="1:8" s="458" customFormat="1">
      <c r="A1123" s="134" t="s">
        <v>808</v>
      </c>
      <c r="B1123" s="134">
        <v>2020</v>
      </c>
      <c r="C1123" s="134">
        <v>3</v>
      </c>
      <c r="D1123" s="134">
        <v>29</v>
      </c>
      <c r="E1123" s="134" t="s">
        <v>1785</v>
      </c>
      <c r="F1123" s="134" t="s">
        <v>809</v>
      </c>
      <c r="G1123" s="195"/>
      <c r="H1123" s="195">
        <v>395</v>
      </c>
    </row>
    <row r="1124" spans="1:8" s="458" customFormat="1">
      <c r="A1124" s="134" t="s">
        <v>808</v>
      </c>
      <c r="B1124" s="134">
        <v>2020</v>
      </c>
      <c r="C1124" s="134">
        <v>3</v>
      </c>
      <c r="D1124" s="134">
        <v>37</v>
      </c>
      <c r="E1124" s="134" t="s">
        <v>1789</v>
      </c>
      <c r="F1124" s="134" t="s">
        <v>809</v>
      </c>
      <c r="G1124" s="195"/>
      <c r="H1124" s="195">
        <v>651.41</v>
      </c>
    </row>
    <row r="1125" spans="1:8" s="458" customFormat="1">
      <c r="A1125" s="134" t="s">
        <v>808</v>
      </c>
      <c r="B1125" s="134">
        <v>2020</v>
      </c>
      <c r="C1125" s="134">
        <v>3</v>
      </c>
      <c r="D1125" s="134">
        <v>37</v>
      </c>
      <c r="E1125" s="134" t="s">
        <v>1789</v>
      </c>
      <c r="F1125" s="134" t="s">
        <v>809</v>
      </c>
      <c r="G1125" s="195"/>
      <c r="H1125" s="195">
        <v>630.03</v>
      </c>
    </row>
    <row r="1126" spans="1:8" s="458" customFormat="1">
      <c r="A1126" s="134" t="s">
        <v>808</v>
      </c>
      <c r="B1126" s="134">
        <v>2020</v>
      </c>
      <c r="C1126" s="134">
        <v>3</v>
      </c>
      <c r="D1126" s="134">
        <v>37</v>
      </c>
      <c r="E1126" s="134" t="s">
        <v>1789</v>
      </c>
      <c r="F1126" s="134" t="s">
        <v>809</v>
      </c>
      <c r="G1126" s="195"/>
      <c r="H1126" s="195">
        <v>640.9</v>
      </c>
    </row>
    <row r="1127" spans="1:8" s="458" customFormat="1">
      <c r="A1127" s="134" t="s">
        <v>808</v>
      </c>
      <c r="B1127" s="134">
        <v>2020</v>
      </c>
      <c r="C1127" s="134">
        <v>3</v>
      </c>
      <c r="D1127" s="134">
        <v>40</v>
      </c>
      <c r="E1127" s="134" t="s">
        <v>1791</v>
      </c>
      <c r="F1127" s="134" t="s">
        <v>809</v>
      </c>
      <c r="G1127" s="195"/>
      <c r="H1127" s="195">
        <v>-180.15</v>
      </c>
    </row>
    <row r="1128" spans="1:8" s="458" customFormat="1">
      <c r="A1128" s="134" t="s">
        <v>808</v>
      </c>
      <c r="B1128" s="134">
        <v>2020</v>
      </c>
      <c r="C1128" s="134">
        <v>3</v>
      </c>
      <c r="D1128" s="134">
        <v>40</v>
      </c>
      <c r="E1128" s="134" t="s">
        <v>1791</v>
      </c>
      <c r="F1128" s="134" t="s">
        <v>809</v>
      </c>
      <c r="G1128" s="195"/>
      <c r="H1128" s="195">
        <v>360.31</v>
      </c>
    </row>
    <row r="1129" spans="1:8" s="458" customFormat="1">
      <c r="A1129" s="134" t="s">
        <v>808</v>
      </c>
      <c r="B1129" s="134">
        <v>2020</v>
      </c>
      <c r="C1129" s="134">
        <v>3</v>
      </c>
      <c r="D1129" s="134">
        <v>40</v>
      </c>
      <c r="E1129" s="134" t="s">
        <v>1791</v>
      </c>
      <c r="F1129" s="134" t="s">
        <v>809</v>
      </c>
      <c r="G1129" s="195"/>
      <c r="H1129" s="195">
        <v>-274.22000000000003</v>
      </c>
    </row>
    <row r="1130" spans="1:8" s="458" customFormat="1">
      <c r="A1130" s="134" t="s">
        <v>808</v>
      </c>
      <c r="B1130" s="134">
        <v>2020</v>
      </c>
      <c r="C1130" s="134">
        <v>3</v>
      </c>
      <c r="D1130" s="134">
        <v>40</v>
      </c>
      <c r="E1130" s="134" t="s">
        <v>1791</v>
      </c>
      <c r="F1130" s="134" t="s">
        <v>809</v>
      </c>
      <c r="G1130" s="195"/>
      <c r="H1130" s="195">
        <v>548.45000000000005</v>
      </c>
    </row>
    <row r="1131" spans="1:8" s="458" customFormat="1">
      <c r="A1131" s="134" t="s">
        <v>808</v>
      </c>
      <c r="B1131" s="134">
        <v>2020</v>
      </c>
      <c r="C1131" s="134">
        <v>3</v>
      </c>
      <c r="D1131" s="134">
        <v>40</v>
      </c>
      <c r="E1131" s="134" t="s">
        <v>1791</v>
      </c>
      <c r="F1131" s="134" t="s">
        <v>809</v>
      </c>
      <c r="G1131" s="195"/>
      <c r="H1131" s="195">
        <v>-340.91</v>
      </c>
    </row>
    <row r="1132" spans="1:8" s="458" customFormat="1">
      <c r="A1132" s="134" t="s">
        <v>808</v>
      </c>
      <c r="B1132" s="134">
        <v>2020</v>
      </c>
      <c r="C1132" s="134">
        <v>3</v>
      </c>
      <c r="D1132" s="134">
        <v>40</v>
      </c>
      <c r="E1132" s="134" t="s">
        <v>1791</v>
      </c>
      <c r="F1132" s="134" t="s">
        <v>809</v>
      </c>
      <c r="G1132" s="195"/>
      <c r="H1132" s="195">
        <v>681.81</v>
      </c>
    </row>
    <row r="1133" spans="1:8" s="458" customFormat="1">
      <c r="A1133" s="134" t="s">
        <v>808</v>
      </c>
      <c r="B1133" s="134">
        <v>2020</v>
      </c>
      <c r="C1133" s="134">
        <v>3</v>
      </c>
      <c r="D1133" s="134">
        <v>41</v>
      </c>
      <c r="E1133" s="134" t="s">
        <v>1792</v>
      </c>
      <c r="F1133" s="134" t="s">
        <v>809</v>
      </c>
      <c r="G1133" s="195"/>
      <c r="H1133" s="195">
        <v>31.64</v>
      </c>
    </row>
    <row r="1134" spans="1:8" s="458" customFormat="1">
      <c r="A1134" s="134" t="s">
        <v>808</v>
      </c>
      <c r="B1134" s="134">
        <v>2020</v>
      </c>
      <c r="C1134" s="134">
        <v>3</v>
      </c>
      <c r="D1134" s="134">
        <v>41</v>
      </c>
      <c r="E1134" s="134" t="s">
        <v>1792</v>
      </c>
      <c r="F1134" s="134" t="s">
        <v>809</v>
      </c>
      <c r="G1134" s="195"/>
      <c r="H1134" s="195">
        <v>48.16</v>
      </c>
    </row>
    <row r="1135" spans="1:8" s="458" customFormat="1">
      <c r="A1135" s="134" t="s">
        <v>808</v>
      </c>
      <c r="B1135" s="134">
        <v>2020</v>
      </c>
      <c r="C1135" s="134">
        <v>3</v>
      </c>
      <c r="D1135" s="134">
        <v>41</v>
      </c>
      <c r="E1135" s="134" t="s">
        <v>1792</v>
      </c>
      <c r="F1135" s="134" t="s">
        <v>809</v>
      </c>
      <c r="G1135" s="195"/>
      <c r="H1135" s="195">
        <v>59.88</v>
      </c>
    </row>
    <row r="1136" spans="1:8" s="458" customFormat="1">
      <c r="A1136" s="134" t="s">
        <v>808</v>
      </c>
      <c r="B1136" s="134">
        <v>2020</v>
      </c>
      <c r="C1136" s="134">
        <v>3</v>
      </c>
      <c r="D1136" s="134">
        <v>38</v>
      </c>
      <c r="E1136" s="134" t="s">
        <v>1793</v>
      </c>
      <c r="F1136" s="134" t="s">
        <v>809</v>
      </c>
      <c r="G1136" s="195"/>
      <c r="H1136" s="195">
        <v>180.15</v>
      </c>
    </row>
    <row r="1137" spans="1:8" s="458" customFormat="1">
      <c r="A1137" s="134" t="s">
        <v>808</v>
      </c>
      <c r="B1137" s="134">
        <v>2020</v>
      </c>
      <c r="C1137" s="134">
        <v>3</v>
      </c>
      <c r="D1137" s="134">
        <v>38</v>
      </c>
      <c r="E1137" s="134" t="s">
        <v>1793</v>
      </c>
      <c r="F1137" s="134" t="s">
        <v>809</v>
      </c>
      <c r="G1137" s="195"/>
      <c r="H1137" s="195">
        <v>274.22000000000003</v>
      </c>
    </row>
    <row r="1138" spans="1:8" s="458" customFormat="1">
      <c r="A1138" s="134" t="s">
        <v>808</v>
      </c>
      <c r="B1138" s="134">
        <v>2020</v>
      </c>
      <c r="C1138" s="134">
        <v>3</v>
      </c>
      <c r="D1138" s="134">
        <v>38</v>
      </c>
      <c r="E1138" s="134" t="s">
        <v>1793</v>
      </c>
      <c r="F1138" s="134" t="s">
        <v>809</v>
      </c>
      <c r="G1138" s="195"/>
      <c r="H1138" s="195">
        <v>340.91</v>
      </c>
    </row>
    <row r="1139" spans="1:8" s="458" customFormat="1">
      <c r="A1139" s="134" t="s">
        <v>808</v>
      </c>
      <c r="B1139" s="134">
        <v>2020</v>
      </c>
      <c r="C1139" s="134">
        <v>4</v>
      </c>
      <c r="D1139" s="134">
        <v>17</v>
      </c>
      <c r="E1139" s="134" t="s">
        <v>1746</v>
      </c>
      <c r="F1139" s="134" t="s">
        <v>809</v>
      </c>
      <c r="G1139" s="195"/>
      <c r="H1139" s="195">
        <v>3727.5</v>
      </c>
    </row>
    <row r="1140" spans="1:8" s="458" customFormat="1">
      <c r="A1140" s="134" t="s">
        <v>808</v>
      </c>
      <c r="B1140" s="134">
        <v>2020</v>
      </c>
      <c r="C1140" s="134">
        <v>4</v>
      </c>
      <c r="D1140" s="134">
        <v>17</v>
      </c>
      <c r="E1140" s="134" t="s">
        <v>1746</v>
      </c>
      <c r="F1140" s="134" t="s">
        <v>809</v>
      </c>
      <c r="G1140" s="195"/>
      <c r="H1140" s="195">
        <v>180</v>
      </c>
    </row>
    <row r="1141" spans="1:8" s="458" customFormat="1">
      <c r="A1141" s="134" t="s">
        <v>808</v>
      </c>
      <c r="B1141" s="134">
        <v>2020</v>
      </c>
      <c r="C1141" s="134">
        <v>4</v>
      </c>
      <c r="D1141" s="134">
        <v>17</v>
      </c>
      <c r="E1141" s="134" t="s">
        <v>1746</v>
      </c>
      <c r="F1141" s="134" t="s">
        <v>809</v>
      </c>
      <c r="G1141" s="195"/>
      <c r="H1141" s="195">
        <v>360</v>
      </c>
    </row>
    <row r="1142" spans="1:8" s="458" customFormat="1">
      <c r="A1142" s="134" t="s">
        <v>808</v>
      </c>
      <c r="B1142" s="134">
        <v>2020</v>
      </c>
      <c r="C1142" s="134">
        <v>4</v>
      </c>
      <c r="D1142" s="134">
        <v>17</v>
      </c>
      <c r="E1142" s="134" t="s">
        <v>1746</v>
      </c>
      <c r="F1142" s="134" t="s">
        <v>809</v>
      </c>
      <c r="G1142" s="195"/>
      <c r="H1142" s="195">
        <v>360</v>
      </c>
    </row>
    <row r="1143" spans="1:8" s="458" customFormat="1">
      <c r="A1143" s="134" t="s">
        <v>808</v>
      </c>
      <c r="B1143" s="134">
        <v>2020</v>
      </c>
      <c r="C1143" s="134">
        <v>4</v>
      </c>
      <c r="D1143" s="134">
        <v>17</v>
      </c>
      <c r="E1143" s="134" t="s">
        <v>1746</v>
      </c>
      <c r="F1143" s="134" t="s">
        <v>809</v>
      </c>
      <c r="G1143" s="195"/>
      <c r="H1143" s="195">
        <v>360</v>
      </c>
    </row>
    <row r="1144" spans="1:8" s="458" customFormat="1">
      <c r="A1144" s="134" t="s">
        <v>808</v>
      </c>
      <c r="B1144" s="134">
        <v>2020</v>
      </c>
      <c r="C1144" s="134">
        <v>4</v>
      </c>
      <c r="D1144" s="134">
        <v>17</v>
      </c>
      <c r="E1144" s="134" t="s">
        <v>1746</v>
      </c>
      <c r="F1144" s="134" t="s">
        <v>809</v>
      </c>
      <c r="G1144" s="195"/>
      <c r="H1144" s="195">
        <v>360</v>
      </c>
    </row>
    <row r="1145" spans="1:8" s="458" customFormat="1">
      <c r="A1145" s="134" t="s">
        <v>808</v>
      </c>
      <c r="B1145" s="134">
        <v>2020</v>
      </c>
      <c r="C1145" s="134">
        <v>4</v>
      </c>
      <c r="D1145" s="134">
        <v>17</v>
      </c>
      <c r="E1145" s="134" t="s">
        <v>1746</v>
      </c>
      <c r="F1145" s="134" t="s">
        <v>809</v>
      </c>
      <c r="G1145" s="195"/>
      <c r="H1145" s="195">
        <v>180</v>
      </c>
    </row>
    <row r="1146" spans="1:8" s="458" customFormat="1">
      <c r="A1146" s="134" t="s">
        <v>808</v>
      </c>
      <c r="B1146" s="134">
        <v>2020</v>
      </c>
      <c r="C1146" s="134">
        <v>4</v>
      </c>
      <c r="D1146" s="134">
        <v>17</v>
      </c>
      <c r="E1146" s="134" t="s">
        <v>1746</v>
      </c>
      <c r="F1146" s="134" t="s">
        <v>809</v>
      </c>
      <c r="G1146" s="195"/>
      <c r="H1146" s="195">
        <v>462</v>
      </c>
    </row>
    <row r="1147" spans="1:8" s="458" customFormat="1">
      <c r="A1147" s="134" t="s">
        <v>808</v>
      </c>
      <c r="B1147" s="134">
        <v>2020</v>
      </c>
      <c r="C1147" s="134">
        <v>4</v>
      </c>
      <c r="D1147" s="134">
        <v>17</v>
      </c>
      <c r="E1147" s="134" t="s">
        <v>1746</v>
      </c>
      <c r="F1147" s="134" t="s">
        <v>809</v>
      </c>
      <c r="G1147" s="195"/>
      <c r="H1147" s="195">
        <v>360</v>
      </c>
    </row>
    <row r="1148" spans="1:8" s="458" customFormat="1">
      <c r="A1148" s="134" t="s">
        <v>808</v>
      </c>
      <c r="B1148" s="134">
        <v>2020</v>
      </c>
      <c r="C1148" s="134">
        <v>4</v>
      </c>
      <c r="D1148" s="134">
        <v>17</v>
      </c>
      <c r="E1148" s="134" t="s">
        <v>1746</v>
      </c>
      <c r="F1148" s="134" t="s">
        <v>809</v>
      </c>
      <c r="G1148" s="195"/>
      <c r="H1148" s="195">
        <v>828</v>
      </c>
    </row>
    <row r="1149" spans="1:8" s="458" customFormat="1">
      <c r="A1149" s="134" t="s">
        <v>808</v>
      </c>
      <c r="B1149" s="134">
        <v>2020</v>
      </c>
      <c r="C1149" s="134">
        <v>4</v>
      </c>
      <c r="D1149" s="134">
        <v>17</v>
      </c>
      <c r="E1149" s="134" t="s">
        <v>1746</v>
      </c>
      <c r="F1149" s="134" t="s">
        <v>809</v>
      </c>
      <c r="G1149" s="195"/>
      <c r="H1149" s="195">
        <v>435</v>
      </c>
    </row>
    <row r="1150" spans="1:8" s="458" customFormat="1">
      <c r="A1150" s="134" t="s">
        <v>808</v>
      </c>
      <c r="B1150" s="134">
        <v>2020</v>
      </c>
      <c r="C1150" s="134">
        <v>4</v>
      </c>
      <c r="D1150" s="134">
        <v>17</v>
      </c>
      <c r="E1150" s="134" t="s">
        <v>1746</v>
      </c>
      <c r="F1150" s="134" t="s">
        <v>809</v>
      </c>
      <c r="G1150" s="195"/>
      <c r="H1150" s="195">
        <v>488.41</v>
      </c>
    </row>
    <row r="1151" spans="1:8" s="458" customFormat="1">
      <c r="A1151" s="134" t="s">
        <v>808</v>
      </c>
      <c r="B1151" s="134">
        <v>2020</v>
      </c>
      <c r="C1151" s="134">
        <v>4</v>
      </c>
      <c r="D1151" s="134">
        <v>17</v>
      </c>
      <c r="E1151" s="134" t="s">
        <v>1746</v>
      </c>
      <c r="F1151" s="134" t="s">
        <v>809</v>
      </c>
      <c r="G1151" s="195"/>
      <c r="H1151" s="195">
        <v>396</v>
      </c>
    </row>
    <row r="1152" spans="1:8" s="458" customFormat="1">
      <c r="A1152" s="134" t="s">
        <v>808</v>
      </c>
      <c r="B1152" s="134">
        <v>2020</v>
      </c>
      <c r="C1152" s="134">
        <v>4</v>
      </c>
      <c r="D1152" s="134">
        <v>17</v>
      </c>
      <c r="E1152" s="134" t="s">
        <v>1746</v>
      </c>
      <c r="F1152" s="134" t="s">
        <v>809</v>
      </c>
      <c r="G1152" s="195"/>
      <c r="H1152" s="195">
        <v>447</v>
      </c>
    </row>
    <row r="1153" spans="1:8" s="458" customFormat="1">
      <c r="A1153" s="134" t="s">
        <v>808</v>
      </c>
      <c r="B1153" s="134">
        <v>2020</v>
      </c>
      <c r="C1153" s="134">
        <v>4</v>
      </c>
      <c r="D1153" s="134">
        <v>17</v>
      </c>
      <c r="E1153" s="134" t="s">
        <v>1746</v>
      </c>
      <c r="F1153" s="134" t="s">
        <v>809</v>
      </c>
      <c r="G1153" s="195"/>
      <c r="H1153" s="195">
        <v>360</v>
      </c>
    </row>
    <row r="1154" spans="1:8" s="458" customFormat="1">
      <c r="A1154" s="134" t="s">
        <v>808</v>
      </c>
      <c r="B1154" s="134">
        <v>2020</v>
      </c>
      <c r="C1154" s="134">
        <v>4</v>
      </c>
      <c r="D1154" s="134">
        <v>17</v>
      </c>
      <c r="E1154" s="134" t="s">
        <v>1746</v>
      </c>
      <c r="F1154" s="134" t="s">
        <v>809</v>
      </c>
      <c r="G1154" s="195"/>
      <c r="H1154" s="195">
        <v>735</v>
      </c>
    </row>
    <row r="1155" spans="1:8" s="458" customFormat="1">
      <c r="A1155" s="134" t="s">
        <v>808</v>
      </c>
      <c r="B1155" s="134">
        <v>2020</v>
      </c>
      <c r="C1155" s="134">
        <v>4</v>
      </c>
      <c r="D1155" s="134">
        <v>17</v>
      </c>
      <c r="E1155" s="134" t="s">
        <v>1746</v>
      </c>
      <c r="F1155" s="134" t="s">
        <v>809</v>
      </c>
      <c r="G1155" s="195"/>
      <c r="H1155" s="195">
        <v>168</v>
      </c>
    </row>
    <row r="1156" spans="1:8" s="458" customFormat="1">
      <c r="A1156" s="134" t="s">
        <v>808</v>
      </c>
      <c r="B1156" s="134">
        <v>2020</v>
      </c>
      <c r="C1156" s="134">
        <v>4</v>
      </c>
      <c r="D1156" s="134">
        <v>17</v>
      </c>
      <c r="E1156" s="134" t="s">
        <v>1746</v>
      </c>
      <c r="F1156" s="134" t="s">
        <v>809</v>
      </c>
      <c r="G1156" s="195"/>
      <c r="H1156" s="195">
        <v>516</v>
      </c>
    </row>
    <row r="1157" spans="1:8" s="458" customFormat="1">
      <c r="A1157" s="134" t="s">
        <v>808</v>
      </c>
      <c r="B1157" s="134">
        <v>2020</v>
      </c>
      <c r="C1157" s="134">
        <v>4</v>
      </c>
      <c r="D1157" s="134">
        <v>17</v>
      </c>
      <c r="E1157" s="134" t="s">
        <v>1746</v>
      </c>
      <c r="F1157" s="134" t="s">
        <v>809</v>
      </c>
      <c r="G1157" s="195"/>
      <c r="H1157" s="195">
        <v>360</v>
      </c>
    </row>
    <row r="1158" spans="1:8" s="458" customFormat="1">
      <c r="A1158" s="134" t="s">
        <v>808</v>
      </c>
      <c r="B1158" s="134">
        <v>2020</v>
      </c>
      <c r="C1158" s="134">
        <v>4</v>
      </c>
      <c r="D1158" s="134">
        <v>17</v>
      </c>
      <c r="E1158" s="134" t="s">
        <v>1746</v>
      </c>
      <c r="F1158" s="134" t="s">
        <v>809</v>
      </c>
      <c r="G1158" s="195"/>
      <c r="H1158" s="195">
        <v>180</v>
      </c>
    </row>
    <row r="1159" spans="1:8" s="458" customFormat="1">
      <c r="A1159" s="134" t="s">
        <v>808</v>
      </c>
      <c r="B1159" s="134">
        <v>2020</v>
      </c>
      <c r="C1159" s="134">
        <v>4</v>
      </c>
      <c r="D1159" s="134">
        <v>17</v>
      </c>
      <c r="E1159" s="134" t="s">
        <v>1746</v>
      </c>
      <c r="F1159" s="134" t="s">
        <v>809</v>
      </c>
      <c r="G1159" s="195"/>
      <c r="H1159" s="195">
        <v>360</v>
      </c>
    </row>
    <row r="1160" spans="1:8" s="458" customFormat="1">
      <c r="A1160" s="134" t="s">
        <v>808</v>
      </c>
      <c r="B1160" s="134">
        <v>2020</v>
      </c>
      <c r="C1160" s="134">
        <v>4</v>
      </c>
      <c r="D1160" s="134">
        <v>17</v>
      </c>
      <c r="E1160" s="134" t="s">
        <v>1746</v>
      </c>
      <c r="F1160" s="134" t="s">
        <v>809</v>
      </c>
      <c r="G1160" s="195"/>
      <c r="H1160" s="195">
        <v>360</v>
      </c>
    </row>
    <row r="1161" spans="1:8" s="458" customFormat="1">
      <c r="A1161" s="134" t="s">
        <v>808</v>
      </c>
      <c r="B1161" s="134">
        <v>2020</v>
      </c>
      <c r="C1161" s="134">
        <v>4</v>
      </c>
      <c r="D1161" s="134">
        <v>17</v>
      </c>
      <c r="E1161" s="134" t="s">
        <v>1746</v>
      </c>
      <c r="F1161" s="134" t="s">
        <v>809</v>
      </c>
      <c r="G1161" s="195"/>
      <c r="H1161" s="195">
        <v>360</v>
      </c>
    </row>
    <row r="1162" spans="1:8" s="458" customFormat="1">
      <c r="A1162" s="134" t="s">
        <v>808</v>
      </c>
      <c r="B1162" s="134">
        <v>2020</v>
      </c>
      <c r="C1162" s="134">
        <v>4</v>
      </c>
      <c r="D1162" s="134">
        <v>17</v>
      </c>
      <c r="E1162" s="134" t="s">
        <v>1746</v>
      </c>
      <c r="F1162" s="134" t="s">
        <v>809</v>
      </c>
      <c r="G1162" s="195"/>
      <c r="H1162" s="195">
        <v>444</v>
      </c>
    </row>
    <row r="1163" spans="1:8" s="458" customFormat="1">
      <c r="A1163" s="134" t="s">
        <v>808</v>
      </c>
      <c r="B1163" s="134">
        <v>2020</v>
      </c>
      <c r="C1163" s="134">
        <v>4</v>
      </c>
      <c r="D1163" s="134">
        <v>17</v>
      </c>
      <c r="E1163" s="134" t="s">
        <v>1746</v>
      </c>
      <c r="F1163" s="134" t="s">
        <v>809</v>
      </c>
      <c r="G1163" s="195"/>
      <c r="H1163" s="195">
        <v>528</v>
      </c>
    </row>
    <row r="1164" spans="1:8" s="458" customFormat="1">
      <c r="A1164" s="134" t="s">
        <v>808</v>
      </c>
      <c r="B1164" s="134">
        <v>2020</v>
      </c>
      <c r="C1164" s="134">
        <v>4</v>
      </c>
      <c r="D1164" s="134">
        <v>17</v>
      </c>
      <c r="E1164" s="134" t="s">
        <v>1746</v>
      </c>
      <c r="F1164" s="134" t="s">
        <v>809</v>
      </c>
      <c r="G1164" s="195"/>
      <c r="H1164" s="195">
        <v>462</v>
      </c>
    </row>
    <row r="1165" spans="1:8" s="458" customFormat="1">
      <c r="A1165" s="134" t="s">
        <v>808</v>
      </c>
      <c r="B1165" s="134">
        <v>2020</v>
      </c>
      <c r="C1165" s="134">
        <v>4</v>
      </c>
      <c r="D1165" s="134">
        <v>17</v>
      </c>
      <c r="E1165" s="134" t="s">
        <v>1746</v>
      </c>
      <c r="F1165" s="134" t="s">
        <v>809</v>
      </c>
      <c r="G1165" s="195"/>
      <c r="H1165" s="195">
        <v>456</v>
      </c>
    </row>
    <row r="1166" spans="1:8" s="458" customFormat="1">
      <c r="A1166" s="134" t="s">
        <v>808</v>
      </c>
      <c r="B1166" s="134">
        <v>2020</v>
      </c>
      <c r="C1166" s="134">
        <v>4</v>
      </c>
      <c r="D1166" s="134">
        <v>17</v>
      </c>
      <c r="E1166" s="134" t="s">
        <v>1746</v>
      </c>
      <c r="F1166" s="134" t="s">
        <v>809</v>
      </c>
      <c r="G1166" s="195"/>
      <c r="H1166" s="195">
        <v>480</v>
      </c>
    </row>
    <row r="1167" spans="1:8" s="458" customFormat="1">
      <c r="A1167" s="134" t="s">
        <v>808</v>
      </c>
      <c r="B1167" s="134">
        <v>2020</v>
      </c>
      <c r="C1167" s="134">
        <v>4</v>
      </c>
      <c r="D1167" s="134">
        <v>17</v>
      </c>
      <c r="E1167" s="134" t="s">
        <v>1746</v>
      </c>
      <c r="F1167" s="134" t="s">
        <v>809</v>
      </c>
      <c r="G1167" s="195"/>
      <c r="H1167" s="195">
        <v>456</v>
      </c>
    </row>
    <row r="1168" spans="1:8" s="458" customFormat="1">
      <c r="A1168" s="134" t="s">
        <v>808</v>
      </c>
      <c r="B1168" s="134">
        <v>2020</v>
      </c>
      <c r="C1168" s="134">
        <v>4</v>
      </c>
      <c r="D1168" s="134">
        <v>17</v>
      </c>
      <c r="E1168" s="134" t="s">
        <v>1746</v>
      </c>
      <c r="F1168" s="134" t="s">
        <v>809</v>
      </c>
      <c r="G1168" s="195"/>
      <c r="H1168" s="195">
        <v>486</v>
      </c>
    </row>
    <row r="1169" spans="1:8" s="458" customFormat="1">
      <c r="A1169" s="134" t="s">
        <v>808</v>
      </c>
      <c r="B1169" s="134">
        <v>2020</v>
      </c>
      <c r="C1169" s="134">
        <v>4</v>
      </c>
      <c r="D1169" s="134">
        <v>17</v>
      </c>
      <c r="E1169" s="134" t="s">
        <v>1746</v>
      </c>
      <c r="F1169" s="134" t="s">
        <v>809</v>
      </c>
      <c r="G1169" s="195"/>
      <c r="H1169" s="195">
        <v>324</v>
      </c>
    </row>
    <row r="1170" spans="1:8" s="458" customFormat="1">
      <c r="A1170" s="134" t="s">
        <v>808</v>
      </c>
      <c r="B1170" s="134">
        <v>2020</v>
      </c>
      <c r="C1170" s="134">
        <v>4</v>
      </c>
      <c r="D1170" s="134">
        <v>17</v>
      </c>
      <c r="E1170" s="134" t="s">
        <v>1746</v>
      </c>
      <c r="F1170" s="134" t="s">
        <v>809</v>
      </c>
      <c r="G1170" s="195"/>
      <c r="H1170" s="195">
        <v>360</v>
      </c>
    </row>
    <row r="1171" spans="1:8" s="458" customFormat="1">
      <c r="A1171" s="134" t="s">
        <v>808</v>
      </c>
      <c r="B1171" s="134">
        <v>2020</v>
      </c>
      <c r="C1171" s="134">
        <v>4</v>
      </c>
      <c r="D1171" s="134">
        <v>17</v>
      </c>
      <c r="E1171" s="134" t="s">
        <v>1746</v>
      </c>
      <c r="F1171" s="134" t="s">
        <v>809</v>
      </c>
      <c r="G1171" s="195"/>
      <c r="H1171" s="195">
        <v>360</v>
      </c>
    </row>
    <row r="1172" spans="1:8" s="458" customFormat="1">
      <c r="A1172" s="134" t="s">
        <v>808</v>
      </c>
      <c r="B1172" s="134">
        <v>2020</v>
      </c>
      <c r="C1172" s="134">
        <v>4</v>
      </c>
      <c r="D1172" s="134">
        <v>17</v>
      </c>
      <c r="E1172" s="134" t="s">
        <v>1746</v>
      </c>
      <c r="F1172" s="134" t="s">
        <v>809</v>
      </c>
      <c r="G1172" s="195"/>
      <c r="H1172" s="195">
        <v>360</v>
      </c>
    </row>
    <row r="1173" spans="1:8" s="458" customFormat="1">
      <c r="A1173" s="134" t="s">
        <v>808</v>
      </c>
      <c r="B1173" s="134">
        <v>2020</v>
      </c>
      <c r="C1173" s="134">
        <v>4</v>
      </c>
      <c r="D1173" s="134">
        <v>17</v>
      </c>
      <c r="E1173" s="134" t="s">
        <v>1746</v>
      </c>
      <c r="F1173" s="134" t="s">
        <v>809</v>
      </c>
      <c r="G1173" s="195"/>
      <c r="H1173" s="195">
        <v>360</v>
      </c>
    </row>
    <row r="1174" spans="1:8" s="458" customFormat="1">
      <c r="A1174" s="134" t="s">
        <v>808</v>
      </c>
      <c r="B1174" s="134">
        <v>2020</v>
      </c>
      <c r="C1174" s="134">
        <v>4</v>
      </c>
      <c r="D1174" s="134">
        <v>17</v>
      </c>
      <c r="E1174" s="134" t="s">
        <v>1746</v>
      </c>
      <c r="F1174" s="134" t="s">
        <v>809</v>
      </c>
      <c r="G1174" s="195"/>
      <c r="H1174" s="195">
        <v>360</v>
      </c>
    </row>
    <row r="1175" spans="1:8" s="458" customFormat="1">
      <c r="A1175" s="134" t="s">
        <v>808</v>
      </c>
      <c r="B1175" s="134">
        <v>2020</v>
      </c>
      <c r="C1175" s="134">
        <v>4</v>
      </c>
      <c r="D1175" s="134">
        <v>17</v>
      </c>
      <c r="E1175" s="134" t="s">
        <v>1746</v>
      </c>
      <c r="F1175" s="134" t="s">
        <v>809</v>
      </c>
      <c r="G1175" s="195"/>
      <c r="H1175" s="195">
        <v>360</v>
      </c>
    </row>
    <row r="1176" spans="1:8" s="458" customFormat="1">
      <c r="A1176" s="134" t="s">
        <v>808</v>
      </c>
      <c r="B1176" s="134">
        <v>2020</v>
      </c>
      <c r="C1176" s="134">
        <v>4</v>
      </c>
      <c r="D1176" s="134">
        <v>17</v>
      </c>
      <c r="E1176" s="134" t="s">
        <v>1746</v>
      </c>
      <c r="F1176" s="134" t="s">
        <v>809</v>
      </c>
      <c r="G1176" s="195"/>
      <c r="H1176" s="195">
        <v>360</v>
      </c>
    </row>
    <row r="1177" spans="1:8" s="458" customFormat="1">
      <c r="A1177" s="134" t="s">
        <v>808</v>
      </c>
      <c r="B1177" s="134">
        <v>2020</v>
      </c>
      <c r="C1177" s="134">
        <v>4</v>
      </c>
      <c r="D1177" s="134">
        <v>17</v>
      </c>
      <c r="E1177" s="134" t="s">
        <v>1746</v>
      </c>
      <c r="F1177" s="134" t="s">
        <v>809</v>
      </c>
      <c r="G1177" s="195"/>
      <c r="H1177" s="195">
        <v>252</v>
      </c>
    </row>
    <row r="1178" spans="1:8" s="458" customFormat="1">
      <c r="A1178" s="134" t="s">
        <v>808</v>
      </c>
      <c r="B1178" s="134">
        <v>2020</v>
      </c>
      <c r="C1178" s="134">
        <v>4</v>
      </c>
      <c r="D1178" s="134">
        <v>17</v>
      </c>
      <c r="E1178" s="134" t="s">
        <v>1746</v>
      </c>
      <c r="F1178" s="134" t="s">
        <v>809</v>
      </c>
      <c r="G1178" s="195"/>
      <c r="H1178" s="195">
        <v>252</v>
      </c>
    </row>
    <row r="1179" spans="1:8" s="458" customFormat="1">
      <c r="A1179" s="134" t="s">
        <v>808</v>
      </c>
      <c r="B1179" s="134">
        <v>2020</v>
      </c>
      <c r="C1179" s="134">
        <v>4</v>
      </c>
      <c r="D1179" s="134">
        <v>17</v>
      </c>
      <c r="E1179" s="134" t="s">
        <v>1746</v>
      </c>
      <c r="F1179" s="134" t="s">
        <v>809</v>
      </c>
      <c r="G1179" s="195"/>
      <c r="H1179" s="195">
        <v>288</v>
      </c>
    </row>
    <row r="1180" spans="1:8" s="458" customFormat="1">
      <c r="A1180" s="134" t="s">
        <v>808</v>
      </c>
      <c r="B1180" s="134">
        <v>2020</v>
      </c>
      <c r="C1180" s="134">
        <v>4</v>
      </c>
      <c r="D1180" s="134">
        <v>17</v>
      </c>
      <c r="E1180" s="134" t="s">
        <v>1746</v>
      </c>
      <c r="F1180" s="134" t="s">
        <v>809</v>
      </c>
      <c r="G1180" s="195"/>
      <c r="H1180" s="195">
        <v>282</v>
      </c>
    </row>
    <row r="1181" spans="1:8" s="458" customFormat="1">
      <c r="A1181" s="134" t="s">
        <v>808</v>
      </c>
      <c r="B1181" s="134">
        <v>2020</v>
      </c>
      <c r="C1181" s="134">
        <v>4</v>
      </c>
      <c r="D1181" s="134">
        <v>17</v>
      </c>
      <c r="E1181" s="134" t="s">
        <v>1746</v>
      </c>
      <c r="F1181" s="134" t="s">
        <v>809</v>
      </c>
      <c r="G1181" s="195"/>
      <c r="H1181" s="195">
        <v>600</v>
      </c>
    </row>
    <row r="1182" spans="1:8" s="458" customFormat="1">
      <c r="A1182" s="134" t="s">
        <v>808</v>
      </c>
      <c r="B1182" s="134">
        <v>2020</v>
      </c>
      <c r="C1182" s="134">
        <v>4</v>
      </c>
      <c r="D1182" s="134">
        <v>17</v>
      </c>
      <c r="E1182" s="134" t="s">
        <v>1746</v>
      </c>
      <c r="F1182" s="134" t="s">
        <v>809</v>
      </c>
      <c r="G1182" s="195"/>
      <c r="H1182" s="195">
        <v>360</v>
      </c>
    </row>
    <row r="1183" spans="1:8" s="458" customFormat="1">
      <c r="A1183" s="134" t="s">
        <v>808</v>
      </c>
      <c r="B1183" s="134">
        <v>2020</v>
      </c>
      <c r="C1183" s="134">
        <v>4</v>
      </c>
      <c r="D1183" s="134">
        <v>17</v>
      </c>
      <c r="E1183" s="134" t="s">
        <v>1746</v>
      </c>
      <c r="F1183" s="134" t="s">
        <v>809</v>
      </c>
      <c r="G1183" s="195"/>
      <c r="H1183" s="195">
        <v>480</v>
      </c>
    </row>
    <row r="1184" spans="1:8" s="458" customFormat="1">
      <c r="A1184" s="134" t="s">
        <v>808</v>
      </c>
      <c r="B1184" s="134">
        <v>2020</v>
      </c>
      <c r="C1184" s="134">
        <v>4</v>
      </c>
      <c r="D1184" s="134">
        <v>17</v>
      </c>
      <c r="E1184" s="134" t="s">
        <v>1746</v>
      </c>
      <c r="F1184" s="134" t="s">
        <v>809</v>
      </c>
      <c r="G1184" s="195"/>
      <c r="H1184" s="195">
        <v>480</v>
      </c>
    </row>
    <row r="1185" spans="1:8" s="458" customFormat="1">
      <c r="A1185" s="134" t="s">
        <v>808</v>
      </c>
      <c r="B1185" s="134">
        <v>2020</v>
      </c>
      <c r="C1185" s="134">
        <v>4</v>
      </c>
      <c r="D1185" s="134">
        <v>17</v>
      </c>
      <c r="E1185" s="134" t="s">
        <v>1746</v>
      </c>
      <c r="F1185" s="134" t="s">
        <v>809</v>
      </c>
      <c r="G1185" s="195"/>
      <c r="H1185" s="195">
        <v>480</v>
      </c>
    </row>
    <row r="1186" spans="1:8" s="458" customFormat="1">
      <c r="A1186" s="134" t="s">
        <v>808</v>
      </c>
      <c r="B1186" s="134">
        <v>2020</v>
      </c>
      <c r="C1186" s="134">
        <v>4</v>
      </c>
      <c r="D1186" s="134">
        <v>17</v>
      </c>
      <c r="E1186" s="134" t="s">
        <v>1746</v>
      </c>
      <c r="F1186" s="134" t="s">
        <v>809</v>
      </c>
      <c r="G1186" s="195"/>
      <c r="H1186" s="195">
        <v>480</v>
      </c>
    </row>
    <row r="1187" spans="1:8" s="458" customFormat="1">
      <c r="A1187" s="134" t="s">
        <v>808</v>
      </c>
      <c r="B1187" s="134">
        <v>2020</v>
      </c>
      <c r="C1187" s="134">
        <v>4</v>
      </c>
      <c r="D1187" s="134">
        <v>17</v>
      </c>
      <c r="E1187" s="134" t="s">
        <v>1746</v>
      </c>
      <c r="F1187" s="134" t="s">
        <v>809</v>
      </c>
      <c r="G1187" s="195"/>
      <c r="H1187" s="195">
        <v>480</v>
      </c>
    </row>
    <row r="1188" spans="1:8" s="458" customFormat="1">
      <c r="A1188" s="134" t="s">
        <v>808</v>
      </c>
      <c r="B1188" s="134">
        <v>2020</v>
      </c>
      <c r="C1188" s="134">
        <v>4</v>
      </c>
      <c r="D1188" s="134">
        <v>17</v>
      </c>
      <c r="E1188" s="134" t="s">
        <v>1746</v>
      </c>
      <c r="F1188" s="134" t="s">
        <v>809</v>
      </c>
      <c r="G1188" s="195"/>
      <c r="H1188" s="195">
        <v>360</v>
      </c>
    </row>
    <row r="1189" spans="1:8" s="458" customFormat="1">
      <c r="A1189" s="134" t="s">
        <v>808</v>
      </c>
      <c r="B1189" s="134">
        <v>2020</v>
      </c>
      <c r="C1189" s="134">
        <v>4</v>
      </c>
      <c r="D1189" s="134">
        <v>17</v>
      </c>
      <c r="E1189" s="134" t="s">
        <v>1746</v>
      </c>
      <c r="F1189" s="134" t="s">
        <v>809</v>
      </c>
      <c r="G1189" s="195"/>
      <c r="H1189" s="195">
        <v>360</v>
      </c>
    </row>
    <row r="1190" spans="1:8" s="458" customFormat="1">
      <c r="A1190" s="134" t="s">
        <v>808</v>
      </c>
      <c r="B1190" s="134">
        <v>2020</v>
      </c>
      <c r="C1190" s="134">
        <v>4</v>
      </c>
      <c r="D1190" s="134">
        <v>17</v>
      </c>
      <c r="E1190" s="134" t="s">
        <v>1746</v>
      </c>
      <c r="F1190" s="134" t="s">
        <v>809</v>
      </c>
      <c r="G1190" s="195"/>
      <c r="H1190" s="195">
        <v>360</v>
      </c>
    </row>
    <row r="1191" spans="1:8" s="458" customFormat="1">
      <c r="A1191" s="134" t="s">
        <v>808</v>
      </c>
      <c r="B1191" s="134">
        <v>2020</v>
      </c>
      <c r="C1191" s="134">
        <v>4</v>
      </c>
      <c r="D1191" s="134">
        <v>17</v>
      </c>
      <c r="E1191" s="134" t="s">
        <v>1746</v>
      </c>
      <c r="F1191" s="134" t="s">
        <v>809</v>
      </c>
      <c r="G1191" s="195"/>
      <c r="H1191" s="195">
        <v>360</v>
      </c>
    </row>
    <row r="1192" spans="1:8" s="458" customFormat="1">
      <c r="A1192" s="134" t="s">
        <v>808</v>
      </c>
      <c r="B1192" s="134">
        <v>2020</v>
      </c>
      <c r="C1192" s="134">
        <v>4</v>
      </c>
      <c r="D1192" s="134">
        <v>17</v>
      </c>
      <c r="E1192" s="134" t="s">
        <v>1746</v>
      </c>
      <c r="F1192" s="134" t="s">
        <v>809</v>
      </c>
      <c r="G1192" s="195"/>
      <c r="H1192" s="195">
        <v>360</v>
      </c>
    </row>
    <row r="1193" spans="1:8" s="458" customFormat="1">
      <c r="A1193" s="134" t="s">
        <v>808</v>
      </c>
      <c r="B1193" s="134">
        <v>2020</v>
      </c>
      <c r="C1193" s="134">
        <v>4</v>
      </c>
      <c r="D1193" s="134">
        <v>17</v>
      </c>
      <c r="E1193" s="134" t="s">
        <v>1746</v>
      </c>
      <c r="F1193" s="134" t="s">
        <v>809</v>
      </c>
      <c r="G1193" s="195"/>
      <c r="H1193" s="195">
        <v>360</v>
      </c>
    </row>
    <row r="1194" spans="1:8" s="458" customFormat="1">
      <c r="A1194" s="134" t="s">
        <v>808</v>
      </c>
      <c r="B1194" s="134">
        <v>2020</v>
      </c>
      <c r="C1194" s="134">
        <v>4</v>
      </c>
      <c r="D1194" s="134">
        <v>17</v>
      </c>
      <c r="E1194" s="134" t="s">
        <v>1746</v>
      </c>
      <c r="F1194" s="134" t="s">
        <v>809</v>
      </c>
      <c r="G1194" s="195"/>
      <c r="H1194" s="195">
        <v>360</v>
      </c>
    </row>
    <row r="1195" spans="1:8" s="458" customFormat="1">
      <c r="A1195" s="134" t="s">
        <v>808</v>
      </c>
      <c r="B1195" s="134">
        <v>2020</v>
      </c>
      <c r="C1195" s="134">
        <v>4</v>
      </c>
      <c r="D1195" s="134">
        <v>17</v>
      </c>
      <c r="E1195" s="134" t="s">
        <v>1746</v>
      </c>
      <c r="F1195" s="134" t="s">
        <v>809</v>
      </c>
      <c r="G1195" s="195"/>
      <c r="H1195" s="195">
        <v>360</v>
      </c>
    </row>
    <row r="1196" spans="1:8" s="458" customFormat="1">
      <c r="A1196" s="134" t="s">
        <v>808</v>
      </c>
      <c r="B1196" s="134">
        <v>2020</v>
      </c>
      <c r="C1196" s="134">
        <v>4</v>
      </c>
      <c r="D1196" s="134">
        <v>17</v>
      </c>
      <c r="E1196" s="134" t="s">
        <v>1746</v>
      </c>
      <c r="F1196" s="134" t="s">
        <v>809</v>
      </c>
      <c r="G1196" s="195"/>
      <c r="H1196" s="195">
        <v>360</v>
      </c>
    </row>
    <row r="1197" spans="1:8" s="458" customFormat="1">
      <c r="A1197" s="134" t="s">
        <v>808</v>
      </c>
      <c r="B1197" s="134">
        <v>2020</v>
      </c>
      <c r="C1197" s="134">
        <v>4</v>
      </c>
      <c r="D1197" s="134">
        <v>17</v>
      </c>
      <c r="E1197" s="134" t="s">
        <v>1746</v>
      </c>
      <c r="F1197" s="134" t="s">
        <v>809</v>
      </c>
      <c r="G1197" s="195"/>
      <c r="H1197" s="195">
        <v>360</v>
      </c>
    </row>
    <row r="1198" spans="1:8" s="458" customFormat="1">
      <c r="A1198" s="134" t="s">
        <v>808</v>
      </c>
      <c r="B1198" s="134">
        <v>2020</v>
      </c>
      <c r="C1198" s="134">
        <v>4</v>
      </c>
      <c r="D1198" s="134">
        <v>17</v>
      </c>
      <c r="E1198" s="134" t="s">
        <v>1746</v>
      </c>
      <c r="F1198" s="134" t="s">
        <v>809</v>
      </c>
      <c r="G1198" s="195"/>
      <c r="H1198" s="195">
        <v>360</v>
      </c>
    </row>
    <row r="1199" spans="1:8" s="458" customFormat="1">
      <c r="A1199" s="134" t="s">
        <v>808</v>
      </c>
      <c r="B1199" s="134">
        <v>2020</v>
      </c>
      <c r="C1199" s="134">
        <v>4</v>
      </c>
      <c r="D1199" s="134">
        <v>17</v>
      </c>
      <c r="E1199" s="134" t="s">
        <v>1746</v>
      </c>
      <c r="F1199" s="134" t="s">
        <v>809</v>
      </c>
      <c r="G1199" s="195"/>
      <c r="H1199" s="195">
        <v>360</v>
      </c>
    </row>
    <row r="1200" spans="1:8" s="458" customFormat="1">
      <c r="A1200" s="134" t="s">
        <v>808</v>
      </c>
      <c r="B1200" s="134">
        <v>2020</v>
      </c>
      <c r="C1200" s="134">
        <v>4</v>
      </c>
      <c r="D1200" s="134">
        <v>17</v>
      </c>
      <c r="E1200" s="134" t="s">
        <v>1746</v>
      </c>
      <c r="F1200" s="134" t="s">
        <v>809</v>
      </c>
      <c r="G1200" s="195"/>
      <c r="H1200" s="195">
        <v>360</v>
      </c>
    </row>
    <row r="1201" spans="1:8" s="458" customFormat="1">
      <c r="A1201" s="134" t="s">
        <v>808</v>
      </c>
      <c r="B1201" s="134">
        <v>2020</v>
      </c>
      <c r="C1201" s="134">
        <v>4</v>
      </c>
      <c r="D1201" s="134">
        <v>17</v>
      </c>
      <c r="E1201" s="134" t="s">
        <v>1746</v>
      </c>
      <c r="F1201" s="134" t="s">
        <v>809</v>
      </c>
      <c r="G1201" s="195"/>
      <c r="H1201" s="195">
        <v>360</v>
      </c>
    </row>
    <row r="1202" spans="1:8" s="458" customFormat="1">
      <c r="A1202" s="134" t="s">
        <v>808</v>
      </c>
      <c r="B1202" s="134">
        <v>2020</v>
      </c>
      <c r="C1202" s="134">
        <v>4</v>
      </c>
      <c r="D1202" s="134">
        <v>17</v>
      </c>
      <c r="E1202" s="134" t="s">
        <v>1746</v>
      </c>
      <c r="F1202" s="134" t="s">
        <v>809</v>
      </c>
      <c r="G1202" s="195"/>
      <c r="H1202" s="195">
        <v>214.38</v>
      </c>
    </row>
    <row r="1203" spans="1:8" s="458" customFormat="1">
      <c r="A1203" s="134" t="s">
        <v>808</v>
      </c>
      <c r="B1203" s="134">
        <v>2020</v>
      </c>
      <c r="C1203" s="134">
        <v>4</v>
      </c>
      <c r="D1203" s="134">
        <v>17</v>
      </c>
      <c r="E1203" s="134" t="s">
        <v>1746</v>
      </c>
      <c r="F1203" s="134" t="s">
        <v>809</v>
      </c>
      <c r="G1203" s="195"/>
      <c r="H1203" s="195">
        <v>42.88</v>
      </c>
    </row>
    <row r="1204" spans="1:8" s="458" customFormat="1">
      <c r="A1204" s="134" t="s">
        <v>808</v>
      </c>
      <c r="B1204" s="134">
        <v>2020</v>
      </c>
      <c r="C1204" s="134">
        <v>4</v>
      </c>
      <c r="D1204" s="134">
        <v>17</v>
      </c>
      <c r="E1204" s="134" t="s">
        <v>1746</v>
      </c>
      <c r="F1204" s="134" t="s">
        <v>809</v>
      </c>
      <c r="G1204" s="195"/>
      <c r="H1204" s="195">
        <v>385.88</v>
      </c>
    </row>
    <row r="1205" spans="1:8" s="458" customFormat="1">
      <c r="A1205" s="134" t="s">
        <v>808</v>
      </c>
      <c r="B1205" s="134">
        <v>2020</v>
      </c>
      <c r="C1205" s="134">
        <v>4</v>
      </c>
      <c r="D1205" s="134">
        <v>17</v>
      </c>
      <c r="E1205" s="134" t="s">
        <v>1746</v>
      </c>
      <c r="F1205" s="134" t="s">
        <v>809</v>
      </c>
      <c r="G1205" s="195"/>
      <c r="H1205" s="195">
        <v>367.5</v>
      </c>
    </row>
    <row r="1206" spans="1:8" s="458" customFormat="1">
      <c r="A1206" s="134" t="s">
        <v>808</v>
      </c>
      <c r="B1206" s="134">
        <v>2020</v>
      </c>
      <c r="C1206" s="134">
        <v>4</v>
      </c>
      <c r="D1206" s="134">
        <v>17</v>
      </c>
      <c r="E1206" s="134" t="s">
        <v>1746</v>
      </c>
      <c r="F1206" s="134" t="s">
        <v>809</v>
      </c>
      <c r="G1206" s="195"/>
      <c r="H1206" s="195">
        <v>367.5</v>
      </c>
    </row>
    <row r="1207" spans="1:8" s="458" customFormat="1">
      <c r="A1207" s="134" t="s">
        <v>808</v>
      </c>
      <c r="B1207" s="134">
        <v>2020</v>
      </c>
      <c r="C1207" s="134">
        <v>4</v>
      </c>
      <c r="D1207" s="134">
        <v>17</v>
      </c>
      <c r="E1207" s="134" t="s">
        <v>1746</v>
      </c>
      <c r="F1207" s="134" t="s">
        <v>809</v>
      </c>
      <c r="G1207" s="195"/>
      <c r="H1207" s="195">
        <v>367.5</v>
      </c>
    </row>
    <row r="1208" spans="1:8" s="458" customFormat="1">
      <c r="A1208" s="134" t="s">
        <v>808</v>
      </c>
      <c r="B1208" s="134">
        <v>2020</v>
      </c>
      <c r="C1208" s="134">
        <v>4</v>
      </c>
      <c r="D1208" s="134">
        <v>17</v>
      </c>
      <c r="E1208" s="134" t="s">
        <v>1746</v>
      </c>
      <c r="F1208" s="134" t="s">
        <v>809</v>
      </c>
      <c r="G1208" s="195"/>
      <c r="H1208" s="195">
        <v>367.5</v>
      </c>
    </row>
    <row r="1209" spans="1:8" s="458" customFormat="1">
      <c r="A1209" s="134" t="s">
        <v>808</v>
      </c>
      <c r="B1209" s="134">
        <v>2020</v>
      </c>
      <c r="C1209" s="134">
        <v>4</v>
      </c>
      <c r="D1209" s="134">
        <v>17</v>
      </c>
      <c r="E1209" s="134" t="s">
        <v>1746</v>
      </c>
      <c r="F1209" s="134" t="s">
        <v>809</v>
      </c>
      <c r="G1209" s="195"/>
      <c r="H1209" s="195">
        <v>367.5</v>
      </c>
    </row>
    <row r="1210" spans="1:8" s="458" customFormat="1">
      <c r="A1210" s="134" t="s">
        <v>808</v>
      </c>
      <c r="B1210" s="134">
        <v>2020</v>
      </c>
      <c r="C1210" s="134">
        <v>4</v>
      </c>
      <c r="D1210" s="134">
        <v>20</v>
      </c>
      <c r="E1210" s="134" t="s">
        <v>1750</v>
      </c>
      <c r="F1210" s="134" t="s">
        <v>809</v>
      </c>
      <c r="G1210" s="195"/>
      <c r="H1210" s="195">
        <v>87.52</v>
      </c>
    </row>
    <row r="1211" spans="1:8" s="458" customFormat="1">
      <c r="A1211" s="134" t="s">
        <v>808</v>
      </c>
      <c r="B1211" s="134">
        <v>2020</v>
      </c>
      <c r="C1211" s="134">
        <v>4</v>
      </c>
      <c r="D1211" s="134">
        <v>20</v>
      </c>
      <c r="E1211" s="134" t="s">
        <v>1750</v>
      </c>
      <c r="F1211" s="134" t="s">
        <v>809</v>
      </c>
      <c r="G1211" s="195"/>
      <c r="H1211" s="195">
        <v>115.58</v>
      </c>
    </row>
    <row r="1212" spans="1:8" s="458" customFormat="1">
      <c r="A1212" s="134" t="s">
        <v>808</v>
      </c>
      <c r="B1212" s="134">
        <v>2020</v>
      </c>
      <c r="C1212" s="134">
        <v>4</v>
      </c>
      <c r="D1212" s="134">
        <v>20</v>
      </c>
      <c r="E1212" s="134" t="s">
        <v>1750</v>
      </c>
      <c r="F1212" s="134" t="s">
        <v>809</v>
      </c>
      <c r="G1212" s="195"/>
      <c r="H1212" s="195">
        <v>90.88</v>
      </c>
    </row>
    <row r="1213" spans="1:8" s="458" customFormat="1">
      <c r="A1213" s="134" t="s">
        <v>808</v>
      </c>
      <c r="B1213" s="134">
        <v>2020</v>
      </c>
      <c r="C1213" s="134">
        <v>4</v>
      </c>
      <c r="D1213" s="134">
        <v>20</v>
      </c>
      <c r="E1213" s="134" t="s">
        <v>1750</v>
      </c>
      <c r="F1213" s="134" t="s">
        <v>809</v>
      </c>
      <c r="G1213" s="195"/>
      <c r="H1213" s="195">
        <v>41</v>
      </c>
    </row>
    <row r="1214" spans="1:8" s="458" customFormat="1">
      <c r="A1214" s="134" t="s">
        <v>808</v>
      </c>
      <c r="B1214" s="134">
        <v>2020</v>
      </c>
      <c r="C1214" s="134">
        <v>4</v>
      </c>
      <c r="D1214" s="134">
        <v>25</v>
      </c>
      <c r="E1214" s="134" t="s">
        <v>1760</v>
      </c>
      <c r="F1214" s="134" t="s">
        <v>809</v>
      </c>
      <c r="G1214" s="195"/>
      <c r="H1214" s="195">
        <v>65.33</v>
      </c>
    </row>
    <row r="1215" spans="1:8" s="458" customFormat="1">
      <c r="A1215" s="134" t="s">
        <v>808</v>
      </c>
      <c r="B1215" s="134">
        <v>2020</v>
      </c>
      <c r="C1215" s="134">
        <v>4</v>
      </c>
      <c r="D1215" s="134">
        <v>25</v>
      </c>
      <c r="E1215" s="134" t="s">
        <v>1760</v>
      </c>
      <c r="F1215" s="134" t="s">
        <v>809</v>
      </c>
      <c r="G1215" s="195"/>
      <c r="H1215" s="195"/>
    </row>
    <row r="1216" spans="1:8" s="458" customFormat="1">
      <c r="A1216" s="134" t="s">
        <v>808</v>
      </c>
      <c r="B1216" s="134">
        <v>2020</v>
      </c>
      <c r="C1216" s="134">
        <v>4</v>
      </c>
      <c r="D1216" s="134">
        <v>25</v>
      </c>
      <c r="E1216" s="134" t="s">
        <v>1760</v>
      </c>
      <c r="F1216" s="134" t="s">
        <v>809</v>
      </c>
      <c r="G1216" s="195"/>
      <c r="H1216" s="195">
        <v>65.33</v>
      </c>
    </row>
    <row r="1217" spans="1:8" s="458" customFormat="1">
      <c r="A1217" s="134" t="s">
        <v>808</v>
      </c>
      <c r="B1217" s="134">
        <v>2020</v>
      </c>
      <c r="C1217" s="134">
        <v>4</v>
      </c>
      <c r="D1217" s="134">
        <v>25</v>
      </c>
      <c r="E1217" s="134" t="s">
        <v>1760</v>
      </c>
      <c r="F1217" s="134" t="s">
        <v>809</v>
      </c>
      <c r="G1217" s="195"/>
      <c r="H1217" s="195"/>
    </row>
    <row r="1218" spans="1:8" s="458" customFormat="1">
      <c r="A1218" s="134" t="s">
        <v>808</v>
      </c>
      <c r="B1218" s="134">
        <v>2020</v>
      </c>
      <c r="C1218" s="134">
        <v>4</v>
      </c>
      <c r="D1218" s="134">
        <v>25</v>
      </c>
      <c r="E1218" s="134" t="s">
        <v>1760</v>
      </c>
      <c r="F1218" s="134" t="s">
        <v>809</v>
      </c>
      <c r="G1218" s="195"/>
      <c r="H1218" s="195">
        <v>65.33</v>
      </c>
    </row>
    <row r="1219" spans="1:8" s="458" customFormat="1">
      <c r="A1219" s="134" t="s">
        <v>808</v>
      </c>
      <c r="B1219" s="134">
        <v>2020</v>
      </c>
      <c r="C1219" s="134">
        <v>4</v>
      </c>
      <c r="D1219" s="134">
        <v>25</v>
      </c>
      <c r="E1219" s="134" t="s">
        <v>1760</v>
      </c>
      <c r="F1219" s="134" t="s">
        <v>809</v>
      </c>
      <c r="G1219" s="195"/>
      <c r="H1219" s="195"/>
    </row>
    <row r="1220" spans="1:8" s="458" customFormat="1">
      <c r="A1220" s="134" t="s">
        <v>808</v>
      </c>
      <c r="B1220" s="134">
        <v>2020</v>
      </c>
      <c r="C1220" s="134">
        <v>4</v>
      </c>
      <c r="D1220" s="134">
        <v>25</v>
      </c>
      <c r="E1220" s="134" t="s">
        <v>1761</v>
      </c>
      <c r="F1220" s="134" t="s">
        <v>809</v>
      </c>
      <c r="G1220" s="195"/>
      <c r="H1220" s="195">
        <v>2415</v>
      </c>
    </row>
    <row r="1221" spans="1:8" s="458" customFormat="1">
      <c r="A1221" s="134" t="s">
        <v>808</v>
      </c>
      <c r="B1221" s="134">
        <v>2020</v>
      </c>
      <c r="C1221" s="134">
        <v>4</v>
      </c>
      <c r="D1221" s="134">
        <v>25</v>
      </c>
      <c r="E1221" s="134" t="s">
        <v>1761</v>
      </c>
      <c r="F1221" s="134" t="s">
        <v>809</v>
      </c>
      <c r="G1221" s="195"/>
      <c r="H1221" s="195">
        <v>2000</v>
      </c>
    </row>
    <row r="1222" spans="1:8" s="458" customFormat="1">
      <c r="A1222" s="134" t="s">
        <v>808</v>
      </c>
      <c r="B1222" s="134">
        <v>2020</v>
      </c>
      <c r="C1222" s="134">
        <v>4</v>
      </c>
      <c r="D1222" s="134">
        <v>25</v>
      </c>
      <c r="E1222" s="134" t="s">
        <v>1761</v>
      </c>
      <c r="F1222" s="134" t="s">
        <v>809</v>
      </c>
      <c r="G1222" s="195"/>
      <c r="H1222" s="195">
        <v>192</v>
      </c>
    </row>
    <row r="1223" spans="1:8" s="458" customFormat="1">
      <c r="A1223" s="134" t="s">
        <v>808</v>
      </c>
      <c r="B1223" s="134">
        <v>2020</v>
      </c>
      <c r="C1223" s="134">
        <v>4</v>
      </c>
      <c r="D1223" s="134">
        <v>25</v>
      </c>
      <c r="E1223" s="134" t="s">
        <v>1763</v>
      </c>
      <c r="F1223" s="134" t="s">
        <v>809</v>
      </c>
      <c r="G1223" s="195"/>
      <c r="H1223" s="195">
        <v>1541.89</v>
      </c>
    </row>
    <row r="1224" spans="1:8" s="458" customFormat="1">
      <c r="A1224" s="134" t="s">
        <v>808</v>
      </c>
      <c r="B1224" s="134">
        <v>2020</v>
      </c>
      <c r="C1224" s="134">
        <v>4</v>
      </c>
      <c r="D1224" s="134">
        <v>27</v>
      </c>
      <c r="E1224" s="134" t="s">
        <v>1766</v>
      </c>
      <c r="F1224" s="134" t="s">
        <v>809</v>
      </c>
      <c r="G1224" s="195"/>
      <c r="H1224" s="195">
        <v>-6500</v>
      </c>
    </row>
    <row r="1225" spans="1:8" s="458" customFormat="1">
      <c r="A1225" s="134" t="s">
        <v>808</v>
      </c>
      <c r="B1225" s="134">
        <v>2020</v>
      </c>
      <c r="C1225" s="134">
        <v>4</v>
      </c>
      <c r="D1225" s="134">
        <v>27</v>
      </c>
      <c r="E1225" s="134" t="s">
        <v>1767</v>
      </c>
      <c r="F1225" s="134" t="s">
        <v>809</v>
      </c>
      <c r="G1225" s="195"/>
      <c r="H1225" s="195">
        <v>6500</v>
      </c>
    </row>
    <row r="1226" spans="1:8" s="458" customFormat="1">
      <c r="A1226" s="134" t="s">
        <v>808</v>
      </c>
      <c r="B1226" s="134">
        <v>2020</v>
      </c>
      <c r="C1226" s="134">
        <v>4</v>
      </c>
      <c r="D1226" s="134">
        <v>29</v>
      </c>
      <c r="E1226" s="134" t="s">
        <v>1775</v>
      </c>
      <c r="F1226" s="134" t="s">
        <v>809</v>
      </c>
      <c r="G1226" s="195"/>
      <c r="H1226" s="195"/>
    </row>
    <row r="1227" spans="1:8" s="458" customFormat="1">
      <c r="A1227" s="134" t="s">
        <v>808</v>
      </c>
      <c r="B1227" s="134">
        <v>2020</v>
      </c>
      <c r="C1227" s="134">
        <v>4</v>
      </c>
      <c r="D1227" s="134">
        <v>29</v>
      </c>
      <c r="E1227" s="134" t="s">
        <v>1775</v>
      </c>
      <c r="F1227" s="134" t="s">
        <v>809</v>
      </c>
      <c r="G1227" s="195"/>
      <c r="H1227" s="195"/>
    </row>
    <row r="1228" spans="1:8" s="458" customFormat="1">
      <c r="A1228" s="134" t="s">
        <v>808</v>
      </c>
      <c r="B1228" s="134">
        <v>2020</v>
      </c>
      <c r="C1228" s="134">
        <v>4</v>
      </c>
      <c r="D1228" s="134">
        <v>29</v>
      </c>
      <c r="E1228" s="134" t="s">
        <v>1775</v>
      </c>
      <c r="F1228" s="134" t="s">
        <v>809</v>
      </c>
      <c r="G1228" s="195"/>
      <c r="H1228" s="195"/>
    </row>
    <row r="1229" spans="1:8" s="458" customFormat="1">
      <c r="A1229" s="134" t="s">
        <v>808</v>
      </c>
      <c r="B1229" s="134">
        <v>2020</v>
      </c>
      <c r="C1229" s="134">
        <v>4</v>
      </c>
      <c r="D1229" s="134">
        <v>29</v>
      </c>
      <c r="E1229" s="134" t="s">
        <v>1775</v>
      </c>
      <c r="F1229" s="134" t="s">
        <v>809</v>
      </c>
      <c r="G1229" s="195"/>
      <c r="H1229" s="195"/>
    </row>
    <row r="1230" spans="1:8" s="458" customFormat="1">
      <c r="A1230" s="134" t="s">
        <v>808</v>
      </c>
      <c r="B1230" s="134">
        <v>2020</v>
      </c>
      <c r="C1230" s="134">
        <v>4</v>
      </c>
      <c r="D1230" s="134">
        <v>29</v>
      </c>
      <c r="E1230" s="134" t="s">
        <v>1775</v>
      </c>
      <c r="F1230" s="134" t="s">
        <v>809</v>
      </c>
      <c r="G1230" s="195"/>
      <c r="H1230" s="195"/>
    </row>
    <row r="1231" spans="1:8" s="458" customFormat="1">
      <c r="A1231" s="134" t="s">
        <v>808</v>
      </c>
      <c r="B1231" s="134">
        <v>2020</v>
      </c>
      <c r="C1231" s="134">
        <v>4</v>
      </c>
      <c r="D1231" s="134">
        <v>29</v>
      </c>
      <c r="E1231" s="134" t="s">
        <v>1775</v>
      </c>
      <c r="F1231" s="134" t="s">
        <v>809</v>
      </c>
      <c r="G1231" s="195"/>
      <c r="H1231" s="195"/>
    </row>
    <row r="1232" spans="1:8" s="458" customFormat="1">
      <c r="A1232" s="134" t="s">
        <v>808</v>
      </c>
      <c r="B1232" s="134">
        <v>2020</v>
      </c>
      <c r="C1232" s="134">
        <v>4</v>
      </c>
      <c r="D1232" s="134">
        <v>29</v>
      </c>
      <c r="E1232" s="134" t="s">
        <v>1775</v>
      </c>
      <c r="F1232" s="134" t="s">
        <v>809</v>
      </c>
      <c r="G1232" s="195"/>
      <c r="H1232" s="195"/>
    </row>
    <row r="1233" spans="1:8" s="458" customFormat="1">
      <c r="A1233" s="134" t="s">
        <v>808</v>
      </c>
      <c r="B1233" s="134">
        <v>2020</v>
      </c>
      <c r="C1233" s="134">
        <v>4</v>
      </c>
      <c r="D1233" s="134">
        <v>29</v>
      </c>
      <c r="E1233" s="134" t="s">
        <v>1775</v>
      </c>
      <c r="F1233" s="134" t="s">
        <v>809</v>
      </c>
      <c r="G1233" s="195"/>
      <c r="H1233" s="195"/>
    </row>
    <row r="1234" spans="1:8" s="458" customFormat="1">
      <c r="A1234" s="134" t="s">
        <v>808</v>
      </c>
      <c r="B1234" s="134">
        <v>2020</v>
      </c>
      <c r="C1234" s="134">
        <v>4</v>
      </c>
      <c r="D1234" s="134">
        <v>29</v>
      </c>
      <c r="E1234" s="134" t="s">
        <v>1775</v>
      </c>
      <c r="F1234" s="134" t="s">
        <v>809</v>
      </c>
      <c r="G1234" s="195"/>
      <c r="H1234" s="195"/>
    </row>
    <row r="1235" spans="1:8" s="458" customFormat="1">
      <c r="A1235" s="134" t="s">
        <v>808</v>
      </c>
      <c r="B1235" s="134">
        <v>2020</v>
      </c>
      <c r="C1235" s="134">
        <v>4</v>
      </c>
      <c r="D1235" s="134">
        <v>29</v>
      </c>
      <c r="E1235" s="134" t="s">
        <v>1775</v>
      </c>
      <c r="F1235" s="134" t="s">
        <v>809</v>
      </c>
      <c r="G1235" s="195"/>
      <c r="H1235" s="195"/>
    </row>
    <row r="1236" spans="1:8" s="458" customFormat="1">
      <c r="A1236" s="134" t="s">
        <v>808</v>
      </c>
      <c r="B1236" s="134">
        <v>2020</v>
      </c>
      <c r="C1236" s="134">
        <v>4</v>
      </c>
      <c r="D1236" s="134">
        <v>29</v>
      </c>
      <c r="E1236" s="134" t="s">
        <v>1775</v>
      </c>
      <c r="F1236" s="134" t="s">
        <v>809</v>
      </c>
      <c r="G1236" s="195"/>
      <c r="H1236" s="195"/>
    </row>
    <row r="1237" spans="1:8" s="458" customFormat="1">
      <c r="A1237" s="134" t="s">
        <v>808</v>
      </c>
      <c r="B1237" s="134">
        <v>2020</v>
      </c>
      <c r="C1237" s="134">
        <v>4</v>
      </c>
      <c r="D1237" s="134">
        <v>29</v>
      </c>
      <c r="E1237" s="134" t="s">
        <v>1775</v>
      </c>
      <c r="F1237" s="134" t="s">
        <v>809</v>
      </c>
      <c r="G1237" s="195"/>
      <c r="H1237" s="195">
        <v>59.99</v>
      </c>
    </row>
    <row r="1238" spans="1:8" s="458" customFormat="1">
      <c r="A1238" s="134" t="s">
        <v>808</v>
      </c>
      <c r="B1238" s="134">
        <v>2020</v>
      </c>
      <c r="C1238" s="134">
        <v>4</v>
      </c>
      <c r="D1238" s="134">
        <v>29</v>
      </c>
      <c r="E1238" s="134" t="s">
        <v>1775</v>
      </c>
      <c r="F1238" s="134" t="s">
        <v>809</v>
      </c>
      <c r="G1238" s="195"/>
      <c r="H1238" s="195"/>
    </row>
    <row r="1239" spans="1:8" s="458" customFormat="1">
      <c r="A1239" s="134" t="s">
        <v>808</v>
      </c>
      <c r="B1239" s="134">
        <v>2020</v>
      </c>
      <c r="C1239" s="134">
        <v>4</v>
      </c>
      <c r="D1239" s="134">
        <v>29</v>
      </c>
      <c r="E1239" s="134" t="s">
        <v>1775</v>
      </c>
      <c r="F1239" s="134" t="s">
        <v>809</v>
      </c>
      <c r="G1239" s="195"/>
      <c r="H1239" s="195"/>
    </row>
    <row r="1240" spans="1:8" s="458" customFormat="1">
      <c r="A1240" s="134" t="s">
        <v>808</v>
      </c>
      <c r="B1240" s="134">
        <v>2020</v>
      </c>
      <c r="C1240" s="134">
        <v>4</v>
      </c>
      <c r="D1240" s="134">
        <v>29</v>
      </c>
      <c r="E1240" s="134" t="s">
        <v>1775</v>
      </c>
      <c r="F1240" s="134" t="s">
        <v>809</v>
      </c>
      <c r="G1240" s="195"/>
      <c r="H1240" s="195"/>
    </row>
    <row r="1241" spans="1:8" s="458" customFormat="1">
      <c r="A1241" s="134" t="s">
        <v>808</v>
      </c>
      <c r="B1241" s="134">
        <v>2020</v>
      </c>
      <c r="C1241" s="134">
        <v>4</v>
      </c>
      <c r="D1241" s="134">
        <v>29</v>
      </c>
      <c r="E1241" s="134" t="s">
        <v>1775</v>
      </c>
      <c r="F1241" s="134" t="s">
        <v>809</v>
      </c>
      <c r="G1241" s="195"/>
      <c r="H1241" s="195"/>
    </row>
    <row r="1242" spans="1:8" s="458" customFormat="1">
      <c r="A1242" s="134" t="s">
        <v>808</v>
      </c>
      <c r="B1242" s="134">
        <v>2020</v>
      </c>
      <c r="C1242" s="134">
        <v>4</v>
      </c>
      <c r="D1242" s="134">
        <v>29</v>
      </c>
      <c r="E1242" s="134" t="s">
        <v>1775</v>
      </c>
      <c r="F1242" s="134" t="s">
        <v>809</v>
      </c>
      <c r="G1242" s="195"/>
      <c r="H1242" s="195"/>
    </row>
    <row r="1243" spans="1:8" s="458" customFormat="1">
      <c r="A1243" s="134" t="s">
        <v>808</v>
      </c>
      <c r="B1243" s="134">
        <v>2020</v>
      </c>
      <c r="C1243" s="134">
        <v>4</v>
      </c>
      <c r="D1243" s="134">
        <v>29</v>
      </c>
      <c r="E1243" s="134" t="s">
        <v>1775</v>
      </c>
      <c r="F1243" s="134" t="s">
        <v>809</v>
      </c>
      <c r="G1243" s="195"/>
      <c r="H1243" s="195"/>
    </row>
    <row r="1244" spans="1:8" s="458" customFormat="1">
      <c r="A1244" s="134" t="s">
        <v>808</v>
      </c>
      <c r="B1244" s="134">
        <v>2020</v>
      </c>
      <c r="C1244" s="134">
        <v>4</v>
      </c>
      <c r="D1244" s="134">
        <v>29</v>
      </c>
      <c r="E1244" s="134" t="s">
        <v>1775</v>
      </c>
      <c r="F1244" s="134" t="s">
        <v>809</v>
      </c>
      <c r="G1244" s="195"/>
      <c r="H1244" s="195"/>
    </row>
    <row r="1245" spans="1:8" s="458" customFormat="1">
      <c r="A1245" s="134" t="s">
        <v>808</v>
      </c>
      <c r="B1245" s="134">
        <v>2020</v>
      </c>
      <c r="C1245" s="134">
        <v>4</v>
      </c>
      <c r="D1245" s="134">
        <v>29</v>
      </c>
      <c r="E1245" s="134" t="s">
        <v>1775</v>
      </c>
      <c r="F1245" s="134" t="s">
        <v>809</v>
      </c>
      <c r="G1245" s="195"/>
      <c r="H1245" s="195"/>
    </row>
    <row r="1246" spans="1:8" s="458" customFormat="1">
      <c r="A1246" s="134" t="s">
        <v>808</v>
      </c>
      <c r="B1246" s="134">
        <v>2020</v>
      </c>
      <c r="C1246" s="134">
        <v>4</v>
      </c>
      <c r="D1246" s="134">
        <v>29</v>
      </c>
      <c r="E1246" s="134" t="s">
        <v>1775</v>
      </c>
      <c r="F1246" s="134" t="s">
        <v>809</v>
      </c>
      <c r="G1246" s="195"/>
      <c r="H1246" s="195"/>
    </row>
    <row r="1247" spans="1:8" s="458" customFormat="1">
      <c r="A1247" s="134" t="s">
        <v>808</v>
      </c>
      <c r="B1247" s="134">
        <v>2020</v>
      </c>
      <c r="C1247" s="134">
        <v>4</v>
      </c>
      <c r="D1247" s="134">
        <v>29</v>
      </c>
      <c r="E1247" s="134" t="s">
        <v>1775</v>
      </c>
      <c r="F1247" s="134" t="s">
        <v>809</v>
      </c>
      <c r="G1247" s="195"/>
      <c r="H1247" s="195"/>
    </row>
    <row r="1248" spans="1:8" s="458" customFormat="1">
      <c r="A1248" s="134" t="s">
        <v>808</v>
      </c>
      <c r="B1248" s="134">
        <v>2020</v>
      </c>
      <c r="C1248" s="134">
        <v>4</v>
      </c>
      <c r="D1248" s="134">
        <v>29</v>
      </c>
      <c r="E1248" s="134" t="s">
        <v>1775</v>
      </c>
      <c r="F1248" s="134" t="s">
        <v>809</v>
      </c>
      <c r="G1248" s="195"/>
      <c r="H1248" s="195">
        <v>752.2</v>
      </c>
    </row>
    <row r="1249" spans="1:8" s="458" customFormat="1">
      <c r="A1249" s="134" t="s">
        <v>808</v>
      </c>
      <c r="B1249" s="134">
        <v>2020</v>
      </c>
      <c r="C1249" s="134">
        <v>4</v>
      </c>
      <c r="D1249" s="134">
        <v>29</v>
      </c>
      <c r="E1249" s="134" t="s">
        <v>1775</v>
      </c>
      <c r="F1249" s="134" t="s">
        <v>809</v>
      </c>
      <c r="G1249" s="195"/>
      <c r="H1249" s="195">
        <v>779.92</v>
      </c>
    </row>
    <row r="1250" spans="1:8" s="458" customFormat="1">
      <c r="A1250" s="134" t="s">
        <v>808</v>
      </c>
      <c r="B1250" s="134">
        <v>2020</v>
      </c>
      <c r="C1250" s="134">
        <v>4</v>
      </c>
      <c r="D1250" s="134">
        <v>29</v>
      </c>
      <c r="E1250" s="134" t="s">
        <v>1775</v>
      </c>
      <c r="F1250" s="134" t="s">
        <v>809</v>
      </c>
      <c r="G1250" s="195"/>
      <c r="H1250" s="195">
        <v>185.45</v>
      </c>
    </row>
    <row r="1251" spans="1:8" s="458" customFormat="1">
      <c r="A1251" s="134" t="s">
        <v>808</v>
      </c>
      <c r="B1251" s="134">
        <v>2020</v>
      </c>
      <c r="C1251" s="134">
        <v>4</v>
      </c>
      <c r="D1251" s="134">
        <v>29</v>
      </c>
      <c r="E1251" s="134" t="s">
        <v>1775</v>
      </c>
      <c r="F1251" s="134" t="s">
        <v>809</v>
      </c>
      <c r="G1251" s="195"/>
      <c r="H1251" s="195">
        <v>11.12</v>
      </c>
    </row>
    <row r="1252" spans="1:8" s="458" customFormat="1">
      <c r="A1252" s="134" t="s">
        <v>808</v>
      </c>
      <c r="B1252" s="134">
        <v>2020</v>
      </c>
      <c r="C1252" s="134">
        <v>4</v>
      </c>
      <c r="D1252" s="134">
        <v>29</v>
      </c>
      <c r="E1252" s="134" t="s">
        <v>1775</v>
      </c>
      <c r="F1252" s="134" t="s">
        <v>809</v>
      </c>
      <c r="G1252" s="195"/>
      <c r="H1252" s="195">
        <v>10.75</v>
      </c>
    </row>
    <row r="1253" spans="1:8" s="458" customFormat="1">
      <c r="A1253" s="134" t="s">
        <v>808</v>
      </c>
      <c r="B1253" s="134">
        <v>2020</v>
      </c>
      <c r="C1253" s="134">
        <v>4</v>
      </c>
      <c r="D1253" s="134">
        <v>29</v>
      </c>
      <c r="E1253" s="134" t="s">
        <v>1775</v>
      </c>
      <c r="F1253" s="134" t="s">
        <v>809</v>
      </c>
      <c r="G1253" s="195"/>
      <c r="H1253" s="195">
        <v>594</v>
      </c>
    </row>
    <row r="1254" spans="1:8" s="458" customFormat="1">
      <c r="A1254" s="134" t="s">
        <v>808</v>
      </c>
      <c r="B1254" s="134">
        <v>2020</v>
      </c>
      <c r="C1254" s="134">
        <v>4</v>
      </c>
      <c r="D1254" s="134">
        <v>29</v>
      </c>
      <c r="E1254" s="134" t="s">
        <v>1775</v>
      </c>
      <c r="F1254" s="134" t="s">
        <v>809</v>
      </c>
      <c r="G1254" s="195"/>
      <c r="H1254" s="195">
        <v>239.96</v>
      </c>
    </row>
    <row r="1255" spans="1:8" s="458" customFormat="1">
      <c r="A1255" s="134" t="s">
        <v>808</v>
      </c>
      <c r="B1255" s="134">
        <v>2020</v>
      </c>
      <c r="C1255" s="134">
        <v>4</v>
      </c>
      <c r="D1255" s="134">
        <v>29</v>
      </c>
      <c r="E1255" s="134" t="s">
        <v>1775</v>
      </c>
      <c r="F1255" s="134" t="s">
        <v>809</v>
      </c>
      <c r="G1255" s="195"/>
      <c r="H1255" s="195">
        <v>239.96</v>
      </c>
    </row>
    <row r="1256" spans="1:8" s="458" customFormat="1">
      <c r="A1256" s="134" t="s">
        <v>808</v>
      </c>
      <c r="B1256" s="134">
        <v>2020</v>
      </c>
      <c r="C1256" s="134">
        <v>4</v>
      </c>
      <c r="D1256" s="134">
        <v>29</v>
      </c>
      <c r="E1256" s="134" t="s">
        <v>1775</v>
      </c>
      <c r="F1256" s="134" t="s">
        <v>809</v>
      </c>
      <c r="G1256" s="195"/>
      <c r="H1256" s="195">
        <v>2219.25</v>
      </c>
    </row>
    <row r="1257" spans="1:8" s="458" customFormat="1">
      <c r="A1257" s="134" t="s">
        <v>808</v>
      </c>
      <c r="B1257" s="134">
        <v>2020</v>
      </c>
      <c r="C1257" s="134">
        <v>4</v>
      </c>
      <c r="D1257" s="134">
        <v>29</v>
      </c>
      <c r="E1257" s="134" t="s">
        <v>1775</v>
      </c>
      <c r="F1257" s="134" t="s">
        <v>809</v>
      </c>
      <c r="G1257" s="195"/>
      <c r="H1257" s="195">
        <v>2240.48</v>
      </c>
    </row>
    <row r="1258" spans="1:8" s="458" customFormat="1">
      <c r="A1258" s="134" t="s">
        <v>808</v>
      </c>
      <c r="B1258" s="134">
        <v>2020</v>
      </c>
      <c r="C1258" s="134">
        <v>4</v>
      </c>
      <c r="D1258" s="134">
        <v>29</v>
      </c>
      <c r="E1258" s="134" t="s">
        <v>1775</v>
      </c>
      <c r="F1258" s="134" t="s">
        <v>809</v>
      </c>
      <c r="G1258" s="195"/>
      <c r="H1258" s="195">
        <v>4896.05</v>
      </c>
    </row>
    <row r="1259" spans="1:8" s="458" customFormat="1">
      <c r="A1259" s="134" t="s">
        <v>808</v>
      </c>
      <c r="B1259" s="134">
        <v>2020</v>
      </c>
      <c r="C1259" s="134">
        <v>4</v>
      </c>
      <c r="D1259" s="134">
        <v>29</v>
      </c>
      <c r="E1259" s="134" t="s">
        <v>1782</v>
      </c>
      <c r="F1259" s="134" t="s">
        <v>809</v>
      </c>
      <c r="G1259" s="195"/>
      <c r="H1259" s="195"/>
    </row>
    <row r="1260" spans="1:8" s="458" customFormat="1">
      <c r="A1260" s="134" t="s">
        <v>808</v>
      </c>
      <c r="B1260" s="134">
        <v>2020</v>
      </c>
      <c r="C1260" s="134">
        <v>4</v>
      </c>
      <c r="D1260" s="134">
        <v>29</v>
      </c>
      <c r="E1260" s="134" t="s">
        <v>1782</v>
      </c>
      <c r="F1260" s="134" t="s">
        <v>809</v>
      </c>
      <c r="G1260" s="195"/>
      <c r="H1260" s="195">
        <v>600</v>
      </c>
    </row>
    <row r="1261" spans="1:8" s="458" customFormat="1">
      <c r="A1261" s="134" t="s">
        <v>808</v>
      </c>
      <c r="B1261" s="134">
        <v>2020</v>
      </c>
      <c r="C1261" s="134">
        <v>4</v>
      </c>
      <c r="D1261" s="134">
        <v>29</v>
      </c>
      <c r="E1261" s="134" t="s">
        <v>1782</v>
      </c>
      <c r="F1261" s="134" t="s">
        <v>809</v>
      </c>
      <c r="G1261" s="195"/>
      <c r="H1261" s="195"/>
    </row>
    <row r="1262" spans="1:8" s="458" customFormat="1">
      <c r="A1262" s="134" t="s">
        <v>808</v>
      </c>
      <c r="B1262" s="134">
        <v>2020</v>
      </c>
      <c r="C1262" s="134">
        <v>4</v>
      </c>
      <c r="D1262" s="134">
        <v>29</v>
      </c>
      <c r="E1262" s="134" t="s">
        <v>1782</v>
      </c>
      <c r="F1262" s="134" t="s">
        <v>809</v>
      </c>
      <c r="G1262" s="195"/>
      <c r="H1262" s="195">
        <v>600</v>
      </c>
    </row>
    <row r="1263" spans="1:8" s="458" customFormat="1">
      <c r="A1263" s="134" t="s">
        <v>808</v>
      </c>
      <c r="B1263" s="134">
        <v>2020</v>
      </c>
      <c r="C1263" s="134">
        <v>4</v>
      </c>
      <c r="D1263" s="134">
        <v>29</v>
      </c>
      <c r="E1263" s="134" t="s">
        <v>1782</v>
      </c>
      <c r="F1263" s="134" t="s">
        <v>809</v>
      </c>
      <c r="G1263" s="195"/>
      <c r="H1263" s="195"/>
    </row>
    <row r="1264" spans="1:8" s="458" customFormat="1">
      <c r="A1264" s="134" t="s">
        <v>808</v>
      </c>
      <c r="B1264" s="134">
        <v>2020</v>
      </c>
      <c r="C1264" s="134">
        <v>4</v>
      </c>
      <c r="D1264" s="134">
        <v>29</v>
      </c>
      <c r="E1264" s="134" t="s">
        <v>1782</v>
      </c>
      <c r="F1264" s="134" t="s">
        <v>809</v>
      </c>
      <c r="G1264" s="195"/>
      <c r="H1264" s="195">
        <v>600</v>
      </c>
    </row>
    <row r="1265" spans="1:8" s="458" customFormat="1">
      <c r="A1265" s="134" t="s">
        <v>808</v>
      </c>
      <c r="B1265" s="134">
        <v>2020</v>
      </c>
      <c r="C1265" s="134">
        <v>4</v>
      </c>
      <c r="D1265" s="134">
        <v>29</v>
      </c>
      <c r="E1265" s="134" t="s">
        <v>1782</v>
      </c>
      <c r="F1265" s="134" t="s">
        <v>809</v>
      </c>
      <c r="G1265" s="195"/>
      <c r="H1265" s="195">
        <v>600</v>
      </c>
    </row>
    <row r="1266" spans="1:8" s="458" customFormat="1">
      <c r="A1266" s="134" t="s">
        <v>808</v>
      </c>
      <c r="B1266" s="134">
        <v>2020</v>
      </c>
      <c r="C1266" s="134">
        <v>4</v>
      </c>
      <c r="D1266" s="134">
        <v>32</v>
      </c>
      <c r="E1266" s="134" t="s">
        <v>1787</v>
      </c>
      <c r="F1266" s="134" t="s">
        <v>809</v>
      </c>
      <c r="G1266" s="195"/>
      <c r="H1266" s="195">
        <v>371.19</v>
      </c>
    </row>
    <row r="1267" spans="1:8" s="458" customFormat="1">
      <c r="A1267" s="134" t="s">
        <v>808</v>
      </c>
      <c r="B1267" s="134">
        <v>2020</v>
      </c>
      <c r="C1267" s="134">
        <v>4</v>
      </c>
      <c r="D1267" s="134">
        <v>32</v>
      </c>
      <c r="E1267" s="134" t="s">
        <v>1787</v>
      </c>
      <c r="F1267" s="134" t="s">
        <v>809</v>
      </c>
      <c r="G1267" s="195"/>
      <c r="H1267" s="195">
        <v>0</v>
      </c>
    </row>
    <row r="1268" spans="1:8" s="458" customFormat="1">
      <c r="A1268" s="134" t="s">
        <v>808</v>
      </c>
      <c r="B1268" s="134">
        <v>2020</v>
      </c>
      <c r="C1268" s="134">
        <v>4</v>
      </c>
      <c r="D1268" s="134">
        <v>37</v>
      </c>
      <c r="E1268" s="134" t="s">
        <v>1789</v>
      </c>
      <c r="F1268" s="134" t="s">
        <v>809</v>
      </c>
      <c r="G1268" s="195"/>
      <c r="H1268" s="195">
        <v>651.96</v>
      </c>
    </row>
    <row r="1269" spans="1:8" s="458" customFormat="1">
      <c r="A1269" s="134" t="s">
        <v>808</v>
      </c>
      <c r="B1269" s="134">
        <v>2020</v>
      </c>
      <c r="C1269" s="134">
        <v>4</v>
      </c>
      <c r="D1269" s="134">
        <v>37</v>
      </c>
      <c r="E1269" s="134" t="s">
        <v>1789</v>
      </c>
      <c r="F1269" s="134" t="s">
        <v>809</v>
      </c>
      <c r="G1269" s="195"/>
      <c r="H1269" s="195">
        <v>638.39</v>
      </c>
    </row>
    <row r="1270" spans="1:8" s="458" customFormat="1">
      <c r="A1270" s="134" t="s">
        <v>808</v>
      </c>
      <c r="B1270" s="134">
        <v>2020</v>
      </c>
      <c r="C1270" s="134">
        <v>4</v>
      </c>
      <c r="D1270" s="134">
        <v>37</v>
      </c>
      <c r="E1270" s="134" t="s">
        <v>1789</v>
      </c>
      <c r="F1270" s="134" t="s">
        <v>809</v>
      </c>
      <c r="G1270" s="195"/>
      <c r="H1270" s="195">
        <v>1109.27</v>
      </c>
    </row>
    <row r="1271" spans="1:8" s="458" customFormat="1">
      <c r="A1271" s="134" t="s">
        <v>808</v>
      </c>
      <c r="B1271" s="134">
        <v>2020</v>
      </c>
      <c r="C1271" s="134">
        <v>4</v>
      </c>
      <c r="D1271" s="134">
        <v>40</v>
      </c>
      <c r="E1271" s="134" t="s">
        <v>1791</v>
      </c>
      <c r="F1271" s="134" t="s">
        <v>809</v>
      </c>
      <c r="G1271" s="195"/>
      <c r="H1271" s="195">
        <v>-422.24</v>
      </c>
    </row>
    <row r="1272" spans="1:8" s="458" customFormat="1">
      <c r="A1272" s="134" t="s">
        <v>808</v>
      </c>
      <c r="B1272" s="134">
        <v>2020</v>
      </c>
      <c r="C1272" s="134">
        <v>4</v>
      </c>
      <c r="D1272" s="134">
        <v>40</v>
      </c>
      <c r="E1272" s="134" t="s">
        <v>1791</v>
      </c>
      <c r="F1272" s="134" t="s">
        <v>809</v>
      </c>
      <c r="G1272" s="195"/>
      <c r="H1272" s="195">
        <v>844.47</v>
      </c>
    </row>
    <row r="1273" spans="1:8" s="458" customFormat="1">
      <c r="A1273" s="134" t="s">
        <v>808</v>
      </c>
      <c r="B1273" s="134">
        <v>2020</v>
      </c>
      <c r="C1273" s="134">
        <v>4</v>
      </c>
      <c r="D1273" s="134">
        <v>40</v>
      </c>
      <c r="E1273" s="134" t="s">
        <v>1791</v>
      </c>
      <c r="F1273" s="134" t="s">
        <v>809</v>
      </c>
      <c r="G1273" s="195"/>
      <c r="H1273" s="195">
        <v>-467.37</v>
      </c>
    </row>
    <row r="1274" spans="1:8" s="458" customFormat="1">
      <c r="A1274" s="134" t="s">
        <v>808</v>
      </c>
      <c r="B1274" s="134">
        <v>2020</v>
      </c>
      <c r="C1274" s="134">
        <v>4</v>
      </c>
      <c r="D1274" s="134">
        <v>40</v>
      </c>
      <c r="E1274" s="134" t="s">
        <v>1791</v>
      </c>
      <c r="F1274" s="134" t="s">
        <v>809</v>
      </c>
      <c r="G1274" s="195"/>
      <c r="H1274" s="195">
        <v>934.74</v>
      </c>
    </row>
    <row r="1275" spans="1:8" s="458" customFormat="1">
      <c r="A1275" s="134" t="s">
        <v>808</v>
      </c>
      <c r="B1275" s="134">
        <v>2020</v>
      </c>
      <c r="C1275" s="134">
        <v>4</v>
      </c>
      <c r="D1275" s="134">
        <v>40</v>
      </c>
      <c r="E1275" s="134" t="s">
        <v>1791</v>
      </c>
      <c r="F1275" s="134" t="s">
        <v>809</v>
      </c>
      <c r="G1275" s="195"/>
      <c r="H1275" s="195">
        <v>-648.04999999999995</v>
      </c>
    </row>
    <row r="1276" spans="1:8" s="458" customFormat="1">
      <c r="A1276" s="134" t="s">
        <v>808</v>
      </c>
      <c r="B1276" s="134">
        <v>2020</v>
      </c>
      <c r="C1276" s="134">
        <v>4</v>
      </c>
      <c r="D1276" s="134">
        <v>40</v>
      </c>
      <c r="E1276" s="134" t="s">
        <v>1791</v>
      </c>
      <c r="F1276" s="134" t="s">
        <v>809</v>
      </c>
      <c r="G1276" s="195"/>
      <c r="H1276" s="195">
        <v>1296.0999999999999</v>
      </c>
    </row>
    <row r="1277" spans="1:8" s="458" customFormat="1">
      <c r="A1277" s="134" t="s">
        <v>808</v>
      </c>
      <c r="B1277" s="134">
        <v>2020</v>
      </c>
      <c r="C1277" s="134">
        <v>4</v>
      </c>
      <c r="D1277" s="134">
        <v>40</v>
      </c>
      <c r="E1277" s="134" t="s">
        <v>1791</v>
      </c>
      <c r="F1277" s="134" t="s">
        <v>809</v>
      </c>
      <c r="G1277" s="195"/>
      <c r="H1277" s="195">
        <v>-387.38</v>
      </c>
    </row>
    <row r="1278" spans="1:8" s="458" customFormat="1">
      <c r="A1278" s="134" t="s">
        <v>808</v>
      </c>
      <c r="B1278" s="134">
        <v>2020</v>
      </c>
      <c r="C1278" s="134">
        <v>4</v>
      </c>
      <c r="D1278" s="134">
        <v>40</v>
      </c>
      <c r="E1278" s="134" t="s">
        <v>1791</v>
      </c>
      <c r="F1278" s="134" t="s">
        <v>809</v>
      </c>
      <c r="G1278" s="195"/>
      <c r="H1278" s="195">
        <v>774.75</v>
      </c>
    </row>
    <row r="1279" spans="1:8" s="458" customFormat="1">
      <c r="A1279" s="134" t="s">
        <v>808</v>
      </c>
      <c r="B1279" s="134">
        <v>2020</v>
      </c>
      <c r="C1279" s="134">
        <v>4</v>
      </c>
      <c r="D1279" s="134">
        <v>41</v>
      </c>
      <c r="E1279" s="134" t="s">
        <v>1792</v>
      </c>
      <c r="F1279" s="134" t="s">
        <v>809</v>
      </c>
      <c r="G1279" s="195"/>
      <c r="H1279" s="195">
        <v>74.16</v>
      </c>
    </row>
    <row r="1280" spans="1:8" s="458" customFormat="1">
      <c r="A1280" s="134" t="s">
        <v>808</v>
      </c>
      <c r="B1280" s="134">
        <v>2020</v>
      </c>
      <c r="C1280" s="134">
        <v>4</v>
      </c>
      <c r="D1280" s="134">
        <v>41</v>
      </c>
      <c r="E1280" s="134" t="s">
        <v>1792</v>
      </c>
      <c r="F1280" s="134" t="s">
        <v>809</v>
      </c>
      <c r="G1280" s="195"/>
      <c r="H1280" s="195">
        <v>82.09</v>
      </c>
    </row>
    <row r="1281" spans="1:8" s="458" customFormat="1">
      <c r="A1281" s="134" t="s">
        <v>808</v>
      </c>
      <c r="B1281" s="134">
        <v>2020</v>
      </c>
      <c r="C1281" s="134">
        <v>4</v>
      </c>
      <c r="D1281" s="134">
        <v>41</v>
      </c>
      <c r="E1281" s="134" t="s">
        <v>1792</v>
      </c>
      <c r="F1281" s="134" t="s">
        <v>809</v>
      </c>
      <c r="G1281" s="195"/>
      <c r="H1281" s="195">
        <v>113.82</v>
      </c>
    </row>
    <row r="1282" spans="1:8" s="458" customFormat="1">
      <c r="A1282" s="134" t="s">
        <v>808</v>
      </c>
      <c r="B1282" s="134">
        <v>2020</v>
      </c>
      <c r="C1282" s="134">
        <v>4</v>
      </c>
      <c r="D1282" s="134">
        <v>41</v>
      </c>
      <c r="E1282" s="134" t="s">
        <v>1792</v>
      </c>
      <c r="F1282" s="134" t="s">
        <v>809</v>
      </c>
      <c r="G1282" s="195"/>
      <c r="H1282" s="195">
        <v>68.040000000000006</v>
      </c>
    </row>
    <row r="1283" spans="1:8" s="458" customFormat="1">
      <c r="A1283" s="134" t="s">
        <v>808</v>
      </c>
      <c r="B1283" s="134">
        <v>2020</v>
      </c>
      <c r="C1283" s="134">
        <v>4</v>
      </c>
      <c r="D1283" s="134">
        <v>38</v>
      </c>
      <c r="E1283" s="134" t="s">
        <v>1793</v>
      </c>
      <c r="F1283" s="134" t="s">
        <v>809</v>
      </c>
      <c r="G1283" s="195"/>
      <c r="H1283" s="195">
        <v>422.24</v>
      </c>
    </row>
    <row r="1284" spans="1:8" s="458" customFormat="1">
      <c r="A1284" s="134" t="s">
        <v>808</v>
      </c>
      <c r="B1284" s="134">
        <v>2020</v>
      </c>
      <c r="C1284" s="134">
        <v>4</v>
      </c>
      <c r="D1284" s="134">
        <v>38</v>
      </c>
      <c r="E1284" s="134" t="s">
        <v>1793</v>
      </c>
      <c r="F1284" s="134" t="s">
        <v>809</v>
      </c>
      <c r="G1284" s="195"/>
      <c r="H1284" s="195">
        <v>467.37</v>
      </c>
    </row>
    <row r="1285" spans="1:8" s="458" customFormat="1">
      <c r="A1285" s="134" t="s">
        <v>808</v>
      </c>
      <c r="B1285" s="134">
        <v>2020</v>
      </c>
      <c r="C1285" s="134">
        <v>4</v>
      </c>
      <c r="D1285" s="134">
        <v>38</v>
      </c>
      <c r="E1285" s="134" t="s">
        <v>1793</v>
      </c>
      <c r="F1285" s="134" t="s">
        <v>809</v>
      </c>
      <c r="G1285" s="195"/>
      <c r="H1285" s="195">
        <v>648.04999999999995</v>
      </c>
    </row>
    <row r="1286" spans="1:8" s="458" customFormat="1">
      <c r="A1286" s="134" t="s">
        <v>808</v>
      </c>
      <c r="B1286" s="134">
        <v>2020</v>
      </c>
      <c r="C1286" s="134">
        <v>4</v>
      </c>
      <c r="D1286" s="134">
        <v>38</v>
      </c>
      <c r="E1286" s="134" t="s">
        <v>1793</v>
      </c>
      <c r="F1286" s="134" t="s">
        <v>809</v>
      </c>
      <c r="G1286" s="195"/>
      <c r="H1286" s="195">
        <v>387.38</v>
      </c>
    </row>
    <row r="1287" spans="1:8" s="458" customFormat="1">
      <c r="A1287" s="134" t="s">
        <v>808</v>
      </c>
      <c r="B1287" s="134">
        <v>2021</v>
      </c>
      <c r="C1287" s="134">
        <v>1</v>
      </c>
      <c r="D1287" s="134">
        <v>8</v>
      </c>
      <c r="E1287" s="134" t="s">
        <v>1744</v>
      </c>
      <c r="F1287" s="134" t="s">
        <v>809</v>
      </c>
      <c r="G1287" s="195">
        <v>-144861</v>
      </c>
      <c r="H1287" s="195"/>
    </row>
    <row r="1288" spans="1:8" s="458" customFormat="1">
      <c r="A1288" s="134" t="s">
        <v>808</v>
      </c>
      <c r="B1288" s="134">
        <v>2021</v>
      </c>
      <c r="C1288" s="134">
        <v>1</v>
      </c>
      <c r="D1288" s="134">
        <v>8</v>
      </c>
      <c r="E1288" s="134" t="s">
        <v>1744</v>
      </c>
      <c r="F1288" s="134" t="s">
        <v>809</v>
      </c>
      <c r="G1288" s="195"/>
      <c r="H1288" s="195">
        <v>-72430</v>
      </c>
    </row>
    <row r="1289" spans="1:8" s="458" customFormat="1">
      <c r="A1289" s="134" t="s">
        <v>808</v>
      </c>
      <c r="B1289" s="134">
        <v>2021</v>
      </c>
      <c r="C1289" s="134">
        <v>1</v>
      </c>
      <c r="D1289" s="134">
        <v>17</v>
      </c>
      <c r="E1289" s="134" t="s">
        <v>1746</v>
      </c>
      <c r="F1289" s="134" t="s">
        <v>809</v>
      </c>
      <c r="G1289" s="195">
        <v>68188</v>
      </c>
      <c r="H1289" s="195"/>
    </row>
    <row r="1290" spans="1:8" s="458" customFormat="1">
      <c r="A1290" s="134" t="s">
        <v>808</v>
      </c>
      <c r="B1290" s="134">
        <v>2021</v>
      </c>
      <c r="C1290" s="134">
        <v>1</v>
      </c>
      <c r="D1290" s="134">
        <v>17</v>
      </c>
      <c r="E1290" s="134" t="s">
        <v>1746</v>
      </c>
      <c r="F1290" s="134" t="s">
        <v>809</v>
      </c>
      <c r="G1290" s="195"/>
      <c r="H1290" s="195">
        <v>-3727.5</v>
      </c>
    </row>
    <row r="1291" spans="1:8" s="458" customFormat="1">
      <c r="A1291" s="134" t="s">
        <v>808</v>
      </c>
      <c r="B1291" s="134">
        <v>2021</v>
      </c>
      <c r="C1291" s="134">
        <v>1</v>
      </c>
      <c r="D1291" s="134">
        <v>17</v>
      </c>
      <c r="E1291" s="134" t="s">
        <v>1746</v>
      </c>
      <c r="F1291" s="134" t="s">
        <v>809</v>
      </c>
      <c r="G1291" s="195"/>
      <c r="H1291" s="195">
        <v>360</v>
      </c>
    </row>
    <row r="1292" spans="1:8" s="458" customFormat="1">
      <c r="A1292" s="134" t="s">
        <v>808</v>
      </c>
      <c r="B1292" s="134">
        <v>2021</v>
      </c>
      <c r="C1292" s="134">
        <v>1</v>
      </c>
      <c r="D1292" s="134">
        <v>17</v>
      </c>
      <c r="E1292" s="134" t="s">
        <v>1746</v>
      </c>
      <c r="F1292" s="134" t="s">
        <v>809</v>
      </c>
      <c r="G1292" s="195"/>
      <c r="H1292" s="195">
        <v>360</v>
      </c>
    </row>
    <row r="1293" spans="1:8" s="458" customFormat="1">
      <c r="A1293" s="134" t="s">
        <v>808</v>
      </c>
      <c r="B1293" s="134">
        <v>2021</v>
      </c>
      <c r="C1293" s="134">
        <v>1</v>
      </c>
      <c r="D1293" s="134">
        <v>17</v>
      </c>
      <c r="E1293" s="134" t="s">
        <v>1746</v>
      </c>
      <c r="F1293" s="134" t="s">
        <v>809</v>
      </c>
      <c r="G1293" s="195"/>
      <c r="H1293" s="195">
        <v>360</v>
      </c>
    </row>
    <row r="1294" spans="1:8" s="458" customFormat="1">
      <c r="A1294" s="134" t="s">
        <v>808</v>
      </c>
      <c r="B1294" s="134">
        <v>2021</v>
      </c>
      <c r="C1294" s="134">
        <v>1</v>
      </c>
      <c r="D1294" s="134">
        <v>17</v>
      </c>
      <c r="E1294" s="134" t="s">
        <v>1746</v>
      </c>
      <c r="F1294" s="134" t="s">
        <v>809</v>
      </c>
      <c r="G1294" s="195"/>
      <c r="H1294" s="195">
        <v>360</v>
      </c>
    </row>
    <row r="1295" spans="1:8" s="458" customFormat="1">
      <c r="A1295" s="134" t="s">
        <v>808</v>
      </c>
      <c r="B1295" s="134">
        <v>2021</v>
      </c>
      <c r="C1295" s="134">
        <v>1</v>
      </c>
      <c r="D1295" s="134">
        <v>17</v>
      </c>
      <c r="E1295" s="134" t="s">
        <v>1746</v>
      </c>
      <c r="F1295" s="134" t="s">
        <v>809</v>
      </c>
      <c r="G1295" s="195"/>
      <c r="H1295" s="195">
        <v>456</v>
      </c>
    </row>
    <row r="1296" spans="1:8" s="458" customFormat="1">
      <c r="A1296" s="134" t="s">
        <v>808</v>
      </c>
      <c r="B1296" s="134">
        <v>2021</v>
      </c>
      <c r="C1296" s="134">
        <v>1</v>
      </c>
      <c r="D1296" s="134">
        <v>17</v>
      </c>
      <c r="E1296" s="134" t="s">
        <v>1746</v>
      </c>
      <c r="F1296" s="134" t="s">
        <v>809</v>
      </c>
      <c r="G1296" s="195"/>
      <c r="H1296" s="195">
        <v>480</v>
      </c>
    </row>
    <row r="1297" spans="1:8" s="458" customFormat="1">
      <c r="A1297" s="134" t="s">
        <v>808</v>
      </c>
      <c r="B1297" s="134">
        <v>2021</v>
      </c>
      <c r="C1297" s="134">
        <v>1</v>
      </c>
      <c r="D1297" s="134">
        <v>17</v>
      </c>
      <c r="E1297" s="134" t="s">
        <v>1746</v>
      </c>
      <c r="F1297" s="134" t="s">
        <v>809</v>
      </c>
      <c r="G1297" s="195"/>
      <c r="H1297" s="195">
        <v>432</v>
      </c>
    </row>
    <row r="1298" spans="1:8" s="458" customFormat="1">
      <c r="A1298" s="134" t="s">
        <v>808</v>
      </c>
      <c r="B1298" s="134">
        <v>2021</v>
      </c>
      <c r="C1298" s="134">
        <v>1</v>
      </c>
      <c r="D1298" s="134">
        <v>17</v>
      </c>
      <c r="E1298" s="134" t="s">
        <v>1746</v>
      </c>
      <c r="F1298" s="134" t="s">
        <v>809</v>
      </c>
      <c r="G1298" s="195"/>
      <c r="H1298" s="195">
        <v>-432</v>
      </c>
    </row>
    <row r="1299" spans="1:8" s="458" customFormat="1">
      <c r="A1299" s="134" t="s">
        <v>808</v>
      </c>
      <c r="B1299" s="134">
        <v>2021</v>
      </c>
      <c r="C1299" s="134">
        <v>1</v>
      </c>
      <c r="D1299" s="134">
        <v>17</v>
      </c>
      <c r="E1299" s="134" t="s">
        <v>1746</v>
      </c>
      <c r="F1299" s="134" t="s">
        <v>809</v>
      </c>
      <c r="G1299" s="195"/>
      <c r="H1299" s="195">
        <v>-522</v>
      </c>
    </row>
    <row r="1300" spans="1:8" s="458" customFormat="1">
      <c r="A1300" s="134" t="s">
        <v>808</v>
      </c>
      <c r="B1300" s="134">
        <v>2021</v>
      </c>
      <c r="C1300" s="134">
        <v>1</v>
      </c>
      <c r="D1300" s="134">
        <v>17</v>
      </c>
      <c r="E1300" s="134" t="s">
        <v>1746</v>
      </c>
      <c r="F1300" s="134" t="s">
        <v>809</v>
      </c>
      <c r="G1300" s="195"/>
      <c r="H1300" s="195">
        <v>522</v>
      </c>
    </row>
    <row r="1301" spans="1:8" s="458" customFormat="1">
      <c r="A1301" s="134" t="s">
        <v>808</v>
      </c>
      <c r="B1301" s="134">
        <v>2021</v>
      </c>
      <c r="C1301" s="134">
        <v>1</v>
      </c>
      <c r="D1301" s="134">
        <v>17</v>
      </c>
      <c r="E1301" s="134" t="s">
        <v>1746</v>
      </c>
      <c r="F1301" s="134" t="s">
        <v>809</v>
      </c>
      <c r="G1301" s="195"/>
      <c r="H1301" s="195">
        <v>2340</v>
      </c>
    </row>
    <row r="1302" spans="1:8" s="458" customFormat="1">
      <c r="A1302" s="134" t="s">
        <v>808</v>
      </c>
      <c r="B1302" s="134">
        <v>2021</v>
      </c>
      <c r="C1302" s="134">
        <v>1</v>
      </c>
      <c r="D1302" s="134">
        <v>17</v>
      </c>
      <c r="E1302" s="134" t="s">
        <v>1746</v>
      </c>
      <c r="F1302" s="134" t="s">
        <v>809</v>
      </c>
      <c r="G1302" s="195"/>
      <c r="H1302" s="195">
        <v>696</v>
      </c>
    </row>
    <row r="1303" spans="1:8" s="458" customFormat="1">
      <c r="A1303" s="134" t="s">
        <v>808</v>
      </c>
      <c r="B1303" s="134">
        <v>2021</v>
      </c>
      <c r="C1303" s="134">
        <v>1</v>
      </c>
      <c r="D1303" s="134">
        <v>17</v>
      </c>
      <c r="E1303" s="134" t="s">
        <v>1746</v>
      </c>
      <c r="F1303" s="134" t="s">
        <v>809</v>
      </c>
      <c r="G1303" s="195"/>
      <c r="H1303" s="195">
        <v>915</v>
      </c>
    </row>
    <row r="1304" spans="1:8" s="458" customFormat="1">
      <c r="A1304" s="134" t="s">
        <v>808</v>
      </c>
      <c r="B1304" s="134">
        <v>2021</v>
      </c>
      <c r="C1304" s="134">
        <v>1</v>
      </c>
      <c r="D1304" s="134">
        <v>17</v>
      </c>
      <c r="E1304" s="134" t="s">
        <v>1746</v>
      </c>
      <c r="F1304" s="134" t="s">
        <v>809</v>
      </c>
      <c r="G1304" s="195"/>
      <c r="H1304" s="195">
        <v>822</v>
      </c>
    </row>
    <row r="1305" spans="1:8" s="458" customFormat="1">
      <c r="A1305" s="134" t="s">
        <v>808</v>
      </c>
      <c r="B1305" s="134">
        <v>2021</v>
      </c>
      <c r="C1305" s="134">
        <v>1</v>
      </c>
      <c r="D1305" s="134">
        <v>17</v>
      </c>
      <c r="E1305" s="134" t="s">
        <v>1746</v>
      </c>
      <c r="F1305" s="134" t="s">
        <v>809</v>
      </c>
      <c r="G1305" s="195"/>
      <c r="H1305" s="195">
        <v>573.75</v>
      </c>
    </row>
    <row r="1306" spans="1:8" s="458" customFormat="1">
      <c r="A1306" s="134" t="s">
        <v>808</v>
      </c>
      <c r="B1306" s="134">
        <v>2021</v>
      </c>
      <c r="C1306" s="134">
        <v>1</v>
      </c>
      <c r="D1306" s="134">
        <v>17</v>
      </c>
      <c r="E1306" s="134" t="s">
        <v>1746</v>
      </c>
      <c r="F1306" s="134" t="s">
        <v>809</v>
      </c>
      <c r="G1306" s="195"/>
      <c r="H1306" s="195">
        <v>360</v>
      </c>
    </row>
    <row r="1307" spans="1:8" s="458" customFormat="1">
      <c r="A1307" s="134" t="s">
        <v>808</v>
      </c>
      <c r="B1307" s="134">
        <v>2021</v>
      </c>
      <c r="C1307" s="134">
        <v>1</v>
      </c>
      <c r="D1307" s="134">
        <v>17</v>
      </c>
      <c r="E1307" s="134" t="s">
        <v>1746</v>
      </c>
      <c r="F1307" s="134" t="s">
        <v>809</v>
      </c>
      <c r="G1307" s="195"/>
      <c r="H1307" s="195">
        <v>360</v>
      </c>
    </row>
    <row r="1308" spans="1:8" s="458" customFormat="1">
      <c r="A1308" s="134" t="s">
        <v>808</v>
      </c>
      <c r="B1308" s="134">
        <v>2021</v>
      </c>
      <c r="C1308" s="134">
        <v>1</v>
      </c>
      <c r="D1308" s="134">
        <v>17</v>
      </c>
      <c r="E1308" s="134" t="s">
        <v>1746</v>
      </c>
      <c r="F1308" s="134" t="s">
        <v>809</v>
      </c>
      <c r="G1308" s="195"/>
      <c r="H1308" s="195">
        <v>372</v>
      </c>
    </row>
    <row r="1309" spans="1:8" s="458" customFormat="1">
      <c r="A1309" s="134" t="s">
        <v>808</v>
      </c>
      <c r="B1309" s="134">
        <v>2021</v>
      </c>
      <c r="C1309" s="134">
        <v>1</v>
      </c>
      <c r="D1309" s="134">
        <v>17</v>
      </c>
      <c r="E1309" s="134" t="s">
        <v>1746</v>
      </c>
      <c r="F1309" s="134" t="s">
        <v>809</v>
      </c>
      <c r="G1309" s="195"/>
      <c r="H1309" s="195">
        <v>492</v>
      </c>
    </row>
    <row r="1310" spans="1:8" s="458" customFormat="1">
      <c r="A1310" s="134" t="s">
        <v>808</v>
      </c>
      <c r="B1310" s="134">
        <v>2021</v>
      </c>
      <c r="C1310" s="134">
        <v>1</v>
      </c>
      <c r="D1310" s="134">
        <v>17</v>
      </c>
      <c r="E1310" s="134" t="s">
        <v>1746</v>
      </c>
      <c r="F1310" s="134" t="s">
        <v>809</v>
      </c>
      <c r="G1310" s="195"/>
      <c r="H1310" s="195">
        <v>456</v>
      </c>
    </row>
    <row r="1311" spans="1:8" s="458" customFormat="1">
      <c r="A1311" s="134" t="s">
        <v>808</v>
      </c>
      <c r="B1311" s="134">
        <v>2021</v>
      </c>
      <c r="C1311" s="134">
        <v>1</v>
      </c>
      <c r="D1311" s="134">
        <v>17</v>
      </c>
      <c r="E1311" s="134" t="s">
        <v>1746</v>
      </c>
      <c r="F1311" s="134" t="s">
        <v>809</v>
      </c>
      <c r="G1311" s="195"/>
      <c r="H1311" s="195">
        <v>516</v>
      </c>
    </row>
    <row r="1312" spans="1:8" s="458" customFormat="1">
      <c r="A1312" s="134" t="s">
        <v>808</v>
      </c>
      <c r="B1312" s="134">
        <v>2021</v>
      </c>
      <c r="C1312" s="134">
        <v>1</v>
      </c>
      <c r="D1312" s="134">
        <v>17</v>
      </c>
      <c r="E1312" s="134" t="s">
        <v>1746</v>
      </c>
      <c r="F1312" s="134" t="s">
        <v>809</v>
      </c>
      <c r="G1312" s="195"/>
      <c r="H1312" s="195">
        <v>360</v>
      </c>
    </row>
    <row r="1313" spans="1:8" s="458" customFormat="1">
      <c r="A1313" s="134" t="s">
        <v>808</v>
      </c>
      <c r="B1313" s="134">
        <v>2021</v>
      </c>
      <c r="C1313" s="134">
        <v>1</v>
      </c>
      <c r="D1313" s="134">
        <v>17</v>
      </c>
      <c r="E1313" s="134" t="s">
        <v>1746</v>
      </c>
      <c r="F1313" s="134" t="s">
        <v>809</v>
      </c>
      <c r="G1313" s="195"/>
      <c r="H1313" s="195">
        <v>600</v>
      </c>
    </row>
    <row r="1314" spans="1:8" s="458" customFormat="1">
      <c r="A1314" s="134" t="s">
        <v>808</v>
      </c>
      <c r="B1314" s="134">
        <v>2021</v>
      </c>
      <c r="C1314" s="134">
        <v>1</v>
      </c>
      <c r="D1314" s="134">
        <v>17</v>
      </c>
      <c r="E1314" s="134" t="s">
        <v>1746</v>
      </c>
      <c r="F1314" s="134" t="s">
        <v>809</v>
      </c>
      <c r="G1314" s="195"/>
      <c r="H1314" s="195">
        <v>600</v>
      </c>
    </row>
    <row r="1315" spans="1:8" s="458" customFormat="1">
      <c r="A1315" s="134" t="s">
        <v>808</v>
      </c>
      <c r="B1315" s="134">
        <v>2021</v>
      </c>
      <c r="C1315" s="134">
        <v>1</v>
      </c>
      <c r="D1315" s="134">
        <v>17</v>
      </c>
      <c r="E1315" s="134" t="s">
        <v>1746</v>
      </c>
      <c r="F1315" s="134" t="s">
        <v>809</v>
      </c>
      <c r="G1315" s="195"/>
      <c r="H1315" s="195">
        <v>360</v>
      </c>
    </row>
    <row r="1316" spans="1:8" s="458" customFormat="1">
      <c r="A1316" s="134" t="s">
        <v>808</v>
      </c>
      <c r="B1316" s="134">
        <v>2021</v>
      </c>
      <c r="C1316" s="134">
        <v>1</v>
      </c>
      <c r="D1316" s="134">
        <v>17</v>
      </c>
      <c r="E1316" s="134" t="s">
        <v>1746</v>
      </c>
      <c r="F1316" s="134" t="s">
        <v>809</v>
      </c>
      <c r="G1316" s="195"/>
      <c r="H1316" s="195">
        <v>360</v>
      </c>
    </row>
    <row r="1317" spans="1:8" s="458" customFormat="1">
      <c r="A1317" s="134" t="s">
        <v>808</v>
      </c>
      <c r="B1317" s="134">
        <v>2021</v>
      </c>
      <c r="C1317" s="134">
        <v>1</v>
      </c>
      <c r="D1317" s="134">
        <v>17</v>
      </c>
      <c r="E1317" s="134" t="s">
        <v>1746</v>
      </c>
      <c r="F1317" s="134" t="s">
        <v>809</v>
      </c>
      <c r="G1317" s="195"/>
      <c r="H1317" s="195">
        <v>486</v>
      </c>
    </row>
    <row r="1318" spans="1:8" s="458" customFormat="1">
      <c r="A1318" s="134" t="s">
        <v>808</v>
      </c>
      <c r="B1318" s="134">
        <v>2021</v>
      </c>
      <c r="C1318" s="134">
        <v>1</v>
      </c>
      <c r="D1318" s="134">
        <v>17</v>
      </c>
      <c r="E1318" s="134" t="s">
        <v>1746</v>
      </c>
      <c r="F1318" s="134" t="s">
        <v>809</v>
      </c>
      <c r="G1318" s="195"/>
      <c r="H1318" s="195">
        <v>252</v>
      </c>
    </row>
    <row r="1319" spans="1:8" s="458" customFormat="1">
      <c r="A1319" s="134" t="s">
        <v>808</v>
      </c>
      <c r="B1319" s="134">
        <v>2021</v>
      </c>
      <c r="C1319" s="134">
        <v>1</v>
      </c>
      <c r="D1319" s="134">
        <v>17</v>
      </c>
      <c r="E1319" s="134" t="s">
        <v>1746</v>
      </c>
      <c r="F1319" s="134" t="s">
        <v>809</v>
      </c>
      <c r="G1319" s="195"/>
      <c r="H1319" s="195">
        <v>336</v>
      </c>
    </row>
    <row r="1320" spans="1:8" s="458" customFormat="1">
      <c r="A1320" s="134" t="s">
        <v>808</v>
      </c>
      <c r="B1320" s="134">
        <v>2021</v>
      </c>
      <c r="C1320" s="134">
        <v>1</v>
      </c>
      <c r="D1320" s="134">
        <v>17</v>
      </c>
      <c r="E1320" s="134" t="s">
        <v>1746</v>
      </c>
      <c r="F1320" s="134" t="s">
        <v>809</v>
      </c>
      <c r="G1320" s="195"/>
      <c r="H1320" s="195">
        <v>168</v>
      </c>
    </row>
    <row r="1321" spans="1:8" s="458" customFormat="1">
      <c r="A1321" s="134" t="s">
        <v>808</v>
      </c>
      <c r="B1321" s="134">
        <v>2021</v>
      </c>
      <c r="C1321" s="134">
        <v>1</v>
      </c>
      <c r="D1321" s="134">
        <v>17</v>
      </c>
      <c r="E1321" s="134" t="s">
        <v>1746</v>
      </c>
      <c r="F1321" s="134" t="s">
        <v>809</v>
      </c>
      <c r="G1321" s="195"/>
      <c r="H1321" s="195">
        <v>480</v>
      </c>
    </row>
    <row r="1322" spans="1:8" s="458" customFormat="1">
      <c r="A1322" s="134" t="s">
        <v>808</v>
      </c>
      <c r="B1322" s="134">
        <v>2021</v>
      </c>
      <c r="C1322" s="134">
        <v>1</v>
      </c>
      <c r="D1322" s="134">
        <v>17</v>
      </c>
      <c r="E1322" s="134" t="s">
        <v>1746</v>
      </c>
      <c r="F1322" s="134" t="s">
        <v>809</v>
      </c>
      <c r="G1322" s="195"/>
      <c r="H1322" s="195">
        <v>528</v>
      </c>
    </row>
    <row r="1323" spans="1:8" s="458" customFormat="1">
      <c r="A1323" s="134" t="s">
        <v>808</v>
      </c>
      <c r="B1323" s="134">
        <v>2021</v>
      </c>
      <c r="C1323" s="134">
        <v>1</v>
      </c>
      <c r="D1323" s="134">
        <v>17</v>
      </c>
      <c r="E1323" s="134" t="s">
        <v>1746</v>
      </c>
      <c r="F1323" s="134" t="s">
        <v>809</v>
      </c>
      <c r="G1323" s="195"/>
      <c r="H1323" s="195">
        <v>552</v>
      </c>
    </row>
    <row r="1324" spans="1:8" s="458" customFormat="1">
      <c r="A1324" s="134" t="s">
        <v>808</v>
      </c>
      <c r="B1324" s="134">
        <v>2021</v>
      </c>
      <c r="C1324" s="134">
        <v>1</v>
      </c>
      <c r="D1324" s="134">
        <v>17</v>
      </c>
      <c r="E1324" s="134" t="s">
        <v>1746</v>
      </c>
      <c r="F1324" s="134" t="s">
        <v>809</v>
      </c>
      <c r="G1324" s="195"/>
      <c r="H1324" s="195">
        <v>600</v>
      </c>
    </row>
    <row r="1325" spans="1:8" s="458" customFormat="1">
      <c r="A1325" s="134" t="s">
        <v>808</v>
      </c>
      <c r="B1325" s="134">
        <v>2021</v>
      </c>
      <c r="C1325" s="134">
        <v>1</v>
      </c>
      <c r="D1325" s="134">
        <v>17</v>
      </c>
      <c r="E1325" s="134" t="s">
        <v>1746</v>
      </c>
      <c r="F1325" s="134" t="s">
        <v>809</v>
      </c>
      <c r="G1325" s="195"/>
      <c r="H1325" s="195">
        <v>600</v>
      </c>
    </row>
    <row r="1326" spans="1:8" s="458" customFormat="1">
      <c r="A1326" s="134" t="s">
        <v>808</v>
      </c>
      <c r="B1326" s="134">
        <v>2021</v>
      </c>
      <c r="C1326" s="134">
        <v>1</v>
      </c>
      <c r="D1326" s="134">
        <v>17</v>
      </c>
      <c r="E1326" s="134" t="s">
        <v>1746</v>
      </c>
      <c r="F1326" s="134" t="s">
        <v>809</v>
      </c>
      <c r="G1326" s="195"/>
      <c r="H1326" s="195">
        <v>675</v>
      </c>
    </row>
    <row r="1327" spans="1:8" s="458" customFormat="1">
      <c r="A1327" s="134" t="s">
        <v>808</v>
      </c>
      <c r="B1327" s="134">
        <v>2021</v>
      </c>
      <c r="C1327" s="134">
        <v>1</v>
      </c>
      <c r="D1327" s="134">
        <v>17</v>
      </c>
      <c r="E1327" s="134" t="s">
        <v>1746</v>
      </c>
      <c r="F1327" s="134" t="s">
        <v>809</v>
      </c>
      <c r="G1327" s="195"/>
      <c r="H1327" s="195">
        <v>360</v>
      </c>
    </row>
    <row r="1328" spans="1:8" s="458" customFormat="1">
      <c r="A1328" s="134" t="s">
        <v>808</v>
      </c>
      <c r="B1328" s="134">
        <v>2021</v>
      </c>
      <c r="C1328" s="134">
        <v>1</v>
      </c>
      <c r="D1328" s="134">
        <v>17</v>
      </c>
      <c r="E1328" s="134" t="s">
        <v>1746</v>
      </c>
      <c r="F1328" s="134" t="s">
        <v>809</v>
      </c>
      <c r="G1328" s="195"/>
      <c r="H1328" s="195">
        <v>360</v>
      </c>
    </row>
    <row r="1329" spans="1:8" s="458" customFormat="1">
      <c r="A1329" s="134" t="s">
        <v>808</v>
      </c>
      <c r="B1329" s="134">
        <v>2021</v>
      </c>
      <c r="C1329" s="134">
        <v>1</v>
      </c>
      <c r="D1329" s="134">
        <v>17</v>
      </c>
      <c r="E1329" s="134" t="s">
        <v>1746</v>
      </c>
      <c r="F1329" s="134" t="s">
        <v>809</v>
      </c>
      <c r="G1329" s="195"/>
      <c r="H1329" s="195">
        <v>360</v>
      </c>
    </row>
    <row r="1330" spans="1:8" s="458" customFormat="1">
      <c r="A1330" s="134" t="s">
        <v>808</v>
      </c>
      <c r="B1330" s="134">
        <v>2021</v>
      </c>
      <c r="C1330" s="134">
        <v>1</v>
      </c>
      <c r="D1330" s="134">
        <v>17</v>
      </c>
      <c r="E1330" s="134" t="s">
        <v>1746</v>
      </c>
      <c r="F1330" s="134" t="s">
        <v>809</v>
      </c>
      <c r="G1330" s="195"/>
      <c r="H1330" s="195">
        <v>360</v>
      </c>
    </row>
    <row r="1331" spans="1:8" s="458" customFormat="1">
      <c r="A1331" s="134" t="s">
        <v>808</v>
      </c>
      <c r="B1331" s="134">
        <v>2021</v>
      </c>
      <c r="C1331" s="134">
        <v>1</v>
      </c>
      <c r="D1331" s="134">
        <v>17</v>
      </c>
      <c r="E1331" s="134" t="s">
        <v>1746</v>
      </c>
      <c r="F1331" s="134" t="s">
        <v>809</v>
      </c>
      <c r="G1331" s="195"/>
      <c r="H1331" s="195">
        <v>360</v>
      </c>
    </row>
    <row r="1332" spans="1:8" s="458" customFormat="1">
      <c r="A1332" s="134" t="s">
        <v>808</v>
      </c>
      <c r="B1332" s="134">
        <v>2021</v>
      </c>
      <c r="C1332" s="134">
        <v>1</v>
      </c>
      <c r="D1332" s="134">
        <v>17</v>
      </c>
      <c r="E1332" s="134" t="s">
        <v>1746</v>
      </c>
      <c r="F1332" s="134" t="s">
        <v>809</v>
      </c>
      <c r="G1332" s="195"/>
      <c r="H1332" s="195">
        <v>360</v>
      </c>
    </row>
    <row r="1333" spans="1:8" s="458" customFormat="1">
      <c r="A1333" s="134" t="s">
        <v>808</v>
      </c>
      <c r="B1333" s="134">
        <v>2021</v>
      </c>
      <c r="C1333" s="134">
        <v>1</v>
      </c>
      <c r="D1333" s="134">
        <v>17</v>
      </c>
      <c r="E1333" s="134" t="s">
        <v>1746</v>
      </c>
      <c r="F1333" s="134" t="s">
        <v>809</v>
      </c>
      <c r="G1333" s="195"/>
      <c r="H1333" s="195">
        <v>360</v>
      </c>
    </row>
    <row r="1334" spans="1:8" s="458" customFormat="1">
      <c r="A1334" s="134" t="s">
        <v>808</v>
      </c>
      <c r="B1334" s="134">
        <v>2021</v>
      </c>
      <c r="C1334" s="134">
        <v>1</v>
      </c>
      <c r="D1334" s="134">
        <v>17</v>
      </c>
      <c r="E1334" s="134" t="s">
        <v>1746</v>
      </c>
      <c r="F1334" s="134" t="s">
        <v>809</v>
      </c>
      <c r="G1334" s="195"/>
      <c r="H1334" s="195">
        <v>360</v>
      </c>
    </row>
    <row r="1335" spans="1:8" s="458" customFormat="1">
      <c r="A1335" s="134" t="s">
        <v>808</v>
      </c>
      <c r="B1335" s="134">
        <v>2021</v>
      </c>
      <c r="C1335" s="134">
        <v>1</v>
      </c>
      <c r="D1335" s="134">
        <v>17</v>
      </c>
      <c r="E1335" s="134" t="s">
        <v>1746</v>
      </c>
      <c r="F1335" s="134" t="s">
        <v>809</v>
      </c>
      <c r="G1335" s="195"/>
      <c r="H1335" s="195">
        <v>405</v>
      </c>
    </row>
    <row r="1336" spans="1:8" s="458" customFormat="1">
      <c r="A1336" s="134" t="s">
        <v>808</v>
      </c>
      <c r="B1336" s="134">
        <v>2021</v>
      </c>
      <c r="C1336" s="134">
        <v>1</v>
      </c>
      <c r="D1336" s="134">
        <v>17</v>
      </c>
      <c r="E1336" s="134" t="s">
        <v>1746</v>
      </c>
      <c r="F1336" s="134" t="s">
        <v>809</v>
      </c>
      <c r="G1336" s="195"/>
      <c r="H1336" s="195">
        <v>367.5</v>
      </c>
    </row>
    <row r="1337" spans="1:8" s="458" customFormat="1">
      <c r="A1337" s="134" t="s">
        <v>808</v>
      </c>
      <c r="B1337" s="134">
        <v>2021</v>
      </c>
      <c r="C1337" s="134">
        <v>1</v>
      </c>
      <c r="D1337" s="134">
        <v>17</v>
      </c>
      <c r="E1337" s="134" t="s">
        <v>1746</v>
      </c>
      <c r="F1337" s="134" t="s">
        <v>809</v>
      </c>
      <c r="G1337" s="195"/>
      <c r="H1337" s="195">
        <v>30.63</v>
      </c>
    </row>
    <row r="1338" spans="1:8" s="458" customFormat="1">
      <c r="A1338" s="134" t="s">
        <v>808</v>
      </c>
      <c r="B1338" s="134">
        <v>2021</v>
      </c>
      <c r="C1338" s="134">
        <v>1</v>
      </c>
      <c r="D1338" s="134">
        <v>17</v>
      </c>
      <c r="E1338" s="134" t="s">
        <v>1746</v>
      </c>
      <c r="F1338" s="134" t="s">
        <v>809</v>
      </c>
      <c r="G1338" s="195"/>
      <c r="H1338" s="195">
        <v>61.25</v>
      </c>
    </row>
    <row r="1339" spans="1:8" s="458" customFormat="1">
      <c r="A1339" s="134" t="s">
        <v>808</v>
      </c>
      <c r="B1339" s="134">
        <v>2021</v>
      </c>
      <c r="C1339" s="134">
        <v>1</v>
      </c>
      <c r="D1339" s="134">
        <v>17</v>
      </c>
      <c r="E1339" s="134" t="s">
        <v>1746</v>
      </c>
      <c r="F1339" s="134" t="s">
        <v>809</v>
      </c>
      <c r="G1339" s="195"/>
      <c r="H1339" s="195">
        <v>58.19</v>
      </c>
    </row>
    <row r="1340" spans="1:8" s="458" customFormat="1">
      <c r="A1340" s="134" t="s">
        <v>808</v>
      </c>
      <c r="B1340" s="134">
        <v>2021</v>
      </c>
      <c r="C1340" s="134">
        <v>1</v>
      </c>
      <c r="D1340" s="134">
        <v>17</v>
      </c>
      <c r="E1340" s="134" t="s">
        <v>1746</v>
      </c>
      <c r="F1340" s="134" t="s">
        <v>809</v>
      </c>
      <c r="G1340" s="195"/>
      <c r="H1340" s="195">
        <v>256.5</v>
      </c>
    </row>
    <row r="1341" spans="1:8" s="458" customFormat="1">
      <c r="A1341" s="134" t="s">
        <v>808</v>
      </c>
      <c r="B1341" s="134">
        <v>2021</v>
      </c>
      <c r="C1341" s="134">
        <v>1</v>
      </c>
      <c r="D1341" s="134">
        <v>17</v>
      </c>
      <c r="E1341" s="134" t="s">
        <v>1747</v>
      </c>
      <c r="F1341" s="134" t="s">
        <v>809</v>
      </c>
      <c r="G1341" s="195"/>
      <c r="H1341" s="195">
        <v>129.6</v>
      </c>
    </row>
    <row r="1342" spans="1:8" s="458" customFormat="1">
      <c r="A1342" s="134" t="s">
        <v>808</v>
      </c>
      <c r="B1342" s="134">
        <v>2021</v>
      </c>
      <c r="C1342" s="134">
        <v>1</v>
      </c>
      <c r="D1342" s="134">
        <v>17</v>
      </c>
      <c r="E1342" s="134" t="s">
        <v>1747</v>
      </c>
      <c r="F1342" s="134" t="s">
        <v>809</v>
      </c>
      <c r="G1342" s="195"/>
      <c r="H1342" s="195">
        <v>156.6</v>
      </c>
    </row>
    <row r="1343" spans="1:8" s="458" customFormat="1">
      <c r="A1343" s="134" t="s">
        <v>808</v>
      </c>
      <c r="B1343" s="134">
        <v>2021</v>
      </c>
      <c r="C1343" s="134">
        <v>1</v>
      </c>
      <c r="D1343" s="134">
        <v>17</v>
      </c>
      <c r="E1343" s="134" t="s">
        <v>1748</v>
      </c>
      <c r="F1343" s="134" t="s">
        <v>809</v>
      </c>
      <c r="G1343" s="195"/>
      <c r="H1343" s="195">
        <v>22.5</v>
      </c>
    </row>
    <row r="1344" spans="1:8" s="458" customFormat="1">
      <c r="A1344" s="134" t="s">
        <v>808</v>
      </c>
      <c r="B1344" s="134">
        <v>2021</v>
      </c>
      <c r="C1344" s="134">
        <v>1</v>
      </c>
      <c r="D1344" s="134">
        <v>20</v>
      </c>
      <c r="E1344" s="134" t="s">
        <v>1750</v>
      </c>
      <c r="F1344" s="134" t="s">
        <v>809</v>
      </c>
      <c r="G1344" s="195">
        <v>886</v>
      </c>
      <c r="H1344" s="195"/>
    </row>
    <row r="1345" spans="1:8" s="458" customFormat="1">
      <c r="A1345" s="134" t="s">
        <v>808</v>
      </c>
      <c r="B1345" s="134">
        <v>2021</v>
      </c>
      <c r="C1345" s="134">
        <v>1</v>
      </c>
      <c r="D1345" s="134">
        <v>20</v>
      </c>
      <c r="E1345" s="134" t="s">
        <v>1750</v>
      </c>
      <c r="F1345" s="134" t="s">
        <v>809</v>
      </c>
      <c r="G1345" s="195"/>
      <c r="H1345" s="195">
        <v>39.71</v>
      </c>
    </row>
    <row r="1346" spans="1:8" s="458" customFormat="1">
      <c r="A1346" s="134" t="s">
        <v>808</v>
      </c>
      <c r="B1346" s="134">
        <v>2021</v>
      </c>
      <c r="C1346" s="134">
        <v>1</v>
      </c>
      <c r="D1346" s="134">
        <v>20</v>
      </c>
      <c r="E1346" s="134" t="s">
        <v>1750</v>
      </c>
      <c r="F1346" s="134" t="s">
        <v>809</v>
      </c>
      <c r="G1346" s="195"/>
      <c r="H1346" s="195">
        <v>117.21</v>
      </c>
    </row>
    <row r="1347" spans="1:8" s="458" customFormat="1">
      <c r="A1347" s="134" t="s">
        <v>808</v>
      </c>
      <c r="B1347" s="134">
        <v>2021</v>
      </c>
      <c r="C1347" s="134">
        <v>1</v>
      </c>
      <c r="D1347" s="134">
        <v>20</v>
      </c>
      <c r="E1347" s="134" t="s">
        <v>1750</v>
      </c>
      <c r="F1347" s="134" t="s">
        <v>809</v>
      </c>
      <c r="G1347" s="195"/>
      <c r="H1347" s="195">
        <v>71.45</v>
      </c>
    </row>
    <row r="1348" spans="1:8" s="458" customFormat="1">
      <c r="A1348" s="134" t="s">
        <v>808</v>
      </c>
      <c r="B1348" s="134">
        <v>2021</v>
      </c>
      <c r="C1348" s="134">
        <v>1</v>
      </c>
      <c r="D1348" s="134">
        <v>20</v>
      </c>
      <c r="E1348" s="134" t="s">
        <v>1750</v>
      </c>
      <c r="F1348" s="134" t="s">
        <v>809</v>
      </c>
      <c r="G1348" s="195"/>
      <c r="H1348" s="195">
        <v>3.72</v>
      </c>
    </row>
    <row r="1349" spans="1:8" s="458" customFormat="1">
      <c r="A1349" s="134" t="s">
        <v>808</v>
      </c>
      <c r="B1349" s="134">
        <v>2021</v>
      </c>
      <c r="C1349" s="134">
        <v>1</v>
      </c>
      <c r="D1349" s="134">
        <v>20</v>
      </c>
      <c r="E1349" s="134" t="s">
        <v>1750</v>
      </c>
      <c r="F1349" s="134" t="s">
        <v>809</v>
      </c>
      <c r="G1349" s="195"/>
      <c r="H1349" s="195">
        <v>0.28999999999999998</v>
      </c>
    </row>
    <row r="1350" spans="1:8" s="458" customFormat="1">
      <c r="A1350" s="134" t="s">
        <v>808</v>
      </c>
      <c r="B1350" s="134">
        <v>2021</v>
      </c>
      <c r="C1350" s="134">
        <v>1</v>
      </c>
      <c r="D1350" s="134">
        <v>28</v>
      </c>
      <c r="E1350" s="134" t="s">
        <v>1756</v>
      </c>
      <c r="F1350" s="134" t="s">
        <v>809</v>
      </c>
      <c r="G1350" s="195">
        <v>106</v>
      </c>
      <c r="H1350" s="195"/>
    </row>
    <row r="1351" spans="1:8" s="458" customFormat="1">
      <c r="A1351" s="134" t="s">
        <v>808</v>
      </c>
      <c r="B1351" s="134">
        <v>2021</v>
      </c>
      <c r="C1351" s="134">
        <v>1</v>
      </c>
      <c r="D1351" s="134">
        <v>28</v>
      </c>
      <c r="E1351" s="134" t="s">
        <v>1756</v>
      </c>
      <c r="F1351" s="134" t="s">
        <v>809</v>
      </c>
      <c r="G1351" s="195"/>
      <c r="H1351" s="195">
        <v>58.8</v>
      </c>
    </row>
    <row r="1352" spans="1:8" s="458" customFormat="1">
      <c r="A1352" s="134" t="s">
        <v>808</v>
      </c>
      <c r="B1352" s="134">
        <v>2021</v>
      </c>
      <c r="C1352" s="134">
        <v>1</v>
      </c>
      <c r="D1352" s="134">
        <v>25</v>
      </c>
      <c r="E1352" s="134" t="s">
        <v>1760</v>
      </c>
      <c r="F1352" s="134" t="s">
        <v>809</v>
      </c>
      <c r="G1352" s="195">
        <v>885</v>
      </c>
      <c r="H1352" s="195"/>
    </row>
    <row r="1353" spans="1:8" s="458" customFormat="1">
      <c r="A1353" s="134" t="s">
        <v>808</v>
      </c>
      <c r="B1353" s="134">
        <v>2021</v>
      </c>
      <c r="C1353" s="134">
        <v>1</v>
      </c>
      <c r="D1353" s="134">
        <v>25</v>
      </c>
      <c r="E1353" s="134" t="s">
        <v>1760</v>
      </c>
      <c r="F1353" s="134" t="s">
        <v>809</v>
      </c>
      <c r="G1353" s="195"/>
      <c r="H1353" s="195">
        <v>90.18</v>
      </c>
    </row>
    <row r="1354" spans="1:8" s="458" customFormat="1">
      <c r="A1354" s="134" t="s">
        <v>808</v>
      </c>
      <c r="B1354" s="134">
        <v>2021</v>
      </c>
      <c r="C1354" s="134">
        <v>1</v>
      </c>
      <c r="D1354" s="134">
        <v>25</v>
      </c>
      <c r="E1354" s="134" t="s">
        <v>1760</v>
      </c>
      <c r="F1354" s="134" t="s">
        <v>809</v>
      </c>
      <c r="G1354" s="195"/>
      <c r="H1354" s="195"/>
    </row>
    <row r="1355" spans="1:8" s="458" customFormat="1">
      <c r="A1355" s="134" t="s">
        <v>808</v>
      </c>
      <c r="B1355" s="134">
        <v>2021</v>
      </c>
      <c r="C1355" s="134">
        <v>1</v>
      </c>
      <c r="D1355" s="134">
        <v>25</v>
      </c>
      <c r="E1355" s="134" t="s">
        <v>1760</v>
      </c>
      <c r="F1355" s="134" t="s">
        <v>809</v>
      </c>
      <c r="G1355" s="195"/>
      <c r="H1355" s="195"/>
    </row>
    <row r="1356" spans="1:8" s="458" customFormat="1">
      <c r="A1356" s="134" t="s">
        <v>808</v>
      </c>
      <c r="B1356" s="134">
        <v>2021</v>
      </c>
      <c r="C1356" s="134">
        <v>1</v>
      </c>
      <c r="D1356" s="134">
        <v>25</v>
      </c>
      <c r="E1356" s="134" t="s">
        <v>1760</v>
      </c>
      <c r="F1356" s="134" t="s">
        <v>809</v>
      </c>
      <c r="G1356" s="195"/>
      <c r="H1356" s="195">
        <v>90.18</v>
      </c>
    </row>
    <row r="1357" spans="1:8" s="458" customFormat="1">
      <c r="A1357" s="134" t="s">
        <v>808</v>
      </c>
      <c r="B1357" s="134">
        <v>2021</v>
      </c>
      <c r="C1357" s="134">
        <v>1</v>
      </c>
      <c r="D1357" s="134">
        <v>25</v>
      </c>
      <c r="E1357" s="134" t="s">
        <v>1760</v>
      </c>
      <c r="F1357" s="134" t="s">
        <v>809</v>
      </c>
      <c r="G1357" s="195"/>
      <c r="H1357" s="195"/>
    </row>
    <row r="1358" spans="1:8" s="458" customFormat="1">
      <c r="A1358" s="134" t="s">
        <v>808</v>
      </c>
      <c r="B1358" s="134">
        <v>2021</v>
      </c>
      <c r="C1358" s="134">
        <v>1</v>
      </c>
      <c r="D1358" s="134">
        <v>25</v>
      </c>
      <c r="E1358" s="134" t="s">
        <v>1760</v>
      </c>
      <c r="F1358" s="134" t="s">
        <v>809</v>
      </c>
      <c r="G1358" s="195"/>
      <c r="H1358" s="195">
        <v>90.18</v>
      </c>
    </row>
    <row r="1359" spans="1:8" s="458" customFormat="1">
      <c r="A1359" s="134" t="s">
        <v>808</v>
      </c>
      <c r="B1359" s="134">
        <v>2021</v>
      </c>
      <c r="C1359" s="134">
        <v>1</v>
      </c>
      <c r="D1359" s="134">
        <v>25</v>
      </c>
      <c r="E1359" s="134" t="s">
        <v>1760</v>
      </c>
      <c r="F1359" s="134" t="s">
        <v>809</v>
      </c>
      <c r="G1359" s="195"/>
      <c r="H1359" s="195"/>
    </row>
    <row r="1360" spans="1:8" s="458" customFormat="1">
      <c r="A1360" s="134" t="s">
        <v>808</v>
      </c>
      <c r="B1360" s="134">
        <v>2021</v>
      </c>
      <c r="C1360" s="134">
        <v>1</v>
      </c>
      <c r="D1360" s="134">
        <v>25</v>
      </c>
      <c r="E1360" s="134" t="s">
        <v>1761</v>
      </c>
      <c r="F1360" s="134" t="s">
        <v>809</v>
      </c>
      <c r="G1360" s="195">
        <v>2500</v>
      </c>
      <c r="H1360" s="195"/>
    </row>
    <row r="1361" spans="1:8" s="458" customFormat="1">
      <c r="A1361" s="134" t="s">
        <v>808</v>
      </c>
      <c r="B1361" s="134">
        <v>2021</v>
      </c>
      <c r="C1361" s="134">
        <v>1</v>
      </c>
      <c r="D1361" s="134">
        <v>25</v>
      </c>
      <c r="E1361" s="134" t="s">
        <v>1761</v>
      </c>
      <c r="F1361" s="134" t="s">
        <v>809</v>
      </c>
      <c r="G1361" s="195"/>
      <c r="H1361" s="195">
        <v>14.9</v>
      </c>
    </row>
    <row r="1362" spans="1:8" s="458" customFormat="1">
      <c r="A1362" s="134" t="s">
        <v>808</v>
      </c>
      <c r="B1362" s="134">
        <v>2021</v>
      </c>
      <c r="C1362" s="134">
        <v>1</v>
      </c>
      <c r="D1362" s="134">
        <v>25</v>
      </c>
      <c r="E1362" s="134" t="s">
        <v>1761</v>
      </c>
      <c r="F1362" s="134" t="s">
        <v>809</v>
      </c>
      <c r="G1362" s="195"/>
      <c r="H1362" s="195">
        <v>14.9</v>
      </c>
    </row>
    <row r="1363" spans="1:8" s="458" customFormat="1">
      <c r="A1363" s="134" t="s">
        <v>808</v>
      </c>
      <c r="B1363" s="134">
        <v>2021</v>
      </c>
      <c r="C1363" s="134">
        <v>1</v>
      </c>
      <c r="D1363" s="134">
        <v>27</v>
      </c>
      <c r="E1363" s="134" t="s">
        <v>1767</v>
      </c>
      <c r="F1363" s="134" t="s">
        <v>809</v>
      </c>
      <c r="G1363" s="195">
        <v>6500</v>
      </c>
      <c r="H1363" s="195"/>
    </row>
    <row r="1364" spans="1:8" s="458" customFormat="1">
      <c r="A1364" s="134" t="s">
        <v>808</v>
      </c>
      <c r="B1364" s="134">
        <v>2021</v>
      </c>
      <c r="C1364" s="134">
        <v>1</v>
      </c>
      <c r="D1364" s="134">
        <v>27</v>
      </c>
      <c r="E1364" s="134" t="s">
        <v>1768</v>
      </c>
      <c r="F1364" s="134" t="s">
        <v>809</v>
      </c>
      <c r="G1364" s="195">
        <v>1000</v>
      </c>
      <c r="H1364" s="195"/>
    </row>
    <row r="1365" spans="1:8" s="458" customFormat="1">
      <c r="A1365" s="134" t="s">
        <v>808</v>
      </c>
      <c r="B1365" s="134">
        <v>2021</v>
      </c>
      <c r="C1365" s="134">
        <v>1</v>
      </c>
      <c r="D1365" s="134">
        <v>28</v>
      </c>
      <c r="E1365" s="134" t="s">
        <v>1770</v>
      </c>
      <c r="F1365" s="134" t="s">
        <v>809</v>
      </c>
      <c r="G1365" s="195">
        <v>2000</v>
      </c>
      <c r="H1365" s="195"/>
    </row>
    <row r="1366" spans="1:8" s="458" customFormat="1">
      <c r="A1366" s="134" t="s">
        <v>808</v>
      </c>
      <c r="B1366" s="134">
        <v>2021</v>
      </c>
      <c r="C1366" s="134">
        <v>1</v>
      </c>
      <c r="D1366" s="134">
        <v>29</v>
      </c>
      <c r="E1366" s="134" t="s">
        <v>1771</v>
      </c>
      <c r="F1366" s="134" t="s">
        <v>809</v>
      </c>
      <c r="G1366" s="195">
        <v>510</v>
      </c>
      <c r="H1366" s="195"/>
    </row>
    <row r="1367" spans="1:8" s="458" customFormat="1">
      <c r="A1367" s="134" t="s">
        <v>808</v>
      </c>
      <c r="B1367" s="134">
        <v>2021</v>
      </c>
      <c r="C1367" s="134">
        <v>1</v>
      </c>
      <c r="D1367" s="134">
        <v>29</v>
      </c>
      <c r="E1367" s="134" t="s">
        <v>1772</v>
      </c>
      <c r="F1367" s="134" t="s">
        <v>809</v>
      </c>
      <c r="G1367" s="195">
        <v>1200</v>
      </c>
      <c r="H1367" s="195"/>
    </row>
    <row r="1368" spans="1:8" s="458" customFormat="1">
      <c r="A1368" s="134" t="s">
        <v>808</v>
      </c>
      <c r="B1368" s="134">
        <v>2021</v>
      </c>
      <c r="C1368" s="134">
        <v>1</v>
      </c>
      <c r="D1368" s="134">
        <v>25</v>
      </c>
      <c r="E1368" s="134" t="s">
        <v>1773</v>
      </c>
      <c r="F1368" s="134" t="s">
        <v>809</v>
      </c>
      <c r="G1368" s="195"/>
      <c r="H1368" s="195">
        <v>383.25</v>
      </c>
    </row>
    <row r="1369" spans="1:8" s="458" customFormat="1">
      <c r="A1369" s="134" t="s">
        <v>808</v>
      </c>
      <c r="B1369" s="134">
        <v>2021</v>
      </c>
      <c r="C1369" s="134">
        <v>1</v>
      </c>
      <c r="D1369" s="134">
        <v>29</v>
      </c>
      <c r="E1369" s="134" t="s">
        <v>1775</v>
      </c>
      <c r="F1369" s="134" t="s">
        <v>809</v>
      </c>
      <c r="G1369" s="195"/>
      <c r="H1369" s="195"/>
    </row>
    <row r="1370" spans="1:8" s="458" customFormat="1">
      <c r="A1370" s="134" t="s">
        <v>808</v>
      </c>
      <c r="B1370" s="134">
        <v>2021</v>
      </c>
      <c r="C1370" s="134">
        <v>1</v>
      </c>
      <c r="D1370" s="134">
        <v>29</v>
      </c>
      <c r="E1370" s="134" t="s">
        <v>1775</v>
      </c>
      <c r="F1370" s="134" t="s">
        <v>809</v>
      </c>
      <c r="G1370" s="195"/>
      <c r="H1370" s="195"/>
    </row>
    <row r="1371" spans="1:8" s="458" customFormat="1">
      <c r="A1371" s="134" t="s">
        <v>808</v>
      </c>
      <c r="B1371" s="134">
        <v>2021</v>
      </c>
      <c r="C1371" s="134">
        <v>1</v>
      </c>
      <c r="D1371" s="134">
        <v>29</v>
      </c>
      <c r="E1371" s="134" t="s">
        <v>1775</v>
      </c>
      <c r="F1371" s="134" t="s">
        <v>809</v>
      </c>
      <c r="G1371" s="195"/>
      <c r="H1371" s="195">
        <v>-4896.05</v>
      </c>
    </row>
    <row r="1372" spans="1:8" s="458" customFormat="1">
      <c r="A1372" s="134" t="s">
        <v>808</v>
      </c>
      <c r="B1372" s="134">
        <v>2021</v>
      </c>
      <c r="C1372" s="134">
        <v>1</v>
      </c>
      <c r="D1372" s="134">
        <v>29</v>
      </c>
      <c r="E1372" s="134" t="s">
        <v>1775</v>
      </c>
      <c r="F1372" s="134" t="s">
        <v>809</v>
      </c>
      <c r="G1372" s="195"/>
      <c r="H1372" s="195">
        <v>452.17</v>
      </c>
    </row>
    <row r="1373" spans="1:8" s="458" customFormat="1">
      <c r="A1373" s="134" t="s">
        <v>808</v>
      </c>
      <c r="B1373" s="134">
        <v>2021</v>
      </c>
      <c r="C1373" s="134">
        <v>1</v>
      </c>
      <c r="D1373" s="134">
        <v>29</v>
      </c>
      <c r="E1373" s="134" t="s">
        <v>1775</v>
      </c>
      <c r="F1373" s="134" t="s">
        <v>809</v>
      </c>
      <c r="G1373" s="195"/>
      <c r="H1373" s="195">
        <v>4319.88</v>
      </c>
    </row>
    <row r="1374" spans="1:8" s="458" customFormat="1">
      <c r="A1374" s="134" t="s">
        <v>808</v>
      </c>
      <c r="B1374" s="134">
        <v>2021</v>
      </c>
      <c r="C1374" s="134">
        <v>1</v>
      </c>
      <c r="D1374" s="134">
        <v>29</v>
      </c>
      <c r="E1374" s="134" t="s">
        <v>1775</v>
      </c>
      <c r="F1374" s="134" t="s">
        <v>809</v>
      </c>
      <c r="G1374" s="195"/>
      <c r="H1374" s="195">
        <v>124</v>
      </c>
    </row>
    <row r="1375" spans="1:8" s="458" customFormat="1">
      <c r="A1375" s="134" t="s">
        <v>808</v>
      </c>
      <c r="B1375" s="134">
        <v>2021</v>
      </c>
      <c r="C1375" s="134">
        <v>1</v>
      </c>
      <c r="D1375" s="134">
        <v>29</v>
      </c>
      <c r="E1375" s="134" t="s">
        <v>1776</v>
      </c>
      <c r="F1375" s="134" t="s">
        <v>809</v>
      </c>
      <c r="G1375" s="195">
        <v>1280</v>
      </c>
      <c r="H1375" s="195"/>
    </row>
    <row r="1376" spans="1:8" s="458" customFormat="1">
      <c r="A1376" s="134" t="s">
        <v>808</v>
      </c>
      <c r="B1376" s="134">
        <v>2021</v>
      </c>
      <c r="C1376" s="134">
        <v>1</v>
      </c>
      <c r="D1376" s="134">
        <v>26</v>
      </c>
      <c r="E1376" s="134" t="s">
        <v>1778</v>
      </c>
      <c r="F1376" s="134" t="s">
        <v>809</v>
      </c>
      <c r="G1376" s="195">
        <v>2000</v>
      </c>
      <c r="H1376" s="195"/>
    </row>
    <row r="1377" spans="1:8" s="458" customFormat="1">
      <c r="A1377" s="134" t="s">
        <v>808</v>
      </c>
      <c r="B1377" s="134">
        <v>2021</v>
      </c>
      <c r="C1377" s="134">
        <v>1</v>
      </c>
      <c r="D1377" s="134">
        <v>29</v>
      </c>
      <c r="E1377" s="134" t="s">
        <v>1780</v>
      </c>
      <c r="F1377" s="134" t="s">
        <v>809</v>
      </c>
      <c r="G1377" s="195">
        <v>1000</v>
      </c>
      <c r="H1377" s="195"/>
    </row>
    <row r="1378" spans="1:8" s="458" customFormat="1">
      <c r="A1378" s="134" t="s">
        <v>808</v>
      </c>
      <c r="B1378" s="134">
        <v>2021</v>
      </c>
      <c r="C1378" s="134">
        <v>1</v>
      </c>
      <c r="D1378" s="134">
        <v>29</v>
      </c>
      <c r="E1378" s="134" t="s">
        <v>1781</v>
      </c>
      <c r="F1378" s="134" t="s">
        <v>809</v>
      </c>
      <c r="G1378" s="195">
        <v>5700</v>
      </c>
      <c r="H1378" s="195"/>
    </row>
    <row r="1379" spans="1:8" s="458" customFormat="1">
      <c r="A1379" s="134" t="s">
        <v>808</v>
      </c>
      <c r="B1379" s="134">
        <v>2021</v>
      </c>
      <c r="C1379" s="134">
        <v>1</v>
      </c>
      <c r="D1379" s="134">
        <v>29</v>
      </c>
      <c r="E1379" s="134" t="s">
        <v>1782</v>
      </c>
      <c r="F1379" s="134" t="s">
        <v>809</v>
      </c>
      <c r="G1379" s="195">
        <v>7500</v>
      </c>
      <c r="H1379" s="195"/>
    </row>
    <row r="1380" spans="1:8" s="458" customFormat="1">
      <c r="A1380" s="134" t="s">
        <v>808</v>
      </c>
      <c r="B1380" s="134">
        <v>2021</v>
      </c>
      <c r="C1380" s="134">
        <v>1</v>
      </c>
      <c r="D1380" s="134">
        <v>29</v>
      </c>
      <c r="E1380" s="134" t="s">
        <v>1782</v>
      </c>
      <c r="F1380" s="134" t="s">
        <v>809</v>
      </c>
      <c r="G1380" s="195"/>
      <c r="H1380" s="195">
        <v>-600</v>
      </c>
    </row>
    <row r="1381" spans="1:8" s="458" customFormat="1">
      <c r="A1381" s="134" t="s">
        <v>808</v>
      </c>
      <c r="B1381" s="134">
        <v>2021</v>
      </c>
      <c r="C1381" s="134">
        <v>1</v>
      </c>
      <c r="D1381" s="134">
        <v>29</v>
      </c>
      <c r="E1381" s="134" t="s">
        <v>1782</v>
      </c>
      <c r="F1381" s="134" t="s">
        <v>809</v>
      </c>
      <c r="G1381" s="195"/>
      <c r="H1381" s="195">
        <v>-600</v>
      </c>
    </row>
    <row r="1382" spans="1:8" s="458" customFormat="1">
      <c r="A1382" s="134" t="s">
        <v>808</v>
      </c>
      <c r="B1382" s="134">
        <v>2021</v>
      </c>
      <c r="C1382" s="134">
        <v>1</v>
      </c>
      <c r="D1382" s="134">
        <v>37</v>
      </c>
      <c r="E1382" s="134" t="s">
        <v>1789</v>
      </c>
      <c r="F1382" s="134" t="s">
        <v>809</v>
      </c>
      <c r="G1382" s="195"/>
      <c r="H1382" s="195">
        <v>-1109.27</v>
      </c>
    </row>
    <row r="1383" spans="1:8" s="458" customFormat="1">
      <c r="A1383" s="134" t="s">
        <v>808</v>
      </c>
      <c r="B1383" s="134">
        <v>2021</v>
      </c>
      <c r="C1383" s="134">
        <v>1</v>
      </c>
      <c r="D1383" s="134">
        <v>37</v>
      </c>
      <c r="E1383" s="134" t="s">
        <v>1789</v>
      </c>
      <c r="F1383" s="134" t="s">
        <v>809</v>
      </c>
      <c r="G1383" s="195">
        <v>7882</v>
      </c>
      <c r="H1383" s="195"/>
    </row>
    <row r="1384" spans="1:8" s="458" customFormat="1">
      <c r="A1384" s="134" t="s">
        <v>808</v>
      </c>
      <c r="B1384" s="134">
        <v>2021</v>
      </c>
      <c r="C1384" s="134">
        <v>1</v>
      </c>
      <c r="D1384" s="134">
        <v>37</v>
      </c>
      <c r="E1384" s="134" t="s">
        <v>1789</v>
      </c>
      <c r="F1384" s="134" t="s">
        <v>809</v>
      </c>
      <c r="G1384" s="195"/>
      <c r="H1384" s="195">
        <v>635.47</v>
      </c>
    </row>
    <row r="1385" spans="1:8" s="458" customFormat="1">
      <c r="A1385" s="134" t="s">
        <v>808</v>
      </c>
      <c r="B1385" s="134">
        <v>2021</v>
      </c>
      <c r="C1385" s="134">
        <v>1</v>
      </c>
      <c r="D1385" s="134">
        <v>37</v>
      </c>
      <c r="E1385" s="134" t="s">
        <v>1789</v>
      </c>
      <c r="F1385" s="134" t="s">
        <v>809</v>
      </c>
      <c r="G1385" s="195"/>
      <c r="H1385" s="195">
        <v>473.8</v>
      </c>
    </row>
    <row r="1386" spans="1:8" s="458" customFormat="1">
      <c r="A1386" s="134" t="s">
        <v>808</v>
      </c>
      <c r="B1386" s="134">
        <v>2021</v>
      </c>
      <c r="C1386" s="134">
        <v>1</v>
      </c>
      <c r="D1386" s="134">
        <v>37</v>
      </c>
      <c r="E1386" s="134" t="s">
        <v>1789</v>
      </c>
      <c r="F1386" s="134" t="s">
        <v>809</v>
      </c>
      <c r="G1386" s="195"/>
      <c r="H1386" s="195">
        <v>589.29</v>
      </c>
    </row>
    <row r="1387" spans="1:8" s="458" customFormat="1">
      <c r="A1387" s="134" t="s">
        <v>808</v>
      </c>
      <c r="B1387" s="134">
        <v>2021</v>
      </c>
      <c r="C1387" s="134">
        <v>1</v>
      </c>
      <c r="D1387" s="134">
        <v>37</v>
      </c>
      <c r="E1387" s="134" t="s">
        <v>1789</v>
      </c>
      <c r="F1387" s="134" t="s">
        <v>809</v>
      </c>
      <c r="G1387" s="195"/>
      <c r="H1387" s="195">
        <v>725.2</v>
      </c>
    </row>
    <row r="1388" spans="1:8" s="458" customFormat="1">
      <c r="A1388" s="134" t="s">
        <v>808</v>
      </c>
      <c r="B1388" s="134">
        <v>2021</v>
      </c>
      <c r="C1388" s="134">
        <v>1</v>
      </c>
      <c r="D1388" s="134">
        <v>40</v>
      </c>
      <c r="E1388" s="134" t="s">
        <v>1791</v>
      </c>
      <c r="F1388" s="134" t="s">
        <v>809</v>
      </c>
      <c r="G1388" s="195">
        <v>7924</v>
      </c>
      <c r="H1388" s="195"/>
    </row>
    <row r="1389" spans="1:8" s="458" customFormat="1">
      <c r="A1389" s="134" t="s">
        <v>808</v>
      </c>
      <c r="B1389" s="134">
        <v>2021</v>
      </c>
      <c r="C1389" s="134">
        <v>1</v>
      </c>
      <c r="D1389" s="134">
        <v>40</v>
      </c>
      <c r="E1389" s="134" t="s">
        <v>1791</v>
      </c>
      <c r="F1389" s="134" t="s">
        <v>809</v>
      </c>
      <c r="G1389" s="195"/>
      <c r="H1389" s="195">
        <v>105.69</v>
      </c>
    </row>
    <row r="1390" spans="1:8" s="458" customFormat="1">
      <c r="A1390" s="134" t="s">
        <v>808</v>
      </c>
      <c r="B1390" s="134">
        <v>2021</v>
      </c>
      <c r="C1390" s="134">
        <v>1</v>
      </c>
      <c r="D1390" s="134">
        <v>40</v>
      </c>
      <c r="E1390" s="134" t="s">
        <v>1791</v>
      </c>
      <c r="F1390" s="134" t="s">
        <v>809</v>
      </c>
      <c r="G1390" s="195"/>
      <c r="H1390" s="195">
        <v>-211.38</v>
      </c>
    </row>
    <row r="1391" spans="1:8" s="458" customFormat="1">
      <c r="A1391" s="134" t="s">
        <v>808</v>
      </c>
      <c r="B1391" s="134">
        <v>2021</v>
      </c>
      <c r="C1391" s="134">
        <v>1</v>
      </c>
      <c r="D1391" s="134">
        <v>40</v>
      </c>
      <c r="E1391" s="134" t="s">
        <v>1791</v>
      </c>
      <c r="F1391" s="134" t="s">
        <v>809</v>
      </c>
      <c r="G1391" s="195"/>
      <c r="H1391" s="195">
        <v>-534.48</v>
      </c>
    </row>
    <row r="1392" spans="1:8" s="458" customFormat="1">
      <c r="A1392" s="134" t="s">
        <v>808</v>
      </c>
      <c r="B1392" s="134">
        <v>2021</v>
      </c>
      <c r="C1392" s="134">
        <v>1</v>
      </c>
      <c r="D1392" s="134">
        <v>40</v>
      </c>
      <c r="E1392" s="134" t="s">
        <v>1791</v>
      </c>
      <c r="F1392" s="134" t="s">
        <v>809</v>
      </c>
      <c r="G1392" s="195"/>
      <c r="H1392" s="195">
        <v>1068.95</v>
      </c>
    </row>
    <row r="1393" spans="1:8" s="458" customFormat="1">
      <c r="A1393" s="134" t="s">
        <v>808</v>
      </c>
      <c r="B1393" s="134">
        <v>2021</v>
      </c>
      <c r="C1393" s="134">
        <v>1</v>
      </c>
      <c r="D1393" s="134">
        <v>40</v>
      </c>
      <c r="E1393" s="134" t="s">
        <v>1791</v>
      </c>
      <c r="F1393" s="134" t="s">
        <v>809</v>
      </c>
      <c r="G1393" s="195"/>
      <c r="H1393" s="195">
        <v>-259.64999999999998</v>
      </c>
    </row>
    <row r="1394" spans="1:8" s="458" customFormat="1">
      <c r="A1394" s="134" t="s">
        <v>808</v>
      </c>
      <c r="B1394" s="134">
        <v>2021</v>
      </c>
      <c r="C1394" s="134">
        <v>1</v>
      </c>
      <c r="D1394" s="134">
        <v>40</v>
      </c>
      <c r="E1394" s="134" t="s">
        <v>1791</v>
      </c>
      <c r="F1394" s="134" t="s">
        <v>809</v>
      </c>
      <c r="G1394" s="195"/>
      <c r="H1394" s="195">
        <v>519.29999999999995</v>
      </c>
    </row>
    <row r="1395" spans="1:8" s="458" customFormat="1">
      <c r="A1395" s="134" t="s">
        <v>808</v>
      </c>
      <c r="B1395" s="134">
        <v>2021</v>
      </c>
      <c r="C1395" s="134">
        <v>1</v>
      </c>
      <c r="D1395" s="134">
        <v>41</v>
      </c>
      <c r="E1395" s="134" t="s">
        <v>1792</v>
      </c>
      <c r="F1395" s="134" t="s">
        <v>809</v>
      </c>
      <c r="G1395" s="195">
        <v>644</v>
      </c>
      <c r="H1395" s="195"/>
    </row>
    <row r="1396" spans="1:8" s="458" customFormat="1">
      <c r="A1396" s="134" t="s">
        <v>808</v>
      </c>
      <c r="B1396" s="134">
        <v>2021</v>
      </c>
      <c r="C1396" s="134">
        <v>1</v>
      </c>
      <c r="D1396" s="134">
        <v>41</v>
      </c>
      <c r="E1396" s="134" t="s">
        <v>1792</v>
      </c>
      <c r="F1396" s="134" t="s">
        <v>809</v>
      </c>
      <c r="G1396" s="195"/>
      <c r="H1396" s="195">
        <v>-17.18</v>
      </c>
    </row>
    <row r="1397" spans="1:8" s="458" customFormat="1">
      <c r="A1397" s="134" t="s">
        <v>808</v>
      </c>
      <c r="B1397" s="134">
        <v>2021</v>
      </c>
      <c r="C1397" s="134">
        <v>1</v>
      </c>
      <c r="D1397" s="134">
        <v>41</v>
      </c>
      <c r="E1397" s="134" t="s">
        <v>1792</v>
      </c>
      <c r="F1397" s="134" t="s">
        <v>809</v>
      </c>
      <c r="G1397" s="195"/>
      <c r="H1397" s="195">
        <v>86.87</v>
      </c>
    </row>
    <row r="1398" spans="1:8" s="458" customFormat="1">
      <c r="A1398" s="134" t="s">
        <v>808</v>
      </c>
      <c r="B1398" s="134">
        <v>2021</v>
      </c>
      <c r="C1398" s="134">
        <v>1</v>
      </c>
      <c r="D1398" s="134">
        <v>41</v>
      </c>
      <c r="E1398" s="134" t="s">
        <v>1792</v>
      </c>
      <c r="F1398" s="134" t="s">
        <v>809</v>
      </c>
      <c r="G1398" s="195"/>
      <c r="H1398" s="195">
        <v>42.2</v>
      </c>
    </row>
    <row r="1399" spans="1:8" s="458" customFormat="1">
      <c r="A1399" s="134" t="s">
        <v>808</v>
      </c>
      <c r="B1399" s="134">
        <v>2021</v>
      </c>
      <c r="C1399" s="134">
        <v>1</v>
      </c>
      <c r="D1399" s="134">
        <v>38</v>
      </c>
      <c r="E1399" s="134" t="s">
        <v>1793</v>
      </c>
      <c r="F1399" s="134" t="s">
        <v>809</v>
      </c>
      <c r="G1399" s="195"/>
      <c r="H1399" s="195">
        <v>-105.69</v>
      </c>
    </row>
    <row r="1400" spans="1:8" s="458" customFormat="1">
      <c r="A1400" s="134" t="s">
        <v>808</v>
      </c>
      <c r="B1400" s="134">
        <v>2021</v>
      </c>
      <c r="C1400" s="134">
        <v>1</v>
      </c>
      <c r="D1400" s="134">
        <v>38</v>
      </c>
      <c r="E1400" s="134" t="s">
        <v>1793</v>
      </c>
      <c r="F1400" s="134" t="s">
        <v>809</v>
      </c>
      <c r="G1400" s="195"/>
      <c r="H1400" s="195">
        <v>534.48</v>
      </c>
    </row>
    <row r="1401" spans="1:8" s="458" customFormat="1">
      <c r="A1401" s="134" t="s">
        <v>808</v>
      </c>
      <c r="B1401" s="134">
        <v>2021</v>
      </c>
      <c r="C1401" s="134">
        <v>1</v>
      </c>
      <c r="D1401" s="134">
        <v>38</v>
      </c>
      <c r="E1401" s="134" t="s">
        <v>1793</v>
      </c>
      <c r="F1401" s="134" t="s">
        <v>809</v>
      </c>
      <c r="G1401" s="195"/>
      <c r="H1401" s="195">
        <v>259.64999999999998</v>
      </c>
    </row>
    <row r="1402" spans="1:8" s="458" customFormat="1">
      <c r="A1402" s="134" t="s">
        <v>808</v>
      </c>
      <c r="B1402" s="134">
        <v>2021</v>
      </c>
      <c r="C1402" s="134">
        <v>1</v>
      </c>
      <c r="D1402" s="134">
        <v>45</v>
      </c>
      <c r="E1402" s="134" t="s">
        <v>1795</v>
      </c>
      <c r="F1402" s="134" t="s">
        <v>809</v>
      </c>
      <c r="G1402" s="195">
        <v>27156</v>
      </c>
      <c r="H1402" s="195"/>
    </row>
    <row r="1403" spans="1:8" s="458" customFormat="1">
      <c r="A1403" s="134" t="s">
        <v>808</v>
      </c>
      <c r="B1403" s="134">
        <v>2021</v>
      </c>
      <c r="C1403" s="134">
        <v>1</v>
      </c>
      <c r="D1403" s="134">
        <v>45</v>
      </c>
      <c r="E1403" s="134" t="s">
        <v>1795</v>
      </c>
      <c r="F1403" s="134" t="s">
        <v>807</v>
      </c>
      <c r="G1403" s="195"/>
      <c r="H1403" s="195">
        <v>29455</v>
      </c>
    </row>
    <row r="1404" spans="1:8" s="458" customFormat="1">
      <c r="A1404" s="134" t="s">
        <v>808</v>
      </c>
      <c r="B1404" s="134">
        <v>2021</v>
      </c>
      <c r="C1404" s="134">
        <v>1</v>
      </c>
      <c r="D1404" s="134">
        <v>45</v>
      </c>
      <c r="E1404" s="134" t="s">
        <v>1795</v>
      </c>
      <c r="F1404" s="134" t="s">
        <v>809</v>
      </c>
      <c r="G1404" s="195"/>
      <c r="H1404" s="195">
        <v>27156</v>
      </c>
    </row>
    <row r="1405" spans="1:8" s="458" customFormat="1">
      <c r="A1405" s="134" t="s">
        <v>808</v>
      </c>
      <c r="B1405" s="134">
        <v>2021</v>
      </c>
      <c r="C1405" s="134">
        <v>2</v>
      </c>
      <c r="D1405" s="134">
        <v>17</v>
      </c>
      <c r="E1405" s="134" t="s">
        <v>1746</v>
      </c>
      <c r="F1405" s="134" t="s">
        <v>809</v>
      </c>
      <c r="G1405" s="195"/>
      <c r="H1405" s="195">
        <v>-270.54000000000002</v>
      </c>
    </row>
    <row r="1406" spans="1:8" s="458" customFormat="1">
      <c r="A1406" s="134" t="s">
        <v>808</v>
      </c>
      <c r="B1406" s="134">
        <v>2021</v>
      </c>
      <c r="C1406" s="134">
        <v>2</v>
      </c>
      <c r="D1406" s="134">
        <v>17</v>
      </c>
      <c r="E1406" s="134" t="s">
        <v>1746</v>
      </c>
      <c r="F1406" s="134" t="s">
        <v>809</v>
      </c>
      <c r="G1406" s="195"/>
      <c r="H1406" s="195">
        <v>270.54000000000002</v>
      </c>
    </row>
    <row r="1407" spans="1:8" s="458" customFormat="1">
      <c r="A1407" s="134" t="s">
        <v>808</v>
      </c>
      <c r="B1407" s="134">
        <v>2021</v>
      </c>
      <c r="C1407" s="134">
        <v>2</v>
      </c>
      <c r="D1407" s="134">
        <v>17</v>
      </c>
      <c r="E1407" s="134" t="s">
        <v>1746</v>
      </c>
      <c r="F1407" s="134" t="s">
        <v>809</v>
      </c>
      <c r="G1407" s="195"/>
      <c r="H1407" s="195">
        <v>242.33</v>
      </c>
    </row>
    <row r="1408" spans="1:8" s="458" customFormat="1">
      <c r="A1408" s="134" t="s">
        <v>808</v>
      </c>
      <c r="B1408" s="134">
        <v>2021</v>
      </c>
      <c r="C1408" s="134">
        <v>2</v>
      </c>
      <c r="D1408" s="134">
        <v>17</v>
      </c>
      <c r="E1408" s="134" t="s">
        <v>1746</v>
      </c>
      <c r="F1408" s="134" t="s">
        <v>809</v>
      </c>
      <c r="G1408" s="195"/>
      <c r="H1408" s="195">
        <v>-242.33</v>
      </c>
    </row>
    <row r="1409" spans="1:8" s="458" customFormat="1">
      <c r="A1409" s="134" t="s">
        <v>808</v>
      </c>
      <c r="B1409" s="134">
        <v>2021</v>
      </c>
      <c r="C1409" s="134">
        <v>2</v>
      </c>
      <c r="D1409" s="134">
        <v>17</v>
      </c>
      <c r="E1409" s="134" t="s">
        <v>1746</v>
      </c>
      <c r="F1409" s="134" t="s">
        <v>809</v>
      </c>
      <c r="G1409" s="195"/>
      <c r="H1409" s="195">
        <v>617.63</v>
      </c>
    </row>
    <row r="1410" spans="1:8" s="458" customFormat="1">
      <c r="A1410" s="134" t="s">
        <v>808</v>
      </c>
      <c r="B1410" s="134">
        <v>2021</v>
      </c>
      <c r="C1410" s="134">
        <v>2</v>
      </c>
      <c r="D1410" s="134">
        <v>17</v>
      </c>
      <c r="E1410" s="134" t="s">
        <v>1746</v>
      </c>
      <c r="F1410" s="134" t="s">
        <v>809</v>
      </c>
      <c r="G1410" s="195"/>
      <c r="H1410" s="195">
        <v>378</v>
      </c>
    </row>
    <row r="1411" spans="1:8" s="458" customFormat="1">
      <c r="A1411" s="134" t="s">
        <v>808</v>
      </c>
      <c r="B1411" s="134">
        <v>2021</v>
      </c>
      <c r="C1411" s="134">
        <v>2</v>
      </c>
      <c r="D1411" s="134">
        <v>17</v>
      </c>
      <c r="E1411" s="134" t="s">
        <v>1746</v>
      </c>
      <c r="F1411" s="134" t="s">
        <v>809</v>
      </c>
      <c r="G1411" s="195"/>
      <c r="H1411" s="195">
        <v>432</v>
      </c>
    </row>
    <row r="1412" spans="1:8" s="458" customFormat="1">
      <c r="A1412" s="134" t="s">
        <v>808</v>
      </c>
      <c r="B1412" s="134">
        <v>2021</v>
      </c>
      <c r="C1412" s="134">
        <v>2</v>
      </c>
      <c r="D1412" s="134">
        <v>17</v>
      </c>
      <c r="E1412" s="134" t="s">
        <v>1746</v>
      </c>
      <c r="F1412" s="134" t="s">
        <v>809</v>
      </c>
      <c r="G1412" s="195"/>
      <c r="H1412" s="195">
        <v>405</v>
      </c>
    </row>
    <row r="1413" spans="1:8" s="458" customFormat="1">
      <c r="A1413" s="134" t="s">
        <v>808</v>
      </c>
      <c r="B1413" s="134">
        <v>2021</v>
      </c>
      <c r="C1413" s="134">
        <v>2</v>
      </c>
      <c r="D1413" s="134">
        <v>17</v>
      </c>
      <c r="E1413" s="134" t="s">
        <v>1746</v>
      </c>
      <c r="F1413" s="134" t="s">
        <v>809</v>
      </c>
      <c r="G1413" s="195"/>
      <c r="H1413" s="195">
        <v>405</v>
      </c>
    </row>
    <row r="1414" spans="1:8" s="458" customFormat="1">
      <c r="A1414" s="134" t="s">
        <v>808</v>
      </c>
      <c r="B1414" s="134">
        <v>2021</v>
      </c>
      <c r="C1414" s="134">
        <v>2</v>
      </c>
      <c r="D1414" s="134">
        <v>17</v>
      </c>
      <c r="E1414" s="134" t="s">
        <v>1746</v>
      </c>
      <c r="F1414" s="134" t="s">
        <v>809</v>
      </c>
      <c r="G1414" s="195"/>
      <c r="H1414" s="195">
        <v>405</v>
      </c>
    </row>
    <row r="1415" spans="1:8" s="458" customFormat="1">
      <c r="A1415" s="134" t="s">
        <v>808</v>
      </c>
      <c r="B1415" s="134">
        <v>2021</v>
      </c>
      <c r="C1415" s="134">
        <v>2</v>
      </c>
      <c r="D1415" s="134">
        <v>17</v>
      </c>
      <c r="E1415" s="134" t="s">
        <v>1746</v>
      </c>
      <c r="F1415" s="134" t="s">
        <v>809</v>
      </c>
      <c r="G1415" s="195"/>
      <c r="H1415" s="195">
        <v>418.5</v>
      </c>
    </row>
    <row r="1416" spans="1:8" s="458" customFormat="1">
      <c r="A1416" s="134" t="s">
        <v>808</v>
      </c>
      <c r="B1416" s="134">
        <v>2021</v>
      </c>
      <c r="C1416" s="134">
        <v>2</v>
      </c>
      <c r="D1416" s="134">
        <v>17</v>
      </c>
      <c r="E1416" s="134" t="s">
        <v>1746</v>
      </c>
      <c r="F1416" s="134" t="s">
        <v>809</v>
      </c>
      <c r="G1416" s="195"/>
      <c r="H1416" s="195">
        <v>405</v>
      </c>
    </row>
    <row r="1417" spans="1:8" s="458" customFormat="1">
      <c r="A1417" s="134" t="s">
        <v>808</v>
      </c>
      <c r="B1417" s="134">
        <v>2021</v>
      </c>
      <c r="C1417" s="134">
        <v>2</v>
      </c>
      <c r="D1417" s="134">
        <v>17</v>
      </c>
      <c r="E1417" s="134" t="s">
        <v>1746</v>
      </c>
      <c r="F1417" s="134" t="s">
        <v>809</v>
      </c>
      <c r="G1417" s="195"/>
      <c r="H1417" s="195">
        <v>405</v>
      </c>
    </row>
    <row r="1418" spans="1:8" s="458" customFormat="1">
      <c r="A1418" s="134" t="s">
        <v>808</v>
      </c>
      <c r="B1418" s="134">
        <v>2021</v>
      </c>
      <c r="C1418" s="134">
        <v>2</v>
      </c>
      <c r="D1418" s="134">
        <v>17</v>
      </c>
      <c r="E1418" s="134" t="s">
        <v>1746</v>
      </c>
      <c r="F1418" s="134" t="s">
        <v>809</v>
      </c>
      <c r="G1418" s="195"/>
      <c r="H1418" s="195">
        <v>40.5</v>
      </c>
    </row>
    <row r="1419" spans="1:8" s="458" customFormat="1">
      <c r="A1419" s="134" t="s">
        <v>808</v>
      </c>
      <c r="B1419" s="134">
        <v>2021</v>
      </c>
      <c r="C1419" s="134">
        <v>2</v>
      </c>
      <c r="D1419" s="134">
        <v>17</v>
      </c>
      <c r="E1419" s="134" t="s">
        <v>1746</v>
      </c>
      <c r="F1419" s="134" t="s">
        <v>809</v>
      </c>
      <c r="G1419" s="195"/>
      <c r="H1419" s="195">
        <v>81</v>
      </c>
    </row>
    <row r="1420" spans="1:8" s="458" customFormat="1">
      <c r="A1420" s="134" t="s">
        <v>808</v>
      </c>
      <c r="B1420" s="134">
        <v>2021</v>
      </c>
      <c r="C1420" s="134">
        <v>2</v>
      </c>
      <c r="D1420" s="134">
        <v>17</v>
      </c>
      <c r="E1420" s="134" t="s">
        <v>1746</v>
      </c>
      <c r="F1420" s="134" t="s">
        <v>809</v>
      </c>
      <c r="G1420" s="195"/>
      <c r="H1420" s="195">
        <v>675</v>
      </c>
    </row>
    <row r="1421" spans="1:8" s="458" customFormat="1">
      <c r="A1421" s="134" t="s">
        <v>808</v>
      </c>
      <c r="B1421" s="134">
        <v>2021</v>
      </c>
      <c r="C1421" s="134">
        <v>2</v>
      </c>
      <c r="D1421" s="134">
        <v>17</v>
      </c>
      <c r="E1421" s="134" t="s">
        <v>1746</v>
      </c>
      <c r="F1421" s="134" t="s">
        <v>809</v>
      </c>
      <c r="G1421" s="195"/>
      <c r="H1421" s="195">
        <v>675</v>
      </c>
    </row>
    <row r="1422" spans="1:8" s="458" customFormat="1">
      <c r="A1422" s="134" t="s">
        <v>808</v>
      </c>
      <c r="B1422" s="134">
        <v>2021</v>
      </c>
      <c r="C1422" s="134">
        <v>2</v>
      </c>
      <c r="D1422" s="134">
        <v>17</v>
      </c>
      <c r="E1422" s="134" t="s">
        <v>1746</v>
      </c>
      <c r="F1422" s="134" t="s">
        <v>809</v>
      </c>
      <c r="G1422" s="195"/>
      <c r="H1422" s="195">
        <v>675</v>
      </c>
    </row>
    <row r="1423" spans="1:8" s="458" customFormat="1">
      <c r="A1423" s="134" t="s">
        <v>808</v>
      </c>
      <c r="B1423" s="134">
        <v>2021</v>
      </c>
      <c r="C1423" s="134">
        <v>2</v>
      </c>
      <c r="D1423" s="134">
        <v>17</v>
      </c>
      <c r="E1423" s="134" t="s">
        <v>1746</v>
      </c>
      <c r="F1423" s="134" t="s">
        <v>809</v>
      </c>
      <c r="G1423" s="195"/>
      <c r="H1423" s="195">
        <v>675</v>
      </c>
    </row>
    <row r="1424" spans="1:8" s="458" customFormat="1">
      <c r="A1424" s="134" t="s">
        <v>808</v>
      </c>
      <c r="B1424" s="134">
        <v>2021</v>
      </c>
      <c r="C1424" s="134">
        <v>2</v>
      </c>
      <c r="D1424" s="134">
        <v>17</v>
      </c>
      <c r="E1424" s="134" t="s">
        <v>1746</v>
      </c>
      <c r="F1424" s="134" t="s">
        <v>809</v>
      </c>
      <c r="G1424" s="195"/>
      <c r="H1424" s="195">
        <v>675</v>
      </c>
    </row>
    <row r="1425" spans="1:8" s="458" customFormat="1">
      <c r="A1425" s="134" t="s">
        <v>808</v>
      </c>
      <c r="B1425" s="134">
        <v>2021</v>
      </c>
      <c r="C1425" s="134">
        <v>2</v>
      </c>
      <c r="D1425" s="134">
        <v>17</v>
      </c>
      <c r="E1425" s="134" t="s">
        <v>1746</v>
      </c>
      <c r="F1425" s="134" t="s">
        <v>809</v>
      </c>
      <c r="G1425" s="195"/>
      <c r="H1425" s="195">
        <v>675</v>
      </c>
    </row>
    <row r="1426" spans="1:8" s="458" customFormat="1">
      <c r="A1426" s="134" t="s">
        <v>808</v>
      </c>
      <c r="B1426" s="134">
        <v>2021</v>
      </c>
      <c r="C1426" s="134">
        <v>2</v>
      </c>
      <c r="D1426" s="134">
        <v>17</v>
      </c>
      <c r="E1426" s="134" t="s">
        <v>1746</v>
      </c>
      <c r="F1426" s="134" t="s">
        <v>809</v>
      </c>
      <c r="G1426" s="195"/>
      <c r="H1426" s="195">
        <v>675</v>
      </c>
    </row>
    <row r="1427" spans="1:8" s="458" customFormat="1">
      <c r="A1427" s="134" t="s">
        <v>808</v>
      </c>
      <c r="B1427" s="134">
        <v>2021</v>
      </c>
      <c r="C1427" s="134">
        <v>2</v>
      </c>
      <c r="D1427" s="134">
        <v>17</v>
      </c>
      <c r="E1427" s="134" t="s">
        <v>1746</v>
      </c>
      <c r="F1427" s="134" t="s">
        <v>809</v>
      </c>
      <c r="G1427" s="195"/>
      <c r="H1427" s="195">
        <v>405</v>
      </c>
    </row>
    <row r="1428" spans="1:8" s="458" customFormat="1">
      <c r="A1428" s="134" t="s">
        <v>808</v>
      </c>
      <c r="B1428" s="134">
        <v>2021</v>
      </c>
      <c r="C1428" s="134">
        <v>2</v>
      </c>
      <c r="D1428" s="134">
        <v>17</v>
      </c>
      <c r="E1428" s="134" t="s">
        <v>1746</v>
      </c>
      <c r="F1428" s="134" t="s">
        <v>809</v>
      </c>
      <c r="G1428" s="195"/>
      <c r="H1428" s="195">
        <v>418.5</v>
      </c>
    </row>
    <row r="1429" spans="1:8" s="458" customFormat="1">
      <c r="A1429" s="134" t="s">
        <v>808</v>
      </c>
      <c r="B1429" s="134">
        <v>2021</v>
      </c>
      <c r="C1429" s="134">
        <v>2</v>
      </c>
      <c r="D1429" s="134">
        <v>17</v>
      </c>
      <c r="E1429" s="134" t="s">
        <v>1746</v>
      </c>
      <c r="F1429" s="134" t="s">
        <v>809</v>
      </c>
      <c r="G1429" s="195"/>
      <c r="H1429" s="195">
        <v>405</v>
      </c>
    </row>
    <row r="1430" spans="1:8" s="458" customFormat="1">
      <c r="A1430" s="134" t="s">
        <v>808</v>
      </c>
      <c r="B1430" s="134">
        <v>2021</v>
      </c>
      <c r="C1430" s="134">
        <v>2</v>
      </c>
      <c r="D1430" s="134">
        <v>17</v>
      </c>
      <c r="E1430" s="134" t="s">
        <v>1746</v>
      </c>
      <c r="F1430" s="134" t="s">
        <v>809</v>
      </c>
      <c r="G1430" s="195"/>
      <c r="H1430" s="195">
        <v>432</v>
      </c>
    </row>
    <row r="1431" spans="1:8" s="458" customFormat="1">
      <c r="A1431" s="134" t="s">
        <v>808</v>
      </c>
      <c r="B1431" s="134">
        <v>2021</v>
      </c>
      <c r="C1431" s="134">
        <v>2</v>
      </c>
      <c r="D1431" s="134">
        <v>17</v>
      </c>
      <c r="E1431" s="134" t="s">
        <v>1746</v>
      </c>
      <c r="F1431" s="134" t="s">
        <v>809</v>
      </c>
      <c r="G1431" s="195"/>
      <c r="H1431" s="195">
        <v>418.5</v>
      </c>
    </row>
    <row r="1432" spans="1:8" s="458" customFormat="1">
      <c r="A1432" s="134" t="s">
        <v>808</v>
      </c>
      <c r="B1432" s="134">
        <v>2021</v>
      </c>
      <c r="C1432" s="134">
        <v>2</v>
      </c>
      <c r="D1432" s="134">
        <v>17</v>
      </c>
      <c r="E1432" s="134" t="s">
        <v>1746</v>
      </c>
      <c r="F1432" s="134" t="s">
        <v>809</v>
      </c>
      <c r="G1432" s="195"/>
      <c r="H1432" s="195">
        <v>445.5</v>
      </c>
    </row>
    <row r="1433" spans="1:8" s="458" customFormat="1">
      <c r="A1433" s="134" t="s">
        <v>808</v>
      </c>
      <c r="B1433" s="134">
        <v>2021</v>
      </c>
      <c r="C1433" s="134">
        <v>2</v>
      </c>
      <c r="D1433" s="134">
        <v>17</v>
      </c>
      <c r="E1433" s="134" t="s">
        <v>1746</v>
      </c>
      <c r="F1433" s="134" t="s">
        <v>809</v>
      </c>
      <c r="G1433" s="195"/>
      <c r="H1433" s="195">
        <v>472.5</v>
      </c>
    </row>
    <row r="1434" spans="1:8" s="458" customFormat="1">
      <c r="A1434" s="134" t="s">
        <v>808</v>
      </c>
      <c r="B1434" s="134">
        <v>2021</v>
      </c>
      <c r="C1434" s="134">
        <v>2</v>
      </c>
      <c r="D1434" s="134">
        <v>17</v>
      </c>
      <c r="E1434" s="134" t="s">
        <v>1746</v>
      </c>
      <c r="F1434" s="134" t="s">
        <v>809</v>
      </c>
      <c r="G1434" s="195"/>
      <c r="H1434" s="195">
        <v>390</v>
      </c>
    </row>
    <row r="1435" spans="1:8" s="458" customFormat="1">
      <c r="A1435" s="134" t="s">
        <v>808</v>
      </c>
      <c r="B1435" s="134">
        <v>2021</v>
      </c>
      <c r="C1435" s="134">
        <v>2</v>
      </c>
      <c r="D1435" s="134">
        <v>17</v>
      </c>
      <c r="E1435" s="134" t="s">
        <v>1746</v>
      </c>
      <c r="F1435" s="134" t="s">
        <v>809</v>
      </c>
      <c r="G1435" s="195"/>
      <c r="H1435" s="195">
        <v>200</v>
      </c>
    </row>
    <row r="1436" spans="1:8" s="458" customFormat="1">
      <c r="A1436" s="134" t="s">
        <v>808</v>
      </c>
      <c r="B1436" s="134">
        <v>2021</v>
      </c>
      <c r="C1436" s="134">
        <v>2</v>
      </c>
      <c r="D1436" s="134">
        <v>17</v>
      </c>
      <c r="E1436" s="134" t="s">
        <v>1746</v>
      </c>
      <c r="F1436" s="134" t="s">
        <v>809</v>
      </c>
      <c r="G1436" s="195"/>
      <c r="H1436" s="195">
        <v>206.25</v>
      </c>
    </row>
    <row r="1437" spans="1:8" s="458" customFormat="1">
      <c r="A1437" s="134" t="s">
        <v>808</v>
      </c>
      <c r="B1437" s="134">
        <v>2021</v>
      </c>
      <c r="C1437" s="134">
        <v>2</v>
      </c>
      <c r="D1437" s="134">
        <v>17</v>
      </c>
      <c r="E1437" s="134" t="s">
        <v>1746</v>
      </c>
      <c r="F1437" s="134" t="s">
        <v>809</v>
      </c>
      <c r="G1437" s="195"/>
      <c r="H1437" s="195">
        <v>200</v>
      </c>
    </row>
    <row r="1438" spans="1:8" s="458" customFormat="1">
      <c r="A1438" s="134" t="s">
        <v>808</v>
      </c>
      <c r="B1438" s="134">
        <v>2021</v>
      </c>
      <c r="C1438" s="134">
        <v>2</v>
      </c>
      <c r="D1438" s="134">
        <v>17</v>
      </c>
      <c r="E1438" s="134" t="s">
        <v>1746</v>
      </c>
      <c r="F1438" s="134" t="s">
        <v>809</v>
      </c>
      <c r="G1438" s="195"/>
      <c r="H1438" s="195">
        <v>200</v>
      </c>
    </row>
    <row r="1439" spans="1:8" s="458" customFormat="1">
      <c r="A1439" s="134" t="s">
        <v>808</v>
      </c>
      <c r="B1439" s="134">
        <v>2021</v>
      </c>
      <c r="C1439" s="134">
        <v>2</v>
      </c>
      <c r="D1439" s="134">
        <v>17</v>
      </c>
      <c r="E1439" s="134" t="s">
        <v>1746</v>
      </c>
      <c r="F1439" s="134" t="s">
        <v>809</v>
      </c>
      <c r="G1439" s="195"/>
      <c r="H1439" s="195">
        <v>200</v>
      </c>
    </row>
    <row r="1440" spans="1:8" s="458" customFormat="1">
      <c r="A1440" s="134" t="s">
        <v>808</v>
      </c>
      <c r="B1440" s="134">
        <v>2021</v>
      </c>
      <c r="C1440" s="134">
        <v>2</v>
      </c>
      <c r="D1440" s="134">
        <v>17</v>
      </c>
      <c r="E1440" s="134" t="s">
        <v>1746</v>
      </c>
      <c r="F1440" s="134" t="s">
        <v>809</v>
      </c>
      <c r="G1440" s="195"/>
      <c r="H1440" s="195">
        <v>300</v>
      </c>
    </row>
    <row r="1441" spans="1:8" s="458" customFormat="1">
      <c r="A1441" s="134" t="s">
        <v>808</v>
      </c>
      <c r="B1441" s="134">
        <v>2021</v>
      </c>
      <c r="C1441" s="134">
        <v>2</v>
      </c>
      <c r="D1441" s="134">
        <v>17</v>
      </c>
      <c r="E1441" s="134" t="s">
        <v>1746</v>
      </c>
      <c r="F1441" s="134" t="s">
        <v>809</v>
      </c>
      <c r="G1441" s="195"/>
      <c r="H1441" s="195">
        <v>200</v>
      </c>
    </row>
    <row r="1442" spans="1:8" s="458" customFormat="1">
      <c r="A1442" s="134" t="s">
        <v>808</v>
      </c>
      <c r="B1442" s="134">
        <v>2021</v>
      </c>
      <c r="C1442" s="134">
        <v>2</v>
      </c>
      <c r="D1442" s="134">
        <v>17</v>
      </c>
      <c r="E1442" s="134" t="s">
        <v>1746</v>
      </c>
      <c r="F1442" s="134" t="s">
        <v>809</v>
      </c>
      <c r="G1442" s="195"/>
      <c r="H1442" s="195">
        <v>206.25</v>
      </c>
    </row>
    <row r="1443" spans="1:8" s="458" customFormat="1">
      <c r="A1443" s="134" t="s">
        <v>808</v>
      </c>
      <c r="B1443" s="134">
        <v>2021</v>
      </c>
      <c r="C1443" s="134">
        <v>2</v>
      </c>
      <c r="D1443" s="134">
        <v>17</v>
      </c>
      <c r="E1443" s="134" t="s">
        <v>1746</v>
      </c>
      <c r="F1443" s="134" t="s">
        <v>809</v>
      </c>
      <c r="G1443" s="195"/>
      <c r="H1443" s="195">
        <v>206.25</v>
      </c>
    </row>
    <row r="1444" spans="1:8" s="458" customFormat="1">
      <c r="A1444" s="134" t="s">
        <v>808</v>
      </c>
      <c r="B1444" s="134">
        <v>2021</v>
      </c>
      <c r="C1444" s="134">
        <v>2</v>
      </c>
      <c r="D1444" s="134">
        <v>17</v>
      </c>
      <c r="E1444" s="134" t="s">
        <v>1746</v>
      </c>
      <c r="F1444" s="134" t="s">
        <v>809</v>
      </c>
      <c r="G1444" s="195"/>
      <c r="H1444" s="195">
        <v>200</v>
      </c>
    </row>
    <row r="1445" spans="1:8" s="458" customFormat="1">
      <c r="A1445" s="134" t="s">
        <v>808</v>
      </c>
      <c r="B1445" s="134">
        <v>2021</v>
      </c>
      <c r="C1445" s="134">
        <v>2</v>
      </c>
      <c r="D1445" s="134">
        <v>17</v>
      </c>
      <c r="E1445" s="134" t="s">
        <v>1746</v>
      </c>
      <c r="F1445" s="134" t="s">
        <v>809</v>
      </c>
      <c r="G1445" s="195"/>
      <c r="H1445" s="195">
        <v>200</v>
      </c>
    </row>
    <row r="1446" spans="1:8" s="458" customFormat="1">
      <c r="A1446" s="134" t="s">
        <v>808</v>
      </c>
      <c r="B1446" s="134">
        <v>2021</v>
      </c>
      <c r="C1446" s="134">
        <v>2</v>
      </c>
      <c r="D1446" s="134">
        <v>17</v>
      </c>
      <c r="E1446" s="134" t="s">
        <v>1746</v>
      </c>
      <c r="F1446" s="134" t="s">
        <v>809</v>
      </c>
      <c r="G1446" s="195"/>
      <c r="H1446" s="195">
        <v>300</v>
      </c>
    </row>
    <row r="1447" spans="1:8" s="458" customFormat="1">
      <c r="A1447" s="134" t="s">
        <v>808</v>
      </c>
      <c r="B1447" s="134">
        <v>2021</v>
      </c>
      <c r="C1447" s="134">
        <v>2</v>
      </c>
      <c r="D1447" s="134">
        <v>17</v>
      </c>
      <c r="E1447" s="134" t="s">
        <v>1746</v>
      </c>
      <c r="F1447" s="134" t="s">
        <v>809</v>
      </c>
      <c r="G1447" s="195"/>
      <c r="H1447" s="195">
        <v>313.88</v>
      </c>
    </row>
    <row r="1448" spans="1:8" s="458" customFormat="1">
      <c r="A1448" s="134" t="s">
        <v>808</v>
      </c>
      <c r="B1448" s="134">
        <v>2021</v>
      </c>
      <c r="C1448" s="134">
        <v>2</v>
      </c>
      <c r="D1448" s="134">
        <v>17</v>
      </c>
      <c r="E1448" s="134" t="s">
        <v>1746</v>
      </c>
      <c r="F1448" s="134" t="s">
        <v>809</v>
      </c>
      <c r="G1448" s="195"/>
      <c r="H1448" s="195">
        <v>364.5</v>
      </c>
    </row>
    <row r="1449" spans="1:8" s="458" customFormat="1">
      <c r="A1449" s="134" t="s">
        <v>808</v>
      </c>
      <c r="B1449" s="134">
        <v>2021</v>
      </c>
      <c r="C1449" s="134">
        <v>2</v>
      </c>
      <c r="D1449" s="134">
        <v>17</v>
      </c>
      <c r="E1449" s="134" t="s">
        <v>1746</v>
      </c>
      <c r="F1449" s="134" t="s">
        <v>809</v>
      </c>
      <c r="G1449" s="195"/>
      <c r="H1449" s="195">
        <v>384.75</v>
      </c>
    </row>
    <row r="1450" spans="1:8" s="458" customFormat="1">
      <c r="A1450" s="134" t="s">
        <v>808</v>
      </c>
      <c r="B1450" s="134">
        <v>2021</v>
      </c>
      <c r="C1450" s="134">
        <v>2</v>
      </c>
      <c r="D1450" s="134">
        <v>17</v>
      </c>
      <c r="E1450" s="134" t="s">
        <v>1746</v>
      </c>
      <c r="F1450" s="134" t="s">
        <v>809</v>
      </c>
      <c r="G1450" s="195"/>
      <c r="H1450" s="195">
        <v>286.88</v>
      </c>
    </row>
    <row r="1451" spans="1:8" s="458" customFormat="1">
      <c r="A1451" s="134" t="s">
        <v>808</v>
      </c>
      <c r="B1451" s="134">
        <v>2021</v>
      </c>
      <c r="C1451" s="134">
        <v>2</v>
      </c>
      <c r="D1451" s="134">
        <v>17</v>
      </c>
      <c r="E1451" s="134" t="s">
        <v>1746</v>
      </c>
      <c r="F1451" s="134" t="s">
        <v>809</v>
      </c>
      <c r="G1451" s="195"/>
      <c r="H1451" s="195">
        <v>310.5</v>
      </c>
    </row>
    <row r="1452" spans="1:8" s="458" customFormat="1">
      <c r="A1452" s="134" t="s">
        <v>808</v>
      </c>
      <c r="B1452" s="134">
        <v>2021</v>
      </c>
      <c r="C1452" s="134">
        <v>2</v>
      </c>
      <c r="D1452" s="134">
        <v>17</v>
      </c>
      <c r="E1452" s="134" t="s">
        <v>1746</v>
      </c>
      <c r="F1452" s="134" t="s">
        <v>809</v>
      </c>
      <c r="G1452" s="195"/>
      <c r="H1452" s="195">
        <v>101.25</v>
      </c>
    </row>
    <row r="1453" spans="1:8" s="458" customFormat="1">
      <c r="A1453" s="134" t="s">
        <v>808</v>
      </c>
      <c r="B1453" s="134">
        <v>2021</v>
      </c>
      <c r="C1453" s="134">
        <v>2</v>
      </c>
      <c r="D1453" s="134">
        <v>17</v>
      </c>
      <c r="E1453" s="134" t="s">
        <v>1746</v>
      </c>
      <c r="F1453" s="134" t="s">
        <v>809</v>
      </c>
      <c r="G1453" s="195"/>
      <c r="H1453" s="195">
        <v>263.25</v>
      </c>
    </row>
    <row r="1454" spans="1:8" s="458" customFormat="1">
      <c r="A1454" s="134" t="s">
        <v>808</v>
      </c>
      <c r="B1454" s="134">
        <v>2021</v>
      </c>
      <c r="C1454" s="134">
        <v>2</v>
      </c>
      <c r="D1454" s="134">
        <v>17</v>
      </c>
      <c r="E1454" s="134" t="s">
        <v>1746</v>
      </c>
      <c r="F1454" s="134" t="s">
        <v>809</v>
      </c>
      <c r="G1454" s="195"/>
      <c r="H1454" s="195">
        <v>450</v>
      </c>
    </row>
    <row r="1455" spans="1:8" s="458" customFormat="1">
      <c r="A1455" s="134" t="s">
        <v>808</v>
      </c>
      <c r="B1455" s="134">
        <v>2021</v>
      </c>
      <c r="C1455" s="134">
        <v>2</v>
      </c>
      <c r="D1455" s="134">
        <v>17</v>
      </c>
      <c r="E1455" s="134" t="s">
        <v>1746</v>
      </c>
      <c r="F1455" s="134" t="s">
        <v>809</v>
      </c>
      <c r="G1455" s="195"/>
      <c r="H1455" s="195">
        <v>432</v>
      </c>
    </row>
    <row r="1456" spans="1:8" s="458" customFormat="1">
      <c r="A1456" s="134" t="s">
        <v>808</v>
      </c>
      <c r="B1456" s="134">
        <v>2021</v>
      </c>
      <c r="C1456" s="134">
        <v>2</v>
      </c>
      <c r="D1456" s="134">
        <v>17</v>
      </c>
      <c r="E1456" s="134" t="s">
        <v>1746</v>
      </c>
      <c r="F1456" s="134" t="s">
        <v>809</v>
      </c>
      <c r="G1456" s="195"/>
      <c r="H1456" s="195">
        <v>432</v>
      </c>
    </row>
    <row r="1457" spans="1:8" s="458" customFormat="1">
      <c r="A1457" s="134" t="s">
        <v>808</v>
      </c>
      <c r="B1457" s="134">
        <v>2021</v>
      </c>
      <c r="C1457" s="134">
        <v>2</v>
      </c>
      <c r="D1457" s="134">
        <v>17</v>
      </c>
      <c r="E1457" s="134" t="s">
        <v>1746</v>
      </c>
      <c r="F1457" s="134" t="s">
        <v>809</v>
      </c>
      <c r="G1457" s="195"/>
      <c r="H1457" s="195">
        <v>486</v>
      </c>
    </row>
    <row r="1458" spans="1:8" s="458" customFormat="1">
      <c r="A1458" s="134" t="s">
        <v>808</v>
      </c>
      <c r="B1458" s="134">
        <v>2021</v>
      </c>
      <c r="C1458" s="134">
        <v>2</v>
      </c>
      <c r="D1458" s="134">
        <v>17</v>
      </c>
      <c r="E1458" s="134" t="s">
        <v>1746</v>
      </c>
      <c r="F1458" s="134" t="s">
        <v>809</v>
      </c>
      <c r="G1458" s="195"/>
      <c r="H1458" s="195">
        <v>121.5</v>
      </c>
    </row>
    <row r="1459" spans="1:8" s="458" customFormat="1">
      <c r="A1459" s="134" t="s">
        <v>808</v>
      </c>
      <c r="B1459" s="134">
        <v>2021</v>
      </c>
      <c r="C1459" s="134">
        <v>2</v>
      </c>
      <c r="D1459" s="134">
        <v>17</v>
      </c>
      <c r="E1459" s="134" t="s">
        <v>1746</v>
      </c>
      <c r="F1459" s="134" t="s">
        <v>809</v>
      </c>
      <c r="G1459" s="195"/>
      <c r="H1459" s="195">
        <v>124.88</v>
      </c>
    </row>
    <row r="1460" spans="1:8" s="458" customFormat="1">
      <c r="A1460" s="134" t="s">
        <v>808</v>
      </c>
      <c r="B1460" s="134">
        <v>2021</v>
      </c>
      <c r="C1460" s="134">
        <v>2</v>
      </c>
      <c r="D1460" s="134">
        <v>17</v>
      </c>
      <c r="E1460" s="134" t="s">
        <v>1746</v>
      </c>
      <c r="F1460" s="134" t="s">
        <v>809</v>
      </c>
      <c r="G1460" s="195"/>
      <c r="H1460" s="195">
        <v>135</v>
      </c>
    </row>
    <row r="1461" spans="1:8" s="458" customFormat="1">
      <c r="A1461" s="134" t="s">
        <v>808</v>
      </c>
      <c r="B1461" s="134">
        <v>2021</v>
      </c>
      <c r="C1461" s="134">
        <v>2</v>
      </c>
      <c r="D1461" s="134">
        <v>17</v>
      </c>
      <c r="E1461" s="134" t="s">
        <v>1747</v>
      </c>
      <c r="F1461" s="134" t="s">
        <v>809</v>
      </c>
      <c r="G1461" s="195"/>
      <c r="H1461" s="195">
        <v>145.80000000000001</v>
      </c>
    </row>
    <row r="1462" spans="1:8" s="458" customFormat="1">
      <c r="A1462" s="134" t="s">
        <v>808</v>
      </c>
      <c r="B1462" s="134">
        <v>2021</v>
      </c>
      <c r="C1462" s="134">
        <v>2</v>
      </c>
      <c r="D1462" s="134">
        <v>17</v>
      </c>
      <c r="E1462" s="134" t="s">
        <v>1747</v>
      </c>
      <c r="F1462" s="134" t="s">
        <v>809</v>
      </c>
      <c r="G1462" s="195"/>
      <c r="H1462" s="195">
        <v>81.16</v>
      </c>
    </row>
    <row r="1463" spans="1:8" s="458" customFormat="1">
      <c r="A1463" s="134" t="s">
        <v>808</v>
      </c>
      <c r="B1463" s="134">
        <v>2021</v>
      </c>
      <c r="C1463" s="134">
        <v>2</v>
      </c>
      <c r="D1463" s="134">
        <v>17</v>
      </c>
      <c r="E1463" s="134" t="s">
        <v>1747</v>
      </c>
      <c r="F1463" s="134" t="s">
        <v>809</v>
      </c>
      <c r="G1463" s="195"/>
      <c r="H1463" s="195">
        <v>93.02</v>
      </c>
    </row>
    <row r="1464" spans="1:8" s="458" customFormat="1">
      <c r="A1464" s="134" t="s">
        <v>808</v>
      </c>
      <c r="B1464" s="134">
        <v>2021</v>
      </c>
      <c r="C1464" s="134">
        <v>2</v>
      </c>
      <c r="D1464" s="134">
        <v>17</v>
      </c>
      <c r="E1464" s="134" t="s">
        <v>1747</v>
      </c>
      <c r="F1464" s="134" t="s">
        <v>809</v>
      </c>
      <c r="G1464" s="195"/>
      <c r="H1464" s="195">
        <v>176.18</v>
      </c>
    </row>
    <row r="1465" spans="1:8" s="458" customFormat="1">
      <c r="A1465" s="134" t="s">
        <v>808</v>
      </c>
      <c r="B1465" s="134">
        <v>2021</v>
      </c>
      <c r="C1465" s="134">
        <v>2</v>
      </c>
      <c r="D1465" s="134">
        <v>17</v>
      </c>
      <c r="E1465" s="134" t="s">
        <v>1747</v>
      </c>
      <c r="F1465" s="134" t="s">
        <v>809</v>
      </c>
      <c r="G1465" s="195"/>
      <c r="H1465" s="195">
        <v>117.59</v>
      </c>
    </row>
    <row r="1466" spans="1:8" s="458" customFormat="1">
      <c r="A1466" s="134" t="s">
        <v>808</v>
      </c>
      <c r="B1466" s="134">
        <v>2021</v>
      </c>
      <c r="C1466" s="134">
        <v>2</v>
      </c>
      <c r="D1466" s="134">
        <v>17</v>
      </c>
      <c r="E1466" s="134" t="s">
        <v>1747</v>
      </c>
      <c r="F1466" s="134" t="s">
        <v>809</v>
      </c>
      <c r="G1466" s="195"/>
      <c r="H1466" s="195">
        <v>72.7</v>
      </c>
    </row>
    <row r="1467" spans="1:8" s="458" customFormat="1">
      <c r="A1467" s="134" t="s">
        <v>808</v>
      </c>
      <c r="B1467" s="134">
        <v>2021</v>
      </c>
      <c r="C1467" s="134">
        <v>2</v>
      </c>
      <c r="D1467" s="134">
        <v>17</v>
      </c>
      <c r="E1467" s="134" t="s">
        <v>1747</v>
      </c>
      <c r="F1467" s="134" t="s">
        <v>809</v>
      </c>
      <c r="G1467" s="195"/>
      <c r="H1467" s="195">
        <v>201.42</v>
      </c>
    </row>
    <row r="1468" spans="1:8" s="458" customFormat="1">
      <c r="A1468" s="134" t="s">
        <v>808</v>
      </c>
      <c r="B1468" s="134">
        <v>2021</v>
      </c>
      <c r="C1468" s="134">
        <v>2</v>
      </c>
      <c r="D1468" s="134">
        <v>20</v>
      </c>
      <c r="E1468" s="134" t="s">
        <v>1750</v>
      </c>
      <c r="F1468" s="134" t="s">
        <v>809</v>
      </c>
      <c r="G1468" s="195"/>
      <c r="H1468" s="195">
        <v>101.99</v>
      </c>
    </row>
    <row r="1469" spans="1:8" s="458" customFormat="1">
      <c r="A1469" s="134" t="s">
        <v>808</v>
      </c>
      <c r="B1469" s="134">
        <v>2021</v>
      </c>
      <c r="C1469" s="134">
        <v>2</v>
      </c>
      <c r="D1469" s="134">
        <v>20</v>
      </c>
      <c r="E1469" s="134" t="s">
        <v>1750</v>
      </c>
      <c r="F1469" s="134" t="s">
        <v>809</v>
      </c>
      <c r="G1469" s="195"/>
      <c r="H1469" s="195">
        <v>6.45</v>
      </c>
    </row>
    <row r="1470" spans="1:8" s="458" customFormat="1">
      <c r="A1470" s="134" t="s">
        <v>808</v>
      </c>
      <c r="B1470" s="134">
        <v>2021</v>
      </c>
      <c r="C1470" s="134">
        <v>2</v>
      </c>
      <c r="D1470" s="134">
        <v>20</v>
      </c>
      <c r="E1470" s="134" t="s">
        <v>1750</v>
      </c>
      <c r="F1470" s="134" t="s">
        <v>809</v>
      </c>
      <c r="G1470" s="195"/>
      <c r="H1470" s="195">
        <v>79.39</v>
      </c>
    </row>
    <row r="1471" spans="1:8" s="458" customFormat="1">
      <c r="A1471" s="134" t="s">
        <v>808</v>
      </c>
      <c r="B1471" s="134">
        <v>2021</v>
      </c>
      <c r="C1471" s="134">
        <v>2</v>
      </c>
      <c r="D1471" s="134">
        <v>20</v>
      </c>
      <c r="E1471" s="134" t="s">
        <v>1750</v>
      </c>
      <c r="F1471" s="134" t="s">
        <v>809</v>
      </c>
      <c r="G1471" s="195"/>
      <c r="H1471" s="195">
        <v>1.53</v>
      </c>
    </row>
    <row r="1472" spans="1:8" s="458" customFormat="1">
      <c r="A1472" s="134" t="s">
        <v>808</v>
      </c>
      <c r="B1472" s="134">
        <v>2021</v>
      </c>
      <c r="C1472" s="134">
        <v>2</v>
      </c>
      <c r="D1472" s="134">
        <v>20</v>
      </c>
      <c r="E1472" s="134" t="s">
        <v>1750</v>
      </c>
      <c r="F1472" s="134" t="s">
        <v>809</v>
      </c>
      <c r="G1472" s="195"/>
      <c r="H1472" s="195">
        <v>64.72</v>
      </c>
    </row>
    <row r="1473" spans="1:8" s="458" customFormat="1">
      <c r="A1473" s="134" t="s">
        <v>808</v>
      </c>
      <c r="B1473" s="134">
        <v>2021</v>
      </c>
      <c r="C1473" s="134">
        <v>2</v>
      </c>
      <c r="D1473" s="134">
        <v>20</v>
      </c>
      <c r="E1473" s="134" t="s">
        <v>1750</v>
      </c>
      <c r="F1473" s="134" t="s">
        <v>809</v>
      </c>
      <c r="G1473" s="195"/>
      <c r="H1473" s="195">
        <v>3.56</v>
      </c>
    </row>
    <row r="1474" spans="1:8" s="458" customFormat="1">
      <c r="A1474" s="134" t="s">
        <v>808</v>
      </c>
      <c r="B1474" s="134">
        <v>2021</v>
      </c>
      <c r="C1474" s="134">
        <v>2</v>
      </c>
      <c r="D1474" s="134">
        <v>25</v>
      </c>
      <c r="E1474" s="134" t="s">
        <v>1760</v>
      </c>
      <c r="F1474" s="134" t="s">
        <v>809</v>
      </c>
      <c r="G1474" s="195"/>
      <c r="H1474" s="195">
        <v>90.18</v>
      </c>
    </row>
    <row r="1475" spans="1:8" s="458" customFormat="1">
      <c r="A1475" s="134" t="s">
        <v>808</v>
      </c>
      <c r="B1475" s="134">
        <v>2021</v>
      </c>
      <c r="C1475" s="134">
        <v>2</v>
      </c>
      <c r="D1475" s="134">
        <v>25</v>
      </c>
      <c r="E1475" s="134" t="s">
        <v>1760</v>
      </c>
      <c r="F1475" s="134" t="s">
        <v>809</v>
      </c>
      <c r="G1475" s="195"/>
      <c r="H1475" s="195"/>
    </row>
    <row r="1476" spans="1:8" s="458" customFormat="1">
      <c r="A1476" s="134" t="s">
        <v>808</v>
      </c>
      <c r="B1476" s="134">
        <v>2021</v>
      </c>
      <c r="C1476" s="134">
        <v>2</v>
      </c>
      <c r="D1476" s="134">
        <v>25</v>
      </c>
      <c r="E1476" s="134" t="s">
        <v>1760</v>
      </c>
      <c r="F1476" s="134" t="s">
        <v>809</v>
      </c>
      <c r="G1476" s="195"/>
      <c r="H1476" s="195">
        <v>90.18</v>
      </c>
    </row>
    <row r="1477" spans="1:8" s="458" customFormat="1">
      <c r="A1477" s="134" t="s">
        <v>808</v>
      </c>
      <c r="B1477" s="134">
        <v>2021</v>
      </c>
      <c r="C1477" s="134">
        <v>2</v>
      </c>
      <c r="D1477" s="134">
        <v>25</v>
      </c>
      <c r="E1477" s="134" t="s">
        <v>1760</v>
      </c>
      <c r="F1477" s="134" t="s">
        <v>809</v>
      </c>
      <c r="G1477" s="195"/>
      <c r="H1477" s="195"/>
    </row>
    <row r="1478" spans="1:8" s="458" customFormat="1">
      <c r="A1478" s="134" t="s">
        <v>808</v>
      </c>
      <c r="B1478" s="134">
        <v>2021</v>
      </c>
      <c r="C1478" s="134">
        <v>2</v>
      </c>
      <c r="D1478" s="134">
        <v>25</v>
      </c>
      <c r="E1478" s="134" t="s">
        <v>1760</v>
      </c>
      <c r="F1478" s="134" t="s">
        <v>809</v>
      </c>
      <c r="G1478" s="195"/>
      <c r="H1478" s="195"/>
    </row>
    <row r="1479" spans="1:8" s="458" customFormat="1">
      <c r="A1479" s="134" t="s">
        <v>808</v>
      </c>
      <c r="B1479" s="134">
        <v>2021</v>
      </c>
      <c r="C1479" s="134">
        <v>2</v>
      </c>
      <c r="D1479" s="134">
        <v>25</v>
      </c>
      <c r="E1479" s="134" t="s">
        <v>1760</v>
      </c>
      <c r="F1479" s="134" t="s">
        <v>809</v>
      </c>
      <c r="G1479" s="195"/>
      <c r="H1479" s="195">
        <v>90.18</v>
      </c>
    </row>
    <row r="1480" spans="1:8" s="458" customFormat="1">
      <c r="A1480" s="134" t="s">
        <v>808</v>
      </c>
      <c r="B1480" s="134">
        <v>2021</v>
      </c>
      <c r="C1480" s="134">
        <v>2</v>
      </c>
      <c r="D1480" s="134">
        <v>25</v>
      </c>
      <c r="E1480" s="134" t="s">
        <v>1761</v>
      </c>
      <c r="F1480" s="134" t="s">
        <v>809</v>
      </c>
      <c r="G1480" s="195"/>
      <c r="H1480" s="195">
        <v>2100</v>
      </c>
    </row>
    <row r="1481" spans="1:8" s="458" customFormat="1">
      <c r="A1481" s="134" t="s">
        <v>808</v>
      </c>
      <c r="B1481" s="134">
        <v>2021</v>
      </c>
      <c r="C1481" s="134">
        <v>2</v>
      </c>
      <c r="D1481" s="134">
        <v>25</v>
      </c>
      <c r="E1481" s="134" t="s">
        <v>1761</v>
      </c>
      <c r="F1481" s="134" t="s">
        <v>809</v>
      </c>
      <c r="G1481" s="195"/>
      <c r="H1481" s="195">
        <v>14.9</v>
      </c>
    </row>
    <row r="1482" spans="1:8" s="458" customFormat="1">
      <c r="A1482" s="134" t="s">
        <v>808</v>
      </c>
      <c r="B1482" s="134">
        <v>2021</v>
      </c>
      <c r="C1482" s="134">
        <v>2</v>
      </c>
      <c r="D1482" s="134">
        <v>25</v>
      </c>
      <c r="E1482" s="134" t="s">
        <v>1761</v>
      </c>
      <c r="F1482" s="134" t="s">
        <v>809</v>
      </c>
      <c r="G1482" s="195"/>
      <c r="H1482" s="195">
        <v>14.9</v>
      </c>
    </row>
    <row r="1483" spans="1:8" s="458" customFormat="1">
      <c r="A1483" s="134" t="s">
        <v>808</v>
      </c>
      <c r="B1483" s="134">
        <v>2021</v>
      </c>
      <c r="C1483" s="134">
        <v>2</v>
      </c>
      <c r="D1483" s="134">
        <v>25</v>
      </c>
      <c r="E1483" s="134" t="s">
        <v>1761</v>
      </c>
      <c r="F1483" s="134" t="s">
        <v>809</v>
      </c>
      <c r="G1483" s="195"/>
      <c r="H1483" s="195">
        <v>14.9</v>
      </c>
    </row>
    <row r="1484" spans="1:8" s="458" customFormat="1">
      <c r="A1484" s="134" t="s">
        <v>808</v>
      </c>
      <c r="B1484" s="134">
        <v>2021</v>
      </c>
      <c r="C1484" s="134">
        <v>2</v>
      </c>
      <c r="D1484" s="134">
        <v>28</v>
      </c>
      <c r="E1484" s="134" t="s">
        <v>1769</v>
      </c>
      <c r="F1484" s="134" t="s">
        <v>809</v>
      </c>
      <c r="G1484" s="195"/>
      <c r="H1484" s="195">
        <v>239.99</v>
      </c>
    </row>
    <row r="1485" spans="1:8" s="458" customFormat="1">
      <c r="A1485" s="134" t="s">
        <v>808</v>
      </c>
      <c r="B1485" s="134">
        <v>2021</v>
      </c>
      <c r="C1485" s="134">
        <v>2</v>
      </c>
      <c r="D1485" s="134">
        <v>29</v>
      </c>
      <c r="E1485" s="134" t="s">
        <v>1771</v>
      </c>
      <c r="F1485" s="134" t="s">
        <v>809</v>
      </c>
      <c r="G1485" s="195"/>
      <c r="H1485" s="195">
        <v>360</v>
      </c>
    </row>
    <row r="1486" spans="1:8" s="458" customFormat="1">
      <c r="A1486" s="134" t="s">
        <v>808</v>
      </c>
      <c r="B1486" s="134">
        <v>2021</v>
      </c>
      <c r="C1486" s="134">
        <v>2</v>
      </c>
      <c r="D1486" s="134">
        <v>29</v>
      </c>
      <c r="E1486" s="134" t="s">
        <v>1771</v>
      </c>
      <c r="F1486" s="134" t="s">
        <v>809</v>
      </c>
      <c r="G1486" s="195"/>
      <c r="H1486" s="195">
        <v>150</v>
      </c>
    </row>
    <row r="1487" spans="1:8" s="458" customFormat="1">
      <c r="A1487" s="134" t="s">
        <v>808</v>
      </c>
      <c r="B1487" s="134">
        <v>2021</v>
      </c>
      <c r="C1487" s="134">
        <v>2</v>
      </c>
      <c r="D1487" s="134">
        <v>25</v>
      </c>
      <c r="E1487" s="134" t="s">
        <v>1773</v>
      </c>
      <c r="F1487" s="134" t="s">
        <v>809</v>
      </c>
      <c r="G1487" s="195"/>
      <c r="H1487" s="195">
        <v>325.14999999999998</v>
      </c>
    </row>
    <row r="1488" spans="1:8" s="458" customFormat="1">
      <c r="A1488" s="134" t="s">
        <v>808</v>
      </c>
      <c r="B1488" s="134">
        <v>2021</v>
      </c>
      <c r="C1488" s="134">
        <v>2</v>
      </c>
      <c r="D1488" s="134">
        <v>25</v>
      </c>
      <c r="E1488" s="134" t="s">
        <v>1773</v>
      </c>
      <c r="F1488" s="134" t="s">
        <v>809</v>
      </c>
      <c r="G1488" s="195"/>
      <c r="H1488" s="195">
        <v>149.56</v>
      </c>
    </row>
    <row r="1489" spans="1:8" s="458" customFormat="1">
      <c r="A1489" s="134" t="s">
        <v>808</v>
      </c>
      <c r="B1489" s="134">
        <v>2021</v>
      </c>
      <c r="C1489" s="134">
        <v>2</v>
      </c>
      <c r="D1489" s="134">
        <v>29</v>
      </c>
      <c r="E1489" s="134" t="s">
        <v>1782</v>
      </c>
      <c r="F1489" s="134" t="s">
        <v>809</v>
      </c>
      <c r="G1489" s="195"/>
      <c r="H1489" s="195"/>
    </row>
    <row r="1490" spans="1:8" s="458" customFormat="1">
      <c r="A1490" s="134" t="s">
        <v>808</v>
      </c>
      <c r="B1490" s="134">
        <v>2021</v>
      </c>
      <c r="C1490" s="134">
        <v>2</v>
      </c>
      <c r="D1490" s="134">
        <v>29</v>
      </c>
      <c r="E1490" s="134" t="s">
        <v>1782</v>
      </c>
      <c r="F1490" s="134" t="s">
        <v>809</v>
      </c>
      <c r="G1490" s="195"/>
      <c r="H1490" s="195">
        <v>600</v>
      </c>
    </row>
    <row r="1491" spans="1:8" s="458" customFormat="1">
      <c r="A1491" s="134" t="s">
        <v>808</v>
      </c>
      <c r="B1491" s="134">
        <v>2021</v>
      </c>
      <c r="C1491" s="134">
        <v>2</v>
      </c>
      <c r="D1491" s="134">
        <v>29</v>
      </c>
      <c r="E1491" s="134" t="s">
        <v>1782</v>
      </c>
      <c r="F1491" s="134" t="s">
        <v>809</v>
      </c>
      <c r="G1491" s="195"/>
      <c r="H1491" s="195">
        <v>600</v>
      </c>
    </row>
    <row r="1492" spans="1:8" s="458" customFormat="1">
      <c r="A1492" s="134" t="s">
        <v>808</v>
      </c>
      <c r="B1492" s="134">
        <v>2021</v>
      </c>
      <c r="C1492" s="134">
        <v>2</v>
      </c>
      <c r="D1492" s="134">
        <v>29</v>
      </c>
      <c r="E1492" s="134" t="s">
        <v>1782</v>
      </c>
      <c r="F1492" s="134" t="s">
        <v>809</v>
      </c>
      <c r="G1492" s="195"/>
      <c r="H1492" s="195">
        <v>600</v>
      </c>
    </row>
    <row r="1493" spans="1:8" s="458" customFormat="1">
      <c r="A1493" s="134" t="s">
        <v>808</v>
      </c>
      <c r="B1493" s="134">
        <v>2021</v>
      </c>
      <c r="C1493" s="134">
        <v>2</v>
      </c>
      <c r="D1493" s="134">
        <v>29</v>
      </c>
      <c r="E1493" s="134" t="s">
        <v>1782</v>
      </c>
      <c r="F1493" s="134" t="s">
        <v>809</v>
      </c>
      <c r="G1493" s="195"/>
      <c r="H1493" s="195"/>
    </row>
    <row r="1494" spans="1:8" s="458" customFormat="1">
      <c r="A1494" s="134" t="s">
        <v>808</v>
      </c>
      <c r="B1494" s="134">
        <v>2021</v>
      </c>
      <c r="C1494" s="134">
        <v>2</v>
      </c>
      <c r="D1494" s="134">
        <v>37</v>
      </c>
      <c r="E1494" s="134" t="s">
        <v>1789</v>
      </c>
      <c r="F1494" s="134" t="s">
        <v>809</v>
      </c>
      <c r="G1494" s="195"/>
      <c r="H1494" s="195">
        <v>728.43</v>
      </c>
    </row>
    <row r="1495" spans="1:8" s="458" customFormat="1">
      <c r="A1495" s="134" t="s">
        <v>808</v>
      </c>
      <c r="B1495" s="134">
        <v>2021</v>
      </c>
      <c r="C1495" s="134">
        <v>2</v>
      </c>
      <c r="D1495" s="134">
        <v>37</v>
      </c>
      <c r="E1495" s="134" t="s">
        <v>1789</v>
      </c>
      <c r="F1495" s="134" t="s">
        <v>809</v>
      </c>
      <c r="G1495" s="195"/>
      <c r="H1495" s="195">
        <v>721.66</v>
      </c>
    </row>
    <row r="1496" spans="1:8" s="458" customFormat="1">
      <c r="A1496" s="134" t="s">
        <v>808</v>
      </c>
      <c r="B1496" s="134">
        <v>2021</v>
      </c>
      <c r="C1496" s="134">
        <v>2</v>
      </c>
      <c r="D1496" s="134">
        <v>37</v>
      </c>
      <c r="E1496" s="134" t="s">
        <v>1789</v>
      </c>
      <c r="F1496" s="134" t="s">
        <v>809</v>
      </c>
      <c r="G1496" s="195"/>
      <c r="H1496" s="195">
        <v>676.17</v>
      </c>
    </row>
    <row r="1497" spans="1:8" s="458" customFormat="1">
      <c r="A1497" s="134" t="s">
        <v>808</v>
      </c>
      <c r="B1497" s="134">
        <v>2021</v>
      </c>
      <c r="C1497" s="134">
        <v>2</v>
      </c>
      <c r="D1497" s="134">
        <v>40</v>
      </c>
      <c r="E1497" s="134" t="s">
        <v>1791</v>
      </c>
      <c r="F1497" s="134" t="s">
        <v>809</v>
      </c>
      <c r="G1497" s="195"/>
      <c r="H1497" s="195">
        <v>-336.98</v>
      </c>
    </row>
    <row r="1498" spans="1:8" s="458" customFormat="1">
      <c r="A1498" s="134" t="s">
        <v>808</v>
      </c>
      <c r="B1498" s="134">
        <v>2021</v>
      </c>
      <c r="C1498" s="134">
        <v>2</v>
      </c>
      <c r="D1498" s="134">
        <v>40</v>
      </c>
      <c r="E1498" s="134" t="s">
        <v>1791</v>
      </c>
      <c r="F1498" s="134" t="s">
        <v>809</v>
      </c>
      <c r="G1498" s="195"/>
      <c r="H1498" s="195">
        <v>673.96</v>
      </c>
    </row>
    <row r="1499" spans="1:8" s="458" customFormat="1">
      <c r="A1499" s="134" t="s">
        <v>808</v>
      </c>
      <c r="B1499" s="134">
        <v>2021</v>
      </c>
      <c r="C1499" s="134">
        <v>2</v>
      </c>
      <c r="D1499" s="134">
        <v>40</v>
      </c>
      <c r="E1499" s="134" t="s">
        <v>1791</v>
      </c>
      <c r="F1499" s="134" t="s">
        <v>809</v>
      </c>
      <c r="G1499" s="195"/>
      <c r="H1499" s="195">
        <v>-363.26</v>
      </c>
    </row>
    <row r="1500" spans="1:8" s="458" customFormat="1">
      <c r="A1500" s="134" t="s">
        <v>808</v>
      </c>
      <c r="B1500" s="134">
        <v>2021</v>
      </c>
      <c r="C1500" s="134">
        <v>2</v>
      </c>
      <c r="D1500" s="134">
        <v>40</v>
      </c>
      <c r="E1500" s="134" t="s">
        <v>1791</v>
      </c>
      <c r="F1500" s="134" t="s">
        <v>809</v>
      </c>
      <c r="G1500" s="195"/>
      <c r="H1500" s="195">
        <v>726.52</v>
      </c>
    </row>
    <row r="1501" spans="1:8" s="458" customFormat="1">
      <c r="A1501" s="134" t="s">
        <v>808</v>
      </c>
      <c r="B1501" s="134">
        <v>2021</v>
      </c>
      <c r="C1501" s="134">
        <v>2</v>
      </c>
      <c r="D1501" s="134">
        <v>40</v>
      </c>
      <c r="E1501" s="134" t="s">
        <v>1791</v>
      </c>
      <c r="F1501" s="134" t="s">
        <v>809</v>
      </c>
      <c r="G1501" s="195"/>
      <c r="H1501" s="195">
        <v>-303.14999999999998</v>
      </c>
    </row>
    <row r="1502" spans="1:8" s="458" customFormat="1">
      <c r="A1502" s="134" t="s">
        <v>808</v>
      </c>
      <c r="B1502" s="134">
        <v>2021</v>
      </c>
      <c r="C1502" s="134">
        <v>2</v>
      </c>
      <c r="D1502" s="134">
        <v>40</v>
      </c>
      <c r="E1502" s="134" t="s">
        <v>1791</v>
      </c>
      <c r="F1502" s="134" t="s">
        <v>809</v>
      </c>
      <c r="G1502" s="195"/>
      <c r="H1502" s="195">
        <v>606.29999999999995</v>
      </c>
    </row>
    <row r="1503" spans="1:8" s="458" customFormat="1">
      <c r="A1503" s="134" t="s">
        <v>808</v>
      </c>
      <c r="B1503" s="134">
        <v>2021</v>
      </c>
      <c r="C1503" s="134">
        <v>2</v>
      </c>
      <c r="D1503" s="134">
        <v>41</v>
      </c>
      <c r="E1503" s="134" t="s">
        <v>1792</v>
      </c>
      <c r="F1503" s="134" t="s">
        <v>809</v>
      </c>
      <c r="G1503" s="195"/>
      <c r="H1503" s="195">
        <v>54.77</v>
      </c>
    </row>
    <row r="1504" spans="1:8" s="458" customFormat="1">
      <c r="A1504" s="134" t="s">
        <v>808</v>
      </c>
      <c r="B1504" s="134">
        <v>2021</v>
      </c>
      <c r="C1504" s="134">
        <v>2</v>
      </c>
      <c r="D1504" s="134">
        <v>41</v>
      </c>
      <c r="E1504" s="134" t="s">
        <v>1792</v>
      </c>
      <c r="F1504" s="134" t="s">
        <v>809</v>
      </c>
      <c r="G1504" s="195"/>
      <c r="H1504" s="195">
        <v>59.04</v>
      </c>
    </row>
    <row r="1505" spans="1:8" s="458" customFormat="1">
      <c r="A1505" s="134" t="s">
        <v>808</v>
      </c>
      <c r="B1505" s="134">
        <v>2021</v>
      </c>
      <c r="C1505" s="134">
        <v>2</v>
      </c>
      <c r="D1505" s="134">
        <v>41</v>
      </c>
      <c r="E1505" s="134" t="s">
        <v>1792</v>
      </c>
      <c r="F1505" s="134" t="s">
        <v>809</v>
      </c>
      <c r="G1505" s="195"/>
      <c r="H1505" s="195">
        <v>49.27</v>
      </c>
    </row>
    <row r="1506" spans="1:8" s="458" customFormat="1">
      <c r="A1506" s="134" t="s">
        <v>808</v>
      </c>
      <c r="B1506" s="134">
        <v>2021</v>
      </c>
      <c r="C1506" s="134">
        <v>2</v>
      </c>
      <c r="D1506" s="134">
        <v>38</v>
      </c>
      <c r="E1506" s="134" t="s">
        <v>1793</v>
      </c>
      <c r="F1506" s="134" t="s">
        <v>809</v>
      </c>
      <c r="G1506" s="195"/>
      <c r="H1506" s="195">
        <v>336.98</v>
      </c>
    </row>
    <row r="1507" spans="1:8" s="458" customFormat="1">
      <c r="A1507" s="134" t="s">
        <v>808</v>
      </c>
      <c r="B1507" s="134">
        <v>2021</v>
      </c>
      <c r="C1507" s="134">
        <v>2</v>
      </c>
      <c r="D1507" s="134">
        <v>38</v>
      </c>
      <c r="E1507" s="134" t="s">
        <v>1793</v>
      </c>
      <c r="F1507" s="134" t="s">
        <v>809</v>
      </c>
      <c r="G1507" s="195"/>
      <c r="H1507" s="195">
        <v>363.26</v>
      </c>
    </row>
    <row r="1508" spans="1:8" s="458" customFormat="1">
      <c r="A1508" s="134" t="s">
        <v>808</v>
      </c>
      <c r="B1508" s="134">
        <v>2021</v>
      </c>
      <c r="C1508" s="134">
        <v>2</v>
      </c>
      <c r="D1508" s="134">
        <v>38</v>
      </c>
      <c r="E1508" s="134" t="s">
        <v>1793</v>
      </c>
      <c r="F1508" s="134" t="s">
        <v>809</v>
      </c>
      <c r="G1508" s="195"/>
      <c r="H1508" s="195">
        <v>303.14999999999998</v>
      </c>
    </row>
  </sheetData>
  <sortState xmlns:xlrd2="http://schemas.microsoft.com/office/spreadsheetml/2017/richdata2" ref="TI2:TL4">
    <sortCondition ref="TJ2:TJ4"/>
    <sortCondition ref="TI2:TI4"/>
  </sortState>
  <dataConsolidate>
    <dataRefs count="1">
      <dataRef ref="A1:E920" sheet="Data"/>
    </dataRefs>
  </dataConsolidate>
  <phoneticPr fontId="2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0E3D2-7471-4F47-AC72-84D3A26658C2}">
  <sheetPr codeName="Data_Grouped">
    <tabColor theme="2"/>
  </sheetPr>
  <dimension ref="A1:Z63"/>
  <sheetViews>
    <sheetView showGridLines="0" showRowColHeaders="0" workbookViewId="0">
      <pane ySplit="1" topLeftCell="A2" activePane="bottomLeft" state="frozen"/>
      <selection pane="bottomLeft"/>
    </sheetView>
  </sheetViews>
  <sheetFormatPr defaultColWidth="8.88671875" defaultRowHeight="15.6"/>
  <cols>
    <col min="1" max="1" width="17.88671875" style="458" bestFit="1" customWidth="1"/>
    <col min="2" max="2" width="17.44140625" style="195" bestFit="1" customWidth="1"/>
    <col min="3" max="5" width="8.88671875" style="195" bestFit="1" customWidth="1"/>
    <col min="6" max="6" width="15.44140625" style="195" bestFit="1" customWidth="1"/>
    <col min="7" max="9" width="7.77734375" style="195" bestFit="1" customWidth="1"/>
    <col min="10" max="10" width="19.5546875" style="195" bestFit="1" customWidth="1"/>
    <col min="11" max="11" width="20.21875" style="195" bestFit="1" customWidth="1"/>
    <col min="12" max="13" width="6" style="195" bestFit="1" customWidth="1"/>
    <col min="14" max="14" width="21.6640625" style="195" bestFit="1" customWidth="1"/>
    <col min="15" max="15" width="22.44140625" style="195" bestFit="1" customWidth="1"/>
    <col min="16" max="16" width="23" style="195" bestFit="1" customWidth="1"/>
    <col min="17" max="17" width="5.6640625" style="195" bestFit="1" customWidth="1"/>
    <col min="18" max="18" width="4.6640625" style="195" bestFit="1" customWidth="1"/>
    <col min="19" max="22" width="2" style="195" bestFit="1" customWidth="1"/>
    <col min="23" max="26" width="3" style="195" bestFit="1" customWidth="1"/>
    <col min="27" max="29" width="3" style="458" bestFit="1" customWidth="1"/>
    <col min="30" max="44" width="4" style="458" bestFit="1" customWidth="1"/>
    <col min="45" max="56" width="5" style="458" bestFit="1" customWidth="1"/>
    <col min="57" max="68" width="6" style="458" bestFit="1" customWidth="1"/>
    <col min="69" max="69" width="7" style="458" bestFit="1" customWidth="1"/>
    <col min="70" max="71" width="12.6640625" style="458" bestFit="1" customWidth="1"/>
    <col min="72" max="75" width="7.6640625" style="458" bestFit="1" customWidth="1"/>
    <col min="76" max="92" width="6.6640625" style="458" bestFit="1" customWidth="1"/>
    <col min="93" max="110" width="5.6640625" style="458" bestFit="1" customWidth="1"/>
    <col min="111" max="125" width="4.6640625" style="458" bestFit="1" customWidth="1"/>
    <col min="126" max="133" width="3.6640625" style="458" bestFit="1" customWidth="1"/>
    <col min="134" max="135" width="2.6640625" style="458" bestFit="1" customWidth="1"/>
    <col min="136" max="141" width="3" style="458" bestFit="1" customWidth="1"/>
    <col min="142" max="154" width="4" style="458" bestFit="1" customWidth="1"/>
    <col min="155" max="174" width="5" style="458" bestFit="1" customWidth="1"/>
    <col min="175" max="194" width="6" style="458" bestFit="1" customWidth="1"/>
    <col min="195" max="199" width="7" style="458" bestFit="1" customWidth="1"/>
    <col min="200" max="201" width="12.6640625" style="458" bestFit="1" customWidth="1"/>
    <col min="202" max="203" width="7.6640625" style="458" bestFit="1" customWidth="1"/>
    <col min="204" max="209" width="6.6640625" style="458" bestFit="1" customWidth="1"/>
    <col min="210" max="216" width="5.6640625" style="458" bestFit="1" customWidth="1"/>
    <col min="217" max="219" width="2" style="458" bestFit="1" customWidth="1"/>
    <col min="220" max="227" width="3" style="458" bestFit="1" customWidth="1"/>
    <col min="228" max="241" width="4" style="458" bestFit="1" customWidth="1"/>
    <col min="242" max="256" width="5" style="458" bestFit="1" customWidth="1"/>
    <col min="257" max="263" width="6" style="458" bestFit="1" customWidth="1"/>
    <col min="264" max="265" width="7" style="458" bestFit="1" customWidth="1"/>
    <col min="266" max="267" width="12.6640625" style="458" bestFit="1" customWidth="1"/>
    <col min="268" max="269" width="7.6640625" style="458" bestFit="1" customWidth="1"/>
    <col min="270" max="276" width="6.6640625" style="458" bestFit="1" customWidth="1"/>
    <col min="277" max="283" width="5.6640625" style="458" bestFit="1" customWidth="1"/>
    <col min="284" max="285" width="4.6640625" style="458" bestFit="1" customWidth="1"/>
    <col min="286" max="289" width="2" style="458" bestFit="1" customWidth="1"/>
    <col min="290" max="296" width="3" style="458" bestFit="1" customWidth="1"/>
    <col min="297" max="310" width="4" style="458" bestFit="1" customWidth="1"/>
    <col min="311" max="324" width="5" style="458" bestFit="1" customWidth="1"/>
    <col min="325" max="332" width="6" style="458" bestFit="1" customWidth="1"/>
    <col min="333" max="334" width="7" style="458" bestFit="1" customWidth="1"/>
    <col min="335" max="337" width="12.6640625" style="458" bestFit="1" customWidth="1"/>
    <col min="338" max="344" width="6.6640625" style="458" bestFit="1" customWidth="1"/>
    <col min="345" max="345" width="5.6640625" style="458" bestFit="1" customWidth="1"/>
    <col min="346" max="346" width="6.6640625" style="458" bestFit="1" customWidth="1"/>
    <col min="347" max="347" width="3.6640625" style="458" bestFit="1" customWidth="1"/>
    <col min="348" max="354" width="6.6640625" style="458" bestFit="1" customWidth="1"/>
    <col min="355" max="355" width="3.6640625" style="458" bestFit="1" customWidth="1"/>
    <col min="356" max="358" width="6.6640625" style="458" bestFit="1" customWidth="1"/>
    <col min="359" max="369" width="5.6640625" style="458" bestFit="1" customWidth="1"/>
    <col min="370" max="370" width="4.6640625" style="458" bestFit="1" customWidth="1"/>
    <col min="371" max="371" width="5.6640625" style="458" bestFit="1" customWidth="1"/>
    <col min="372" max="372" width="2.6640625" style="458" bestFit="1" customWidth="1"/>
    <col min="373" max="373" width="5.6640625" style="458" bestFit="1" customWidth="1"/>
    <col min="374" max="375" width="4.6640625" style="458" bestFit="1" customWidth="1"/>
    <col min="376" max="378" width="5.6640625" style="458" bestFit="1" customWidth="1"/>
    <col min="379" max="379" width="4.6640625" style="458" bestFit="1" customWidth="1"/>
    <col min="380" max="392" width="5.6640625" style="458" bestFit="1" customWidth="1"/>
    <col min="393" max="393" width="4.6640625" style="458" bestFit="1" customWidth="1"/>
    <col min="394" max="401" width="5.6640625" style="458" bestFit="1" customWidth="1"/>
    <col min="402" max="402" width="2" style="458" bestFit="1" customWidth="1"/>
    <col min="403" max="407" width="5" style="458" bestFit="1" customWidth="1"/>
    <col min="408" max="408" width="4" style="458" bestFit="1" customWidth="1"/>
    <col min="409" max="429" width="5" style="458" bestFit="1" customWidth="1"/>
    <col min="430" max="430" width="4" style="458" bestFit="1" customWidth="1"/>
    <col min="431" max="466" width="5" style="458" bestFit="1" customWidth="1"/>
    <col min="467" max="467" width="4" style="458" bestFit="1" customWidth="1"/>
    <col min="468" max="472" width="5" style="458" bestFit="1" customWidth="1"/>
    <col min="473" max="473" width="4" style="458" bestFit="1" customWidth="1"/>
    <col min="474" max="487" width="5" style="458" bestFit="1" customWidth="1"/>
    <col min="488" max="488" width="4" style="458" bestFit="1" customWidth="1"/>
    <col min="489" max="492" width="5" style="458" bestFit="1" customWidth="1"/>
    <col min="493" max="493" width="2" style="458" bestFit="1" customWidth="1"/>
    <col min="494" max="497" width="5" style="458" bestFit="1" customWidth="1"/>
    <col min="498" max="498" width="4" style="458" bestFit="1" customWidth="1"/>
    <col min="499" max="499" width="5" style="458" bestFit="1" customWidth="1"/>
    <col min="500" max="500" width="2" style="458" bestFit="1" customWidth="1"/>
    <col min="501" max="517" width="5" style="458" bestFit="1" customWidth="1"/>
    <col min="518" max="519" width="4" style="458" bestFit="1" customWidth="1"/>
    <col min="520" max="524" width="5" style="458" bestFit="1" customWidth="1"/>
    <col min="525" max="525" width="4" style="458" bestFit="1" customWidth="1"/>
    <col min="526" max="527" width="5" style="458" bestFit="1" customWidth="1"/>
    <col min="528" max="528" width="4" style="458" bestFit="1" customWidth="1"/>
    <col min="529" max="530" width="5" style="458" bestFit="1" customWidth="1"/>
    <col min="531" max="531" width="4" style="458" bestFit="1" customWidth="1"/>
    <col min="532" max="534" width="5" style="458" bestFit="1" customWidth="1"/>
    <col min="535" max="535" width="2" style="458" bestFit="1" customWidth="1"/>
    <col min="536" max="538" width="5" style="458" bestFit="1" customWidth="1"/>
    <col min="539" max="539" width="4" style="458" bestFit="1" customWidth="1"/>
    <col min="540" max="548" width="5" style="458" bestFit="1" customWidth="1"/>
    <col min="549" max="549" width="3" style="458" bestFit="1" customWidth="1"/>
    <col min="550" max="550" width="6" style="458" bestFit="1" customWidth="1"/>
    <col min="551" max="551" width="5" style="458" bestFit="1" customWidth="1"/>
    <col min="552" max="554" width="6" style="458" bestFit="1" customWidth="1"/>
    <col min="555" max="555" width="5" style="458" bestFit="1" customWidth="1"/>
    <col min="556" max="556" width="3" style="458" bestFit="1" customWidth="1"/>
    <col min="557" max="557" width="6" style="458" bestFit="1" customWidth="1"/>
    <col min="558" max="558" width="3" style="458" bestFit="1" customWidth="1"/>
    <col min="559" max="565" width="6" style="458" bestFit="1" customWidth="1"/>
    <col min="566" max="566" width="3" style="458" bestFit="1" customWidth="1"/>
    <col min="567" max="570" width="6" style="458" bestFit="1" customWidth="1"/>
    <col min="571" max="571" width="5" style="458" bestFit="1" customWidth="1"/>
    <col min="572" max="575" width="6" style="458" bestFit="1" customWidth="1"/>
    <col min="576" max="576" width="3" style="458" bestFit="1" customWidth="1"/>
    <col min="577" max="577" width="6" style="458" bestFit="1" customWidth="1"/>
    <col min="578" max="578" width="5" style="458" bestFit="1" customWidth="1"/>
    <col min="579" max="581" width="6" style="458" bestFit="1" customWidth="1"/>
    <col min="582" max="582" width="3" style="458" bestFit="1" customWidth="1"/>
    <col min="583" max="586" width="6" style="458" bestFit="1" customWidth="1"/>
    <col min="587" max="587" width="5" style="458" bestFit="1" customWidth="1"/>
    <col min="588" max="591" width="6" style="458" bestFit="1" customWidth="1"/>
    <col min="592" max="592" width="5" style="458" bestFit="1" customWidth="1"/>
    <col min="593" max="599" width="6" style="458" bestFit="1" customWidth="1"/>
    <col min="600" max="600" width="5" style="458" bestFit="1" customWidth="1"/>
    <col min="601" max="602" width="6" style="458" bestFit="1" customWidth="1"/>
    <col min="603" max="603" width="3" style="458" bestFit="1" customWidth="1"/>
    <col min="604" max="606" width="6" style="458" bestFit="1" customWidth="1"/>
    <col min="607" max="607" width="5" style="458" bestFit="1" customWidth="1"/>
    <col min="608" max="610" width="6" style="458" bestFit="1" customWidth="1"/>
    <col min="611" max="611" width="3" style="458" bestFit="1" customWidth="1"/>
    <col min="612" max="623" width="6" style="458" bestFit="1" customWidth="1"/>
    <col min="624" max="624" width="3" style="458" bestFit="1" customWidth="1"/>
    <col min="625" max="626" width="6" style="458" bestFit="1" customWidth="1"/>
    <col min="627" max="627" width="3" style="458" bestFit="1" customWidth="1"/>
    <col min="628" max="634" width="6" style="458" bestFit="1" customWidth="1"/>
    <col min="635" max="635" width="5" style="458" bestFit="1" customWidth="1"/>
    <col min="636" max="641" width="6" style="458" bestFit="1" customWidth="1"/>
    <col min="642" max="642" width="3" style="458" bestFit="1" customWidth="1"/>
    <col min="643" max="644" width="6" style="458" bestFit="1" customWidth="1"/>
    <col min="645" max="645" width="5" style="458" bestFit="1" customWidth="1"/>
    <col min="646" max="648" width="6" style="458" bestFit="1" customWidth="1"/>
    <col min="649" max="649" width="3" style="458" bestFit="1" customWidth="1"/>
    <col min="650" max="662" width="6" style="458" bestFit="1" customWidth="1"/>
    <col min="663" max="663" width="5" style="458" bestFit="1" customWidth="1"/>
    <col min="664" max="664" width="3" style="458" bestFit="1" customWidth="1"/>
    <col min="665" max="665" width="5" style="458" bestFit="1" customWidth="1"/>
    <col min="666" max="670" width="6" style="458" bestFit="1" customWidth="1"/>
    <col min="671" max="671" width="3" style="458" bestFit="1" customWidth="1"/>
    <col min="672" max="672" width="6" style="458" bestFit="1" customWidth="1"/>
    <col min="673" max="673" width="5" style="458" bestFit="1" customWidth="1"/>
    <col min="674" max="680" width="6" style="458" bestFit="1" customWidth="1"/>
    <col min="681" max="681" width="5" style="458" bestFit="1" customWidth="1"/>
    <col min="682" max="682" width="6" style="458" bestFit="1" customWidth="1"/>
    <col min="683" max="683" width="5" style="458" bestFit="1" customWidth="1"/>
    <col min="684" max="684" width="6" style="458" bestFit="1" customWidth="1"/>
    <col min="685" max="685" width="3" style="458" bestFit="1" customWidth="1"/>
    <col min="686" max="687" width="6" style="458" bestFit="1" customWidth="1"/>
    <col min="688" max="688" width="5" style="458" bestFit="1" customWidth="1"/>
    <col min="689" max="689" width="3" style="458" bestFit="1" customWidth="1"/>
    <col min="690" max="694" width="6" style="458" bestFit="1" customWidth="1"/>
    <col min="695" max="695" width="5" style="458" bestFit="1" customWidth="1"/>
    <col min="696" max="697" width="6" style="458" bestFit="1" customWidth="1"/>
    <col min="698" max="698" width="5" style="458" bestFit="1" customWidth="1"/>
    <col min="699" max="702" width="6" style="458" bestFit="1" customWidth="1"/>
    <col min="703" max="703" width="5" style="458" bestFit="1" customWidth="1"/>
    <col min="704" max="709" width="6" style="458" bestFit="1" customWidth="1"/>
    <col min="710" max="710" width="5" style="458" bestFit="1" customWidth="1"/>
    <col min="711" max="712" width="6" style="458" bestFit="1" customWidth="1"/>
    <col min="713" max="714" width="5" style="458" bestFit="1" customWidth="1"/>
    <col min="715" max="719" width="6" style="458" bestFit="1" customWidth="1"/>
    <col min="720" max="721" width="5" style="458" bestFit="1" customWidth="1"/>
    <col min="722" max="725" width="6" style="458" bestFit="1" customWidth="1"/>
    <col min="726" max="726" width="5" style="458" bestFit="1" customWidth="1"/>
    <col min="727" max="728" width="6" style="458" bestFit="1" customWidth="1"/>
    <col min="729" max="729" width="5" style="458" bestFit="1" customWidth="1"/>
    <col min="730" max="730" width="3" style="458" bestFit="1" customWidth="1"/>
    <col min="731" max="735" width="6" style="458" bestFit="1" customWidth="1"/>
    <col min="736" max="736" width="3" style="458" bestFit="1" customWidth="1"/>
    <col min="737" max="740" width="6" style="458" bestFit="1" customWidth="1"/>
    <col min="741" max="741" width="5" style="458" bestFit="1" customWidth="1"/>
    <col min="742" max="744" width="6" style="458" bestFit="1" customWidth="1"/>
    <col min="745" max="745" width="3" style="458" bestFit="1" customWidth="1"/>
    <col min="746" max="746" width="6" style="458" bestFit="1" customWidth="1"/>
    <col min="747" max="747" width="5" style="458" bestFit="1" customWidth="1"/>
    <col min="748" max="750" width="6" style="458" bestFit="1" customWidth="1"/>
    <col min="751" max="751" width="5" style="458" bestFit="1" customWidth="1"/>
    <col min="752" max="756" width="6" style="458" bestFit="1" customWidth="1"/>
    <col min="757" max="757" width="3" style="458" bestFit="1" customWidth="1"/>
    <col min="758" max="760" width="6" style="458" bestFit="1" customWidth="1"/>
    <col min="761" max="761" width="3" style="458" bestFit="1" customWidth="1"/>
    <col min="762" max="764" width="6" style="458" bestFit="1" customWidth="1"/>
    <col min="765" max="765" width="5" style="458" bestFit="1" customWidth="1"/>
    <col min="766" max="768" width="6" style="458" bestFit="1" customWidth="1"/>
    <col min="769" max="769" width="3" style="458" bestFit="1" customWidth="1"/>
    <col min="770" max="770" width="6" style="458" bestFit="1" customWidth="1"/>
    <col min="771" max="771" width="3" style="458" bestFit="1" customWidth="1"/>
    <col min="772" max="775" width="6" style="458" bestFit="1" customWidth="1"/>
    <col min="776" max="777" width="5" style="458" bestFit="1" customWidth="1"/>
    <col min="778" max="778" width="6" style="458" bestFit="1" customWidth="1"/>
    <col min="779" max="779" width="5" style="458" bestFit="1" customWidth="1"/>
    <col min="780" max="785" width="6" style="458" bestFit="1" customWidth="1"/>
    <col min="786" max="786" width="3" style="458" bestFit="1" customWidth="1"/>
    <col min="787" max="787" width="6" style="458" bestFit="1" customWidth="1"/>
    <col min="788" max="788" width="5" style="458" bestFit="1" customWidth="1"/>
    <col min="789" max="789" width="3" style="458" bestFit="1" customWidth="1"/>
    <col min="790" max="790" width="6" style="458" bestFit="1" customWidth="1"/>
    <col min="791" max="791" width="5" style="458" bestFit="1" customWidth="1"/>
    <col min="792" max="793" width="6" style="458" bestFit="1" customWidth="1"/>
    <col min="794" max="794" width="3" style="458" bestFit="1" customWidth="1"/>
    <col min="795" max="795" width="5" style="458" bestFit="1" customWidth="1"/>
    <col min="796" max="799" width="6" style="458" bestFit="1" customWidth="1"/>
    <col min="800" max="800" width="3" style="458" bestFit="1" customWidth="1"/>
    <col min="801" max="801" width="6" style="458" bestFit="1" customWidth="1"/>
    <col min="802" max="802" width="5" style="458" bestFit="1" customWidth="1"/>
    <col min="803" max="804" width="6" style="458" bestFit="1" customWidth="1"/>
    <col min="805" max="805" width="5" style="458" bestFit="1" customWidth="1"/>
    <col min="806" max="806" width="6" style="458" bestFit="1" customWidth="1"/>
    <col min="807" max="807" width="5" style="458" bestFit="1" customWidth="1"/>
    <col min="808" max="809" width="6" style="458" bestFit="1" customWidth="1"/>
    <col min="810" max="810" width="5" style="458" bestFit="1" customWidth="1"/>
    <col min="811" max="811" width="6" style="458" bestFit="1" customWidth="1"/>
    <col min="812" max="812" width="3" style="458" bestFit="1" customWidth="1"/>
    <col min="813" max="813" width="6" style="458" bestFit="1" customWidth="1"/>
    <col min="814" max="814" width="5" style="458" bestFit="1" customWidth="1"/>
    <col min="815" max="816" width="6" style="458" bestFit="1" customWidth="1"/>
    <col min="817" max="817" width="5" style="458" bestFit="1" customWidth="1"/>
    <col min="818" max="818" width="3" style="458" bestFit="1" customWidth="1"/>
    <col min="819" max="821" width="6" style="458" bestFit="1" customWidth="1"/>
    <col min="822" max="822" width="3" style="458" bestFit="1" customWidth="1"/>
    <col min="823" max="823" width="5" style="458" bestFit="1" customWidth="1"/>
    <col min="824" max="826" width="6" style="458" bestFit="1" customWidth="1"/>
    <col min="827" max="827" width="5" style="458" bestFit="1" customWidth="1"/>
    <col min="828" max="829" width="6" style="458" bestFit="1" customWidth="1"/>
    <col min="830" max="830" width="5" style="458" bestFit="1" customWidth="1"/>
    <col min="831" max="831" width="6" style="458" bestFit="1" customWidth="1"/>
    <col min="832" max="832" width="5" style="458" bestFit="1" customWidth="1"/>
    <col min="833" max="833" width="6" style="458" bestFit="1" customWidth="1"/>
    <col min="834" max="834" width="3" style="458" bestFit="1" customWidth="1"/>
    <col min="835" max="835" width="5" style="458" bestFit="1" customWidth="1"/>
    <col min="836" max="838" width="6" style="458" bestFit="1" customWidth="1"/>
    <col min="839" max="839" width="5" style="458" bestFit="1" customWidth="1"/>
    <col min="840" max="843" width="6" style="458" bestFit="1" customWidth="1"/>
    <col min="844" max="844" width="4" style="458" bestFit="1" customWidth="1"/>
    <col min="845" max="847" width="7" style="458" bestFit="1" customWidth="1"/>
    <col min="848" max="849" width="6" style="458" bestFit="1" customWidth="1"/>
    <col min="850" max="850" width="7" style="458" bestFit="1" customWidth="1"/>
    <col min="851" max="851" width="4" style="458" bestFit="1" customWidth="1"/>
    <col min="852" max="852" width="7" style="458" bestFit="1" customWidth="1"/>
    <col min="853" max="853" width="6" style="458" bestFit="1" customWidth="1"/>
    <col min="854" max="855" width="7" style="458" bestFit="1" customWidth="1"/>
    <col min="856" max="859" width="6" style="458" bestFit="1" customWidth="1"/>
    <col min="860" max="864" width="7" style="458" bestFit="1" customWidth="1"/>
    <col min="865" max="866" width="6" style="458" bestFit="1" customWidth="1"/>
    <col min="867" max="867" width="7" style="458" bestFit="1" customWidth="1"/>
    <col min="868" max="868" width="4" style="458" bestFit="1" customWidth="1"/>
    <col min="869" max="869" width="6" style="458" bestFit="1" customWidth="1"/>
    <col min="870" max="870" width="7" style="458" bestFit="1" customWidth="1"/>
    <col min="871" max="871" width="4" style="458" bestFit="1" customWidth="1"/>
    <col min="872" max="872" width="7" style="458" bestFit="1" customWidth="1"/>
    <col min="873" max="873" width="6" style="458" bestFit="1" customWidth="1"/>
    <col min="874" max="875" width="7" style="458" bestFit="1" customWidth="1"/>
    <col min="876" max="877" width="6" style="458" bestFit="1" customWidth="1"/>
    <col min="878" max="878" width="7" style="458" bestFit="1" customWidth="1"/>
    <col min="879" max="880" width="6" style="458" bestFit="1" customWidth="1"/>
    <col min="881" max="881" width="4" style="458" bestFit="1" customWidth="1"/>
    <col min="882" max="882" width="7" style="458" bestFit="1" customWidth="1"/>
    <col min="883" max="883" width="6" style="458" bestFit="1" customWidth="1"/>
    <col min="884" max="884" width="7" style="458" bestFit="1" customWidth="1"/>
    <col min="885" max="885" width="4" style="458" bestFit="1" customWidth="1"/>
    <col min="886" max="887" width="7" style="458" bestFit="1" customWidth="1"/>
    <col min="888" max="888" width="6" style="458" bestFit="1" customWidth="1"/>
    <col min="889" max="893" width="7" style="458" bestFit="1" customWidth="1"/>
    <col min="894" max="895" width="6" style="458" bestFit="1" customWidth="1"/>
    <col min="896" max="896" width="7" style="458" bestFit="1" customWidth="1"/>
    <col min="897" max="898" width="4" style="458" bestFit="1" customWidth="1"/>
    <col min="899" max="900" width="7" style="458" bestFit="1" customWidth="1"/>
    <col min="901" max="901" width="4" style="458" bestFit="1" customWidth="1"/>
    <col min="902" max="902" width="7" style="458" bestFit="1" customWidth="1"/>
    <col min="903" max="903" width="4" style="458" bestFit="1" customWidth="1"/>
    <col min="904" max="904" width="7" style="458" bestFit="1" customWidth="1"/>
    <col min="905" max="906" width="6" style="458" bestFit="1" customWidth="1"/>
    <col min="907" max="907" width="4" style="458" bestFit="1" customWidth="1"/>
    <col min="908" max="910" width="6" style="458" bestFit="1" customWidth="1"/>
    <col min="911" max="912" width="4" style="458" bestFit="1" customWidth="1"/>
    <col min="913" max="913" width="7" style="458" bestFit="1" customWidth="1"/>
    <col min="914" max="914" width="6" style="458" bestFit="1" customWidth="1"/>
    <col min="915" max="915" width="7" style="458" bestFit="1" customWidth="1"/>
    <col min="916" max="916" width="4" style="458" bestFit="1" customWidth="1"/>
    <col min="917" max="918" width="7" style="458" bestFit="1" customWidth="1"/>
    <col min="919" max="919" width="4" style="458" bestFit="1" customWidth="1"/>
    <col min="920" max="920" width="7" style="458" bestFit="1" customWidth="1"/>
    <col min="921" max="921" width="6" style="458" bestFit="1" customWidth="1"/>
    <col min="922" max="923" width="7" style="458" bestFit="1" customWidth="1"/>
    <col min="924" max="925" width="4" style="458" bestFit="1" customWidth="1"/>
    <col min="926" max="926" width="7" style="458" bestFit="1" customWidth="1"/>
    <col min="927" max="927" width="6" style="458" bestFit="1" customWidth="1"/>
    <col min="928" max="929" width="4" style="458" bestFit="1" customWidth="1"/>
    <col min="930" max="931" width="7" style="458" bestFit="1" customWidth="1"/>
    <col min="932" max="932" width="4" style="458" bestFit="1" customWidth="1"/>
    <col min="933" max="933" width="6" style="458" bestFit="1" customWidth="1"/>
    <col min="934" max="935" width="7" style="458" bestFit="1" customWidth="1"/>
    <col min="936" max="939" width="6" style="458" bestFit="1" customWidth="1"/>
    <col min="940" max="944" width="7" style="458" bestFit="1" customWidth="1"/>
    <col min="945" max="945" width="4" style="458" bestFit="1" customWidth="1"/>
    <col min="946" max="948" width="6" style="458" bestFit="1" customWidth="1"/>
    <col min="949" max="950" width="7" style="458" bestFit="1" customWidth="1"/>
    <col min="951" max="951" width="6" style="458" bestFit="1" customWidth="1"/>
    <col min="952" max="952" width="4" style="458" bestFit="1" customWidth="1"/>
    <col min="953" max="955" width="6" style="458" bestFit="1" customWidth="1"/>
    <col min="956" max="957" width="7" style="458" bestFit="1" customWidth="1"/>
    <col min="958" max="958" width="4" style="458" bestFit="1" customWidth="1"/>
    <col min="959" max="959" width="6" style="458" bestFit="1" customWidth="1"/>
    <col min="960" max="960" width="7" style="458" bestFit="1" customWidth="1"/>
    <col min="961" max="962" width="4" style="458" bestFit="1" customWidth="1"/>
    <col min="963" max="963" width="7" style="458" bestFit="1" customWidth="1"/>
    <col min="964" max="964" width="4" style="458" bestFit="1" customWidth="1"/>
    <col min="965" max="966" width="6" style="458" bestFit="1" customWidth="1"/>
    <col min="967" max="971" width="7" style="458" bestFit="1" customWidth="1"/>
    <col min="972" max="972" width="4" style="458" bestFit="1" customWidth="1"/>
    <col min="973" max="973" width="6" style="458" bestFit="1" customWidth="1"/>
    <col min="974" max="974" width="7" style="458" bestFit="1" customWidth="1"/>
    <col min="975" max="975" width="6" style="458" bestFit="1" customWidth="1"/>
    <col min="976" max="978" width="7" style="458" bestFit="1" customWidth="1"/>
    <col min="979" max="979" width="6" style="458" bestFit="1" customWidth="1"/>
    <col min="980" max="980" width="7" style="458" bestFit="1" customWidth="1"/>
    <col min="981" max="981" width="4" style="458" bestFit="1" customWidth="1"/>
    <col min="982" max="982" width="7" style="458" bestFit="1" customWidth="1"/>
    <col min="983" max="983" width="4" style="458" bestFit="1" customWidth="1"/>
    <col min="984" max="987" width="7" style="458" bestFit="1" customWidth="1"/>
    <col min="988" max="988" width="6" style="458" bestFit="1" customWidth="1"/>
    <col min="989" max="989" width="7" style="458" bestFit="1" customWidth="1"/>
    <col min="990" max="990" width="4" style="458" bestFit="1" customWidth="1"/>
    <col min="991" max="992" width="6" style="458" bestFit="1" customWidth="1"/>
    <col min="993" max="994" width="7" style="458" bestFit="1" customWidth="1"/>
    <col min="995" max="995" width="4" style="458" bestFit="1" customWidth="1"/>
    <col min="996" max="1001" width="7" style="458" bestFit="1" customWidth="1"/>
    <col min="1002" max="1002" width="6" style="458" bestFit="1" customWidth="1"/>
    <col min="1003" max="1003" width="7" style="458" bestFit="1" customWidth="1"/>
    <col min="1004" max="1004" width="4" style="458" bestFit="1" customWidth="1"/>
    <col min="1005" max="1006" width="7" style="458" bestFit="1" customWidth="1"/>
    <col min="1007" max="1007" width="6" style="458" bestFit="1" customWidth="1"/>
    <col min="1008" max="1008" width="7" style="458" bestFit="1" customWidth="1"/>
    <col min="1009" max="1009" width="4" style="458" bestFit="1" customWidth="1"/>
    <col min="1010" max="1010" width="7" style="458" bestFit="1" customWidth="1"/>
    <col min="1011" max="1011" width="4" style="458" bestFit="1" customWidth="1"/>
    <col min="1012" max="1012" width="7" style="458" bestFit="1" customWidth="1"/>
    <col min="1013" max="1013" width="4" style="458" bestFit="1" customWidth="1"/>
    <col min="1014" max="1014" width="6" style="458" bestFit="1" customWidth="1"/>
    <col min="1015" max="1015" width="4" style="458" bestFit="1" customWidth="1"/>
    <col min="1016" max="1016" width="7" style="458" bestFit="1" customWidth="1"/>
    <col min="1017" max="1017" width="4" style="458" bestFit="1" customWidth="1"/>
    <col min="1018" max="1018" width="7" style="458" bestFit="1" customWidth="1"/>
    <col min="1019" max="1019" width="6" style="458" bestFit="1" customWidth="1"/>
    <col min="1020" max="1020" width="4" style="458" bestFit="1" customWidth="1"/>
    <col min="1021" max="1022" width="7" style="458" bestFit="1" customWidth="1"/>
    <col min="1023" max="1023" width="6" style="458" bestFit="1" customWidth="1"/>
    <col min="1024" max="1024" width="4" style="458" bestFit="1" customWidth="1"/>
    <col min="1025" max="1025" width="7" style="458" bestFit="1" customWidth="1"/>
    <col min="1026" max="1026" width="4" style="458" bestFit="1" customWidth="1"/>
    <col min="1027" max="1027" width="6" style="458" bestFit="1" customWidth="1"/>
    <col min="1028" max="1032" width="7" style="458" bestFit="1" customWidth="1"/>
    <col min="1033" max="1033" width="6" style="458" bestFit="1" customWidth="1"/>
    <col min="1034" max="1036" width="7" style="458" bestFit="1" customWidth="1"/>
    <col min="1037" max="1038" width="6" style="458" bestFit="1" customWidth="1"/>
    <col min="1039" max="1041" width="7" style="458" bestFit="1" customWidth="1"/>
    <col min="1042" max="1042" width="4" style="458" bestFit="1" customWidth="1"/>
    <col min="1043" max="1043" width="6" style="458" bestFit="1" customWidth="1"/>
    <col min="1044" max="1044" width="7" style="458" bestFit="1" customWidth="1"/>
    <col min="1045" max="1045" width="4" style="458" bestFit="1" customWidth="1"/>
    <col min="1046" max="1046" width="7" style="458" bestFit="1" customWidth="1"/>
    <col min="1047" max="1047" width="4" style="458" bestFit="1" customWidth="1"/>
    <col min="1048" max="1048" width="6" style="458" bestFit="1" customWidth="1"/>
    <col min="1049" max="1052" width="7" style="458" bestFit="1" customWidth="1"/>
    <col min="1053" max="1053" width="6" style="458" bestFit="1" customWidth="1"/>
    <col min="1054" max="1054" width="7" style="458" bestFit="1" customWidth="1"/>
    <col min="1055" max="1056" width="4" style="458" bestFit="1" customWidth="1"/>
    <col min="1057" max="1057" width="7" style="458" bestFit="1" customWidth="1"/>
    <col min="1058" max="1058" width="6" style="458" bestFit="1" customWidth="1"/>
    <col min="1059" max="1059" width="4" style="458" bestFit="1" customWidth="1"/>
    <col min="1060" max="1063" width="7" style="458" bestFit="1" customWidth="1"/>
    <col min="1064" max="1064" width="4" style="458" bestFit="1" customWidth="1"/>
    <col min="1065" max="1065" width="6" style="458" bestFit="1" customWidth="1"/>
    <col min="1066" max="1075" width="7" style="458" bestFit="1" customWidth="1"/>
    <col min="1076" max="1076" width="4" style="458" bestFit="1" customWidth="1"/>
    <col min="1077" max="1077" width="6" style="458" bestFit="1" customWidth="1"/>
    <col min="1078" max="1078" width="7" style="458" bestFit="1" customWidth="1"/>
    <col min="1079" max="1080" width="4" style="458" bestFit="1" customWidth="1"/>
    <col min="1081" max="1082" width="7" style="458" bestFit="1" customWidth="1"/>
    <col min="1083" max="1083" width="4" style="458" bestFit="1" customWidth="1"/>
    <col min="1084" max="1085" width="7" style="458" bestFit="1" customWidth="1"/>
    <col min="1086" max="1086" width="4" style="458" bestFit="1" customWidth="1"/>
    <col min="1087" max="1087" width="6" style="458" bestFit="1" customWidth="1"/>
    <col min="1088" max="1088" width="4" style="458" bestFit="1" customWidth="1"/>
    <col min="1089" max="1092" width="7" style="458" bestFit="1" customWidth="1"/>
    <col min="1093" max="1094" width="4" style="458" bestFit="1" customWidth="1"/>
    <col min="1095" max="1096" width="7" style="458" bestFit="1" customWidth="1"/>
    <col min="1097" max="1098" width="4" style="458" bestFit="1" customWidth="1"/>
    <col min="1099" max="1105" width="7" style="458" bestFit="1" customWidth="1"/>
    <col min="1106" max="1107" width="4" style="458" bestFit="1" customWidth="1"/>
    <col min="1108" max="1108" width="7" style="458" bestFit="1" customWidth="1"/>
    <col min="1109" max="1109" width="6" style="458" bestFit="1" customWidth="1"/>
    <col min="1110" max="1110" width="7" style="458" bestFit="1" customWidth="1"/>
    <col min="1111" max="1112" width="6" style="458" bestFit="1" customWidth="1"/>
    <col min="1113" max="1114" width="7" style="458" bestFit="1" customWidth="1"/>
    <col min="1115" max="1115" width="4" style="458" bestFit="1" customWidth="1"/>
    <col min="1116" max="1116" width="6" style="458" bestFit="1" customWidth="1"/>
    <col min="1117" max="1117" width="7" style="458" bestFit="1" customWidth="1"/>
    <col min="1118" max="1118" width="4" style="458" bestFit="1" customWidth="1"/>
    <col min="1119" max="1121" width="7" style="458" bestFit="1" customWidth="1"/>
    <col min="1122" max="1122" width="6" style="458" bestFit="1" customWidth="1"/>
    <col min="1123" max="1125" width="7" style="458" bestFit="1" customWidth="1"/>
    <col min="1126" max="1126" width="4" style="458" bestFit="1" customWidth="1"/>
    <col min="1127" max="1127" width="6" style="458" bestFit="1" customWidth="1"/>
    <col min="1128" max="1128" width="7" style="458" bestFit="1" customWidth="1"/>
    <col min="1129" max="1129" width="4" style="458" bestFit="1" customWidth="1"/>
    <col min="1130" max="1131" width="7" style="458" bestFit="1" customWidth="1"/>
    <col min="1132" max="1132" width="6" style="458" bestFit="1" customWidth="1"/>
    <col min="1133" max="1133" width="4" style="458" bestFit="1" customWidth="1"/>
    <col min="1134" max="1134" width="7" style="458" bestFit="1" customWidth="1"/>
    <col min="1135" max="1136" width="6" style="458" bestFit="1" customWidth="1"/>
    <col min="1137" max="1140" width="7" style="458" bestFit="1" customWidth="1"/>
    <col min="1141" max="1141" width="4" style="458" bestFit="1" customWidth="1"/>
    <col min="1142" max="1142" width="7" style="458" bestFit="1" customWidth="1"/>
    <col min="1143" max="1143" width="6" style="458" bestFit="1" customWidth="1"/>
    <col min="1144" max="1144" width="4" style="458" bestFit="1" customWidth="1"/>
    <col min="1145" max="1145" width="7" style="458" bestFit="1" customWidth="1"/>
    <col min="1146" max="1146" width="6" style="458" bestFit="1" customWidth="1"/>
    <col min="1147" max="1148" width="7" style="458" bestFit="1" customWidth="1"/>
    <col min="1149" max="1149" width="4" style="458" bestFit="1" customWidth="1"/>
    <col min="1150" max="1153" width="7" style="458" bestFit="1" customWidth="1"/>
    <col min="1154" max="1154" width="6" style="458" bestFit="1" customWidth="1"/>
    <col min="1155" max="1156" width="4" style="458" bestFit="1" customWidth="1"/>
    <col min="1157" max="1157" width="7" style="458" bestFit="1" customWidth="1"/>
    <col min="1158" max="1158" width="6" style="458" bestFit="1" customWidth="1"/>
    <col min="1159" max="1160" width="4" style="458" bestFit="1" customWidth="1"/>
    <col min="1161" max="1165" width="7" style="458" bestFit="1" customWidth="1"/>
    <col min="1166" max="1166" width="6" style="458" bestFit="1" customWidth="1"/>
    <col min="1167" max="1167" width="7" style="458" bestFit="1" customWidth="1"/>
    <col min="1168" max="1169" width="4" style="458" bestFit="1" customWidth="1"/>
    <col min="1170" max="1171" width="7" style="458" bestFit="1" customWidth="1"/>
    <col min="1172" max="1172" width="6" style="458" bestFit="1" customWidth="1"/>
    <col min="1173" max="1175" width="7" style="458" bestFit="1" customWidth="1"/>
    <col min="1176" max="1177" width="6" style="458" bestFit="1" customWidth="1"/>
    <col min="1178" max="1179" width="7" style="458" bestFit="1" customWidth="1"/>
    <col min="1180" max="1180" width="6" style="458" bestFit="1" customWidth="1"/>
    <col min="1181" max="1181" width="7" style="458" bestFit="1" customWidth="1"/>
    <col min="1182" max="1182" width="4" style="458" bestFit="1" customWidth="1"/>
    <col min="1183" max="1183" width="7" style="458" bestFit="1" customWidth="1"/>
    <col min="1184" max="1184" width="6" style="458" bestFit="1" customWidth="1"/>
    <col min="1185" max="1185" width="7" style="458" bestFit="1" customWidth="1"/>
    <col min="1186" max="1186" width="6" style="458" bestFit="1" customWidth="1"/>
    <col min="1187" max="1187" width="7" style="458" bestFit="1" customWidth="1"/>
    <col min="1188" max="1188" width="4" style="458" bestFit="1" customWidth="1"/>
    <col min="1189" max="1189" width="6" style="458" bestFit="1" customWidth="1"/>
    <col min="1190" max="1195" width="7" style="458" bestFit="1" customWidth="1"/>
    <col min="1196" max="1196" width="6" style="458" bestFit="1" customWidth="1"/>
    <col min="1197" max="1197" width="7" style="458" bestFit="1" customWidth="1"/>
    <col min="1198" max="1198" width="6" style="458" bestFit="1" customWidth="1"/>
    <col min="1199" max="1201" width="7" style="458" bestFit="1" customWidth="1"/>
    <col min="1202" max="1202" width="4" style="458" bestFit="1" customWidth="1"/>
    <col min="1203" max="1203" width="6" style="458" bestFit="1" customWidth="1"/>
    <col min="1204" max="1204" width="7" style="458" bestFit="1" customWidth="1"/>
    <col min="1205" max="1205" width="6" style="458" bestFit="1" customWidth="1"/>
    <col min="1206" max="1208" width="7" style="458" bestFit="1" customWidth="1"/>
    <col min="1209" max="1209" width="6" style="458" bestFit="1" customWidth="1"/>
    <col min="1210" max="1216" width="7" style="458" bestFit="1" customWidth="1"/>
    <col min="1217" max="1217" width="4" style="458" bestFit="1" customWidth="1"/>
    <col min="1218" max="1222" width="7" style="458" bestFit="1" customWidth="1"/>
    <col min="1223" max="1223" width="4" style="458" bestFit="1" customWidth="1"/>
    <col min="1224" max="1224" width="6" style="458" bestFit="1" customWidth="1"/>
    <col min="1225" max="1229" width="7" style="458" bestFit="1" customWidth="1"/>
    <col min="1230" max="1231" width="4" style="458" bestFit="1" customWidth="1"/>
    <col min="1232" max="1239" width="7" style="458" bestFit="1" customWidth="1"/>
    <col min="1240" max="1241" width="6" style="458" bestFit="1" customWidth="1"/>
    <col min="1242" max="1248" width="7" style="458" bestFit="1" customWidth="1"/>
    <col min="1249" max="1249" width="4" style="458" bestFit="1" customWidth="1"/>
    <col min="1250" max="1256" width="7" style="458" bestFit="1" customWidth="1"/>
    <col min="1257" max="1258" width="6" style="458" bestFit="1" customWidth="1"/>
    <col min="1259" max="1265" width="7" style="458" bestFit="1" customWidth="1"/>
    <col min="1266" max="1268" width="4" style="458" bestFit="1" customWidth="1"/>
    <col min="1269" max="1269" width="6" style="458" bestFit="1" customWidth="1"/>
    <col min="1270" max="1270" width="4" style="458" bestFit="1" customWidth="1"/>
    <col min="1271" max="1271" width="6" style="458" bestFit="1" customWidth="1"/>
    <col min="1272" max="1272" width="7" style="458" bestFit="1" customWidth="1"/>
    <col min="1273" max="1273" width="6" style="458" bestFit="1" customWidth="1"/>
    <col min="1274" max="1274" width="4" style="458" bestFit="1" customWidth="1"/>
    <col min="1275" max="1277" width="7" style="458" bestFit="1" customWidth="1"/>
    <col min="1278" max="1278" width="6" style="458" bestFit="1" customWidth="1"/>
    <col min="1279" max="1282" width="7" style="458" bestFit="1" customWidth="1"/>
    <col min="1283" max="1283" width="4" style="458" bestFit="1" customWidth="1"/>
    <col min="1284" max="1284" width="6" style="458" bestFit="1" customWidth="1"/>
    <col min="1285" max="1289" width="7" style="458" bestFit="1" customWidth="1"/>
    <col min="1290" max="1290" width="4" style="458" bestFit="1" customWidth="1"/>
    <col min="1291" max="1293" width="7" style="458" bestFit="1" customWidth="1"/>
    <col min="1294" max="1294" width="6" style="458" bestFit="1" customWidth="1"/>
    <col min="1295" max="1297" width="7" style="458" bestFit="1" customWidth="1"/>
    <col min="1298" max="1298" width="6" style="458" bestFit="1" customWidth="1"/>
    <col min="1299" max="1307" width="7" style="458" bestFit="1" customWidth="1"/>
    <col min="1308" max="1308" width="4" style="458" bestFit="1" customWidth="1"/>
    <col min="1309" max="1309" width="7" style="458" bestFit="1" customWidth="1"/>
    <col min="1310" max="1310" width="4" style="458" bestFit="1" customWidth="1"/>
    <col min="1311" max="1315" width="7" style="458" bestFit="1" customWidth="1"/>
    <col min="1316" max="1316" width="4" style="458" bestFit="1" customWidth="1"/>
    <col min="1317" max="1317" width="6" style="458" bestFit="1" customWidth="1"/>
    <col min="1318" max="1318" width="4" style="458" bestFit="1" customWidth="1"/>
    <col min="1319" max="1320" width="7" style="458" bestFit="1" customWidth="1"/>
    <col min="1321" max="1321" width="4" style="458" bestFit="1" customWidth="1"/>
    <col min="1322" max="1322" width="6" style="458" bestFit="1" customWidth="1"/>
    <col min="1323" max="1324" width="7" style="458" bestFit="1" customWidth="1"/>
    <col min="1325" max="1325" width="4" style="458" bestFit="1" customWidth="1"/>
    <col min="1326" max="1326" width="7" style="458" bestFit="1" customWidth="1"/>
    <col min="1327" max="1327" width="4" style="458" bestFit="1" customWidth="1"/>
    <col min="1328" max="1328" width="7" style="458" bestFit="1" customWidth="1"/>
    <col min="1329" max="1329" width="4" style="458" bestFit="1" customWidth="1"/>
    <col min="1330" max="1330" width="7" style="458" bestFit="1" customWidth="1"/>
    <col min="1331" max="1331" width="6" style="458" bestFit="1" customWidth="1"/>
    <col min="1332" max="1332" width="4" style="458" bestFit="1" customWidth="1"/>
    <col min="1333" max="1333" width="7" style="458" bestFit="1" customWidth="1"/>
    <col min="1334" max="1334" width="4" style="458" bestFit="1" customWidth="1"/>
    <col min="1335" max="1337" width="7" style="458" bestFit="1" customWidth="1"/>
    <col min="1338" max="1338" width="4" style="458" bestFit="1" customWidth="1"/>
    <col min="1339" max="1339" width="7" style="458" bestFit="1" customWidth="1"/>
    <col min="1340" max="1340" width="4" style="458" bestFit="1" customWidth="1"/>
    <col min="1341" max="1341" width="6" style="458" bestFit="1" customWidth="1"/>
    <col min="1342" max="1343" width="7" style="458" bestFit="1" customWidth="1"/>
    <col min="1344" max="1344" width="4" style="458" bestFit="1" customWidth="1"/>
    <col min="1345" max="1345" width="7" style="458" bestFit="1" customWidth="1"/>
    <col min="1346" max="1347" width="6" style="458" bestFit="1" customWidth="1"/>
    <col min="1348" max="1349" width="7" style="458" bestFit="1" customWidth="1"/>
    <col min="1350" max="1350" width="5" style="458" bestFit="1" customWidth="1"/>
    <col min="1351" max="1351" width="8" style="458" bestFit="1" customWidth="1"/>
    <col min="1352" max="1352" width="5" style="458" bestFit="1" customWidth="1"/>
    <col min="1353" max="1353" width="7" style="458" bestFit="1" customWidth="1"/>
    <col min="1354" max="1354" width="8" style="458" bestFit="1" customWidth="1"/>
    <col min="1355" max="1355" width="5" style="458" bestFit="1" customWidth="1"/>
    <col min="1356" max="1356" width="8" style="458" bestFit="1" customWidth="1"/>
    <col min="1357" max="1358" width="5" style="458" bestFit="1" customWidth="1"/>
    <col min="1359" max="1359" width="7" style="458" bestFit="1" customWidth="1"/>
    <col min="1360" max="1360" width="8" style="458" bestFit="1" customWidth="1"/>
    <col min="1361" max="1361" width="5" style="458" bestFit="1" customWidth="1"/>
    <col min="1362" max="1362" width="7" style="458" bestFit="1" customWidth="1"/>
    <col min="1363" max="1363" width="5" style="458" bestFit="1" customWidth="1"/>
    <col min="1364" max="1366" width="8" style="458" bestFit="1" customWidth="1"/>
    <col min="1367" max="1367" width="5" style="458" bestFit="1" customWidth="1"/>
    <col min="1368" max="1368" width="8" style="458" bestFit="1" customWidth="1"/>
    <col min="1369" max="1369" width="5" style="458" bestFit="1" customWidth="1"/>
    <col min="1370" max="1370" width="8" style="458" bestFit="1" customWidth="1"/>
    <col min="1371" max="1373" width="7" style="458" bestFit="1" customWidth="1"/>
    <col min="1374" max="1379" width="8" style="458" bestFit="1" customWidth="1"/>
    <col min="1380" max="1380" width="7" style="458" bestFit="1" customWidth="1"/>
    <col min="1381" max="1381" width="8" style="458" bestFit="1" customWidth="1"/>
    <col min="1382" max="1382" width="7" style="458" bestFit="1" customWidth="1"/>
    <col min="1383" max="1383" width="8" style="458" bestFit="1" customWidth="1"/>
    <col min="1384" max="1384" width="5" style="458" bestFit="1" customWidth="1"/>
    <col min="1385" max="1385" width="7" style="458" bestFit="1" customWidth="1"/>
    <col min="1386" max="1387" width="8" style="458" bestFit="1" customWidth="1"/>
    <col min="1388" max="1389" width="7" style="458" bestFit="1" customWidth="1"/>
    <col min="1390" max="1391" width="8" style="458" bestFit="1" customWidth="1"/>
    <col min="1392" max="1392" width="5" style="458" bestFit="1" customWidth="1"/>
    <col min="1393" max="1393" width="8" style="458" bestFit="1" customWidth="1"/>
    <col min="1394" max="1394" width="5" style="458" bestFit="1" customWidth="1"/>
    <col min="1395" max="1396" width="8" style="458" bestFit="1" customWidth="1"/>
    <col min="1397" max="1397" width="7" style="458" bestFit="1" customWidth="1"/>
    <col min="1398" max="1402" width="8" style="458" bestFit="1" customWidth="1"/>
    <col min="1403" max="1403" width="7" style="458" bestFit="1" customWidth="1"/>
    <col min="1404" max="1405" width="8" style="458" bestFit="1" customWidth="1"/>
    <col min="1406" max="1406" width="7" style="458" bestFit="1" customWidth="1"/>
    <col min="1407" max="1407" width="8" style="458" bestFit="1" customWidth="1"/>
    <col min="1408" max="1408" width="7" style="458" bestFit="1" customWidth="1"/>
    <col min="1409" max="1409" width="8" style="458" bestFit="1" customWidth="1"/>
    <col min="1410" max="1411" width="5" style="458" bestFit="1" customWidth="1"/>
    <col min="1412" max="1413" width="7" style="458" bestFit="1" customWidth="1"/>
    <col min="1414" max="1416" width="5" style="458" bestFit="1" customWidth="1"/>
    <col min="1417" max="1418" width="8" style="458" bestFit="1" customWidth="1"/>
    <col min="1419" max="1419" width="5" style="458" bestFit="1" customWidth="1"/>
    <col min="1420" max="1424" width="8" style="458" bestFit="1" customWidth="1"/>
    <col min="1425" max="1425" width="5" style="458" bestFit="1" customWidth="1"/>
    <col min="1426" max="1426" width="8" style="458" bestFit="1" customWidth="1"/>
    <col min="1427" max="1427" width="5" style="458" bestFit="1" customWidth="1"/>
    <col min="1428" max="1428" width="8" style="458" bestFit="1" customWidth="1"/>
    <col min="1429" max="1429" width="5" style="458" bestFit="1" customWidth="1"/>
    <col min="1430" max="1430" width="6" style="458" bestFit="1" customWidth="1"/>
    <col min="1431" max="1432" width="9" style="458" bestFit="1" customWidth="1"/>
    <col min="1433" max="1433" width="6" style="458" bestFit="1" customWidth="1"/>
    <col min="1434" max="1434" width="9" style="458" bestFit="1" customWidth="1"/>
    <col min="1435" max="1435" width="10" style="458" bestFit="1" customWidth="1"/>
    <col min="1436" max="1436" width="7.109375" style="458" bestFit="1" customWidth="1"/>
    <col min="1437" max="1437" width="11.6640625" style="458" bestFit="1" customWidth="1"/>
    <col min="1438" max="1439" width="9.6640625" style="458" bestFit="1" customWidth="1"/>
    <col min="1440" max="1440" width="12.33203125" style="458" bestFit="1" customWidth="1"/>
    <col min="1441" max="1441" width="9.6640625" style="458" bestFit="1" customWidth="1"/>
    <col min="1442" max="1442" width="12.33203125" style="458" bestFit="1" customWidth="1"/>
    <col min="1443" max="1443" width="9.6640625" style="458" bestFit="1" customWidth="1"/>
    <col min="1444" max="1444" width="12.33203125" style="458" bestFit="1" customWidth="1"/>
    <col min="1445" max="1445" width="9.6640625" style="458" bestFit="1" customWidth="1"/>
    <col min="1446" max="1446" width="12.33203125" style="458" bestFit="1" customWidth="1"/>
    <col min="1447" max="1447" width="8.6640625" style="458" bestFit="1" customWidth="1"/>
    <col min="1448" max="1448" width="11.33203125" style="458" bestFit="1" customWidth="1"/>
    <col min="1449" max="1449" width="8.6640625" style="458" bestFit="1" customWidth="1"/>
    <col min="1450" max="1450" width="11.33203125" style="458" bestFit="1" customWidth="1"/>
    <col min="1451" max="1451" width="8.6640625" style="458" bestFit="1" customWidth="1"/>
    <col min="1452" max="1452" width="11.33203125" style="458" bestFit="1" customWidth="1"/>
    <col min="1453" max="1453" width="8.6640625" style="458" bestFit="1" customWidth="1"/>
    <col min="1454" max="1454" width="11.33203125" style="458" bestFit="1" customWidth="1"/>
    <col min="1455" max="1455" width="8.6640625" style="458" bestFit="1" customWidth="1"/>
    <col min="1456" max="1456" width="11.33203125" style="458" bestFit="1" customWidth="1"/>
    <col min="1457" max="1457" width="8.6640625" style="458" bestFit="1" customWidth="1"/>
    <col min="1458" max="1458" width="11.33203125" style="458" bestFit="1" customWidth="1"/>
    <col min="1459" max="1459" width="8.6640625" style="458" bestFit="1" customWidth="1"/>
    <col min="1460" max="1460" width="11.33203125" style="458" bestFit="1" customWidth="1"/>
    <col min="1461" max="1461" width="8.6640625" style="458" bestFit="1" customWidth="1"/>
    <col min="1462" max="1462" width="11.33203125" style="458" bestFit="1" customWidth="1"/>
    <col min="1463" max="1463" width="8.6640625" style="458" bestFit="1" customWidth="1"/>
    <col min="1464" max="1464" width="11.33203125" style="458" bestFit="1" customWidth="1"/>
    <col min="1465" max="1465" width="8.6640625" style="458" bestFit="1" customWidth="1"/>
    <col min="1466" max="1466" width="11.33203125" style="458" bestFit="1" customWidth="1"/>
    <col min="1467" max="1467" width="8.6640625" style="458" bestFit="1" customWidth="1"/>
    <col min="1468" max="1468" width="11.33203125" style="458" bestFit="1" customWidth="1"/>
    <col min="1469" max="1469" width="8.6640625" style="458" bestFit="1" customWidth="1"/>
    <col min="1470" max="1470" width="11.33203125" style="458" bestFit="1" customWidth="1"/>
    <col min="1471" max="1471" width="8.6640625" style="458" bestFit="1" customWidth="1"/>
    <col min="1472" max="1472" width="11.33203125" style="458" bestFit="1" customWidth="1"/>
    <col min="1473" max="1473" width="8.6640625" style="458" bestFit="1" customWidth="1"/>
    <col min="1474" max="1474" width="11.33203125" style="458" bestFit="1" customWidth="1"/>
    <col min="1475" max="1475" width="8.6640625" style="458" bestFit="1" customWidth="1"/>
    <col min="1476" max="1476" width="11.33203125" style="458" bestFit="1" customWidth="1"/>
    <col min="1477" max="1477" width="8.6640625" style="458" bestFit="1" customWidth="1"/>
    <col min="1478" max="1478" width="11.33203125" style="458" bestFit="1" customWidth="1"/>
    <col min="1479" max="1479" width="8.6640625" style="458" bestFit="1" customWidth="1"/>
    <col min="1480" max="1480" width="11.33203125" style="458" bestFit="1" customWidth="1"/>
    <col min="1481" max="1481" width="7.6640625" style="458" bestFit="1" customWidth="1"/>
    <col min="1482" max="1482" width="10.33203125" style="458" bestFit="1" customWidth="1"/>
    <col min="1483" max="1483" width="7.6640625" style="458" bestFit="1" customWidth="1"/>
    <col min="1484" max="1484" width="10.33203125" style="458" bestFit="1" customWidth="1"/>
    <col min="1485" max="1485" width="7.6640625" style="458" bestFit="1" customWidth="1"/>
    <col min="1486" max="1486" width="10.33203125" style="458" bestFit="1" customWidth="1"/>
    <col min="1487" max="1487" width="7.6640625" style="458" bestFit="1" customWidth="1"/>
    <col min="1488" max="1488" width="10.33203125" style="458" bestFit="1" customWidth="1"/>
    <col min="1489" max="1489" width="7.6640625" style="458" bestFit="1" customWidth="1"/>
    <col min="1490" max="1490" width="10.33203125" style="458" bestFit="1" customWidth="1"/>
    <col min="1491" max="1491" width="7.6640625" style="458" bestFit="1" customWidth="1"/>
    <col min="1492" max="1492" width="10.33203125" style="458" bestFit="1" customWidth="1"/>
    <col min="1493" max="1493" width="7.6640625" style="458" bestFit="1" customWidth="1"/>
    <col min="1494" max="1494" width="10.33203125" style="458" bestFit="1" customWidth="1"/>
    <col min="1495" max="1495" width="7.6640625" style="458" bestFit="1" customWidth="1"/>
    <col min="1496" max="1496" width="10.33203125" style="458" bestFit="1" customWidth="1"/>
    <col min="1497" max="1497" width="7.6640625" style="458" bestFit="1" customWidth="1"/>
    <col min="1498" max="1498" width="10.33203125" style="458" bestFit="1" customWidth="1"/>
    <col min="1499" max="1499" width="7.6640625" style="458" bestFit="1" customWidth="1"/>
    <col min="1500" max="1500" width="10.33203125" style="458" bestFit="1" customWidth="1"/>
    <col min="1501" max="1501" width="7.6640625" style="458" bestFit="1" customWidth="1"/>
    <col min="1502" max="1502" width="10.33203125" style="458" bestFit="1" customWidth="1"/>
    <col min="1503" max="1503" width="7.6640625" style="458" bestFit="1" customWidth="1"/>
    <col min="1504" max="1504" width="10.33203125" style="458" bestFit="1" customWidth="1"/>
    <col min="1505" max="1505" width="7.6640625" style="458" bestFit="1" customWidth="1"/>
    <col min="1506" max="1506" width="10.33203125" style="458" bestFit="1" customWidth="1"/>
    <col min="1507" max="1507" width="7.6640625" style="458" bestFit="1" customWidth="1"/>
    <col min="1508" max="1508" width="10.33203125" style="458" bestFit="1" customWidth="1"/>
    <col min="1509" max="1509" width="7.6640625" style="458" bestFit="1" customWidth="1"/>
    <col min="1510" max="1510" width="10.33203125" style="458" bestFit="1" customWidth="1"/>
    <col min="1511" max="1511" width="7.6640625" style="458" bestFit="1" customWidth="1"/>
    <col min="1512" max="1512" width="10.33203125" style="458" bestFit="1" customWidth="1"/>
    <col min="1513" max="1513" width="7.6640625" style="458" bestFit="1" customWidth="1"/>
    <col min="1514" max="1514" width="10.33203125" style="458" bestFit="1" customWidth="1"/>
    <col min="1515" max="1515" width="7.6640625" style="458" bestFit="1" customWidth="1"/>
    <col min="1516" max="1516" width="10.33203125" style="458" bestFit="1" customWidth="1"/>
    <col min="1517" max="1517" width="7.109375" style="458" bestFit="1" customWidth="1"/>
    <col min="1518" max="1518" width="9.33203125" style="458" bestFit="1" customWidth="1"/>
    <col min="1519" max="1519" width="7.109375" style="458" bestFit="1" customWidth="1"/>
    <col min="1520" max="1520" width="9.33203125" style="458" bestFit="1" customWidth="1"/>
    <col min="1521" max="1521" width="7.109375" style="458" bestFit="1" customWidth="1"/>
    <col min="1522" max="1522" width="9.33203125" style="458" bestFit="1" customWidth="1"/>
    <col min="1523" max="1523" width="7.109375" style="458" bestFit="1" customWidth="1"/>
    <col min="1524" max="1524" width="9.33203125" style="458" bestFit="1" customWidth="1"/>
    <col min="1525" max="1525" width="7.109375" style="458" bestFit="1" customWidth="1"/>
    <col min="1526" max="1526" width="9.33203125" style="458" bestFit="1" customWidth="1"/>
    <col min="1527" max="1527" width="7.109375" style="458" bestFit="1" customWidth="1"/>
    <col min="1528" max="1528" width="9.33203125" style="458" bestFit="1" customWidth="1"/>
    <col min="1529" max="1529" width="7.109375" style="458" bestFit="1" customWidth="1"/>
    <col min="1530" max="1530" width="9.33203125" style="458" bestFit="1" customWidth="1"/>
    <col min="1531" max="1531" width="7.109375" style="458" bestFit="1" customWidth="1"/>
    <col min="1532" max="1532" width="9.33203125" style="458" bestFit="1" customWidth="1"/>
    <col min="1533" max="1533" width="7.109375" style="458" bestFit="1" customWidth="1"/>
    <col min="1534" max="1534" width="9.33203125" style="458" bestFit="1" customWidth="1"/>
    <col min="1535" max="1535" width="7.109375" style="458" bestFit="1" customWidth="1"/>
    <col min="1536" max="1536" width="9.33203125" style="458" bestFit="1" customWidth="1"/>
    <col min="1537" max="1537" width="7.109375" style="458" bestFit="1" customWidth="1"/>
    <col min="1538" max="1538" width="9.33203125" style="458" bestFit="1" customWidth="1"/>
    <col min="1539" max="1539" width="7.109375" style="458" bestFit="1" customWidth="1"/>
    <col min="1540" max="1540" width="9.33203125" style="458" bestFit="1" customWidth="1"/>
    <col min="1541" max="1541" width="7.109375" style="458" bestFit="1" customWidth="1"/>
    <col min="1542" max="1542" width="9.33203125" style="458" bestFit="1" customWidth="1"/>
    <col min="1543" max="1543" width="7.109375" style="458" bestFit="1" customWidth="1"/>
    <col min="1544" max="1544" width="9.33203125" style="458" bestFit="1" customWidth="1"/>
    <col min="1545" max="1545" width="7.109375" style="458" bestFit="1" customWidth="1"/>
    <col min="1546" max="1546" width="9.33203125" style="458" bestFit="1" customWidth="1"/>
    <col min="1547" max="1547" width="7.109375" style="458" bestFit="1" customWidth="1"/>
    <col min="1548" max="1548" width="8.33203125" style="458" bestFit="1" customWidth="1"/>
    <col min="1549" max="1549" width="7.109375" style="458" bestFit="1" customWidth="1"/>
    <col min="1550" max="1550" width="8.33203125" style="458" bestFit="1" customWidth="1"/>
    <col min="1551" max="1551" width="7.109375" style="458" bestFit="1" customWidth="1"/>
    <col min="1552" max="1552" width="8.33203125" style="458" bestFit="1" customWidth="1"/>
    <col min="1553" max="1553" width="7.109375" style="458" bestFit="1" customWidth="1"/>
    <col min="1554" max="1554" width="8.33203125" style="458" bestFit="1" customWidth="1"/>
    <col min="1555" max="1555" width="7.109375" style="458" bestFit="1" customWidth="1"/>
    <col min="1556" max="1556" width="8.33203125" style="458" bestFit="1" customWidth="1"/>
    <col min="1557" max="1557" width="7.109375" style="458" bestFit="1" customWidth="1"/>
    <col min="1558" max="1558" width="8.33203125" style="458" bestFit="1" customWidth="1"/>
    <col min="1559" max="1559" width="7.109375" style="458" bestFit="1" customWidth="1"/>
    <col min="1560" max="1560" width="8.33203125" style="458" bestFit="1" customWidth="1"/>
    <col min="1561" max="1561" width="7.109375" style="458" bestFit="1" customWidth="1"/>
    <col min="1562" max="1562" width="8.33203125" style="458" bestFit="1" customWidth="1"/>
    <col min="1563" max="1563" width="7.109375" style="458" bestFit="1" customWidth="1"/>
    <col min="1564" max="1564" width="7.33203125" style="458" bestFit="1" customWidth="1"/>
    <col min="1565" max="1565" width="7.109375" style="458" bestFit="1" customWidth="1"/>
    <col min="1566" max="1566" width="7.33203125" style="458" bestFit="1" customWidth="1"/>
    <col min="1567" max="1567" width="7.109375" style="458" bestFit="1" customWidth="1"/>
    <col min="1568" max="1568" width="7.6640625" style="458" bestFit="1" customWidth="1"/>
    <col min="1569" max="1569" width="7.109375" style="458" bestFit="1" customWidth="1"/>
    <col min="1570" max="1570" width="7.6640625" style="458" bestFit="1" customWidth="1"/>
    <col min="1571" max="1571" width="7.109375" style="458" bestFit="1" customWidth="1"/>
    <col min="1572" max="1572" width="7.6640625" style="458" bestFit="1" customWidth="1"/>
    <col min="1573" max="1573" width="7.109375" style="458" bestFit="1" customWidth="1"/>
    <col min="1574" max="1574" width="7.6640625" style="458" bestFit="1" customWidth="1"/>
    <col min="1575" max="1575" width="7.109375" style="458" bestFit="1" customWidth="1"/>
    <col min="1576" max="1576" width="7.6640625" style="458" bestFit="1" customWidth="1"/>
    <col min="1577" max="1577" width="7.109375" style="458" bestFit="1" customWidth="1"/>
    <col min="1578" max="1578" width="7.6640625" style="458" bestFit="1" customWidth="1"/>
    <col min="1579" max="1579" width="7.109375" style="458" bestFit="1" customWidth="1"/>
    <col min="1580" max="1580" width="8.6640625" style="458" bestFit="1" customWidth="1"/>
    <col min="1581" max="1581" width="7.109375" style="458" bestFit="1" customWidth="1"/>
    <col min="1582" max="1582" width="8.6640625" style="458" bestFit="1" customWidth="1"/>
    <col min="1583" max="1583" width="7.109375" style="458" bestFit="1" customWidth="1"/>
    <col min="1584" max="1584" width="8.6640625" style="458" bestFit="1" customWidth="1"/>
    <col min="1585" max="1585" width="7.109375" style="458" bestFit="1" customWidth="1"/>
    <col min="1586" max="1586" width="8.6640625" style="458" bestFit="1" customWidth="1"/>
    <col min="1587" max="1587" width="7.109375" style="458" bestFit="1" customWidth="1"/>
    <col min="1588" max="1588" width="8.6640625" style="458" bestFit="1" customWidth="1"/>
    <col min="1589" max="1589" width="7.109375" style="458" bestFit="1" customWidth="1"/>
    <col min="1590" max="1590" width="8.6640625" style="458" bestFit="1" customWidth="1"/>
    <col min="1591" max="1591" width="7.109375" style="458" bestFit="1" customWidth="1"/>
    <col min="1592" max="1592" width="8.6640625" style="458" bestFit="1" customWidth="1"/>
    <col min="1593" max="1593" width="7.109375" style="458" bestFit="1" customWidth="1"/>
    <col min="1594" max="1594" width="8.6640625" style="458" bestFit="1" customWidth="1"/>
    <col min="1595" max="1595" width="7.109375" style="458" bestFit="1" customWidth="1"/>
    <col min="1596" max="1596" width="8.6640625" style="458" bestFit="1" customWidth="1"/>
    <col min="1597" max="1597" width="7.109375" style="458" bestFit="1" customWidth="1"/>
    <col min="1598" max="1598" width="8.6640625" style="458" bestFit="1" customWidth="1"/>
    <col min="1599" max="1599" width="7.109375" style="458" bestFit="1" customWidth="1"/>
    <col min="1600" max="1600" width="8.6640625" style="458" bestFit="1" customWidth="1"/>
    <col min="1601" max="1601" width="7.109375" style="458" bestFit="1" customWidth="1"/>
    <col min="1602" max="1602" width="8.6640625" style="458" bestFit="1" customWidth="1"/>
    <col min="1603" max="1603" width="7.109375" style="458" bestFit="1" customWidth="1"/>
    <col min="1604" max="1604" width="8.6640625" style="458" bestFit="1" customWidth="1"/>
    <col min="1605" max="1605" width="7.109375" style="458" bestFit="1" customWidth="1"/>
    <col min="1606" max="1606" width="9.6640625" style="458" bestFit="1" customWidth="1"/>
    <col min="1607" max="1607" width="7.109375" style="458" bestFit="1" customWidth="1"/>
    <col min="1608" max="1608" width="9.6640625" style="458" bestFit="1" customWidth="1"/>
    <col min="1609" max="1609" width="7.109375" style="458" bestFit="1" customWidth="1"/>
    <col min="1610" max="1610" width="9.6640625" style="458" bestFit="1" customWidth="1"/>
    <col min="1611" max="1611" width="7.109375" style="458" bestFit="1" customWidth="1"/>
    <col min="1612" max="1612" width="9.6640625" style="458" bestFit="1" customWidth="1"/>
    <col min="1613" max="1613" width="7.109375" style="458" bestFit="1" customWidth="1"/>
    <col min="1614" max="1614" width="9.6640625" style="458" bestFit="1" customWidth="1"/>
    <col min="1615" max="1615" width="7.109375" style="458" bestFit="1" customWidth="1"/>
    <col min="1616" max="1616" width="9.6640625" style="458" bestFit="1" customWidth="1"/>
    <col min="1617" max="1617" width="7.109375" style="458" bestFit="1" customWidth="1"/>
    <col min="1618" max="1618" width="9.6640625" style="458" bestFit="1" customWidth="1"/>
    <col min="1619" max="1619" width="7.109375" style="458" bestFit="1" customWidth="1"/>
    <col min="1620" max="1620" width="9.6640625" style="458" bestFit="1" customWidth="1"/>
    <col min="1621" max="1621" width="7.109375" style="458" bestFit="1" customWidth="1"/>
    <col min="1622" max="1622" width="9.6640625" style="458" bestFit="1" customWidth="1"/>
    <col min="1623" max="1623" width="7.109375" style="458" bestFit="1" customWidth="1"/>
    <col min="1624" max="1624" width="9.6640625" style="458" bestFit="1" customWidth="1"/>
    <col min="1625" max="1625" width="7.109375" style="458" bestFit="1" customWidth="1"/>
    <col min="1626" max="1626" width="9.6640625" style="458" bestFit="1" customWidth="1"/>
    <col min="1627" max="1627" width="7.109375" style="458" bestFit="1" customWidth="1"/>
    <col min="1628" max="1628" width="9.6640625" style="458" bestFit="1" customWidth="1"/>
    <col min="1629" max="1629" width="7.109375" style="458" bestFit="1" customWidth="1"/>
    <col min="1630" max="1630" width="9.6640625" style="458" bestFit="1" customWidth="1"/>
    <col min="1631" max="1631" width="7.109375" style="458" bestFit="1" customWidth="1"/>
    <col min="1632" max="1632" width="9.6640625" style="458" bestFit="1" customWidth="1"/>
    <col min="1633" max="1633" width="7.109375" style="458" bestFit="1" customWidth="1"/>
    <col min="1634" max="1634" width="9.6640625" style="458" bestFit="1" customWidth="1"/>
    <col min="1635" max="1635" width="7.109375" style="458" bestFit="1" customWidth="1"/>
    <col min="1636" max="1636" width="9.6640625" style="458" bestFit="1" customWidth="1"/>
    <col min="1637" max="1637" width="7.109375" style="458" bestFit="1" customWidth="1"/>
    <col min="1638" max="1638" width="9.6640625" style="458" bestFit="1" customWidth="1"/>
    <col min="1639" max="1639" width="7.109375" style="458" bestFit="1" customWidth="1"/>
    <col min="1640" max="1640" width="9.6640625" style="458" bestFit="1" customWidth="1"/>
    <col min="1641" max="1641" width="7.109375" style="458" bestFit="1" customWidth="1"/>
    <col min="1642" max="1642" width="9.6640625" style="458" bestFit="1" customWidth="1"/>
    <col min="1643" max="1643" width="7.109375" style="458" bestFit="1" customWidth="1"/>
    <col min="1644" max="1644" width="9.6640625" style="458" bestFit="1" customWidth="1"/>
    <col min="1645" max="1645" width="8" style="458" bestFit="1" customWidth="1"/>
    <col min="1646" max="1646" width="10.6640625" style="458" bestFit="1" customWidth="1"/>
    <col min="1647" max="1647" width="8" style="458" bestFit="1" customWidth="1"/>
    <col min="1648" max="1648" width="10.6640625" style="458" bestFit="1" customWidth="1"/>
    <col min="1649" max="1649" width="8" style="458" bestFit="1" customWidth="1"/>
    <col min="1650" max="1650" width="10.6640625" style="458" bestFit="1" customWidth="1"/>
    <col min="1651" max="1651" width="8" style="458" bestFit="1" customWidth="1"/>
    <col min="1652" max="1652" width="10.6640625" style="458" bestFit="1" customWidth="1"/>
    <col min="1653" max="1653" width="8" style="458" bestFit="1" customWidth="1"/>
    <col min="1654" max="1654" width="10.6640625" style="458" bestFit="1" customWidth="1"/>
    <col min="1655" max="1655" width="8" style="458" bestFit="1" customWidth="1"/>
    <col min="1656" max="1656" width="10.6640625" style="458" bestFit="1" customWidth="1"/>
    <col min="1657" max="1657" width="8" style="458" bestFit="1" customWidth="1"/>
    <col min="1658" max="1658" width="10.6640625" style="458" bestFit="1" customWidth="1"/>
    <col min="1659" max="1659" width="8" style="458" bestFit="1" customWidth="1"/>
    <col min="1660" max="1660" width="10.6640625" style="458" bestFit="1" customWidth="1"/>
    <col min="1661" max="1661" width="8" style="458" bestFit="1" customWidth="1"/>
    <col min="1662" max="1662" width="10.6640625" style="458" bestFit="1" customWidth="1"/>
    <col min="1663" max="1663" width="8" style="458" bestFit="1" customWidth="1"/>
    <col min="1664" max="1664" width="10.6640625" style="458" bestFit="1" customWidth="1"/>
    <col min="1665" max="1665" width="8" style="458" bestFit="1" customWidth="1"/>
    <col min="1666" max="1666" width="10.6640625" style="458" bestFit="1" customWidth="1"/>
    <col min="1667" max="1667" width="8" style="458" bestFit="1" customWidth="1"/>
    <col min="1668" max="1668" width="10.6640625" style="458" bestFit="1" customWidth="1"/>
    <col min="1669" max="1669" width="8" style="458" bestFit="1" customWidth="1"/>
    <col min="1670" max="1670" width="10.6640625" style="458" bestFit="1" customWidth="1"/>
    <col min="1671" max="1671" width="8" style="458" bestFit="1" customWidth="1"/>
    <col min="1672" max="1672" width="10.6640625" style="458" bestFit="1" customWidth="1"/>
    <col min="1673" max="1673" width="8" style="458" bestFit="1" customWidth="1"/>
    <col min="1674" max="1674" width="10.6640625" style="458" bestFit="1" customWidth="1"/>
    <col min="1675" max="1675" width="8" style="458" bestFit="1" customWidth="1"/>
    <col min="1676" max="1676" width="10.6640625" style="458" bestFit="1" customWidth="1"/>
    <col min="1677" max="1677" width="8" style="458" bestFit="1" customWidth="1"/>
    <col min="1678" max="1678" width="10.6640625" style="458" bestFit="1" customWidth="1"/>
    <col min="1679" max="1679" width="8" style="458" bestFit="1" customWidth="1"/>
    <col min="1680" max="1680" width="10.6640625" style="458" bestFit="1" customWidth="1"/>
    <col min="1681" max="1681" width="8" style="458" bestFit="1" customWidth="1"/>
    <col min="1682" max="1682" width="10.6640625" style="458" bestFit="1" customWidth="1"/>
    <col min="1683" max="1683" width="8" style="458" bestFit="1" customWidth="1"/>
    <col min="1684" max="1684" width="10.6640625" style="458" bestFit="1" customWidth="1"/>
    <col min="1685" max="1685" width="9" style="458" bestFit="1" customWidth="1"/>
    <col min="1686" max="1686" width="11.6640625" style="458" bestFit="1" customWidth="1"/>
    <col min="1687" max="1687" width="9" style="458" bestFit="1" customWidth="1"/>
    <col min="1688" max="1688" width="11.6640625" style="458" bestFit="1" customWidth="1"/>
    <col min="1689" max="1689" width="9" style="458" bestFit="1" customWidth="1"/>
    <col min="1690" max="1690" width="11.6640625" style="458" bestFit="1" customWidth="1"/>
    <col min="1691" max="1691" width="9" style="458" bestFit="1" customWidth="1"/>
    <col min="1692" max="1692" width="11.6640625" style="458" bestFit="1" customWidth="1"/>
    <col min="1693" max="1693" width="9" style="458" bestFit="1" customWidth="1"/>
    <col min="1694" max="1694" width="11.6640625" style="458" bestFit="1" customWidth="1"/>
    <col min="1695" max="1695" width="9" style="458" bestFit="1" customWidth="1"/>
    <col min="1696" max="1696" width="10.6640625" style="458" bestFit="1" customWidth="1"/>
    <col min="1697" max="1702" width="6.6640625" style="458" bestFit="1" customWidth="1"/>
    <col min="1703" max="1703" width="8.6640625" style="458" bestFit="1" customWidth="1"/>
    <col min="1704" max="1706" width="6.6640625" style="458" bestFit="1" customWidth="1"/>
    <col min="1707" max="1707" width="8.6640625" style="458" bestFit="1" customWidth="1"/>
    <col min="1708" max="1709" width="6.6640625" style="458" bestFit="1" customWidth="1"/>
    <col min="1710" max="1710" width="7.6640625" style="458" bestFit="1" customWidth="1"/>
    <col min="1711" max="1713" width="5.6640625" style="458" bestFit="1" customWidth="1"/>
    <col min="1714" max="1715" width="8.6640625" style="458" bestFit="1" customWidth="1"/>
    <col min="1716" max="1716" width="5.6640625" style="458" bestFit="1" customWidth="1"/>
    <col min="1717" max="1717" width="8.6640625" style="458" bestFit="1" customWidth="1"/>
    <col min="1718" max="1718" width="5.6640625" style="458" bestFit="1" customWidth="1"/>
    <col min="1719" max="1720" width="8.6640625" style="458" bestFit="1" customWidth="1"/>
    <col min="1721" max="1722" width="5.6640625" style="458" bestFit="1" customWidth="1"/>
    <col min="1723" max="1724" width="8.6640625" style="458" bestFit="1" customWidth="1"/>
    <col min="1725" max="1727" width="5.6640625" style="458" bestFit="1" customWidth="1"/>
    <col min="1728" max="1728" width="8.6640625" style="458" bestFit="1" customWidth="1"/>
    <col min="1729" max="1729" width="7.6640625" style="458" bestFit="1" customWidth="1"/>
    <col min="1730" max="1730" width="5.6640625" style="458" bestFit="1" customWidth="1"/>
    <col min="1731" max="1733" width="7.6640625" style="458" bestFit="1" customWidth="1"/>
    <col min="1734" max="1734" width="4.6640625" style="458" bestFit="1" customWidth="1"/>
    <col min="1735" max="1737" width="7.6640625" style="458" bestFit="1" customWidth="1"/>
    <col min="1738" max="1738" width="6.6640625" style="458" bestFit="1" customWidth="1"/>
    <col min="1739" max="1740" width="7.6640625" style="458" bestFit="1" customWidth="1"/>
    <col min="1741" max="1741" width="6.6640625" style="458" bestFit="1" customWidth="1"/>
    <col min="1742" max="1742" width="7.6640625" style="458" bestFit="1" customWidth="1"/>
    <col min="1743" max="1744" width="6.6640625" style="458" bestFit="1" customWidth="1"/>
    <col min="1745" max="1745" width="7.6640625" style="458" bestFit="1" customWidth="1"/>
    <col min="1746" max="1746" width="4.6640625" style="458" bestFit="1" customWidth="1"/>
    <col min="1747" max="1748" width="6.6640625" style="458" bestFit="1" customWidth="1"/>
    <col min="1749" max="1750" width="7.6640625" style="458" bestFit="1" customWidth="1"/>
    <col min="1751" max="1751" width="6.6640625" style="458" bestFit="1" customWidth="1"/>
    <col min="1752" max="1753" width="7.6640625" style="458" bestFit="1" customWidth="1"/>
    <col min="1754" max="1756" width="4.6640625" style="458" bestFit="1" customWidth="1"/>
    <col min="1757" max="1759" width="7.6640625" style="458" bestFit="1" customWidth="1"/>
    <col min="1760" max="1760" width="4.6640625" style="458" bestFit="1" customWidth="1"/>
    <col min="1761" max="1764" width="7.6640625" style="458" bestFit="1" customWidth="1"/>
    <col min="1765" max="1765" width="6.6640625" style="458" bestFit="1" customWidth="1"/>
    <col min="1766" max="1768" width="7.6640625" style="458" bestFit="1" customWidth="1"/>
    <col min="1769" max="1769" width="6.6640625" style="458" bestFit="1" customWidth="1"/>
    <col min="1770" max="1770" width="7.6640625" style="458" bestFit="1" customWidth="1"/>
    <col min="1771" max="1771" width="6.6640625" style="458" bestFit="1" customWidth="1"/>
    <col min="1772" max="1772" width="4.6640625" style="458" bestFit="1" customWidth="1"/>
    <col min="1773" max="1786" width="7.6640625" style="458" bestFit="1" customWidth="1"/>
    <col min="1787" max="1787" width="6.6640625" style="458" bestFit="1" customWidth="1"/>
    <col min="1788" max="1789" width="7.6640625" style="458" bestFit="1" customWidth="1"/>
    <col min="1790" max="1790" width="6.6640625" style="458" bestFit="1" customWidth="1"/>
    <col min="1791" max="1791" width="7.6640625" style="458" bestFit="1" customWidth="1"/>
    <col min="1792" max="1793" width="6.6640625" style="458" bestFit="1" customWidth="1"/>
    <col min="1794" max="1799" width="7.6640625" style="458" bestFit="1" customWidth="1"/>
    <col min="1800" max="1800" width="6.6640625" style="458" bestFit="1" customWidth="1"/>
    <col min="1801" max="1820" width="7.6640625" style="458" bestFit="1" customWidth="1"/>
    <col min="1821" max="1822" width="6.6640625" style="458" bestFit="1" customWidth="1"/>
    <col min="1823" max="1824" width="7.6640625" style="458" bestFit="1" customWidth="1"/>
    <col min="1825" max="1825" width="4.6640625" style="458" bestFit="1" customWidth="1"/>
    <col min="1826" max="1828" width="7.6640625" style="458" bestFit="1" customWidth="1"/>
    <col min="1829" max="1829" width="6.6640625" style="458" bestFit="1" customWidth="1"/>
    <col min="1830" max="1834" width="7.6640625" style="458" bestFit="1" customWidth="1"/>
    <col min="1835" max="1835" width="4.6640625" style="458" bestFit="1" customWidth="1"/>
    <col min="1836" max="1840" width="7.6640625" style="458" bestFit="1" customWidth="1"/>
    <col min="1841" max="1841" width="6.6640625" style="458" bestFit="1" customWidth="1"/>
    <col min="1842" max="1842" width="7.6640625" style="458" bestFit="1" customWidth="1"/>
    <col min="1843" max="1843" width="6.6640625" style="458" bestFit="1" customWidth="1"/>
    <col min="1844" max="1844" width="7.6640625" style="458" bestFit="1" customWidth="1"/>
    <col min="1845" max="1845" width="6.6640625" style="458" bestFit="1" customWidth="1"/>
    <col min="1846" max="1846" width="4.6640625" style="458" bestFit="1" customWidth="1"/>
    <col min="1847" max="1849" width="6.6640625" style="458" bestFit="1" customWidth="1"/>
    <col min="1850" max="1850" width="5.6640625" style="458" bestFit="1" customWidth="1"/>
    <col min="1851" max="1857" width="6.6640625" style="458" bestFit="1" customWidth="1"/>
    <col min="1858" max="1858" width="3.6640625" style="458" bestFit="1" customWidth="1"/>
    <col min="1859" max="1859" width="6.6640625" style="458" bestFit="1" customWidth="1"/>
    <col min="1860" max="1860" width="5.6640625" style="458" bestFit="1" customWidth="1"/>
    <col min="1861" max="1861" width="6.6640625" style="458" bestFit="1" customWidth="1"/>
    <col min="1862" max="1862" width="3.6640625" style="458" bestFit="1" customWidth="1"/>
    <col min="1863" max="1868" width="6.6640625" style="458" bestFit="1" customWidth="1"/>
    <col min="1869" max="1869" width="5.6640625" style="458" bestFit="1" customWidth="1"/>
    <col min="1870" max="1870" width="6.6640625" style="458" bestFit="1" customWidth="1"/>
    <col min="1871" max="1871" width="3.6640625" style="458" bestFit="1" customWidth="1"/>
    <col min="1872" max="1883" width="6.6640625" style="458" bestFit="1" customWidth="1"/>
    <col min="1884" max="1884" width="3.6640625" style="458" bestFit="1" customWidth="1"/>
    <col min="1885" max="1886" width="6.6640625" style="458" bestFit="1" customWidth="1"/>
    <col min="1887" max="1887" width="5.6640625" style="458" bestFit="1" customWidth="1"/>
    <col min="1888" max="1889" width="6.6640625" style="458" bestFit="1" customWidth="1"/>
    <col min="1890" max="1890" width="5.6640625" style="458" bestFit="1" customWidth="1"/>
    <col min="1891" max="1899" width="6.6640625" style="458" bestFit="1" customWidth="1"/>
    <col min="1900" max="1900" width="5.6640625" style="458" bestFit="1" customWidth="1"/>
    <col min="1901" max="1901" width="6.6640625" style="458" bestFit="1" customWidth="1"/>
    <col min="1902" max="1902" width="5.6640625" style="458" bestFit="1" customWidth="1"/>
    <col min="1903" max="1907" width="6.6640625" style="458" bestFit="1" customWidth="1"/>
    <col min="1908" max="1908" width="5.6640625" style="458" bestFit="1" customWidth="1"/>
    <col min="1909" max="1915" width="6.6640625" style="458" bestFit="1" customWidth="1"/>
    <col min="1916" max="1916" width="3.6640625" style="458" bestFit="1" customWidth="1"/>
    <col min="1917" max="1918" width="6.6640625" style="458" bestFit="1" customWidth="1"/>
    <col min="1919" max="1919" width="5.6640625" style="458" bestFit="1" customWidth="1"/>
    <col min="1920" max="1934" width="6.6640625" style="458" bestFit="1" customWidth="1"/>
    <col min="1935" max="1935" width="3.6640625" style="458" bestFit="1" customWidth="1"/>
    <col min="1936" max="1938" width="6.6640625" style="458" bestFit="1" customWidth="1"/>
    <col min="1939" max="1939" width="5.6640625" style="458" bestFit="1" customWidth="1"/>
    <col min="1940" max="1940" width="6.6640625" style="458" bestFit="1" customWidth="1"/>
    <col min="1941" max="1941" width="5.6640625" style="458" bestFit="1" customWidth="1"/>
    <col min="1942" max="1942" width="6.6640625" style="458" bestFit="1" customWidth="1"/>
    <col min="1943" max="1943" width="3.6640625" style="458" bestFit="1" customWidth="1"/>
    <col min="1944" max="1944" width="6.6640625" style="458" bestFit="1" customWidth="1"/>
    <col min="1945" max="1946" width="5.6640625" style="458" bestFit="1" customWidth="1"/>
    <col min="1947" max="1947" width="4.6640625" style="458" bestFit="1" customWidth="1"/>
    <col min="1948" max="1951" width="5.6640625" style="458" bestFit="1" customWidth="1"/>
    <col min="1952" max="1952" width="4.6640625" style="458" bestFit="1" customWidth="1"/>
    <col min="1953" max="1966" width="5.6640625" style="458" bestFit="1" customWidth="1"/>
    <col min="1967" max="1967" width="2.6640625" style="458" bestFit="1" customWidth="1"/>
    <col min="1968" max="1968" width="5.6640625" style="458" bestFit="1" customWidth="1"/>
    <col min="1969" max="1969" width="4.6640625" style="458" bestFit="1" customWidth="1"/>
    <col min="1970" max="1974" width="5.6640625" style="458" bestFit="1" customWidth="1"/>
    <col min="1975" max="1975" width="4.6640625" style="458" bestFit="1" customWidth="1"/>
    <col min="1976" max="1984" width="5.6640625" style="458" bestFit="1" customWidth="1"/>
    <col min="1985" max="1985" width="4.6640625" style="458" bestFit="1" customWidth="1"/>
    <col min="1986" max="1990" width="5.6640625" style="458" bestFit="1" customWidth="1"/>
    <col min="1991" max="1991" width="2" style="458" bestFit="1" customWidth="1"/>
    <col min="1992" max="1994" width="5" style="458" bestFit="1" customWidth="1"/>
    <col min="1995" max="1995" width="4" style="458" bestFit="1" customWidth="1"/>
    <col min="1996" max="2000" width="5" style="458" bestFit="1" customWidth="1"/>
    <col min="2001" max="2001" width="4" style="458" bestFit="1" customWidth="1"/>
    <col min="2002" max="2005" width="5" style="458" bestFit="1" customWidth="1"/>
    <col min="2006" max="2006" width="4" style="458" bestFit="1" customWidth="1"/>
    <col min="2007" max="2012" width="5" style="458" bestFit="1" customWidth="1"/>
    <col min="2013" max="2013" width="4" style="458" bestFit="1" customWidth="1"/>
    <col min="2014" max="2016" width="5" style="458" bestFit="1" customWidth="1"/>
    <col min="2017" max="2017" width="2" style="458" bestFit="1" customWidth="1"/>
    <col min="2018" max="2031" width="5" style="458" bestFit="1" customWidth="1"/>
    <col min="2032" max="2032" width="4" style="458" bestFit="1" customWidth="1"/>
    <col min="2033" max="2046" width="5" style="458" bestFit="1" customWidth="1"/>
    <col min="2047" max="2047" width="4" style="458" bestFit="1" customWidth="1"/>
    <col min="2048" max="2048" width="5" style="458" bestFit="1" customWidth="1"/>
    <col min="2049" max="2049" width="4" style="458" bestFit="1" customWidth="1"/>
    <col min="2050" max="2064" width="5" style="458" bestFit="1" customWidth="1"/>
    <col min="2065" max="2065" width="4" style="458" bestFit="1" customWidth="1"/>
    <col min="2066" max="2069" width="5" style="458" bestFit="1" customWidth="1"/>
    <col min="2070" max="2070" width="4" style="458" bestFit="1" customWidth="1"/>
    <col min="2071" max="2071" width="5" style="458" bestFit="1" customWidth="1"/>
    <col min="2072" max="2072" width="2" style="458" bestFit="1" customWidth="1"/>
    <col min="2073" max="2082" width="5" style="458" bestFit="1" customWidth="1"/>
    <col min="2083" max="2083" width="2" style="458" bestFit="1" customWidth="1"/>
    <col min="2084" max="2115" width="5" style="458" bestFit="1" customWidth="1"/>
    <col min="2116" max="2116" width="2" style="458" bestFit="1" customWidth="1"/>
    <col min="2117" max="2141" width="5" style="458" bestFit="1" customWidth="1"/>
    <col min="2142" max="2142" width="2" style="458" bestFit="1" customWidth="1"/>
    <col min="2143" max="2143" width="5" style="458" bestFit="1" customWidth="1"/>
    <col min="2144" max="2144" width="4" style="458" bestFit="1" customWidth="1"/>
    <col min="2145" max="2145" width="5" style="458" bestFit="1" customWidth="1"/>
    <col min="2146" max="2146" width="4" style="458" bestFit="1" customWidth="1"/>
    <col min="2147" max="2150" width="5" style="458" bestFit="1" customWidth="1"/>
    <col min="2151" max="2151" width="3" style="458" bestFit="1" customWidth="1"/>
    <col min="2152" max="2156" width="6" style="458" bestFit="1" customWidth="1"/>
    <col min="2157" max="2157" width="3" style="458" bestFit="1" customWidth="1"/>
    <col min="2158" max="2165" width="6" style="458" bestFit="1" customWidth="1"/>
    <col min="2166" max="2166" width="5" style="458" bestFit="1" customWidth="1"/>
    <col min="2167" max="2167" width="6" style="458" bestFit="1" customWidth="1"/>
    <col min="2168" max="2169" width="5" style="458" bestFit="1" customWidth="1"/>
    <col min="2170" max="2176" width="6" style="458" bestFit="1" customWidth="1"/>
    <col min="2177" max="2177" width="5" style="458" bestFit="1" customWidth="1"/>
    <col min="2178" max="2179" width="6" style="458" bestFit="1" customWidth="1"/>
    <col min="2180" max="2180" width="5" style="458" bestFit="1" customWidth="1"/>
    <col min="2181" max="2182" width="6" style="458" bestFit="1" customWidth="1"/>
    <col min="2183" max="2183" width="3" style="458" bestFit="1" customWidth="1"/>
    <col min="2184" max="2186" width="6" style="458" bestFit="1" customWidth="1"/>
    <col min="2187" max="2187" width="5" style="458" bestFit="1" customWidth="1"/>
    <col min="2188" max="2188" width="6" style="458" bestFit="1" customWidth="1"/>
    <col min="2189" max="2189" width="5" style="458" bestFit="1" customWidth="1"/>
    <col min="2190" max="2200" width="6" style="458" bestFit="1" customWidth="1"/>
    <col min="2201" max="2201" width="3" style="458" bestFit="1" customWidth="1"/>
    <col min="2202" max="2202" width="6" style="458" bestFit="1" customWidth="1"/>
    <col min="2203" max="2203" width="5" style="458" bestFit="1" customWidth="1"/>
    <col min="2204" max="2215" width="6" style="458" bestFit="1" customWidth="1"/>
    <col min="2216" max="2216" width="3" style="458" bestFit="1" customWidth="1"/>
    <col min="2217" max="2217" width="5" style="458" bestFit="1" customWidth="1"/>
    <col min="2218" max="2218" width="6" style="458" bestFit="1" customWidth="1"/>
    <col min="2219" max="2219" width="5" style="458" bestFit="1" customWidth="1"/>
    <col min="2220" max="2221" width="6" style="458" bestFit="1" customWidth="1"/>
    <col min="2222" max="2222" width="5" style="458" bestFit="1" customWidth="1"/>
    <col min="2223" max="2226" width="6" style="458" bestFit="1" customWidth="1"/>
    <col min="2227" max="2228" width="5" style="458" bestFit="1" customWidth="1"/>
    <col min="2229" max="2230" width="6" style="458" bestFit="1" customWidth="1"/>
    <col min="2231" max="2231" width="3" style="458" bestFit="1" customWidth="1"/>
    <col min="2232" max="2236" width="6" style="458" bestFit="1" customWidth="1"/>
    <col min="2237" max="2237" width="5" style="458" bestFit="1" customWidth="1"/>
    <col min="2238" max="2246" width="6" style="458" bestFit="1" customWidth="1"/>
    <col min="2247" max="2247" width="5" style="458" bestFit="1" customWidth="1"/>
    <col min="2248" max="2251" width="6" style="458" bestFit="1" customWidth="1"/>
    <col min="2252" max="2252" width="3" style="458" bestFit="1" customWidth="1"/>
    <col min="2253" max="2254" width="6" style="458" bestFit="1" customWidth="1"/>
    <col min="2255" max="2255" width="5" style="458" bestFit="1" customWidth="1"/>
    <col min="2256" max="2260" width="6" style="458" bestFit="1" customWidth="1"/>
    <col min="2261" max="2261" width="5" style="458" bestFit="1" customWidth="1"/>
    <col min="2262" max="2263" width="6" style="458" bestFit="1" customWidth="1"/>
    <col min="2264" max="2264" width="5" style="458" bestFit="1" customWidth="1"/>
    <col min="2265" max="2270" width="6" style="458" bestFit="1" customWidth="1"/>
    <col min="2271" max="2271" width="5" style="458" bestFit="1" customWidth="1"/>
    <col min="2272" max="2274" width="6" style="458" bestFit="1" customWidth="1"/>
    <col min="2275" max="2275" width="3" style="458" bestFit="1" customWidth="1"/>
    <col min="2276" max="2284" width="6" style="458" bestFit="1" customWidth="1"/>
    <col min="2285" max="2285" width="5" style="458" bestFit="1" customWidth="1"/>
    <col min="2286" max="2286" width="6" style="458" bestFit="1" customWidth="1"/>
    <col min="2287" max="2287" width="3" style="458" bestFit="1" customWidth="1"/>
    <col min="2288" max="2288" width="5" style="458" bestFit="1" customWidth="1"/>
    <col min="2289" max="2298" width="6" style="458" bestFit="1" customWidth="1"/>
    <col min="2299" max="2299" width="5" style="458" bestFit="1" customWidth="1"/>
    <col min="2300" max="2301" width="6" style="458" bestFit="1" customWidth="1"/>
    <col min="2302" max="2302" width="5" style="458" bestFit="1" customWidth="1"/>
    <col min="2303" max="2304" width="6" style="458" bestFit="1" customWidth="1"/>
    <col min="2305" max="2305" width="5" style="458" bestFit="1" customWidth="1"/>
    <col min="2306" max="2306" width="3" style="458" bestFit="1" customWidth="1"/>
    <col min="2307" max="2310" width="6" style="458" bestFit="1" customWidth="1"/>
    <col min="2311" max="2311" width="3" style="458" bestFit="1" customWidth="1"/>
    <col min="2312" max="2314" width="6" style="458" bestFit="1" customWidth="1"/>
    <col min="2315" max="2315" width="5" style="458" bestFit="1" customWidth="1"/>
    <col min="2316" max="2317" width="6" style="458" bestFit="1" customWidth="1"/>
    <col min="2318" max="2318" width="5" style="458" bestFit="1" customWidth="1"/>
    <col min="2319" max="2322" width="6" style="458" bestFit="1" customWidth="1"/>
    <col min="2323" max="2323" width="3" style="458" bestFit="1" customWidth="1"/>
    <col min="2324" max="2326" width="6" style="458" bestFit="1" customWidth="1"/>
    <col min="2327" max="2327" width="5" style="458" bestFit="1" customWidth="1"/>
    <col min="2328" max="2332" width="6" style="458" bestFit="1" customWidth="1"/>
    <col min="2333" max="2333" width="3" style="458" bestFit="1" customWidth="1"/>
    <col min="2334" max="2334" width="5" style="458" bestFit="1" customWidth="1"/>
    <col min="2335" max="2337" width="6" style="458" bestFit="1" customWidth="1"/>
    <col min="2338" max="2338" width="5" style="458" bestFit="1" customWidth="1"/>
    <col min="2339" max="2341" width="6" style="458" bestFit="1" customWidth="1"/>
    <col min="2342" max="2342" width="5" style="458" bestFit="1" customWidth="1"/>
    <col min="2343" max="2346" width="6" style="458" bestFit="1" customWidth="1"/>
    <col min="2347" max="2347" width="5" style="458" bestFit="1" customWidth="1"/>
    <col min="2348" max="2351" width="6" style="458" bestFit="1" customWidth="1"/>
    <col min="2352" max="2352" width="3" style="458" bestFit="1" customWidth="1"/>
    <col min="2353" max="2358" width="6" style="458" bestFit="1" customWidth="1"/>
    <col min="2359" max="2359" width="5" style="458" bestFit="1" customWidth="1"/>
    <col min="2360" max="2360" width="6" style="458" bestFit="1" customWidth="1"/>
    <col min="2361" max="2361" width="5" style="458" bestFit="1" customWidth="1"/>
    <col min="2362" max="2365" width="6" style="458" bestFit="1" customWidth="1"/>
    <col min="2366" max="2366" width="3" style="458" bestFit="1" customWidth="1"/>
    <col min="2367" max="2368" width="6" style="458" bestFit="1" customWidth="1"/>
    <col min="2369" max="2369" width="5" style="458" bestFit="1" customWidth="1"/>
    <col min="2370" max="2371" width="6" style="458" bestFit="1" customWidth="1"/>
    <col min="2372" max="2372" width="3" style="458" bestFit="1" customWidth="1"/>
    <col min="2373" max="2374" width="6" style="458" bestFit="1" customWidth="1"/>
    <col min="2375" max="2375" width="3" style="458" bestFit="1" customWidth="1"/>
    <col min="2376" max="2378" width="6" style="458" bestFit="1" customWidth="1"/>
    <col min="2379" max="2379" width="3" style="458" bestFit="1" customWidth="1"/>
    <col min="2380" max="2381" width="6" style="458" bestFit="1" customWidth="1"/>
    <col min="2382" max="2382" width="5" style="458" bestFit="1" customWidth="1"/>
    <col min="2383" max="2385" width="6" style="458" bestFit="1" customWidth="1"/>
    <col min="2386" max="2386" width="5" style="458" bestFit="1" customWidth="1"/>
    <col min="2387" max="2387" width="6" style="458" bestFit="1" customWidth="1"/>
    <col min="2388" max="2388" width="3" style="458" bestFit="1" customWidth="1"/>
    <col min="2389" max="2389" width="6" style="458" bestFit="1" customWidth="1"/>
    <col min="2390" max="2390" width="5" style="458" bestFit="1" customWidth="1"/>
    <col min="2391" max="2392" width="6" style="458" bestFit="1" customWidth="1"/>
    <col min="2393" max="2393" width="5" style="458" bestFit="1" customWidth="1"/>
    <col min="2394" max="2400" width="6" style="458" bestFit="1" customWidth="1"/>
    <col min="2401" max="2401" width="3" style="458" bestFit="1" customWidth="1"/>
    <col min="2402" max="2402" width="5" style="458" bestFit="1" customWidth="1"/>
    <col min="2403" max="2412" width="6" style="458" bestFit="1" customWidth="1"/>
    <col min="2413" max="2413" width="3" style="458" bestFit="1" customWidth="1"/>
    <col min="2414" max="2415" width="6" style="458" bestFit="1" customWidth="1"/>
    <col min="2416" max="2416" width="5" style="458" bestFit="1" customWidth="1"/>
    <col min="2417" max="2417" width="3" style="458" bestFit="1" customWidth="1"/>
    <col min="2418" max="2418" width="6" style="458" bestFit="1" customWidth="1"/>
    <col min="2419" max="2420" width="5" style="458" bestFit="1" customWidth="1"/>
    <col min="2421" max="2421" width="6" style="458" bestFit="1" customWidth="1"/>
    <col min="2422" max="2422" width="5" style="458" bestFit="1" customWidth="1"/>
    <col min="2423" max="2423" width="3" style="458" bestFit="1" customWidth="1"/>
    <col min="2424" max="2425" width="6" style="458" bestFit="1" customWidth="1"/>
    <col min="2426" max="2426" width="3" style="458" bestFit="1" customWidth="1"/>
    <col min="2427" max="2430" width="6" style="458" bestFit="1" customWidth="1"/>
    <col min="2431" max="2431" width="5" style="458" bestFit="1" customWidth="1"/>
    <col min="2432" max="2432" width="6" style="458" bestFit="1" customWidth="1"/>
    <col min="2433" max="2433" width="5" style="458" bestFit="1" customWidth="1"/>
    <col min="2434" max="2435" width="6" style="458" bestFit="1" customWidth="1"/>
    <col min="2436" max="2437" width="5" style="458" bestFit="1" customWidth="1"/>
    <col min="2438" max="2443" width="6" style="458" bestFit="1" customWidth="1"/>
    <col min="2444" max="2444" width="3" style="458" bestFit="1" customWidth="1"/>
    <col min="2445" max="2448" width="6" style="458" bestFit="1" customWidth="1"/>
    <col min="2449" max="2449" width="3" style="458" bestFit="1" customWidth="1"/>
    <col min="2450" max="2450" width="6" style="458" bestFit="1" customWidth="1"/>
    <col min="2451" max="2451" width="5" style="458" bestFit="1" customWidth="1"/>
    <col min="2452" max="2453" width="6" style="458" bestFit="1" customWidth="1"/>
    <col min="2454" max="2454" width="3" style="458" bestFit="1" customWidth="1"/>
    <col min="2455" max="2455" width="6" style="458" bestFit="1" customWidth="1"/>
    <col min="2456" max="2456" width="5" style="458" bestFit="1" customWidth="1"/>
    <col min="2457" max="2457" width="6" style="458" bestFit="1" customWidth="1"/>
    <col min="2458" max="2458" width="5" style="458" bestFit="1" customWidth="1"/>
    <col min="2459" max="2459" width="3" style="458" bestFit="1" customWidth="1"/>
    <col min="2460" max="2463" width="6" style="458" bestFit="1" customWidth="1"/>
    <col min="2464" max="2464" width="3" style="458" bestFit="1" customWidth="1"/>
    <col min="2465" max="2466" width="6" style="458" bestFit="1" customWidth="1"/>
    <col min="2467" max="2467" width="5" style="458" bestFit="1" customWidth="1"/>
    <col min="2468" max="2469" width="6" style="458" bestFit="1" customWidth="1"/>
    <col min="2470" max="2471" width="5" style="458" bestFit="1" customWidth="1"/>
    <col min="2472" max="2476" width="6" style="458" bestFit="1" customWidth="1"/>
    <col min="2477" max="2477" width="5" style="458" bestFit="1" customWidth="1"/>
    <col min="2478" max="2478" width="6" style="458" bestFit="1" customWidth="1"/>
    <col min="2479" max="2479" width="3" style="458" bestFit="1" customWidth="1"/>
    <col min="2480" max="2485" width="6" style="458" bestFit="1" customWidth="1"/>
    <col min="2486" max="2486" width="5" style="458" bestFit="1" customWidth="1"/>
    <col min="2487" max="2489" width="6" style="458" bestFit="1" customWidth="1"/>
    <col min="2490" max="2490" width="3" style="458" bestFit="1" customWidth="1"/>
    <col min="2491" max="2496" width="6" style="458" bestFit="1" customWidth="1"/>
    <col min="2497" max="2497" width="5" style="458" bestFit="1" customWidth="1"/>
    <col min="2498" max="2499" width="6" style="458" bestFit="1" customWidth="1"/>
    <col min="2500" max="2500" width="5" style="458" bestFit="1" customWidth="1"/>
    <col min="2501" max="2505" width="6" style="458" bestFit="1" customWidth="1"/>
    <col min="2506" max="2506" width="5" style="458" bestFit="1" customWidth="1"/>
    <col min="2507" max="2508" width="6" style="458" bestFit="1" customWidth="1"/>
    <col min="2509" max="2509" width="5" style="458" bestFit="1" customWidth="1"/>
    <col min="2510" max="2510" width="3" style="458" bestFit="1" customWidth="1"/>
    <col min="2511" max="2511" width="5" style="458" bestFit="1" customWidth="1"/>
    <col min="2512" max="2514" width="6" style="458" bestFit="1" customWidth="1"/>
    <col min="2515" max="2515" width="5" style="458" bestFit="1" customWidth="1"/>
    <col min="2516" max="2520" width="6" style="458" bestFit="1" customWidth="1"/>
    <col min="2521" max="2521" width="5" style="458" bestFit="1" customWidth="1"/>
    <col min="2522" max="2522" width="6" style="458" bestFit="1" customWidth="1"/>
    <col min="2523" max="2523" width="4" style="458" bestFit="1" customWidth="1"/>
    <col min="2524" max="2525" width="6" style="458" bestFit="1" customWidth="1"/>
    <col min="2526" max="2526" width="7" style="458" bestFit="1" customWidth="1"/>
    <col min="2527" max="2527" width="4" style="458" bestFit="1" customWidth="1"/>
    <col min="2528" max="2528" width="7" style="458" bestFit="1" customWidth="1"/>
    <col min="2529" max="2529" width="6" style="458" bestFit="1" customWidth="1"/>
    <col min="2530" max="2530" width="7" style="458" bestFit="1" customWidth="1"/>
    <col min="2531" max="2531" width="6" style="458" bestFit="1" customWidth="1"/>
    <col min="2532" max="2533" width="7" style="458" bestFit="1" customWidth="1"/>
    <col min="2534" max="2534" width="6" style="458" bestFit="1" customWidth="1"/>
    <col min="2535" max="2542" width="7" style="458" bestFit="1" customWidth="1"/>
    <col min="2543" max="2543" width="6" style="458" bestFit="1" customWidth="1"/>
    <col min="2544" max="2546" width="7" style="458" bestFit="1" customWidth="1"/>
    <col min="2547" max="2547" width="6" style="458" bestFit="1" customWidth="1"/>
    <col min="2548" max="2548" width="7" style="458" bestFit="1" customWidth="1"/>
    <col min="2549" max="2549" width="6" style="458" bestFit="1" customWidth="1"/>
    <col min="2550" max="2550" width="7" style="458" bestFit="1" customWidth="1"/>
    <col min="2551" max="2551" width="6" style="458" bestFit="1" customWidth="1"/>
    <col min="2552" max="2554" width="7" style="458" bestFit="1" customWidth="1"/>
    <col min="2555" max="2555" width="6" style="458" bestFit="1" customWidth="1"/>
    <col min="2556" max="2556" width="7" style="458" bestFit="1" customWidth="1"/>
    <col min="2557" max="2557" width="4" style="458" bestFit="1" customWidth="1"/>
    <col min="2558" max="2564" width="7" style="458" bestFit="1" customWidth="1"/>
    <col min="2565" max="2565" width="4" style="458" bestFit="1" customWidth="1"/>
    <col min="2566" max="2566" width="7" style="458" bestFit="1" customWidth="1"/>
    <col min="2567" max="2567" width="4" style="458" bestFit="1" customWidth="1"/>
    <col min="2568" max="2570" width="7" style="458" bestFit="1" customWidth="1"/>
    <col min="2571" max="2571" width="6" style="458" bestFit="1" customWidth="1"/>
    <col min="2572" max="2572" width="4" style="458" bestFit="1" customWidth="1"/>
    <col min="2573" max="2574" width="7" style="458" bestFit="1" customWidth="1"/>
    <col min="2575" max="2575" width="4" style="458" bestFit="1" customWidth="1"/>
    <col min="2576" max="2578" width="7" style="458" bestFit="1" customWidth="1"/>
    <col min="2579" max="2579" width="4" style="458" bestFit="1" customWidth="1"/>
    <col min="2580" max="2580" width="6" style="458" bestFit="1" customWidth="1"/>
    <col min="2581" max="2586" width="7" style="458" bestFit="1" customWidth="1"/>
    <col min="2587" max="2587" width="6" style="458" bestFit="1" customWidth="1"/>
    <col min="2588" max="2588" width="7" style="458" bestFit="1" customWidth="1"/>
    <col min="2589" max="2589" width="6" style="458" bestFit="1" customWidth="1"/>
    <col min="2590" max="2592" width="7" style="458" bestFit="1" customWidth="1"/>
    <col min="2593" max="2593" width="6" style="458" bestFit="1" customWidth="1"/>
    <col min="2594" max="2595" width="7" style="458" bestFit="1" customWidth="1"/>
    <col min="2596" max="2597" width="4" style="458" bestFit="1" customWidth="1"/>
    <col min="2598" max="2598" width="7" style="458" bestFit="1" customWidth="1"/>
    <col min="2599" max="2599" width="6" style="458" bestFit="1" customWidth="1"/>
    <col min="2600" max="2600" width="7" style="458" bestFit="1" customWidth="1"/>
    <col min="2601" max="2601" width="6" style="458" bestFit="1" customWidth="1"/>
    <col min="2602" max="2606" width="7" style="458" bestFit="1" customWidth="1"/>
    <col min="2607" max="2607" width="4" style="458" bestFit="1" customWidth="1"/>
    <col min="2608" max="2609" width="6" style="458" bestFit="1" customWidth="1"/>
    <col min="2610" max="2617" width="7" style="458" bestFit="1" customWidth="1"/>
    <col min="2618" max="2619" width="6" style="458" bestFit="1" customWidth="1"/>
    <col min="2620" max="2620" width="7" style="458" bestFit="1" customWidth="1"/>
    <col min="2621" max="2622" width="6" style="458" bestFit="1" customWidth="1"/>
    <col min="2623" max="2623" width="7" style="458" bestFit="1" customWidth="1"/>
    <col min="2624" max="2624" width="6" style="458" bestFit="1" customWidth="1"/>
    <col min="2625" max="2625" width="7" style="458" bestFit="1" customWidth="1"/>
    <col min="2626" max="2626" width="4" style="458" bestFit="1" customWidth="1"/>
    <col min="2627" max="2627" width="6" style="458" bestFit="1" customWidth="1"/>
    <col min="2628" max="2632" width="7" style="458" bestFit="1" customWidth="1"/>
    <col min="2633" max="2633" width="4" style="458" bestFit="1" customWidth="1"/>
    <col min="2634" max="2636" width="7" style="458" bestFit="1" customWidth="1"/>
    <col min="2637" max="2637" width="6" style="458" bestFit="1" customWidth="1"/>
    <col min="2638" max="2638" width="7" style="458" bestFit="1" customWidth="1"/>
    <col min="2639" max="2639" width="6" style="458" bestFit="1" customWidth="1"/>
    <col min="2640" max="2643" width="7" style="458" bestFit="1" customWidth="1"/>
    <col min="2644" max="2644" width="6" style="458" bestFit="1" customWidth="1"/>
    <col min="2645" max="2647" width="7" style="458" bestFit="1" customWidth="1"/>
    <col min="2648" max="2648" width="4" style="458" bestFit="1" customWidth="1"/>
    <col min="2649" max="2652" width="7" style="458" bestFit="1" customWidth="1"/>
    <col min="2653" max="2653" width="6" style="458" bestFit="1" customWidth="1"/>
    <col min="2654" max="2654" width="7" style="458" bestFit="1" customWidth="1"/>
    <col min="2655" max="2655" width="4" style="458" bestFit="1" customWidth="1"/>
    <col min="2656" max="2661" width="7" style="458" bestFit="1" customWidth="1"/>
    <col min="2662" max="2663" width="6" style="458" bestFit="1" customWidth="1"/>
    <col min="2664" max="2666" width="7" style="458" bestFit="1" customWidth="1"/>
    <col min="2667" max="2667" width="6" style="458" bestFit="1" customWidth="1"/>
    <col min="2668" max="2673" width="7" style="458" bestFit="1" customWidth="1"/>
    <col min="2674" max="2674" width="4" style="458" bestFit="1" customWidth="1"/>
    <col min="2675" max="2675" width="6" style="458" bestFit="1" customWidth="1"/>
    <col min="2676" max="2677" width="7" style="458" bestFit="1" customWidth="1"/>
    <col min="2678" max="2678" width="6" style="458" bestFit="1" customWidth="1"/>
    <col min="2679" max="2684" width="7" style="458" bestFit="1" customWidth="1"/>
    <col min="2685" max="2685" width="4" style="458" bestFit="1" customWidth="1"/>
    <col min="2686" max="2687" width="6" style="458" bestFit="1" customWidth="1"/>
    <col min="2688" max="2691" width="7" style="458" bestFit="1" customWidth="1"/>
    <col min="2692" max="2692" width="6" style="458" bestFit="1" customWidth="1"/>
    <col min="2693" max="2693" width="7" style="458" bestFit="1" customWidth="1"/>
    <col min="2694" max="2695" width="6" style="458" bestFit="1" customWidth="1"/>
    <col min="2696" max="2696" width="7" style="458" bestFit="1" customWidth="1"/>
    <col min="2697" max="2697" width="4" style="458" bestFit="1" customWidth="1"/>
    <col min="2698" max="2698" width="7" style="458" bestFit="1" customWidth="1"/>
    <col min="2699" max="2699" width="6" style="458" bestFit="1" customWidth="1"/>
    <col min="2700" max="2700" width="4" style="458" bestFit="1" customWidth="1"/>
    <col min="2701" max="2701" width="6" style="458" bestFit="1" customWidth="1"/>
    <col min="2702" max="2702" width="7" style="458" bestFit="1" customWidth="1"/>
    <col min="2703" max="2703" width="4" style="458" bestFit="1" customWidth="1"/>
    <col min="2704" max="2704" width="7" style="458" bestFit="1" customWidth="1"/>
    <col min="2705" max="2705" width="6" style="458" bestFit="1" customWidth="1"/>
    <col min="2706" max="2707" width="7" style="458" bestFit="1" customWidth="1"/>
    <col min="2708" max="2708" width="4" style="458" bestFit="1" customWidth="1"/>
    <col min="2709" max="2713" width="7" style="458" bestFit="1" customWidth="1"/>
    <col min="2714" max="2714" width="6" style="458" bestFit="1" customWidth="1"/>
    <col min="2715" max="2719" width="7" style="458" bestFit="1" customWidth="1"/>
    <col min="2720" max="2720" width="6" style="458" bestFit="1" customWidth="1"/>
    <col min="2721" max="2723" width="7" style="458" bestFit="1" customWidth="1"/>
    <col min="2724" max="2724" width="6" style="458" bestFit="1" customWidth="1"/>
    <col min="2725" max="2725" width="7" style="458" bestFit="1" customWidth="1"/>
    <col min="2726" max="2727" width="6" style="458" bestFit="1" customWidth="1"/>
    <col min="2728" max="2729" width="7" style="458" bestFit="1" customWidth="1"/>
    <col min="2730" max="2730" width="6" style="458" bestFit="1" customWidth="1"/>
    <col min="2731" max="2732" width="7" style="458" bestFit="1" customWidth="1"/>
    <col min="2733" max="2733" width="4" style="458" bestFit="1" customWidth="1"/>
    <col min="2734" max="2734" width="6" style="458" bestFit="1" customWidth="1"/>
    <col min="2735" max="2735" width="4" style="458" bestFit="1" customWidth="1"/>
    <col min="2736" max="2738" width="7" style="458" bestFit="1" customWidth="1"/>
    <col min="2739" max="2739" width="6" style="458" bestFit="1" customWidth="1"/>
    <col min="2740" max="2740" width="7" style="458" bestFit="1" customWidth="1"/>
    <col min="2741" max="2741" width="6" style="458" bestFit="1" customWidth="1"/>
    <col min="2742" max="2744" width="7" style="458" bestFit="1" customWidth="1"/>
    <col min="2745" max="2747" width="6" style="458" bestFit="1" customWidth="1"/>
    <col min="2748" max="2749" width="7" style="458" bestFit="1" customWidth="1"/>
    <col min="2750" max="2751" width="4" style="458" bestFit="1" customWidth="1"/>
    <col min="2752" max="2752" width="7" style="458" bestFit="1" customWidth="1"/>
    <col min="2753" max="2753" width="6" style="458" bestFit="1" customWidth="1"/>
    <col min="2754" max="2754" width="7" style="458" bestFit="1" customWidth="1"/>
    <col min="2755" max="2756" width="6" style="458" bestFit="1" customWidth="1"/>
    <col min="2757" max="2757" width="7" style="458" bestFit="1" customWidth="1"/>
    <col min="2758" max="2758" width="4" style="458" bestFit="1" customWidth="1"/>
    <col min="2759" max="2759" width="7" style="458" bestFit="1" customWidth="1"/>
    <col min="2760" max="2760" width="6" style="458" bestFit="1" customWidth="1"/>
    <col min="2761" max="2761" width="7" style="458" bestFit="1" customWidth="1"/>
    <col min="2762" max="2762" width="6" style="458" bestFit="1" customWidth="1"/>
    <col min="2763" max="2763" width="4" style="458" bestFit="1" customWidth="1"/>
    <col min="2764" max="2764" width="6" style="458" bestFit="1" customWidth="1"/>
    <col min="2765" max="2769" width="7" style="458" bestFit="1" customWidth="1"/>
    <col min="2770" max="2771" width="4" style="458" bestFit="1" customWidth="1"/>
    <col min="2772" max="2772" width="6" style="458" bestFit="1" customWidth="1"/>
    <col min="2773" max="2775" width="7" style="458" bestFit="1" customWidth="1"/>
    <col min="2776" max="2776" width="4" style="458" bestFit="1" customWidth="1"/>
    <col min="2777" max="2778" width="7" style="458" bestFit="1" customWidth="1"/>
    <col min="2779" max="2779" width="4" style="458" bestFit="1" customWidth="1"/>
    <col min="2780" max="2781" width="6" style="458" bestFit="1" customWidth="1"/>
    <col min="2782" max="2782" width="7" style="458" bestFit="1" customWidth="1"/>
    <col min="2783" max="2783" width="6" style="458" bestFit="1" customWidth="1"/>
    <col min="2784" max="2785" width="7" style="458" bestFit="1" customWidth="1"/>
    <col min="2786" max="2786" width="6" style="458" bestFit="1" customWidth="1"/>
    <col min="2787" max="2788" width="7" style="458" bestFit="1" customWidth="1"/>
    <col min="2789" max="2790" width="6" style="458" bestFit="1" customWidth="1"/>
    <col min="2791" max="2791" width="7" style="458" bestFit="1" customWidth="1"/>
    <col min="2792" max="2792" width="4" style="458" bestFit="1" customWidth="1"/>
    <col min="2793" max="2795" width="7" style="458" bestFit="1" customWidth="1"/>
    <col min="2796" max="2796" width="6" style="458" bestFit="1" customWidth="1"/>
    <col min="2797" max="2797" width="4" style="458" bestFit="1" customWidth="1"/>
    <col min="2798" max="2799" width="7" style="458" bestFit="1" customWidth="1"/>
    <col min="2800" max="2800" width="6" style="458" bestFit="1" customWidth="1"/>
    <col min="2801" max="2802" width="7" style="458" bestFit="1" customWidth="1"/>
    <col min="2803" max="2803" width="6" style="458" bestFit="1" customWidth="1"/>
    <col min="2804" max="2805" width="7" style="458" bestFit="1" customWidth="1"/>
    <col min="2806" max="2806" width="4" style="458" bestFit="1" customWidth="1"/>
    <col min="2807" max="2807" width="6" style="458" bestFit="1" customWidth="1"/>
    <col min="2808" max="2809" width="7" style="458" bestFit="1" customWidth="1"/>
    <col min="2810" max="2810" width="6" style="458" bestFit="1" customWidth="1"/>
    <col min="2811" max="2811" width="7" style="458" bestFit="1" customWidth="1"/>
    <col min="2812" max="2812" width="6" style="458" bestFit="1" customWidth="1"/>
    <col min="2813" max="2813" width="4" style="458" bestFit="1" customWidth="1"/>
    <col min="2814" max="2815" width="7" style="458" bestFit="1" customWidth="1"/>
    <col min="2816" max="2817" width="6" style="458" bestFit="1" customWidth="1"/>
    <col min="2818" max="2818" width="7" style="458" bestFit="1" customWidth="1"/>
    <col min="2819" max="2819" width="6" style="458" bestFit="1" customWidth="1"/>
    <col min="2820" max="2821" width="7" style="458" bestFit="1" customWidth="1"/>
    <col min="2822" max="2822" width="6" style="458" bestFit="1" customWidth="1"/>
    <col min="2823" max="2823" width="7" style="458" bestFit="1" customWidth="1"/>
    <col min="2824" max="2827" width="6" style="458" bestFit="1" customWidth="1"/>
    <col min="2828" max="2828" width="4" style="458" bestFit="1" customWidth="1"/>
    <col min="2829" max="2829" width="6" style="458" bestFit="1" customWidth="1"/>
    <col min="2830" max="2830" width="7" style="458" bestFit="1" customWidth="1"/>
    <col min="2831" max="2831" width="4" style="458" bestFit="1" customWidth="1"/>
    <col min="2832" max="2832" width="7" style="458" bestFit="1" customWidth="1"/>
    <col min="2833" max="2833" width="6" style="458" bestFit="1" customWidth="1"/>
    <col min="2834" max="2834" width="4" style="458" bestFit="1" customWidth="1"/>
    <col min="2835" max="2836" width="7" style="458" bestFit="1" customWidth="1"/>
    <col min="2837" max="2837" width="6" style="458" bestFit="1" customWidth="1"/>
    <col min="2838" max="2841" width="7" style="458" bestFit="1" customWidth="1"/>
    <col min="2842" max="2842" width="6" style="458" bestFit="1" customWidth="1"/>
    <col min="2843" max="2845" width="7" style="458" bestFit="1" customWidth="1"/>
    <col min="2846" max="2847" width="6" style="458" bestFit="1" customWidth="1"/>
    <col min="2848" max="2848" width="7" style="458" bestFit="1" customWidth="1"/>
    <col min="2849" max="2849" width="4" style="458" bestFit="1" customWidth="1"/>
    <col min="2850" max="2852" width="7" style="458" bestFit="1" customWidth="1"/>
    <col min="2853" max="2853" width="6" style="458" bestFit="1" customWidth="1"/>
    <col min="2854" max="2854" width="7" style="458" bestFit="1" customWidth="1"/>
    <col min="2855" max="2855" width="6" style="458" bestFit="1" customWidth="1"/>
    <col min="2856" max="2856" width="4" style="458" bestFit="1" customWidth="1"/>
    <col min="2857" max="2858" width="7" style="458" bestFit="1" customWidth="1"/>
    <col min="2859" max="2859" width="6" style="458" bestFit="1" customWidth="1"/>
    <col min="2860" max="2862" width="7" style="458" bestFit="1" customWidth="1"/>
    <col min="2863" max="2863" width="6" style="458" bestFit="1" customWidth="1"/>
    <col min="2864" max="2864" width="7" style="458" bestFit="1" customWidth="1"/>
    <col min="2865" max="2865" width="4" style="458" bestFit="1" customWidth="1"/>
    <col min="2866" max="2866" width="7" style="458" bestFit="1" customWidth="1"/>
    <col min="2867" max="2867" width="4" style="458" bestFit="1" customWidth="1"/>
    <col min="2868" max="2868" width="7" style="458" bestFit="1" customWidth="1"/>
    <col min="2869" max="2869" width="4" style="458" bestFit="1" customWidth="1"/>
    <col min="2870" max="2871" width="6" style="458" bestFit="1" customWidth="1"/>
    <col min="2872" max="2873" width="7" style="458" bestFit="1" customWidth="1"/>
    <col min="2874" max="2874" width="4" style="458" bestFit="1" customWidth="1"/>
    <col min="2875" max="2875" width="7" style="458" bestFit="1" customWidth="1"/>
    <col min="2876" max="2878" width="6" style="458" bestFit="1" customWidth="1"/>
    <col min="2879" max="2879" width="7" style="458" bestFit="1" customWidth="1"/>
    <col min="2880" max="2880" width="6" style="458" bestFit="1" customWidth="1"/>
    <col min="2881" max="2885" width="7" style="458" bestFit="1" customWidth="1"/>
    <col min="2886" max="2886" width="4" style="458" bestFit="1" customWidth="1"/>
    <col min="2887" max="2887" width="7" style="458" bestFit="1" customWidth="1"/>
    <col min="2888" max="2888" width="6" style="458" bestFit="1" customWidth="1"/>
    <col min="2889" max="2890" width="7" style="458" bestFit="1" customWidth="1"/>
    <col min="2891" max="2891" width="4" style="458" bestFit="1" customWidth="1"/>
    <col min="2892" max="2892" width="6" style="458" bestFit="1" customWidth="1"/>
    <col min="2893" max="2894" width="7" style="458" bestFit="1" customWidth="1"/>
    <col min="2895" max="2895" width="6" style="458" bestFit="1" customWidth="1"/>
    <col min="2896" max="2896" width="7" style="458" bestFit="1" customWidth="1"/>
    <col min="2897" max="2897" width="6" style="458" bestFit="1" customWidth="1"/>
    <col min="2898" max="2900" width="7" style="458" bestFit="1" customWidth="1"/>
    <col min="2901" max="2901" width="6" style="458" bestFit="1" customWidth="1"/>
    <col min="2902" max="2903" width="7" style="458" bestFit="1" customWidth="1"/>
    <col min="2904" max="2904" width="4" style="458" bestFit="1" customWidth="1"/>
    <col min="2905" max="2907" width="7" style="458" bestFit="1" customWidth="1"/>
    <col min="2908" max="2908" width="4" style="458" bestFit="1" customWidth="1"/>
    <col min="2909" max="2910" width="7" style="458" bestFit="1" customWidth="1"/>
    <col min="2911" max="2912" width="4" style="458" bestFit="1" customWidth="1"/>
    <col min="2913" max="2913" width="6" style="458" bestFit="1" customWidth="1"/>
    <col min="2914" max="2914" width="7" style="458" bestFit="1" customWidth="1"/>
    <col min="2915" max="2915" width="6" style="458" bestFit="1" customWidth="1"/>
    <col min="2916" max="2917" width="7" style="458" bestFit="1" customWidth="1"/>
    <col min="2918" max="2918" width="6" style="458" bestFit="1" customWidth="1"/>
    <col min="2919" max="2919" width="4" style="458" bestFit="1" customWidth="1"/>
    <col min="2920" max="2923" width="7" style="458" bestFit="1" customWidth="1"/>
    <col min="2924" max="2924" width="4" style="458" bestFit="1" customWidth="1"/>
    <col min="2925" max="2925" width="7" style="458" bestFit="1" customWidth="1"/>
    <col min="2926" max="2927" width="4" style="458" bestFit="1" customWidth="1"/>
    <col min="2928" max="2928" width="6" style="458" bestFit="1" customWidth="1"/>
    <col min="2929" max="2931" width="7" style="458" bestFit="1" customWidth="1"/>
    <col min="2932" max="2932" width="6" style="458" bestFit="1" customWidth="1"/>
    <col min="2933" max="2933" width="7" style="458" bestFit="1" customWidth="1"/>
    <col min="2934" max="2934" width="6" style="458" bestFit="1" customWidth="1"/>
    <col min="2935" max="2937" width="7" style="458" bestFit="1" customWidth="1"/>
    <col min="2938" max="2938" width="6" style="458" bestFit="1" customWidth="1"/>
    <col min="2939" max="2940" width="7" style="458" bestFit="1" customWidth="1"/>
    <col min="2941" max="2941" width="6" style="458" bestFit="1" customWidth="1"/>
    <col min="2942" max="2942" width="7" style="458" bestFit="1" customWidth="1"/>
    <col min="2943" max="2944" width="6" style="458" bestFit="1" customWidth="1"/>
    <col min="2945" max="2945" width="7" style="458" bestFit="1" customWidth="1"/>
    <col min="2946" max="2946" width="6" style="458" bestFit="1" customWidth="1"/>
    <col min="2947" max="2947" width="4" style="458" bestFit="1" customWidth="1"/>
    <col min="2948" max="2949" width="7" style="458" bestFit="1" customWidth="1"/>
    <col min="2950" max="2950" width="6" style="458" bestFit="1" customWidth="1"/>
    <col min="2951" max="2951" width="4" style="458" bestFit="1" customWidth="1"/>
    <col min="2952" max="2954" width="6" style="458" bestFit="1" customWidth="1"/>
    <col min="2955" max="2955" width="7" style="458" bestFit="1" customWidth="1"/>
    <col min="2956" max="2957" width="6" style="458" bestFit="1" customWidth="1"/>
    <col min="2958" max="2958" width="4" style="458" bestFit="1" customWidth="1"/>
    <col min="2959" max="2959" width="7" style="458" bestFit="1" customWidth="1"/>
    <col min="2960" max="2961" width="6" style="458" bestFit="1" customWidth="1"/>
    <col min="2962" max="2962" width="7" style="458" bestFit="1" customWidth="1"/>
    <col min="2963" max="2963" width="6" style="458" bestFit="1" customWidth="1"/>
    <col min="2964" max="2970" width="7" style="458" bestFit="1" customWidth="1"/>
    <col min="2971" max="2971" width="6" style="458" bestFit="1" customWidth="1"/>
    <col min="2972" max="2972" width="4" style="458" bestFit="1" customWidth="1"/>
    <col min="2973" max="2973" width="6" style="458" bestFit="1" customWidth="1"/>
    <col min="2974" max="2976" width="7" style="458" bestFit="1" customWidth="1"/>
    <col min="2977" max="2977" width="6" style="458" bestFit="1" customWidth="1"/>
    <col min="2978" max="2980" width="7" style="458" bestFit="1" customWidth="1"/>
    <col min="2981" max="2981" width="4" style="458" bestFit="1" customWidth="1"/>
    <col min="2982" max="2983" width="7" style="458" bestFit="1" customWidth="1"/>
    <col min="2984" max="2984" width="6" style="458" bestFit="1" customWidth="1"/>
    <col min="2985" max="2985" width="7" style="458" bestFit="1" customWidth="1"/>
    <col min="2986" max="2986" width="6" style="458" bestFit="1" customWidth="1"/>
    <col min="2987" max="2990" width="7" style="458" bestFit="1" customWidth="1"/>
    <col min="2991" max="2991" width="4" style="458" bestFit="1" customWidth="1"/>
    <col min="2992" max="2992" width="7" style="458" bestFit="1" customWidth="1"/>
    <col min="2993" max="2993" width="6" style="458" bestFit="1" customWidth="1"/>
    <col min="2994" max="2998" width="7" style="458" bestFit="1" customWidth="1"/>
    <col min="2999" max="2999" width="4" style="458" bestFit="1" customWidth="1"/>
    <col min="3000" max="3000" width="6" style="458" bestFit="1" customWidth="1"/>
    <col min="3001" max="3002" width="7" style="458" bestFit="1" customWidth="1"/>
    <col min="3003" max="3003" width="4" style="458" bestFit="1" customWidth="1"/>
    <col min="3004" max="3005" width="7" style="458" bestFit="1" customWidth="1"/>
    <col min="3006" max="3006" width="6" style="458" bestFit="1" customWidth="1"/>
    <col min="3007" max="3007" width="4" style="458" bestFit="1" customWidth="1"/>
    <col min="3008" max="3008" width="7" style="458" bestFit="1" customWidth="1"/>
    <col min="3009" max="3009" width="4" style="458" bestFit="1" customWidth="1"/>
    <col min="3010" max="3012" width="7" style="458" bestFit="1" customWidth="1"/>
    <col min="3013" max="3013" width="6" style="458" bestFit="1" customWidth="1"/>
    <col min="3014" max="3014" width="4" style="458" bestFit="1" customWidth="1"/>
    <col min="3015" max="3017" width="7" style="458" bestFit="1" customWidth="1"/>
    <col min="3018" max="3018" width="6" style="458" bestFit="1" customWidth="1"/>
    <col min="3019" max="3020" width="7" style="458" bestFit="1" customWidth="1"/>
    <col min="3021" max="3021" width="5" style="458" bestFit="1" customWidth="1"/>
    <col min="3022" max="3022" width="8" style="458" bestFit="1" customWidth="1"/>
    <col min="3023" max="3023" width="7" style="458" bestFit="1" customWidth="1"/>
    <col min="3024" max="3025" width="8" style="458" bestFit="1" customWidth="1"/>
    <col min="3026" max="3026" width="7" style="458" bestFit="1" customWidth="1"/>
    <col min="3027" max="3028" width="8" style="458" bestFit="1" customWidth="1"/>
    <col min="3029" max="3029" width="7" style="458" bestFit="1" customWidth="1"/>
    <col min="3030" max="3030" width="5" style="458" bestFit="1" customWidth="1"/>
    <col min="3031" max="3031" width="7" style="458" bestFit="1" customWidth="1"/>
    <col min="3032" max="3032" width="5" style="458" bestFit="1" customWidth="1"/>
    <col min="3033" max="3037" width="8" style="458" bestFit="1" customWidth="1"/>
    <col min="3038" max="3038" width="7" style="458" bestFit="1" customWidth="1"/>
    <col min="3039" max="3039" width="8" style="458" bestFit="1" customWidth="1"/>
    <col min="3040" max="3040" width="5" style="458" bestFit="1" customWidth="1"/>
    <col min="3041" max="3041" width="7" style="458" bestFit="1" customWidth="1"/>
    <col min="3042" max="3042" width="8" style="458" bestFit="1" customWidth="1"/>
    <col min="3043" max="3043" width="5" style="458" bestFit="1" customWidth="1"/>
    <col min="3044" max="3046" width="8" style="458" bestFit="1" customWidth="1"/>
    <col min="3047" max="3047" width="7" style="458" bestFit="1" customWidth="1"/>
    <col min="3048" max="3048" width="5" style="458" bestFit="1" customWidth="1"/>
    <col min="3049" max="3049" width="8" style="458" bestFit="1" customWidth="1"/>
    <col min="3050" max="3050" width="7" style="458" bestFit="1" customWidth="1"/>
    <col min="3051" max="3051" width="8" style="458" bestFit="1" customWidth="1"/>
    <col min="3052" max="3052" width="5" style="458" bestFit="1" customWidth="1"/>
    <col min="3053" max="3053" width="8" style="458" bestFit="1" customWidth="1"/>
    <col min="3054" max="3054" width="7" style="458" bestFit="1" customWidth="1"/>
    <col min="3055" max="3056" width="8" style="458" bestFit="1" customWidth="1"/>
    <col min="3057" max="3057" width="5" style="458" bestFit="1" customWidth="1"/>
    <col min="3058" max="3058" width="7" style="458" bestFit="1" customWidth="1"/>
    <col min="3059" max="3061" width="8" style="458" bestFit="1" customWidth="1"/>
    <col min="3062" max="3062" width="5" style="458" bestFit="1" customWidth="1"/>
    <col min="3063" max="3067" width="8" style="458" bestFit="1" customWidth="1"/>
    <col min="3068" max="3069" width="5" style="458" bestFit="1" customWidth="1"/>
    <col min="3070" max="3070" width="8" style="458" bestFit="1" customWidth="1"/>
    <col min="3071" max="3072" width="5" style="458" bestFit="1" customWidth="1"/>
    <col min="3073" max="3074" width="7" style="458" bestFit="1" customWidth="1"/>
    <col min="3075" max="3076" width="8" style="458" bestFit="1" customWidth="1"/>
    <col min="3077" max="3077" width="7" style="458" bestFit="1" customWidth="1"/>
    <col min="3078" max="3078" width="5" style="458" bestFit="1" customWidth="1"/>
    <col min="3079" max="3080" width="8" style="458" bestFit="1" customWidth="1"/>
    <col min="3081" max="3082" width="5" style="458" bestFit="1" customWidth="1"/>
    <col min="3083" max="3083" width="7" style="458" bestFit="1" customWidth="1"/>
    <col min="3084" max="3084" width="6" style="458" bestFit="1" customWidth="1"/>
    <col min="3085" max="3086" width="8" style="458" bestFit="1" customWidth="1"/>
    <col min="3087" max="3089" width="6" style="458" bestFit="1" customWidth="1"/>
    <col min="3090" max="3091" width="10" style="458" bestFit="1" customWidth="1"/>
    <col min="3092" max="3092" width="7.109375" style="458" bestFit="1" customWidth="1"/>
    <col min="3093" max="3093" width="11.6640625" style="458" bestFit="1" customWidth="1"/>
    <col min="3094" max="3095" width="9.6640625" style="458" bestFit="1" customWidth="1"/>
    <col min="3096" max="3096" width="12.33203125" style="458" bestFit="1" customWidth="1"/>
    <col min="3097" max="3097" width="9.6640625" style="458" bestFit="1" customWidth="1"/>
    <col min="3098" max="3098" width="12.33203125" style="458" bestFit="1" customWidth="1"/>
    <col min="3099" max="3099" width="8.6640625" style="458" bestFit="1" customWidth="1"/>
    <col min="3100" max="3100" width="11.33203125" style="458" bestFit="1" customWidth="1"/>
    <col min="3101" max="3101" width="8.6640625" style="458" bestFit="1" customWidth="1"/>
    <col min="3102" max="3102" width="11.33203125" style="458" bestFit="1" customWidth="1"/>
    <col min="3103" max="3103" width="8.6640625" style="458" bestFit="1" customWidth="1"/>
    <col min="3104" max="3104" width="11.33203125" style="458" bestFit="1" customWidth="1"/>
    <col min="3105" max="3105" width="8.6640625" style="458" bestFit="1" customWidth="1"/>
    <col min="3106" max="3106" width="11.33203125" style="458" bestFit="1" customWidth="1"/>
    <col min="3107" max="3107" width="8.6640625" style="458" bestFit="1" customWidth="1"/>
    <col min="3108" max="3108" width="11.33203125" style="458" bestFit="1" customWidth="1"/>
    <col min="3109" max="3109" width="8.6640625" style="458" bestFit="1" customWidth="1"/>
    <col min="3110" max="3110" width="11.33203125" style="458" bestFit="1" customWidth="1"/>
    <col min="3111" max="3111" width="7.6640625" style="458" bestFit="1" customWidth="1"/>
    <col min="3112" max="3112" width="10.33203125" style="458" bestFit="1" customWidth="1"/>
    <col min="3113" max="3113" width="7.6640625" style="458" bestFit="1" customWidth="1"/>
    <col min="3114" max="3114" width="10.33203125" style="458" bestFit="1" customWidth="1"/>
    <col min="3115" max="3115" width="7.6640625" style="458" bestFit="1" customWidth="1"/>
    <col min="3116" max="3116" width="10.33203125" style="458" bestFit="1" customWidth="1"/>
    <col min="3117" max="3117" width="7.6640625" style="458" bestFit="1" customWidth="1"/>
    <col min="3118" max="3118" width="10.33203125" style="458" bestFit="1" customWidth="1"/>
    <col min="3119" max="3119" width="7.6640625" style="458" bestFit="1" customWidth="1"/>
    <col min="3120" max="3120" width="10.33203125" style="458" bestFit="1" customWidth="1"/>
    <col min="3121" max="3121" width="7.6640625" style="458" bestFit="1" customWidth="1"/>
    <col min="3122" max="3122" width="10.33203125" style="458" bestFit="1" customWidth="1"/>
    <col min="3123" max="3123" width="7.6640625" style="458" bestFit="1" customWidth="1"/>
    <col min="3124" max="3124" width="10.33203125" style="458" bestFit="1" customWidth="1"/>
    <col min="3125" max="3125" width="7.109375" style="458" bestFit="1" customWidth="1"/>
    <col min="3126" max="3126" width="6.6640625" style="458" bestFit="1" customWidth="1"/>
    <col min="3127" max="3127" width="7.109375" style="458" bestFit="1" customWidth="1"/>
    <col min="3128" max="3128" width="6.6640625" style="458" bestFit="1" customWidth="1"/>
    <col min="3129" max="3129" width="7.109375" style="458" bestFit="1" customWidth="1"/>
    <col min="3130" max="3130" width="6.6640625" style="458" bestFit="1" customWidth="1"/>
    <col min="3131" max="3131" width="7.109375" style="458" bestFit="1" customWidth="1"/>
    <col min="3132" max="3132" width="7.6640625" style="458" bestFit="1" customWidth="1"/>
    <col min="3133" max="3133" width="7.109375" style="458" bestFit="1" customWidth="1"/>
    <col min="3134" max="3134" width="7.6640625" style="458" bestFit="1" customWidth="1"/>
    <col min="3135" max="3135" width="7.109375" style="458" bestFit="1" customWidth="1"/>
    <col min="3136" max="3136" width="7.6640625" style="458" bestFit="1" customWidth="1"/>
    <col min="3137" max="3137" width="7.109375" style="458" bestFit="1" customWidth="1"/>
    <col min="3138" max="3138" width="7.6640625" style="458" bestFit="1" customWidth="1"/>
    <col min="3139" max="3139" width="7.109375" style="458" bestFit="1" customWidth="1"/>
    <col min="3140" max="3140" width="7.6640625" style="458" bestFit="1" customWidth="1"/>
    <col min="3141" max="3141" width="7.109375" style="458" bestFit="1" customWidth="1"/>
    <col min="3142" max="3142" width="7.6640625" style="458" bestFit="1" customWidth="1"/>
    <col min="3143" max="3143" width="7.109375" style="458" bestFit="1" customWidth="1"/>
    <col min="3144" max="3144" width="7.6640625" style="458" bestFit="1" customWidth="1"/>
    <col min="3145" max="3145" width="7.109375" style="458" bestFit="1" customWidth="1"/>
    <col min="3146" max="3146" width="7.6640625" style="458" bestFit="1" customWidth="1"/>
    <col min="3147" max="3147" width="7.109375" style="458" bestFit="1" customWidth="1"/>
    <col min="3148" max="3148" width="8.6640625" style="458" bestFit="1" customWidth="1"/>
    <col min="3149" max="3149" width="7.109375" style="458" bestFit="1" customWidth="1"/>
    <col min="3150" max="3150" width="8.6640625" style="458" bestFit="1" customWidth="1"/>
    <col min="3151" max="3151" width="7.109375" style="458" bestFit="1" customWidth="1"/>
    <col min="3152" max="3152" width="8.6640625" style="458" bestFit="1" customWidth="1"/>
    <col min="3153" max="3153" width="7.109375" style="458" bestFit="1" customWidth="1"/>
    <col min="3154" max="3154" width="8.6640625" style="458" bestFit="1" customWidth="1"/>
    <col min="3155" max="3155" width="7.109375" style="458" bestFit="1" customWidth="1"/>
    <col min="3156" max="3156" width="8.6640625" style="458" bestFit="1" customWidth="1"/>
    <col min="3157" max="3157" width="7.109375" style="458" bestFit="1" customWidth="1"/>
    <col min="3158" max="3158" width="8.6640625" style="458" bestFit="1" customWidth="1"/>
    <col min="3159" max="3159" width="7.109375" style="458" bestFit="1" customWidth="1"/>
    <col min="3160" max="3160" width="8.6640625" style="458" bestFit="1" customWidth="1"/>
    <col min="3161" max="3161" width="7.109375" style="458" bestFit="1" customWidth="1"/>
    <col min="3162" max="3162" width="8.6640625" style="458" bestFit="1" customWidth="1"/>
    <col min="3163" max="3163" width="7.109375" style="458" bestFit="1" customWidth="1"/>
    <col min="3164" max="3164" width="8.6640625" style="458" bestFit="1" customWidth="1"/>
    <col min="3165" max="3165" width="7.109375" style="458" bestFit="1" customWidth="1"/>
    <col min="3166" max="3166" width="8.6640625" style="458" bestFit="1" customWidth="1"/>
    <col min="3167" max="3167" width="7.109375" style="458" bestFit="1" customWidth="1"/>
    <col min="3168" max="3168" width="8.6640625" style="458" bestFit="1" customWidth="1"/>
    <col min="3169" max="3169" width="7.109375" style="458" bestFit="1" customWidth="1"/>
    <col min="3170" max="3170" width="8.6640625" style="458" bestFit="1" customWidth="1"/>
    <col min="3171" max="3171" width="7.109375" style="458" bestFit="1" customWidth="1"/>
    <col min="3172" max="3172" width="8.6640625" style="458" bestFit="1" customWidth="1"/>
    <col min="3173" max="3173" width="7.109375" style="458" bestFit="1" customWidth="1"/>
    <col min="3174" max="3174" width="8.6640625" style="458" bestFit="1" customWidth="1"/>
    <col min="3175" max="3175" width="7.109375" style="458" bestFit="1" customWidth="1"/>
    <col min="3176" max="3176" width="9.6640625" style="458" bestFit="1" customWidth="1"/>
    <col min="3177" max="3177" width="7.109375" style="458" bestFit="1" customWidth="1"/>
    <col min="3178" max="3178" width="9.6640625" style="458" bestFit="1" customWidth="1"/>
    <col min="3179" max="3179" width="7.109375" style="458" bestFit="1" customWidth="1"/>
    <col min="3180" max="3180" width="9.6640625" style="458" bestFit="1" customWidth="1"/>
    <col min="3181" max="3181" width="7.109375" style="458" bestFit="1" customWidth="1"/>
    <col min="3182" max="3182" width="9.6640625" style="458" bestFit="1" customWidth="1"/>
    <col min="3183" max="3183" width="7.109375" style="458" bestFit="1" customWidth="1"/>
    <col min="3184" max="3184" width="9.6640625" style="458" bestFit="1" customWidth="1"/>
    <col min="3185" max="3185" width="7.109375" style="458" bestFit="1" customWidth="1"/>
    <col min="3186" max="3186" width="9.6640625" style="458" bestFit="1" customWidth="1"/>
    <col min="3187" max="3187" width="7.109375" style="458" bestFit="1" customWidth="1"/>
    <col min="3188" max="3188" width="9.6640625" style="458" bestFit="1" customWidth="1"/>
    <col min="3189" max="3189" width="7.109375" style="458" bestFit="1" customWidth="1"/>
    <col min="3190" max="3190" width="9.6640625" style="458" bestFit="1" customWidth="1"/>
    <col min="3191" max="3191" width="7.109375" style="458" bestFit="1" customWidth="1"/>
    <col min="3192" max="3192" width="9.6640625" style="458" bestFit="1" customWidth="1"/>
    <col min="3193" max="3193" width="7.109375" style="458" bestFit="1" customWidth="1"/>
    <col min="3194" max="3194" width="9.6640625" style="458" bestFit="1" customWidth="1"/>
    <col min="3195" max="3195" width="7.109375" style="458" bestFit="1" customWidth="1"/>
    <col min="3196" max="3196" width="9.6640625" style="458" bestFit="1" customWidth="1"/>
    <col min="3197" max="3197" width="7.109375" style="458" bestFit="1" customWidth="1"/>
    <col min="3198" max="3198" width="9.6640625" style="458" bestFit="1" customWidth="1"/>
    <col min="3199" max="3199" width="7.109375" style="458" bestFit="1" customWidth="1"/>
    <col min="3200" max="3200" width="9.6640625" style="458" bestFit="1" customWidth="1"/>
    <col min="3201" max="3201" width="7.109375" style="458" bestFit="1" customWidth="1"/>
    <col min="3202" max="3202" width="9.6640625" style="458" bestFit="1" customWidth="1"/>
    <col min="3203" max="3203" width="7.109375" style="458" bestFit="1" customWidth="1"/>
    <col min="3204" max="3204" width="9.6640625" style="458" bestFit="1" customWidth="1"/>
    <col min="3205" max="3205" width="8" style="458" bestFit="1" customWidth="1"/>
    <col min="3206" max="3206" width="10.6640625" style="458" bestFit="1" customWidth="1"/>
    <col min="3207" max="3207" width="8" style="458" bestFit="1" customWidth="1"/>
    <col min="3208" max="3208" width="10.6640625" style="458" bestFit="1" customWidth="1"/>
    <col min="3209" max="3209" width="8" style="458" bestFit="1" customWidth="1"/>
    <col min="3210" max="3210" width="10.6640625" style="458" bestFit="1" customWidth="1"/>
    <col min="3211" max="3211" width="8" style="458" bestFit="1" customWidth="1"/>
    <col min="3212" max="3212" width="10.6640625" style="458" bestFit="1" customWidth="1"/>
    <col min="3213" max="3213" width="8" style="458" bestFit="1" customWidth="1"/>
    <col min="3214" max="3214" width="10.6640625" style="458" bestFit="1" customWidth="1"/>
    <col min="3215" max="3215" width="8" style="458" bestFit="1" customWidth="1"/>
    <col min="3216" max="3216" width="10.6640625" style="458" bestFit="1" customWidth="1"/>
    <col min="3217" max="3217" width="8" style="458" bestFit="1" customWidth="1"/>
    <col min="3218" max="3218" width="10.6640625" style="458" bestFit="1" customWidth="1"/>
    <col min="3219" max="3219" width="9" style="458" bestFit="1" customWidth="1"/>
    <col min="3220" max="3220" width="11.6640625" style="458" bestFit="1" customWidth="1"/>
    <col min="3221" max="3221" width="9" style="458" bestFit="1" customWidth="1"/>
    <col min="3222" max="3222" width="11.6640625" style="458" bestFit="1" customWidth="1"/>
    <col min="3223" max="3223" width="9" style="458" bestFit="1" customWidth="1"/>
    <col min="3224" max="3227" width="6.6640625" style="458" bestFit="1" customWidth="1"/>
    <col min="3228" max="3228" width="9.6640625" style="458" bestFit="1" customWidth="1"/>
    <col min="3229" max="3229" width="6.6640625" style="458" bestFit="1" customWidth="1"/>
    <col min="3230" max="3231" width="9.6640625" style="458" bestFit="1" customWidth="1"/>
    <col min="3232" max="3237" width="6.6640625" style="458" bestFit="1" customWidth="1"/>
    <col min="3238" max="3238" width="9.6640625" style="458" bestFit="1" customWidth="1"/>
    <col min="3239" max="3240" width="8.6640625" style="458" bestFit="1" customWidth="1"/>
    <col min="3241" max="3242" width="5.6640625" style="458" bestFit="1" customWidth="1"/>
    <col min="3243" max="3243" width="8.6640625" style="458" bestFit="1" customWidth="1"/>
    <col min="3244" max="3245" width="5.6640625" style="458" bestFit="1" customWidth="1"/>
    <col min="3246" max="3246" width="8.6640625" style="458" bestFit="1" customWidth="1"/>
    <col min="3247" max="3251" width="5.6640625" style="458" bestFit="1" customWidth="1"/>
    <col min="3252" max="3252" width="8.6640625" style="458" bestFit="1" customWidth="1"/>
    <col min="3253" max="3255" width="5.6640625" style="458" bestFit="1" customWidth="1"/>
    <col min="3256" max="3256" width="8.6640625" style="458" bestFit="1" customWidth="1"/>
    <col min="3257" max="3257" width="5.6640625" style="458" bestFit="1" customWidth="1"/>
    <col min="3258" max="3258" width="4.6640625" style="458" bestFit="1" customWidth="1"/>
    <col min="3259" max="3259" width="7.6640625" style="458" bestFit="1" customWidth="1"/>
    <col min="3260" max="3260" width="6.6640625" style="458" bestFit="1" customWidth="1"/>
    <col min="3261" max="3261" width="7.6640625" style="458" bestFit="1" customWidth="1"/>
    <col min="3262" max="3262" width="6.6640625" style="458" bestFit="1" customWidth="1"/>
    <col min="3263" max="3265" width="4.6640625" style="458" bestFit="1" customWidth="1"/>
    <col min="3266" max="3271" width="7.6640625" style="458" bestFit="1" customWidth="1"/>
    <col min="3272" max="3275" width="4.6640625" style="458" bestFit="1" customWidth="1"/>
    <col min="3276" max="3278" width="7.6640625" style="458" bestFit="1" customWidth="1"/>
    <col min="3279" max="3279" width="6.6640625" style="458" bestFit="1" customWidth="1"/>
    <col min="3280" max="3280" width="7.6640625" style="458" bestFit="1" customWidth="1"/>
    <col min="3281" max="3281" width="4.6640625" style="458" bestFit="1" customWidth="1"/>
    <col min="3282" max="3287" width="7.6640625" style="458" bestFit="1" customWidth="1"/>
    <col min="3288" max="3288" width="6.6640625" style="458" bestFit="1" customWidth="1"/>
    <col min="3289" max="3292" width="7.6640625" style="458" bestFit="1" customWidth="1"/>
    <col min="3293" max="3294" width="6.6640625" style="458" bestFit="1" customWidth="1"/>
    <col min="3295" max="3304" width="7.6640625" style="458" bestFit="1" customWidth="1"/>
    <col min="3305" max="3305" width="6.6640625" style="458" bestFit="1" customWidth="1"/>
    <col min="3306" max="3310" width="7.6640625" style="458" bestFit="1" customWidth="1"/>
    <col min="3311" max="3312" width="4.6640625" style="458" bestFit="1" customWidth="1"/>
    <col min="3313" max="3314" width="7.6640625" style="458" bestFit="1" customWidth="1"/>
    <col min="3315" max="3315" width="6.6640625" style="458" bestFit="1" customWidth="1"/>
    <col min="3316" max="3320" width="7.6640625" style="458" bestFit="1" customWidth="1"/>
    <col min="3321" max="3321" width="6.6640625" style="458" bestFit="1" customWidth="1"/>
    <col min="3322" max="3325" width="7.6640625" style="458" bestFit="1" customWidth="1"/>
    <col min="3326" max="3326" width="4.6640625" style="458" bestFit="1" customWidth="1"/>
    <col min="3327" max="3328" width="7.6640625" style="458" bestFit="1" customWidth="1"/>
    <col min="3329" max="3329" width="6.6640625" style="458" bestFit="1" customWidth="1"/>
    <col min="3330" max="3342" width="7.6640625" style="458" bestFit="1" customWidth="1"/>
    <col min="3343" max="3343" width="6.6640625" style="458" bestFit="1" customWidth="1"/>
    <col min="3344" max="3352" width="7.6640625" style="458" bestFit="1" customWidth="1"/>
    <col min="3353" max="3353" width="4.6640625" style="458" bestFit="1" customWidth="1"/>
    <col min="3354" max="3356" width="7.6640625" style="458" bestFit="1" customWidth="1"/>
    <col min="3357" max="3357" width="6.6640625" style="458" bestFit="1" customWidth="1"/>
    <col min="3358" max="3358" width="7.6640625" style="458" bestFit="1" customWidth="1"/>
    <col min="3359" max="3360" width="4.6640625" style="458" bestFit="1" customWidth="1"/>
    <col min="3361" max="3361" width="7.6640625" style="458" bestFit="1" customWidth="1"/>
    <col min="3362" max="3362" width="4.6640625" style="458" bestFit="1" customWidth="1"/>
    <col min="3363" max="3363" width="7.6640625" style="458" bestFit="1" customWidth="1"/>
    <col min="3364" max="3364" width="6.6640625" style="458" bestFit="1" customWidth="1"/>
    <col min="3365" max="3372" width="7.6640625" style="458" bestFit="1" customWidth="1"/>
    <col min="3373" max="3375" width="6.6640625" style="458" bestFit="1" customWidth="1"/>
    <col min="3376" max="3376" width="7.6640625" style="458" bestFit="1" customWidth="1"/>
    <col min="3377" max="3377" width="4.6640625" style="458" bestFit="1" customWidth="1"/>
    <col min="3378" max="3381" width="6.6640625" style="458" bestFit="1" customWidth="1"/>
    <col min="3382" max="3382" width="3.6640625" style="458" bestFit="1" customWidth="1"/>
    <col min="3383" max="3383" width="5.6640625" style="458" bestFit="1" customWidth="1"/>
    <col min="3384" max="3387" width="6.6640625" style="458" bestFit="1" customWidth="1"/>
    <col min="3388" max="3388" width="5.6640625" style="458" bestFit="1" customWidth="1"/>
    <col min="3389" max="3389" width="6.6640625" style="458" bestFit="1" customWidth="1"/>
    <col min="3390" max="3390" width="5.6640625" style="458" bestFit="1" customWidth="1"/>
    <col min="3391" max="3392" width="6.6640625" style="458" bestFit="1" customWidth="1"/>
    <col min="3393" max="3394" width="5.6640625" style="458" bestFit="1" customWidth="1"/>
    <col min="3395" max="3395" width="6.6640625" style="458" bestFit="1" customWidth="1"/>
    <col min="3396" max="3396" width="5.6640625" style="458" bestFit="1" customWidth="1"/>
    <col min="3397" max="3397" width="6.6640625" style="458" bestFit="1" customWidth="1"/>
    <col min="3398" max="3398" width="5.6640625" style="458" bestFit="1" customWidth="1"/>
    <col min="3399" max="3412" width="6.6640625" style="458" bestFit="1" customWidth="1"/>
    <col min="3413" max="3413" width="3.6640625" style="458" bestFit="1" customWidth="1"/>
    <col min="3414" max="3417" width="6.6640625" style="458" bestFit="1" customWidth="1"/>
    <col min="3418" max="3418" width="5.6640625" style="458" bestFit="1" customWidth="1"/>
    <col min="3419" max="3421" width="6.6640625" style="458" bestFit="1" customWidth="1"/>
    <col min="3422" max="3422" width="5.6640625" style="458" bestFit="1" customWidth="1"/>
    <col min="3423" max="3423" width="6.6640625" style="458" bestFit="1" customWidth="1"/>
    <col min="3424" max="3426" width="5.6640625" style="458" bestFit="1" customWidth="1"/>
    <col min="3427" max="3429" width="6.6640625" style="458" bestFit="1" customWidth="1"/>
    <col min="3430" max="3430" width="3.6640625" style="458" bestFit="1" customWidth="1"/>
    <col min="3431" max="3443" width="6.6640625" style="458" bestFit="1" customWidth="1"/>
    <col min="3444" max="3444" width="5.6640625" style="458" bestFit="1" customWidth="1"/>
    <col min="3445" max="3451" width="6.6640625" style="458" bestFit="1" customWidth="1"/>
    <col min="3452" max="3452" width="5.6640625" style="458" bestFit="1" customWidth="1"/>
    <col min="3453" max="3453" width="6.6640625" style="458" bestFit="1" customWidth="1"/>
    <col min="3454" max="3454" width="5.6640625" style="458" bestFit="1" customWidth="1"/>
    <col min="3455" max="3456" width="6.6640625" style="458" bestFit="1" customWidth="1"/>
    <col min="3457" max="3457" width="5.6640625" style="458" bestFit="1" customWidth="1"/>
    <col min="3458" max="3458" width="6.6640625" style="458" bestFit="1" customWidth="1"/>
    <col min="3459" max="3460" width="5.6640625" style="458" bestFit="1" customWidth="1"/>
    <col min="3461" max="3471" width="6.6640625" style="458" bestFit="1" customWidth="1"/>
    <col min="3472" max="3472" width="3.6640625" style="458" bestFit="1" customWidth="1"/>
    <col min="3473" max="3473" width="5.6640625" style="458" bestFit="1" customWidth="1"/>
    <col min="3474" max="3474" width="2.6640625" style="458" bestFit="1" customWidth="1"/>
    <col min="3475" max="3476" width="5.6640625" style="458" bestFit="1" customWidth="1"/>
    <col min="3477" max="3477" width="4.6640625" style="458" bestFit="1" customWidth="1"/>
    <col min="3478" max="3484" width="5.6640625" style="458" bestFit="1" customWidth="1"/>
    <col min="3485" max="3485" width="2.6640625" style="458" bestFit="1" customWidth="1"/>
    <col min="3486" max="3489" width="5.6640625" style="458" bestFit="1" customWidth="1"/>
    <col min="3490" max="3490" width="4.6640625" style="458" bestFit="1" customWidth="1"/>
    <col min="3491" max="3491" width="5.6640625" style="458" bestFit="1" customWidth="1"/>
    <col min="3492" max="3492" width="4.6640625" style="458" bestFit="1" customWidth="1"/>
    <col min="3493" max="3496" width="5.6640625" style="458" bestFit="1" customWidth="1"/>
    <col min="3497" max="3497" width="4.6640625" style="458" bestFit="1" customWidth="1"/>
    <col min="3498" max="3499" width="5.6640625" style="458" bestFit="1" customWidth="1"/>
    <col min="3500" max="3500" width="4.6640625" style="458" bestFit="1" customWidth="1"/>
    <col min="3501" max="3506" width="5.6640625" style="458" bestFit="1" customWidth="1"/>
    <col min="3507" max="3507" width="4.6640625" style="458" bestFit="1" customWidth="1"/>
    <col min="3508" max="3515" width="5.6640625" style="458" bestFit="1" customWidth="1"/>
    <col min="3516" max="3516" width="2" style="458" bestFit="1" customWidth="1"/>
    <col min="3517" max="3540" width="5" style="458" bestFit="1" customWidth="1"/>
    <col min="3541" max="3541" width="4" style="458" bestFit="1" customWidth="1"/>
    <col min="3542" max="3551" width="5" style="458" bestFit="1" customWidth="1"/>
    <col min="3552" max="3552" width="4" style="458" bestFit="1" customWidth="1"/>
    <col min="3553" max="3554" width="5" style="458" bestFit="1" customWidth="1"/>
    <col min="3555" max="3555" width="4" style="458" bestFit="1" customWidth="1"/>
    <col min="3556" max="3563" width="5" style="458" bestFit="1" customWidth="1"/>
    <col min="3564" max="3564" width="4" style="458" bestFit="1" customWidth="1"/>
    <col min="3565" max="3566" width="5" style="458" bestFit="1" customWidth="1"/>
    <col min="3567" max="3567" width="4" style="458" bestFit="1" customWidth="1"/>
    <col min="3568" max="3569" width="5" style="458" bestFit="1" customWidth="1"/>
    <col min="3570" max="3570" width="4" style="458" bestFit="1" customWidth="1"/>
    <col min="3571" max="3571" width="5" style="458" bestFit="1" customWidth="1"/>
    <col min="3572" max="3572" width="2" style="458" bestFit="1" customWidth="1"/>
    <col min="3573" max="3579" width="5" style="458" bestFit="1" customWidth="1"/>
    <col min="3580" max="3580" width="4" style="458" bestFit="1" customWidth="1"/>
    <col min="3581" max="3589" width="5" style="458" bestFit="1" customWidth="1"/>
    <col min="3590" max="3590" width="4" style="458" bestFit="1" customWidth="1"/>
    <col min="3591" max="3594" width="5" style="458" bestFit="1" customWidth="1"/>
    <col min="3595" max="3595" width="4" style="458" bestFit="1" customWidth="1"/>
    <col min="3596" max="3613" width="5" style="458" bestFit="1" customWidth="1"/>
    <col min="3614" max="3614" width="4" style="458" bestFit="1" customWidth="1"/>
    <col min="3615" max="3617" width="5" style="458" bestFit="1" customWidth="1"/>
    <col min="3618" max="3618" width="2" style="458" bestFit="1" customWidth="1"/>
    <col min="3619" max="3622" width="5" style="458" bestFit="1" customWidth="1"/>
    <col min="3623" max="3623" width="4" style="458" bestFit="1" customWidth="1"/>
    <col min="3624" max="3626" width="5" style="458" bestFit="1" customWidth="1"/>
    <col min="3627" max="3627" width="4" style="458" bestFit="1" customWidth="1"/>
    <col min="3628" max="3633" width="5" style="458" bestFit="1" customWidth="1"/>
    <col min="3634" max="3634" width="4" style="458" bestFit="1" customWidth="1"/>
    <col min="3635" max="3643" width="5" style="458" bestFit="1" customWidth="1"/>
    <col min="3644" max="3644" width="4" style="458" bestFit="1" customWidth="1"/>
    <col min="3645" max="3647" width="5" style="458" bestFit="1" customWidth="1"/>
    <col min="3648" max="3648" width="4" style="458" bestFit="1" customWidth="1"/>
    <col min="3649" max="3649" width="5" style="458" bestFit="1" customWidth="1"/>
    <col min="3650" max="3650" width="4" style="458" bestFit="1" customWidth="1"/>
    <col min="3651" max="3658" width="5" style="458" bestFit="1" customWidth="1"/>
    <col min="3659" max="3659" width="4" style="458" bestFit="1" customWidth="1"/>
    <col min="3660" max="3667" width="5" style="458" bestFit="1" customWidth="1"/>
    <col min="3668" max="3668" width="4" style="458" bestFit="1" customWidth="1"/>
    <col min="3669" max="3669" width="5" style="458" bestFit="1" customWidth="1"/>
    <col min="3670" max="3670" width="4" style="458" bestFit="1" customWidth="1"/>
    <col min="3671" max="3671" width="5" style="458" bestFit="1" customWidth="1"/>
    <col min="3672" max="3672" width="4" style="458" bestFit="1" customWidth="1"/>
    <col min="3673" max="3675" width="5" style="458" bestFit="1" customWidth="1"/>
    <col min="3676" max="3676" width="3" style="458" bestFit="1" customWidth="1"/>
    <col min="3677" max="3684" width="6" style="458" bestFit="1" customWidth="1"/>
    <col min="3685" max="3685" width="3" style="458" bestFit="1" customWidth="1"/>
    <col min="3686" max="3686" width="6" style="458" bestFit="1" customWidth="1"/>
    <col min="3687" max="3687" width="5" style="458" bestFit="1" customWidth="1"/>
    <col min="3688" max="3691" width="6" style="458" bestFit="1" customWidth="1"/>
    <col min="3692" max="3692" width="5" style="458" bestFit="1" customWidth="1"/>
    <col min="3693" max="3703" width="6" style="458" bestFit="1" customWidth="1"/>
    <col min="3704" max="3704" width="5" style="458" bestFit="1" customWidth="1"/>
    <col min="3705" max="3705" width="6" style="458" bestFit="1" customWidth="1"/>
    <col min="3706" max="3706" width="3" style="458" bestFit="1" customWidth="1"/>
    <col min="3707" max="3707" width="6" style="458" bestFit="1" customWidth="1"/>
    <col min="3708" max="3708" width="5" style="458" bestFit="1" customWidth="1"/>
    <col min="3709" max="3710" width="6" style="458" bestFit="1" customWidth="1"/>
    <col min="3711" max="3712" width="5" style="458" bestFit="1" customWidth="1"/>
    <col min="3713" max="3721" width="6" style="458" bestFit="1" customWidth="1"/>
    <col min="3722" max="3722" width="5" style="458" bestFit="1" customWidth="1"/>
    <col min="3723" max="3724" width="6" style="458" bestFit="1" customWidth="1"/>
    <col min="3725" max="3725" width="5" style="458" bestFit="1" customWidth="1"/>
    <col min="3726" max="3726" width="6" style="458" bestFit="1" customWidth="1"/>
    <col min="3727" max="3727" width="5" style="458" bestFit="1" customWidth="1"/>
    <col min="3728" max="3731" width="6" style="458" bestFit="1" customWidth="1"/>
    <col min="3732" max="3732" width="3" style="458" bestFit="1" customWidth="1"/>
    <col min="3733" max="3739" width="6" style="458" bestFit="1" customWidth="1"/>
    <col min="3740" max="3740" width="5" style="458" bestFit="1" customWidth="1"/>
    <col min="3741" max="3744" width="6" style="458" bestFit="1" customWidth="1"/>
    <col min="3745" max="3745" width="5" style="458" bestFit="1" customWidth="1"/>
    <col min="3746" max="3758" width="6" style="458" bestFit="1" customWidth="1"/>
    <col min="3759" max="3759" width="5" style="458" bestFit="1" customWidth="1"/>
    <col min="3760" max="3760" width="6" style="458" bestFit="1" customWidth="1"/>
    <col min="3761" max="3761" width="5" style="458" bestFit="1" customWidth="1"/>
    <col min="3762" max="3762" width="6" style="458" bestFit="1" customWidth="1"/>
    <col min="3763" max="3763" width="5" style="458" bestFit="1" customWidth="1"/>
    <col min="3764" max="3766" width="6" style="458" bestFit="1" customWidth="1"/>
    <col min="3767" max="3767" width="3" style="458" bestFit="1" customWidth="1"/>
    <col min="3768" max="3772" width="6" style="458" bestFit="1" customWidth="1"/>
    <col min="3773" max="3773" width="3" style="458" bestFit="1" customWidth="1"/>
    <col min="3774" max="3777" width="6" style="458" bestFit="1" customWidth="1"/>
    <col min="3778" max="3779" width="5" style="458" bestFit="1" customWidth="1"/>
    <col min="3780" max="3786" width="6" style="458" bestFit="1" customWidth="1"/>
    <col min="3787" max="3787" width="5" style="458" bestFit="1" customWidth="1"/>
    <col min="3788" max="3801" width="6" style="458" bestFit="1" customWidth="1"/>
    <col min="3802" max="3802" width="5" style="458" bestFit="1" customWidth="1"/>
    <col min="3803" max="3806" width="6" style="458" bestFit="1" customWidth="1"/>
    <col min="3807" max="3807" width="3" style="458" bestFit="1" customWidth="1"/>
    <col min="3808" max="3813" width="6" style="458" bestFit="1" customWidth="1"/>
    <col min="3814" max="3814" width="5" style="458" bestFit="1" customWidth="1"/>
    <col min="3815" max="3821" width="6" style="458" bestFit="1" customWidth="1"/>
    <col min="3822" max="3822" width="5" style="458" bestFit="1" customWidth="1"/>
    <col min="3823" max="3828" width="6" style="458" bestFit="1" customWidth="1"/>
    <col min="3829" max="3829" width="3" style="458" bestFit="1" customWidth="1"/>
    <col min="3830" max="3834" width="6" style="458" bestFit="1" customWidth="1"/>
    <col min="3835" max="3835" width="3" style="458" bestFit="1" customWidth="1"/>
    <col min="3836" max="3843" width="6" style="458" bestFit="1" customWidth="1"/>
    <col min="3844" max="3844" width="3" style="458" bestFit="1" customWidth="1"/>
    <col min="3845" max="3847" width="6" style="458" bestFit="1" customWidth="1"/>
    <col min="3848" max="3848" width="3" style="458" bestFit="1" customWidth="1"/>
    <col min="3849" max="3851" width="6" style="458" bestFit="1" customWidth="1"/>
    <col min="3852" max="3852" width="5" style="458" bestFit="1" customWidth="1"/>
    <col min="3853" max="3853" width="6" style="458" bestFit="1" customWidth="1"/>
    <col min="3854" max="3854" width="5" style="458" bestFit="1" customWidth="1"/>
    <col min="3855" max="3862" width="6" style="458" bestFit="1" customWidth="1"/>
    <col min="3863" max="3863" width="5" style="458" bestFit="1" customWidth="1"/>
    <col min="3864" max="3875" width="6" style="458" bestFit="1" customWidth="1"/>
    <col min="3876" max="3876" width="5" style="458" bestFit="1" customWidth="1"/>
    <col min="3877" max="3877" width="6" style="458" bestFit="1" customWidth="1"/>
    <col min="3878" max="3878" width="5" style="458" bestFit="1" customWidth="1"/>
    <col min="3879" max="3882" width="6" style="458" bestFit="1" customWidth="1"/>
    <col min="3883" max="3883" width="3" style="458" bestFit="1" customWidth="1"/>
    <col min="3884" max="3884" width="6" style="458" bestFit="1" customWidth="1"/>
    <col min="3885" max="3885" width="5" style="458" bestFit="1" customWidth="1"/>
    <col min="3886" max="3888" width="6" style="458" bestFit="1" customWidth="1"/>
    <col min="3889" max="3890" width="5" style="458" bestFit="1" customWidth="1"/>
    <col min="3891" max="3893" width="6" style="458" bestFit="1" customWidth="1"/>
    <col min="3894" max="3894" width="5" style="458" bestFit="1" customWidth="1"/>
    <col min="3895" max="3896" width="6" style="458" bestFit="1" customWidth="1"/>
    <col min="3897" max="3897" width="3" style="458" bestFit="1" customWidth="1"/>
    <col min="3898" max="3902" width="6" style="458" bestFit="1" customWidth="1"/>
    <col min="3903" max="3903" width="5" style="458" bestFit="1" customWidth="1"/>
    <col min="3904" max="3905" width="6" style="458" bestFit="1" customWidth="1"/>
    <col min="3906" max="3906" width="5" style="458" bestFit="1" customWidth="1"/>
    <col min="3907" max="3907" width="6" style="458" bestFit="1" customWidth="1"/>
    <col min="3908" max="3908" width="5" style="458" bestFit="1" customWidth="1"/>
    <col min="3909" max="3909" width="6" style="458" bestFit="1" customWidth="1"/>
    <col min="3910" max="3910" width="5" style="458" bestFit="1" customWidth="1"/>
    <col min="3911" max="3911" width="6" style="458" bestFit="1" customWidth="1"/>
    <col min="3912" max="3912" width="5" style="458" bestFit="1" customWidth="1"/>
    <col min="3913" max="3915" width="6" style="458" bestFit="1" customWidth="1"/>
    <col min="3916" max="3916" width="3" style="458" bestFit="1" customWidth="1"/>
    <col min="3917" max="3921" width="6" style="458" bestFit="1" customWidth="1"/>
    <col min="3922" max="3922" width="3" style="458" bestFit="1" customWidth="1"/>
    <col min="3923" max="3930" width="6" style="458" bestFit="1" customWidth="1"/>
    <col min="3931" max="3931" width="3" style="458" bestFit="1" customWidth="1"/>
    <col min="3932" max="3935" width="6" style="458" bestFit="1" customWidth="1"/>
    <col min="3936" max="3936" width="5" style="458" bestFit="1" customWidth="1"/>
    <col min="3937" max="3941" width="6" style="458" bestFit="1" customWidth="1"/>
    <col min="3942" max="3942" width="5" style="458" bestFit="1" customWidth="1"/>
    <col min="3943" max="3946" width="6" style="458" bestFit="1" customWidth="1"/>
    <col min="3947" max="3947" width="5" style="458" bestFit="1" customWidth="1"/>
    <col min="3948" max="3949" width="6" style="458" bestFit="1" customWidth="1"/>
    <col min="3950" max="3950" width="3" style="458" bestFit="1" customWidth="1"/>
    <col min="3951" max="3953" width="6" style="458" bestFit="1" customWidth="1"/>
    <col min="3954" max="3954" width="3" style="458" bestFit="1" customWidth="1"/>
    <col min="3955" max="3964" width="6" style="458" bestFit="1" customWidth="1"/>
    <col min="3965" max="3965" width="5" style="458" bestFit="1" customWidth="1"/>
    <col min="3966" max="3966" width="6" style="458" bestFit="1" customWidth="1"/>
    <col min="3967" max="3967" width="3" style="458" bestFit="1" customWidth="1"/>
    <col min="3968" max="3968" width="6" style="458" bestFit="1" customWidth="1"/>
    <col min="3969" max="3970" width="5" style="458" bestFit="1" customWidth="1"/>
    <col min="3971" max="3971" width="6" style="458" bestFit="1" customWidth="1"/>
    <col min="3972" max="3972" width="5" style="458" bestFit="1" customWidth="1"/>
    <col min="3973" max="3973" width="6" style="458" bestFit="1" customWidth="1"/>
    <col min="3974" max="3974" width="3" style="458" bestFit="1" customWidth="1"/>
    <col min="3975" max="3979" width="6" style="458" bestFit="1" customWidth="1"/>
    <col min="3980" max="3980" width="5" style="458" bestFit="1" customWidth="1"/>
    <col min="3981" max="3981" width="6" style="458" bestFit="1" customWidth="1"/>
    <col min="3982" max="3982" width="5" style="458" bestFit="1" customWidth="1"/>
    <col min="3983" max="3987" width="6" style="458" bestFit="1" customWidth="1"/>
    <col min="3988" max="3988" width="5" style="458" bestFit="1" customWidth="1"/>
    <col min="3989" max="3990" width="6" style="458" bestFit="1" customWidth="1"/>
    <col min="3991" max="3991" width="3" style="458" bestFit="1" customWidth="1"/>
    <col min="3992" max="3992" width="6" style="458" bestFit="1" customWidth="1"/>
    <col min="3993" max="3993" width="3" style="458" bestFit="1" customWidth="1"/>
    <col min="3994" max="3998" width="6" style="458" bestFit="1" customWidth="1"/>
    <col min="3999" max="3999" width="3" style="458" bestFit="1" customWidth="1"/>
    <col min="4000" max="4000" width="6" style="458" bestFit="1" customWidth="1"/>
    <col min="4001" max="4001" width="3" style="458" bestFit="1" customWidth="1"/>
    <col min="4002" max="4005" width="6" style="458" bestFit="1" customWidth="1"/>
    <col min="4006" max="4006" width="5" style="458" bestFit="1" customWidth="1"/>
    <col min="4007" max="4011" width="6" style="458" bestFit="1" customWidth="1"/>
    <col min="4012" max="4012" width="3" style="458" bestFit="1" customWidth="1"/>
    <col min="4013" max="4013" width="6" style="458" bestFit="1" customWidth="1"/>
    <col min="4014" max="4014" width="5" style="458" bestFit="1" customWidth="1"/>
    <col min="4015" max="4015" width="3" style="458" bestFit="1" customWidth="1"/>
    <col min="4016" max="4016" width="6" style="458" bestFit="1" customWidth="1"/>
    <col min="4017" max="4017" width="5" style="458" bestFit="1" customWidth="1"/>
    <col min="4018" max="4019" width="6" style="458" bestFit="1" customWidth="1"/>
    <col min="4020" max="4020" width="5" style="458" bestFit="1" customWidth="1"/>
    <col min="4021" max="4029" width="6" style="458" bestFit="1" customWidth="1"/>
    <col min="4030" max="4030" width="5" style="458" bestFit="1" customWidth="1"/>
    <col min="4031" max="4032" width="6" style="458" bestFit="1" customWidth="1"/>
    <col min="4033" max="4033" width="5" style="458" bestFit="1" customWidth="1"/>
    <col min="4034" max="4035" width="6" style="458" bestFit="1" customWidth="1"/>
    <col min="4036" max="4036" width="5" style="458" bestFit="1" customWidth="1"/>
    <col min="4037" max="4039" width="6" style="458" bestFit="1" customWidth="1"/>
    <col min="4040" max="4040" width="3" style="458" bestFit="1" customWidth="1"/>
    <col min="4041" max="4041" width="5" style="458" bestFit="1" customWidth="1"/>
    <col min="4042" max="4051" width="6" style="458" bestFit="1" customWidth="1"/>
    <col min="4052" max="4052" width="3" style="458" bestFit="1" customWidth="1"/>
    <col min="4053" max="4053" width="5" style="458" bestFit="1" customWidth="1"/>
    <col min="4054" max="4054" width="3" style="458" bestFit="1" customWidth="1"/>
    <col min="4055" max="4055" width="6" style="458" bestFit="1" customWidth="1"/>
    <col min="4056" max="4056" width="5" style="458" bestFit="1" customWidth="1"/>
    <col min="4057" max="4059" width="6" style="458" bestFit="1" customWidth="1"/>
    <col min="4060" max="4060" width="3" style="458" bestFit="1" customWidth="1"/>
    <col min="4061" max="4061" width="6" style="458" bestFit="1" customWidth="1"/>
    <col min="4062" max="4062" width="5" style="458" bestFit="1" customWidth="1"/>
    <col min="4063" max="4064" width="6" style="458" bestFit="1" customWidth="1"/>
    <col min="4065" max="4065" width="5" style="458" bestFit="1" customWidth="1"/>
    <col min="4066" max="4066" width="4" style="458" bestFit="1" customWidth="1"/>
    <col min="4067" max="4076" width="7" style="458" bestFit="1" customWidth="1"/>
    <col min="4077" max="4078" width="6" style="458" bestFit="1" customWidth="1"/>
    <col min="4079" max="4080" width="7" style="458" bestFit="1" customWidth="1"/>
    <col min="4081" max="4081" width="6" style="458" bestFit="1" customWidth="1"/>
    <col min="4082" max="4082" width="7" style="458" bestFit="1" customWidth="1"/>
    <col min="4083" max="4083" width="6" style="458" bestFit="1" customWidth="1"/>
    <col min="4084" max="4085" width="7" style="458" bestFit="1" customWidth="1"/>
    <col min="4086" max="4086" width="4" style="458" bestFit="1" customWidth="1"/>
    <col min="4087" max="4090" width="7" style="458" bestFit="1" customWidth="1"/>
    <col min="4091" max="4091" width="4" style="458" bestFit="1" customWidth="1"/>
    <col min="4092" max="4092" width="7" style="458" bestFit="1" customWidth="1"/>
    <col min="4093" max="4093" width="6" style="458" bestFit="1" customWidth="1"/>
    <col min="4094" max="4096" width="7" style="458" bestFit="1" customWidth="1"/>
    <col min="4097" max="4097" width="6" style="458" bestFit="1" customWidth="1"/>
    <col min="4098" max="4100" width="7" style="458" bestFit="1" customWidth="1"/>
    <col min="4101" max="4101" width="6" style="458" bestFit="1" customWidth="1"/>
    <col min="4102" max="4114" width="7" style="458" bestFit="1" customWidth="1"/>
    <col min="4115" max="4115" width="6" style="458" bestFit="1" customWidth="1"/>
    <col min="4116" max="4116" width="7" style="458" bestFit="1" customWidth="1"/>
    <col min="4117" max="4117" width="6" style="458" bestFit="1" customWidth="1"/>
    <col min="4118" max="4118" width="7" style="458" bestFit="1" customWidth="1"/>
    <col min="4119" max="4119" width="4" style="458" bestFit="1" customWidth="1"/>
    <col min="4120" max="4123" width="7" style="458" bestFit="1" customWidth="1"/>
    <col min="4124" max="4124" width="4" style="458" bestFit="1" customWidth="1"/>
    <col min="4125" max="4125" width="7" style="458" bestFit="1" customWidth="1"/>
    <col min="4126" max="4126" width="6" style="458" bestFit="1" customWidth="1"/>
    <col min="4127" max="4127" width="4" style="458" bestFit="1" customWidth="1"/>
    <col min="4128" max="4128" width="7" style="458" bestFit="1" customWidth="1"/>
    <col min="4129" max="4129" width="6" style="458" bestFit="1" customWidth="1"/>
    <col min="4130" max="4138" width="7" style="458" bestFit="1" customWidth="1"/>
    <col min="4139" max="4139" width="6" style="458" bestFit="1" customWidth="1"/>
    <col min="4140" max="4147" width="7" style="458" bestFit="1" customWidth="1"/>
    <col min="4148" max="4148" width="4" style="458" bestFit="1" customWidth="1"/>
    <col min="4149" max="4154" width="7" style="458" bestFit="1" customWidth="1"/>
    <col min="4155" max="4155" width="4" style="458" bestFit="1" customWidth="1"/>
    <col min="4156" max="4156" width="6" style="458" bestFit="1" customWidth="1"/>
    <col min="4157" max="4158" width="7" style="458" bestFit="1" customWidth="1"/>
    <col min="4159" max="4159" width="6" style="458" bestFit="1" customWidth="1"/>
    <col min="4160" max="4163" width="7" style="458" bestFit="1" customWidth="1"/>
    <col min="4164" max="4164" width="4" style="458" bestFit="1" customWidth="1"/>
    <col min="4165" max="4166" width="7" style="458" bestFit="1" customWidth="1"/>
    <col min="4167" max="4167" width="4" style="458" bestFit="1" customWidth="1"/>
    <col min="4168" max="4168" width="7" style="458" bestFit="1" customWidth="1"/>
    <col min="4169" max="4169" width="6" style="458" bestFit="1" customWidth="1"/>
    <col min="4170" max="4170" width="7" style="458" bestFit="1" customWidth="1"/>
    <col min="4171" max="4171" width="4" style="458" bestFit="1" customWidth="1"/>
    <col min="4172" max="4174" width="7" style="458" bestFit="1" customWidth="1"/>
    <col min="4175" max="4175" width="6" style="458" bestFit="1" customWidth="1"/>
    <col min="4176" max="4176" width="7" style="458" bestFit="1" customWidth="1"/>
    <col min="4177" max="4178" width="6" style="458" bestFit="1" customWidth="1"/>
    <col min="4179" max="4179" width="7" style="458" bestFit="1" customWidth="1"/>
    <col min="4180" max="4180" width="6" style="458" bestFit="1" customWidth="1"/>
    <col min="4181" max="4185" width="7" style="458" bestFit="1" customWidth="1"/>
    <col min="4186" max="4186" width="6" style="458" bestFit="1" customWidth="1"/>
    <col min="4187" max="4187" width="7" style="458" bestFit="1" customWidth="1"/>
    <col min="4188" max="4188" width="4" style="458" bestFit="1" customWidth="1"/>
    <col min="4189" max="4189" width="7" style="458" bestFit="1" customWidth="1"/>
    <col min="4190" max="4190" width="6" style="458" bestFit="1" customWidth="1"/>
    <col min="4191" max="4195" width="7" style="458" bestFit="1" customWidth="1"/>
    <col min="4196" max="4196" width="6" style="458" bestFit="1" customWidth="1"/>
    <col min="4197" max="4201" width="7" style="458" bestFit="1" customWidth="1"/>
    <col min="4202" max="4203" width="6" style="458" bestFit="1" customWidth="1"/>
    <col min="4204" max="4208" width="7" style="458" bestFit="1" customWidth="1"/>
    <col min="4209" max="4209" width="6" style="458" bestFit="1" customWidth="1"/>
    <col min="4210" max="4210" width="7" style="458" bestFit="1" customWidth="1"/>
    <col min="4211" max="4211" width="4" style="458" bestFit="1" customWidth="1"/>
    <col min="4212" max="4212" width="6" style="458" bestFit="1" customWidth="1"/>
    <col min="4213" max="4213" width="7" style="458" bestFit="1" customWidth="1"/>
    <col min="4214" max="4214" width="6" style="458" bestFit="1" customWidth="1"/>
    <col min="4215" max="4217" width="7" style="458" bestFit="1" customWidth="1"/>
    <col min="4218" max="4218" width="4" style="458" bestFit="1" customWidth="1"/>
    <col min="4219" max="4222" width="7" style="458" bestFit="1" customWidth="1"/>
    <col min="4223" max="4223" width="6" style="458" bestFit="1" customWidth="1"/>
    <col min="4224" max="4228" width="7" style="458" bestFit="1" customWidth="1"/>
    <col min="4229" max="4229" width="6" style="458" bestFit="1" customWidth="1"/>
    <col min="4230" max="4235" width="7" style="458" bestFit="1" customWidth="1"/>
    <col min="4236" max="4236" width="4" style="458" bestFit="1" customWidth="1"/>
    <col min="4237" max="4237" width="7" style="458" bestFit="1" customWidth="1"/>
    <col min="4238" max="4239" width="6" style="458" bestFit="1" customWidth="1"/>
    <col min="4240" max="4244" width="7" style="458" bestFit="1" customWidth="1"/>
    <col min="4245" max="4245" width="4" style="458" bestFit="1" customWidth="1"/>
    <col min="4246" max="4246" width="6" style="458" bestFit="1" customWidth="1"/>
    <col min="4247" max="4252" width="7" style="458" bestFit="1" customWidth="1"/>
    <col min="4253" max="4253" width="6" style="458" bestFit="1" customWidth="1"/>
    <col min="4254" max="4264" width="7" style="458" bestFit="1" customWidth="1"/>
    <col min="4265" max="4265" width="4" style="458" bestFit="1" customWidth="1"/>
    <col min="4266" max="4266" width="7" style="458" bestFit="1" customWidth="1"/>
    <col min="4267" max="4267" width="6" style="458" bestFit="1" customWidth="1"/>
    <col min="4268" max="4271" width="7" style="458" bestFit="1" customWidth="1"/>
    <col min="4272" max="4272" width="6" style="458" bestFit="1" customWidth="1"/>
    <col min="4273" max="4278" width="7" style="458" bestFit="1" customWidth="1"/>
    <col min="4279" max="4279" width="4" style="458" bestFit="1" customWidth="1"/>
    <col min="4280" max="4284" width="7" style="458" bestFit="1" customWidth="1"/>
    <col min="4285" max="4285" width="4" style="458" bestFit="1" customWidth="1"/>
    <col min="4286" max="4287" width="7" style="458" bestFit="1" customWidth="1"/>
    <col min="4288" max="4288" width="4" style="458" bestFit="1" customWidth="1"/>
    <col min="4289" max="4292" width="7" style="458" bestFit="1" customWidth="1"/>
    <col min="4293" max="4293" width="4" style="458" bestFit="1" customWidth="1"/>
    <col min="4294" max="4298" width="7" style="458" bestFit="1" customWidth="1"/>
    <col min="4299" max="4299" width="6" style="458" bestFit="1" customWidth="1"/>
    <col min="4300" max="4301" width="7" style="458" bestFit="1" customWidth="1"/>
    <col min="4302" max="4302" width="4" style="458" bestFit="1" customWidth="1"/>
    <col min="4303" max="4303" width="6" style="458" bestFit="1" customWidth="1"/>
    <col min="4304" max="4304" width="4" style="458" bestFit="1" customWidth="1"/>
    <col min="4305" max="4309" width="7" style="458" bestFit="1" customWidth="1"/>
    <col min="4310" max="4310" width="6" style="458" bestFit="1" customWidth="1"/>
    <col min="4311" max="4316" width="7" style="458" bestFit="1" customWidth="1"/>
    <col min="4317" max="4317" width="6" style="458" bestFit="1" customWidth="1"/>
    <col min="4318" max="4318" width="4" style="458" bestFit="1" customWidth="1"/>
    <col min="4319" max="4324" width="7" style="458" bestFit="1" customWidth="1"/>
    <col min="4325" max="4325" width="6" style="458" bestFit="1" customWidth="1"/>
    <col min="4326" max="4326" width="7" style="458" bestFit="1" customWidth="1"/>
    <col min="4327" max="4328" width="4" style="458" bestFit="1" customWidth="1"/>
    <col min="4329" max="4331" width="7" style="458" bestFit="1" customWidth="1"/>
    <col min="4332" max="4332" width="6" style="458" bestFit="1" customWidth="1"/>
    <col min="4333" max="4333" width="7" style="458" bestFit="1" customWidth="1"/>
    <col min="4334" max="4334" width="6" style="458" bestFit="1" customWidth="1"/>
    <col min="4335" max="4335" width="4" style="458" bestFit="1" customWidth="1"/>
    <col min="4336" max="4336" width="7" style="458" bestFit="1" customWidth="1"/>
    <col min="4337" max="4337" width="6" style="458" bestFit="1" customWidth="1"/>
    <col min="4338" max="4343" width="7" style="458" bestFit="1" customWidth="1"/>
    <col min="4344" max="4344" width="4" style="458" bestFit="1" customWidth="1"/>
    <col min="4345" max="4345" width="6" style="458" bestFit="1" customWidth="1"/>
    <col min="4346" max="4348" width="7" style="458" bestFit="1" customWidth="1"/>
    <col min="4349" max="4349" width="4" style="458" bestFit="1" customWidth="1"/>
    <col min="4350" max="4350" width="6" style="458" bestFit="1" customWidth="1"/>
    <col min="4351" max="4353" width="7" style="458" bestFit="1" customWidth="1"/>
    <col min="4354" max="4354" width="4" style="458" bestFit="1" customWidth="1"/>
    <col min="4355" max="4355" width="6" style="458" bestFit="1" customWidth="1"/>
    <col min="4356" max="4356" width="7" style="458" bestFit="1" customWidth="1"/>
    <col min="4357" max="4357" width="4" style="458" bestFit="1" customWidth="1"/>
    <col min="4358" max="4360" width="7" style="458" bestFit="1" customWidth="1"/>
    <col min="4361" max="4361" width="6" style="458" bestFit="1" customWidth="1"/>
    <col min="4362" max="4363" width="7" style="458" bestFit="1" customWidth="1"/>
    <col min="4364" max="4364" width="4" style="458" bestFit="1" customWidth="1"/>
    <col min="4365" max="4367" width="7" style="458" bestFit="1" customWidth="1"/>
    <col min="4368" max="4368" width="6" style="458" bestFit="1" customWidth="1"/>
    <col min="4369" max="4369" width="7" style="458" bestFit="1" customWidth="1"/>
    <col min="4370" max="4370" width="4" style="458" bestFit="1" customWidth="1"/>
    <col min="4371" max="4372" width="7" style="458" bestFit="1" customWidth="1"/>
    <col min="4373" max="4373" width="4" style="458" bestFit="1" customWidth="1"/>
    <col min="4374" max="4376" width="7" style="458" bestFit="1" customWidth="1"/>
    <col min="4377" max="4377" width="4" style="458" bestFit="1" customWidth="1"/>
    <col min="4378" max="4379" width="7" style="458" bestFit="1" customWidth="1"/>
    <col min="4380" max="4380" width="4" style="458" bestFit="1" customWidth="1"/>
    <col min="4381" max="4383" width="7" style="458" bestFit="1" customWidth="1"/>
    <col min="4384" max="4384" width="6" style="458" bestFit="1" customWidth="1"/>
    <col min="4385" max="4396" width="7" style="458" bestFit="1" customWidth="1"/>
    <col min="4397" max="4398" width="4" style="458" bestFit="1" customWidth="1"/>
    <col min="4399" max="4399" width="6" style="458" bestFit="1" customWidth="1"/>
    <col min="4400" max="4408" width="7" style="458" bestFit="1" customWidth="1"/>
    <col min="4409" max="4409" width="6" style="458" bestFit="1" customWidth="1"/>
    <col min="4410" max="4411" width="7" style="458" bestFit="1" customWidth="1"/>
    <col min="4412" max="4412" width="6" style="458" bestFit="1" customWidth="1"/>
    <col min="4413" max="4418" width="7" style="458" bestFit="1" customWidth="1"/>
    <col min="4419" max="4419" width="6" style="458" bestFit="1" customWidth="1"/>
    <col min="4420" max="4420" width="4" style="458" bestFit="1" customWidth="1"/>
    <col min="4421" max="4425" width="7" style="458" bestFit="1" customWidth="1"/>
    <col min="4426" max="4426" width="6" style="458" bestFit="1" customWidth="1"/>
    <col min="4427" max="4432" width="7" style="458" bestFit="1" customWidth="1"/>
    <col min="4433" max="4433" width="6" style="458" bestFit="1" customWidth="1"/>
    <col min="4434" max="4434" width="7" style="458" bestFit="1" customWidth="1"/>
    <col min="4435" max="4435" width="6" style="458" bestFit="1" customWidth="1"/>
    <col min="4436" max="4436" width="7" style="458" bestFit="1" customWidth="1"/>
    <col min="4437" max="4438" width="6" style="458" bestFit="1" customWidth="1"/>
    <col min="4439" max="4444" width="7" style="458" bestFit="1" customWidth="1"/>
    <col min="4445" max="4445" width="4" style="458" bestFit="1" customWidth="1"/>
    <col min="4446" max="4450" width="7" style="458" bestFit="1" customWidth="1"/>
    <col min="4451" max="4451" width="6" style="458" bestFit="1" customWidth="1"/>
    <col min="4452" max="4453" width="7" style="458" bestFit="1" customWidth="1"/>
    <col min="4454" max="4454" width="6" style="458" bestFit="1" customWidth="1"/>
    <col min="4455" max="4455" width="7" style="458" bestFit="1" customWidth="1"/>
    <col min="4456" max="4456" width="4" style="458" bestFit="1" customWidth="1"/>
    <col min="4457" max="4460" width="7" style="458" bestFit="1" customWidth="1"/>
    <col min="4461" max="4462" width="4" style="458" bestFit="1" customWidth="1"/>
    <col min="4463" max="4463" width="6" style="458" bestFit="1" customWidth="1"/>
    <col min="4464" max="4464" width="7" style="458" bestFit="1" customWidth="1"/>
    <col min="4465" max="4465" width="4" style="458" bestFit="1" customWidth="1"/>
    <col min="4466" max="4468" width="7" style="458" bestFit="1" customWidth="1"/>
    <col min="4469" max="4469" width="4" style="458" bestFit="1" customWidth="1"/>
    <col min="4470" max="4471" width="7" style="458" bestFit="1" customWidth="1"/>
    <col min="4472" max="4472" width="6" style="458" bestFit="1" customWidth="1"/>
    <col min="4473" max="4474" width="7" style="458" bestFit="1" customWidth="1"/>
    <col min="4475" max="4475" width="6" style="458" bestFit="1" customWidth="1"/>
    <col min="4476" max="4478" width="7" style="458" bestFit="1" customWidth="1"/>
    <col min="4479" max="4479" width="4" style="458" bestFit="1" customWidth="1"/>
    <col min="4480" max="4483" width="7" style="458" bestFit="1" customWidth="1"/>
    <col min="4484" max="4484" width="4" style="458" bestFit="1" customWidth="1"/>
    <col min="4485" max="4488" width="7" style="458" bestFit="1" customWidth="1"/>
    <col min="4489" max="4489" width="4" style="458" bestFit="1" customWidth="1"/>
    <col min="4490" max="4490" width="7" style="458" bestFit="1" customWidth="1"/>
    <col min="4491" max="4491" width="4" style="458" bestFit="1" customWidth="1"/>
    <col min="4492" max="4495" width="7" style="458" bestFit="1" customWidth="1"/>
    <col min="4496" max="4496" width="6" style="458" bestFit="1" customWidth="1"/>
    <col min="4497" max="4497" width="7" style="458" bestFit="1" customWidth="1"/>
    <col min="4498" max="4498" width="6" style="458" bestFit="1" customWidth="1"/>
    <col min="4499" max="4503" width="7" style="458" bestFit="1" customWidth="1"/>
    <col min="4504" max="4504" width="4" style="458" bestFit="1" customWidth="1"/>
    <col min="4505" max="4505" width="6" style="458" bestFit="1" customWidth="1"/>
    <col min="4506" max="4508" width="7" style="458" bestFit="1" customWidth="1"/>
    <col min="4509" max="4510" width="6" style="458" bestFit="1" customWidth="1"/>
    <col min="4511" max="4512" width="7" style="458" bestFit="1" customWidth="1"/>
    <col min="4513" max="4513" width="6" style="458" bestFit="1" customWidth="1"/>
    <col min="4514" max="4514" width="4" style="458" bestFit="1" customWidth="1"/>
    <col min="4515" max="4515" width="7" style="458" bestFit="1" customWidth="1"/>
    <col min="4516" max="4516" width="4" style="458" bestFit="1" customWidth="1"/>
    <col min="4517" max="4517" width="7" style="458" bestFit="1" customWidth="1"/>
    <col min="4518" max="4518" width="4" style="458" bestFit="1" customWidth="1"/>
    <col min="4519" max="4519" width="6" style="458" bestFit="1" customWidth="1"/>
    <col min="4520" max="4520" width="7" style="458" bestFit="1" customWidth="1"/>
    <col min="4521" max="4521" width="4" style="458" bestFit="1" customWidth="1"/>
    <col min="4522" max="4524" width="7" style="458" bestFit="1" customWidth="1"/>
    <col min="4525" max="4526" width="4" style="458" bestFit="1" customWidth="1"/>
    <col min="4527" max="4527" width="6" style="458" bestFit="1" customWidth="1"/>
    <col min="4528" max="4529" width="7" style="458" bestFit="1" customWidth="1"/>
    <col min="4530" max="4530" width="4" style="458" bestFit="1" customWidth="1"/>
    <col min="4531" max="4531" width="6" style="458" bestFit="1" customWidth="1"/>
    <col min="4532" max="4535" width="7" style="458" bestFit="1" customWidth="1"/>
    <col min="4536" max="4537" width="6" style="458" bestFit="1" customWidth="1"/>
    <col min="4538" max="4539" width="4" style="458" bestFit="1" customWidth="1"/>
    <col min="4540" max="4540" width="6" style="458" bestFit="1" customWidth="1"/>
    <col min="4541" max="4541" width="4" style="458" bestFit="1" customWidth="1"/>
    <col min="4542" max="4544" width="7" style="458" bestFit="1" customWidth="1"/>
    <col min="4545" max="4545" width="4" style="458" bestFit="1" customWidth="1"/>
    <col min="4546" max="4546" width="6" style="458" bestFit="1" customWidth="1"/>
    <col min="4547" max="4548" width="4" style="458" bestFit="1" customWidth="1"/>
    <col min="4549" max="4550" width="7" style="458" bestFit="1" customWidth="1"/>
    <col min="4551" max="4551" width="6" style="458" bestFit="1" customWidth="1"/>
    <col min="4552" max="4552" width="7" style="458" bestFit="1" customWidth="1"/>
    <col min="4553" max="4553" width="4" style="458" bestFit="1" customWidth="1"/>
    <col min="4554" max="4555" width="5" style="458" bestFit="1" customWidth="1"/>
    <col min="4556" max="4556" width="8" style="458" bestFit="1" customWidth="1"/>
    <col min="4557" max="4561" width="5" style="458" bestFit="1" customWidth="1"/>
    <col min="4562" max="4563" width="8" style="458" bestFit="1" customWidth="1"/>
    <col min="4564" max="4564" width="5" style="458" bestFit="1" customWidth="1"/>
    <col min="4565" max="4565" width="7" style="458" bestFit="1" customWidth="1"/>
    <col min="4566" max="4571" width="5" style="458" bestFit="1" customWidth="1"/>
    <col min="4572" max="4572" width="8" style="458" bestFit="1" customWidth="1"/>
    <col min="4573" max="4574" width="5" style="458" bestFit="1" customWidth="1"/>
    <col min="4575" max="4575" width="8" style="458" bestFit="1" customWidth="1"/>
    <col min="4576" max="4579" width="5" style="458" bestFit="1" customWidth="1"/>
    <col min="4580" max="4580" width="8" style="458" bestFit="1" customWidth="1"/>
    <col min="4581" max="4581" width="5" style="458" bestFit="1" customWidth="1"/>
    <col min="4582" max="4582" width="7" style="458" bestFit="1" customWidth="1"/>
    <col min="4583" max="4585" width="5" style="458" bestFit="1" customWidth="1"/>
    <col min="4586" max="4586" width="8" style="458" bestFit="1" customWidth="1"/>
    <col min="4587" max="4592" width="5" style="458" bestFit="1" customWidth="1"/>
    <col min="4593" max="4593" width="7" style="458" bestFit="1" customWidth="1"/>
    <col min="4594" max="4596" width="8" style="458" bestFit="1" customWidth="1"/>
    <col min="4597" max="4597" width="5" style="458" bestFit="1" customWidth="1"/>
    <col min="4598" max="4598" width="8" style="458" bestFit="1" customWidth="1"/>
    <col min="4599" max="4599" width="5" style="458" bestFit="1" customWidth="1"/>
    <col min="4600" max="4600" width="7" style="458" bestFit="1" customWidth="1"/>
    <col min="4601" max="4601" width="8" style="458" bestFit="1" customWidth="1"/>
    <col min="4602" max="4602" width="5" style="458" bestFit="1" customWidth="1"/>
    <col min="4603" max="4608" width="8" style="458" bestFit="1" customWidth="1"/>
    <col min="4609" max="4610" width="5" style="458" bestFit="1" customWidth="1"/>
    <col min="4611" max="4612" width="8" style="458" bestFit="1" customWidth="1"/>
    <col min="4613" max="4613" width="5" style="458" bestFit="1" customWidth="1"/>
    <col min="4614" max="4616" width="8" style="458" bestFit="1" customWidth="1"/>
    <col min="4617" max="4619" width="9" style="458" bestFit="1" customWidth="1"/>
    <col min="4620" max="4620" width="6" style="458" bestFit="1" customWidth="1"/>
    <col min="4621" max="4621" width="9" style="458" bestFit="1" customWidth="1"/>
    <col min="4622" max="4623" width="6" style="458" bestFit="1" customWidth="1"/>
    <col min="4624" max="4624" width="7.109375" style="458" bestFit="1" customWidth="1"/>
    <col min="4625" max="4625" width="11.6640625" style="458" bestFit="1" customWidth="1"/>
    <col min="4626" max="4627" width="9.6640625" style="458" bestFit="1" customWidth="1"/>
    <col min="4628" max="4628" width="12.33203125" style="458" bestFit="1" customWidth="1"/>
    <col min="4629" max="4629" width="9.6640625" style="458" bestFit="1" customWidth="1"/>
    <col min="4630" max="4630" width="12.33203125" style="458" bestFit="1" customWidth="1"/>
    <col min="4631" max="4631" width="8.6640625" style="458" bestFit="1" customWidth="1"/>
    <col min="4632" max="4632" width="11.33203125" style="458" bestFit="1" customWidth="1"/>
    <col min="4633" max="4633" width="8.6640625" style="458" bestFit="1" customWidth="1"/>
    <col min="4634" max="4634" width="11.33203125" style="458" bestFit="1" customWidth="1"/>
    <col min="4635" max="4635" width="8.6640625" style="458" bestFit="1" customWidth="1"/>
    <col min="4636" max="4636" width="11.33203125" style="458" bestFit="1" customWidth="1"/>
    <col min="4637" max="4637" width="8.6640625" style="458" bestFit="1" customWidth="1"/>
    <col min="4638" max="4638" width="11.33203125" style="458" bestFit="1" customWidth="1"/>
    <col min="4639" max="4639" width="8.6640625" style="458" bestFit="1" customWidth="1"/>
    <col min="4640" max="4640" width="11.33203125" style="458" bestFit="1" customWidth="1"/>
    <col min="4641" max="4641" width="8.6640625" style="458" bestFit="1" customWidth="1"/>
    <col min="4642" max="4642" width="11.33203125" style="458" bestFit="1" customWidth="1"/>
    <col min="4643" max="4643" width="8.6640625" style="458" bestFit="1" customWidth="1"/>
    <col min="4644" max="4644" width="11.33203125" style="458" bestFit="1" customWidth="1"/>
    <col min="4645" max="4645" width="7.6640625" style="458" bestFit="1" customWidth="1"/>
    <col min="4646" max="4646" width="10.33203125" style="458" bestFit="1" customWidth="1"/>
    <col min="4647" max="4647" width="7.6640625" style="458" bestFit="1" customWidth="1"/>
    <col min="4648" max="4648" width="10.33203125" style="458" bestFit="1" customWidth="1"/>
    <col min="4649" max="4649" width="7.6640625" style="458" bestFit="1" customWidth="1"/>
    <col min="4650" max="4650" width="10.33203125" style="458" bestFit="1" customWidth="1"/>
    <col min="4651" max="4651" width="7.6640625" style="458" bestFit="1" customWidth="1"/>
    <col min="4652" max="4652" width="10.33203125" style="458" bestFit="1" customWidth="1"/>
    <col min="4653" max="4653" width="7.6640625" style="458" bestFit="1" customWidth="1"/>
    <col min="4654" max="4654" width="10.33203125" style="458" bestFit="1" customWidth="1"/>
    <col min="4655" max="4655" width="7.6640625" style="458" bestFit="1" customWidth="1"/>
    <col min="4656" max="4656" width="10.33203125" style="458" bestFit="1" customWidth="1"/>
    <col min="4657" max="4657" width="7.6640625" style="458" bestFit="1" customWidth="1"/>
    <col min="4658" max="4658" width="10.33203125" style="458" bestFit="1" customWidth="1"/>
    <col min="4659" max="4659" width="7.109375" style="458" bestFit="1" customWidth="1"/>
    <col min="4660" max="4660" width="9.33203125" style="458" bestFit="1" customWidth="1"/>
    <col min="4661" max="4661" width="7.109375" style="458" bestFit="1" customWidth="1"/>
    <col min="4662" max="4662" width="9.33203125" style="458" bestFit="1" customWidth="1"/>
    <col min="4663" max="4663" width="7.109375" style="458" bestFit="1" customWidth="1"/>
    <col min="4664" max="4664" width="6.6640625" style="458" bestFit="1" customWidth="1"/>
    <col min="4665" max="4665" width="7.109375" style="458" bestFit="1" customWidth="1"/>
    <col min="4666" max="4666" width="6.6640625" style="458" bestFit="1" customWidth="1"/>
    <col min="4667" max="4667" width="7.109375" style="458" bestFit="1" customWidth="1"/>
    <col min="4668" max="4668" width="6.6640625" style="458" bestFit="1" customWidth="1"/>
    <col min="4669" max="4669" width="7.109375" style="458" bestFit="1" customWidth="1"/>
    <col min="4670" max="4670" width="6.6640625" style="458" bestFit="1" customWidth="1"/>
    <col min="4671" max="4671" width="7.109375" style="458" bestFit="1" customWidth="1"/>
    <col min="4672" max="4672" width="7.6640625" style="458" bestFit="1" customWidth="1"/>
    <col min="4673" max="4673" width="7.109375" style="458" bestFit="1" customWidth="1"/>
    <col min="4674" max="4674" width="7.6640625" style="458" bestFit="1" customWidth="1"/>
    <col min="4675" max="4675" width="7.109375" style="458" bestFit="1" customWidth="1"/>
    <col min="4676" max="4676" width="7.6640625" style="458" bestFit="1" customWidth="1"/>
    <col min="4677" max="4677" width="7.109375" style="458" bestFit="1" customWidth="1"/>
    <col min="4678" max="4678" width="7.6640625" style="458" bestFit="1" customWidth="1"/>
    <col min="4679" max="4679" width="7.109375" style="458" bestFit="1" customWidth="1"/>
    <col min="4680" max="4680" width="7.6640625" style="458" bestFit="1" customWidth="1"/>
    <col min="4681" max="4681" width="7.109375" style="458" bestFit="1" customWidth="1"/>
    <col min="4682" max="4682" width="7.6640625" style="458" bestFit="1" customWidth="1"/>
    <col min="4683" max="4683" width="7.109375" style="458" bestFit="1" customWidth="1"/>
    <col min="4684" max="4684" width="7.6640625" style="458" bestFit="1" customWidth="1"/>
    <col min="4685" max="4685" width="7.109375" style="458" bestFit="1" customWidth="1"/>
    <col min="4686" max="4686" width="8.6640625" style="458" bestFit="1" customWidth="1"/>
    <col min="4687" max="4687" width="7.109375" style="458" bestFit="1" customWidth="1"/>
    <col min="4688" max="4688" width="8.6640625" style="458" bestFit="1" customWidth="1"/>
    <col min="4689" max="4689" width="7.109375" style="458" bestFit="1" customWidth="1"/>
    <col min="4690" max="4690" width="8.6640625" style="458" bestFit="1" customWidth="1"/>
    <col min="4691" max="4691" width="7.109375" style="458" bestFit="1" customWidth="1"/>
    <col min="4692" max="4692" width="8.6640625" style="458" bestFit="1" customWidth="1"/>
    <col min="4693" max="4693" width="7.109375" style="458" bestFit="1" customWidth="1"/>
    <col min="4694" max="4694" width="8.6640625" style="458" bestFit="1" customWidth="1"/>
    <col min="4695" max="4695" width="7.109375" style="458" bestFit="1" customWidth="1"/>
    <col min="4696" max="4696" width="8.6640625" style="458" bestFit="1" customWidth="1"/>
    <col min="4697" max="4697" width="7.109375" style="458" bestFit="1" customWidth="1"/>
    <col min="4698" max="4698" width="8.6640625" style="458" bestFit="1" customWidth="1"/>
    <col min="4699" max="4699" width="7.109375" style="458" bestFit="1" customWidth="1"/>
    <col min="4700" max="4700" width="8.6640625" style="458" bestFit="1" customWidth="1"/>
    <col min="4701" max="4701" width="7.109375" style="458" bestFit="1" customWidth="1"/>
    <col min="4702" max="4702" width="8.6640625" style="458" bestFit="1" customWidth="1"/>
    <col min="4703" max="4703" width="7.109375" style="458" bestFit="1" customWidth="1"/>
    <col min="4704" max="4704" width="8.6640625" style="458" bestFit="1" customWidth="1"/>
    <col min="4705" max="4705" width="7.109375" style="458" bestFit="1" customWidth="1"/>
    <col min="4706" max="4706" width="8.6640625" style="458" bestFit="1" customWidth="1"/>
    <col min="4707" max="4707" width="7.109375" style="458" bestFit="1" customWidth="1"/>
    <col min="4708" max="4708" width="8.6640625" style="458" bestFit="1" customWidth="1"/>
    <col min="4709" max="4709" width="7.109375" style="458" bestFit="1" customWidth="1"/>
    <col min="4710" max="4710" width="8.6640625" style="458" bestFit="1" customWidth="1"/>
    <col min="4711" max="4711" width="7.109375" style="458" bestFit="1" customWidth="1"/>
    <col min="4712" max="4712" width="8.6640625" style="458" bestFit="1" customWidth="1"/>
    <col min="4713" max="4713" width="7.109375" style="458" bestFit="1" customWidth="1"/>
    <col min="4714" max="4714" width="9.6640625" style="458" bestFit="1" customWidth="1"/>
    <col min="4715" max="4715" width="7.109375" style="458" bestFit="1" customWidth="1"/>
    <col min="4716" max="4716" width="9.6640625" style="458" bestFit="1" customWidth="1"/>
    <col min="4717" max="4717" width="7.109375" style="458" bestFit="1" customWidth="1"/>
    <col min="4718" max="4718" width="9.6640625" style="458" bestFit="1" customWidth="1"/>
    <col min="4719" max="4719" width="7.109375" style="458" bestFit="1" customWidth="1"/>
    <col min="4720" max="4720" width="9.6640625" style="458" bestFit="1" customWidth="1"/>
    <col min="4721" max="4721" width="7.109375" style="458" bestFit="1" customWidth="1"/>
    <col min="4722" max="4722" width="9.6640625" style="458" bestFit="1" customWidth="1"/>
    <col min="4723" max="4723" width="7.109375" style="458" bestFit="1" customWidth="1"/>
    <col min="4724" max="4724" width="9.6640625" style="458" bestFit="1" customWidth="1"/>
    <col min="4725" max="4725" width="7.109375" style="458" bestFit="1" customWidth="1"/>
    <col min="4726" max="4726" width="9.6640625" style="458" bestFit="1" customWidth="1"/>
    <col min="4727" max="4727" width="7.109375" style="458" bestFit="1" customWidth="1"/>
    <col min="4728" max="4728" width="9.6640625" style="458" bestFit="1" customWidth="1"/>
    <col min="4729" max="4729" width="7.109375" style="458" bestFit="1" customWidth="1"/>
    <col min="4730" max="4730" width="9.6640625" style="458" bestFit="1" customWidth="1"/>
    <col min="4731" max="4731" width="7.109375" style="458" bestFit="1" customWidth="1"/>
    <col min="4732" max="4732" width="9.6640625" style="458" bestFit="1" customWidth="1"/>
    <col min="4733" max="4733" width="7.109375" style="458" bestFit="1" customWidth="1"/>
    <col min="4734" max="4734" width="9.6640625" style="458" bestFit="1" customWidth="1"/>
    <col min="4735" max="4735" width="7.109375" style="458" bestFit="1" customWidth="1"/>
    <col min="4736" max="4736" width="9.6640625" style="458" bestFit="1" customWidth="1"/>
    <col min="4737" max="4737" width="7.109375" style="458" bestFit="1" customWidth="1"/>
    <col min="4738" max="4738" width="9.6640625" style="458" bestFit="1" customWidth="1"/>
    <col min="4739" max="4739" width="7.109375" style="458" bestFit="1" customWidth="1"/>
    <col min="4740" max="4740" width="9.6640625" style="458" bestFit="1" customWidth="1"/>
    <col min="4741" max="4741" width="8" style="458" bestFit="1" customWidth="1"/>
    <col min="4742" max="4742" width="10.6640625" style="458" bestFit="1" customWidth="1"/>
    <col min="4743" max="4743" width="8" style="458" bestFit="1" customWidth="1"/>
    <col min="4744" max="4744" width="10.6640625" style="458" bestFit="1" customWidth="1"/>
    <col min="4745" max="4745" width="8" style="458" bestFit="1" customWidth="1"/>
    <col min="4746" max="4746" width="10.6640625" style="458" bestFit="1" customWidth="1"/>
    <col min="4747" max="4747" width="8" style="458" bestFit="1" customWidth="1"/>
    <col min="4748" max="4748" width="10.6640625" style="458" bestFit="1" customWidth="1"/>
    <col min="4749" max="4749" width="8" style="458" bestFit="1" customWidth="1"/>
    <col min="4750" max="4750" width="10.6640625" style="458" bestFit="1" customWidth="1"/>
    <col min="4751" max="4751" width="8" style="458" bestFit="1" customWidth="1"/>
    <col min="4752" max="4752" width="10.6640625" style="458" bestFit="1" customWidth="1"/>
    <col min="4753" max="4753" width="8" style="458" bestFit="1" customWidth="1"/>
    <col min="4754" max="4754" width="10.6640625" style="458" bestFit="1" customWidth="1"/>
    <col min="4755" max="4755" width="8" style="458" bestFit="1" customWidth="1"/>
    <col min="4756" max="4756" width="10.6640625" style="458" bestFit="1" customWidth="1"/>
    <col min="4757" max="4757" width="9" style="458" bestFit="1" customWidth="1"/>
    <col min="4758" max="4758" width="11.6640625" style="458" bestFit="1" customWidth="1"/>
    <col min="4759" max="4759" width="9" style="458" bestFit="1" customWidth="1"/>
    <col min="4760" max="4760" width="11.6640625" style="458" bestFit="1" customWidth="1"/>
    <col min="4761" max="4761" width="9" style="458" bestFit="1" customWidth="1"/>
    <col min="4762" max="4762" width="6.6640625" style="458" bestFit="1" customWidth="1"/>
    <col min="4763" max="4763" width="9.6640625" style="458" bestFit="1" customWidth="1"/>
    <col min="4764" max="4764" width="6.6640625" style="458" bestFit="1" customWidth="1"/>
    <col min="4765" max="4766" width="9.6640625" style="458" bestFit="1" customWidth="1"/>
    <col min="4767" max="4767" width="6.6640625" style="458" bestFit="1" customWidth="1"/>
    <col min="4768" max="4768" width="9.6640625" style="458" bestFit="1" customWidth="1"/>
    <col min="4769" max="4769" width="6.6640625" style="458" bestFit="1" customWidth="1"/>
    <col min="4770" max="4770" width="9.6640625" style="458" bestFit="1" customWidth="1"/>
    <col min="4771" max="4772" width="6.6640625" style="458" bestFit="1" customWidth="1"/>
    <col min="4773" max="4773" width="9.6640625" style="458" bestFit="1" customWidth="1"/>
    <col min="4774" max="4775" width="8.6640625" style="458" bestFit="1" customWidth="1"/>
    <col min="4776" max="4778" width="5.6640625" style="458" bestFit="1" customWidth="1"/>
    <col min="4779" max="4780" width="8.6640625" style="458" bestFit="1" customWidth="1"/>
    <col min="4781" max="4781" width="5.6640625" style="458" bestFit="1" customWidth="1"/>
    <col min="4782" max="4782" width="8.6640625" style="458" bestFit="1" customWidth="1"/>
    <col min="4783" max="4786" width="5.6640625" style="458" bestFit="1" customWidth="1"/>
    <col min="4787" max="4787" width="8.6640625" style="458" bestFit="1" customWidth="1"/>
    <col min="4788" max="4788" width="7.6640625" style="458" bestFit="1" customWidth="1"/>
    <col min="4789" max="4790" width="5.6640625" style="458" bestFit="1" customWidth="1"/>
    <col min="4791" max="4791" width="8.6640625" style="458" bestFit="1" customWidth="1"/>
    <col min="4792" max="4793" width="7.6640625" style="458" bestFit="1" customWidth="1"/>
    <col min="4794" max="4794" width="5.6640625" style="458" bestFit="1" customWidth="1"/>
    <col min="4795" max="4795" width="7.6640625" style="458" bestFit="1" customWidth="1"/>
    <col min="4796" max="4798" width="4.6640625" style="458" bestFit="1" customWidth="1"/>
    <col min="4799" max="4799" width="7.6640625" style="458" bestFit="1" customWidth="1"/>
    <col min="4800" max="4800" width="6.6640625" style="458" bestFit="1" customWidth="1"/>
    <col min="4801" max="4804" width="7.6640625" style="458" bestFit="1" customWidth="1"/>
    <col min="4805" max="4807" width="4.6640625" style="458" bestFit="1" customWidth="1"/>
    <col min="4808" max="4814" width="7.6640625" style="458" bestFit="1" customWidth="1"/>
    <col min="4815" max="4815" width="4.6640625" style="458" bestFit="1" customWidth="1"/>
    <col min="4816" max="4816" width="7.6640625" style="458" bestFit="1" customWidth="1"/>
    <col min="4817" max="4817" width="6.6640625" style="458" bestFit="1" customWidth="1"/>
    <col min="4818" max="4820" width="7.6640625" style="458" bestFit="1" customWidth="1"/>
    <col min="4821" max="4821" width="6.6640625" style="458" bestFit="1" customWidth="1"/>
    <col min="4822" max="4822" width="4.6640625" style="458" bestFit="1" customWidth="1"/>
    <col min="4823" max="4826" width="7.6640625" style="458" bestFit="1" customWidth="1"/>
    <col min="4827" max="4827" width="6.6640625" style="458" bestFit="1" customWidth="1"/>
    <col min="4828" max="4829" width="7.6640625" style="458" bestFit="1" customWidth="1"/>
    <col min="4830" max="4830" width="4.6640625" style="458" bestFit="1" customWidth="1"/>
    <col min="4831" max="4832" width="7.6640625" style="458" bestFit="1" customWidth="1"/>
    <col min="4833" max="4833" width="4.6640625" style="458" bestFit="1" customWidth="1"/>
    <col min="4834" max="4835" width="7.6640625" style="458" bestFit="1" customWidth="1"/>
    <col min="4836" max="4836" width="4.6640625" style="458" bestFit="1" customWidth="1"/>
    <col min="4837" max="4838" width="7.6640625" style="458" bestFit="1" customWidth="1"/>
    <col min="4839" max="4839" width="4.6640625" style="458" bestFit="1" customWidth="1"/>
    <col min="4840" max="4843" width="7.6640625" style="458" bestFit="1" customWidth="1"/>
    <col min="4844" max="4844" width="4.6640625" style="458" bestFit="1" customWidth="1"/>
    <col min="4845" max="4849" width="7.6640625" style="458" bestFit="1" customWidth="1"/>
    <col min="4850" max="4850" width="4.6640625" style="458" bestFit="1" customWidth="1"/>
    <col min="4851" max="4851" width="6.6640625" style="458" bestFit="1" customWidth="1"/>
    <col min="4852" max="4855" width="7.6640625" style="458" bestFit="1" customWidth="1"/>
    <col min="4856" max="4856" width="6.6640625" style="458" bestFit="1" customWidth="1"/>
    <col min="4857" max="4857" width="4.6640625" style="458" bestFit="1" customWidth="1"/>
    <col min="4858" max="4858" width="7.6640625" style="458" bestFit="1" customWidth="1"/>
    <col min="4859" max="4859" width="6.6640625" style="458" bestFit="1" customWidth="1"/>
    <col min="4860" max="4865" width="7.6640625" style="458" bestFit="1" customWidth="1"/>
    <col min="4866" max="4866" width="4.6640625" style="458" bestFit="1" customWidth="1"/>
    <col min="4867" max="4872" width="7.6640625" style="458" bestFit="1" customWidth="1"/>
    <col min="4873" max="4873" width="6.6640625" style="458" bestFit="1" customWidth="1"/>
    <col min="4874" max="4876" width="7.6640625" style="458" bestFit="1" customWidth="1"/>
    <col min="4877" max="4877" width="4.6640625" style="458" bestFit="1" customWidth="1"/>
    <col min="4878" max="4881" width="7.6640625" style="458" bestFit="1" customWidth="1"/>
    <col min="4882" max="4882" width="4.6640625" style="458" bestFit="1" customWidth="1"/>
    <col min="4883" max="4884" width="7.6640625" style="458" bestFit="1" customWidth="1"/>
    <col min="4885" max="4885" width="4.6640625" style="458" bestFit="1" customWidth="1"/>
    <col min="4886" max="4891" width="7.6640625" style="458" bestFit="1" customWidth="1"/>
    <col min="4892" max="4892" width="6.6640625" style="458" bestFit="1" customWidth="1"/>
    <col min="4893" max="4894" width="7.6640625" style="458" bestFit="1" customWidth="1"/>
    <col min="4895" max="4895" width="4.6640625" style="458" bestFit="1" customWidth="1"/>
    <col min="4896" max="4897" width="5.6640625" style="458" bestFit="1" customWidth="1"/>
    <col min="4898" max="4898" width="3.6640625" style="458" bestFit="1" customWidth="1"/>
    <col min="4899" max="4899" width="6.6640625" style="458" bestFit="1" customWidth="1"/>
    <col min="4900" max="4900" width="3.6640625" style="458" bestFit="1" customWidth="1"/>
    <col min="4901" max="4903" width="6.6640625" style="458" bestFit="1" customWidth="1"/>
    <col min="4904" max="4904" width="3.6640625" style="458" bestFit="1" customWidth="1"/>
    <col min="4905" max="4906" width="6.6640625" style="458" bestFit="1" customWidth="1"/>
    <col min="4907" max="4907" width="3.6640625" style="458" bestFit="1" customWidth="1"/>
    <col min="4908" max="4909" width="6.6640625" style="458" bestFit="1" customWidth="1"/>
    <col min="4910" max="4910" width="5.6640625" style="458" bestFit="1" customWidth="1"/>
    <col min="4911" max="4911" width="6.6640625" style="458" bestFit="1" customWidth="1"/>
    <col min="4912" max="4912" width="3.6640625" style="458" bestFit="1" customWidth="1"/>
    <col min="4913" max="4919" width="6.6640625" style="458" bestFit="1" customWidth="1"/>
    <col min="4920" max="4920" width="5.6640625" style="458" bestFit="1" customWidth="1"/>
    <col min="4921" max="4921" width="3.6640625" style="458" bestFit="1" customWidth="1"/>
    <col min="4922" max="4925" width="6.6640625" style="458" bestFit="1" customWidth="1"/>
    <col min="4926" max="4926" width="5.6640625" style="458" bestFit="1" customWidth="1"/>
    <col min="4927" max="4930" width="6.6640625" style="458" bestFit="1" customWidth="1"/>
    <col min="4931" max="4931" width="3.6640625" style="458" bestFit="1" customWidth="1"/>
    <col min="4932" max="4940" width="6.6640625" style="458" bestFit="1" customWidth="1"/>
    <col min="4941" max="4941" width="5.6640625" style="458" bestFit="1" customWidth="1"/>
    <col min="4942" max="4942" width="6.6640625" style="458" bestFit="1" customWidth="1"/>
    <col min="4943" max="4943" width="5.6640625" style="458" bestFit="1" customWidth="1"/>
    <col min="4944" max="4944" width="6.6640625" style="458" bestFit="1" customWidth="1"/>
    <col min="4945" max="4945" width="3.6640625" style="458" bestFit="1" customWidth="1"/>
    <col min="4946" max="4946" width="5.6640625" style="458" bestFit="1" customWidth="1"/>
    <col min="4947" max="4948" width="6.6640625" style="458" bestFit="1" customWidth="1"/>
    <col min="4949" max="4949" width="5.6640625" style="458" bestFit="1" customWidth="1"/>
    <col min="4950" max="4960" width="6.6640625" style="458" bestFit="1" customWidth="1"/>
    <col min="4961" max="4962" width="5.6640625" style="458" bestFit="1" customWidth="1"/>
    <col min="4963" max="4964" width="6.6640625" style="458" bestFit="1" customWidth="1"/>
    <col min="4965" max="4965" width="3.6640625" style="458" bestFit="1" customWidth="1"/>
    <col min="4966" max="4967" width="6.6640625" style="458" bestFit="1" customWidth="1"/>
    <col min="4968" max="4968" width="5.6640625" style="458" bestFit="1" customWidth="1"/>
    <col min="4969" max="4975" width="6.6640625" style="458" bestFit="1" customWidth="1"/>
    <col min="4976" max="4976" width="5.6640625" style="458" bestFit="1" customWidth="1"/>
    <col min="4977" max="4978" width="3.6640625" style="458" bestFit="1" customWidth="1"/>
    <col min="4979" max="4979" width="5.6640625" style="458" bestFit="1" customWidth="1"/>
    <col min="4980" max="4980" width="4.6640625" style="458" bestFit="1" customWidth="1"/>
    <col min="4981" max="4990" width="5.6640625" style="458" bestFit="1" customWidth="1"/>
    <col min="4991" max="4991" width="4.6640625" style="458" bestFit="1" customWidth="1"/>
    <col min="4992" max="5011" width="5.6640625" style="458" bestFit="1" customWidth="1"/>
    <col min="5012" max="5012" width="2.6640625" style="458" bestFit="1" customWidth="1"/>
    <col min="5013" max="5017" width="5.6640625" style="458" bestFit="1" customWidth="1"/>
    <col min="5018" max="5018" width="4.6640625" style="458" bestFit="1" customWidth="1"/>
    <col min="5019" max="5031" width="5.6640625" style="458" bestFit="1" customWidth="1"/>
    <col min="5032" max="5032" width="4.6640625" style="458" bestFit="1" customWidth="1"/>
    <col min="5033" max="5039" width="5.6640625" style="458" bestFit="1" customWidth="1"/>
    <col min="5040" max="5040" width="2" style="458" bestFit="1" customWidth="1"/>
    <col min="5041" max="5045" width="5" style="458" bestFit="1" customWidth="1"/>
    <col min="5046" max="5046" width="4" style="458" bestFit="1" customWidth="1"/>
    <col min="5047" max="5051" width="5" style="458" bestFit="1" customWidth="1"/>
    <col min="5052" max="5052" width="4" style="458" bestFit="1" customWidth="1"/>
    <col min="5053" max="5056" width="5" style="458" bestFit="1" customWidth="1"/>
    <col min="5057" max="5057" width="4" style="458" bestFit="1" customWidth="1"/>
    <col min="5058" max="5062" width="5" style="458" bestFit="1" customWidth="1"/>
    <col min="5063" max="5063" width="4" style="458" bestFit="1" customWidth="1"/>
    <col min="5064" max="5078" width="5" style="458" bestFit="1" customWidth="1"/>
    <col min="5079" max="5079" width="4" style="458" bestFit="1" customWidth="1"/>
    <col min="5080" max="5081" width="5" style="458" bestFit="1" customWidth="1"/>
    <col min="5082" max="5082" width="4" style="458" bestFit="1" customWidth="1"/>
    <col min="5083" max="5085" width="5" style="458" bestFit="1" customWidth="1"/>
    <col min="5086" max="5086" width="4" style="458" bestFit="1" customWidth="1"/>
    <col min="5087" max="5091" width="5" style="458" bestFit="1" customWidth="1"/>
    <col min="5092" max="5092" width="4" style="458" bestFit="1" customWidth="1"/>
    <col min="5093" max="5097" width="5" style="458" bestFit="1" customWidth="1"/>
    <col min="5098" max="5098" width="2" style="458" bestFit="1" customWidth="1"/>
    <col min="5099" max="5099" width="5" style="458" bestFit="1" customWidth="1"/>
    <col min="5100" max="5100" width="4" style="458" bestFit="1" customWidth="1"/>
    <col min="5101" max="5111" width="5" style="458" bestFit="1" customWidth="1"/>
    <col min="5112" max="5112" width="4" style="458" bestFit="1" customWidth="1"/>
    <col min="5113" max="5115" width="5" style="458" bestFit="1" customWidth="1"/>
    <col min="5116" max="5116" width="2" style="458" bestFit="1" customWidth="1"/>
    <col min="5117" max="5138" width="5" style="458" bestFit="1" customWidth="1"/>
    <col min="5139" max="5139" width="2" style="458" bestFit="1" customWidth="1"/>
    <col min="5140" max="5144" width="5" style="458" bestFit="1" customWidth="1"/>
    <col min="5145" max="5146" width="4" style="458" bestFit="1" customWidth="1"/>
    <col min="5147" max="5150" width="5" style="458" bestFit="1" customWidth="1"/>
    <col min="5151" max="5151" width="4" style="458" bestFit="1" customWidth="1"/>
    <col min="5152" max="5175" width="5" style="458" bestFit="1" customWidth="1"/>
    <col min="5176" max="5178" width="4" style="458" bestFit="1" customWidth="1"/>
    <col min="5179" max="5180" width="5" style="458" bestFit="1" customWidth="1"/>
    <col min="5181" max="5181" width="4" style="458" bestFit="1" customWidth="1"/>
    <col min="5182" max="5182" width="2" style="458" bestFit="1" customWidth="1"/>
    <col min="5183" max="5187" width="5" style="458" bestFit="1" customWidth="1"/>
    <col min="5188" max="5188" width="4" style="458" bestFit="1" customWidth="1"/>
    <col min="5189" max="5191" width="5" style="458" bestFit="1" customWidth="1"/>
    <col min="5192" max="5192" width="4" style="458" bestFit="1" customWidth="1"/>
    <col min="5193" max="5194" width="5" style="458" bestFit="1" customWidth="1"/>
    <col min="5195" max="5195" width="4" style="458" bestFit="1" customWidth="1"/>
    <col min="5196" max="5198" width="5" style="458" bestFit="1" customWidth="1"/>
    <col min="5199" max="5199" width="4" style="458" bestFit="1" customWidth="1"/>
    <col min="5200" max="5207" width="5" style="458" bestFit="1" customWidth="1"/>
    <col min="5208" max="5208" width="2" style="458" bestFit="1" customWidth="1"/>
    <col min="5209" max="5214" width="5" style="458" bestFit="1" customWidth="1"/>
    <col min="5215" max="5215" width="4" style="458" bestFit="1" customWidth="1"/>
    <col min="5216" max="5219" width="5" style="458" bestFit="1" customWidth="1"/>
    <col min="5220" max="5220" width="3" style="458" bestFit="1" customWidth="1"/>
    <col min="5221" max="5222" width="6" style="458" bestFit="1" customWidth="1"/>
    <col min="5223" max="5223" width="5" style="458" bestFit="1" customWidth="1"/>
    <col min="5224" max="5229" width="6" style="458" bestFit="1" customWidth="1"/>
    <col min="5230" max="5230" width="3" style="458" bestFit="1" customWidth="1"/>
    <col min="5231" max="5231" width="6" style="458" bestFit="1" customWidth="1"/>
    <col min="5232" max="5232" width="5" style="458" bestFit="1" customWidth="1"/>
    <col min="5233" max="5236" width="6" style="458" bestFit="1" customWidth="1"/>
    <col min="5237" max="5237" width="5" style="458" bestFit="1" customWidth="1"/>
    <col min="5238" max="5239" width="6" style="458" bestFit="1" customWidth="1"/>
    <col min="5240" max="5240" width="5" style="458" bestFit="1" customWidth="1"/>
    <col min="5241" max="5243" width="6" style="458" bestFit="1" customWidth="1"/>
    <col min="5244" max="5244" width="3" style="458" bestFit="1" customWidth="1"/>
    <col min="5245" max="5245" width="6" style="458" bestFit="1" customWidth="1"/>
    <col min="5246" max="5246" width="5" style="458" bestFit="1" customWidth="1"/>
    <col min="5247" max="5248" width="6" style="458" bestFit="1" customWidth="1"/>
    <col min="5249" max="5249" width="5" style="458" bestFit="1" customWidth="1"/>
    <col min="5250" max="5250" width="6" style="458" bestFit="1" customWidth="1"/>
    <col min="5251" max="5251" width="3" style="458" bestFit="1" customWidth="1"/>
    <col min="5252" max="5259" width="6" style="458" bestFit="1" customWidth="1"/>
    <col min="5260" max="5260" width="3" style="458" bestFit="1" customWidth="1"/>
    <col min="5261" max="5262" width="5" style="458" bestFit="1" customWidth="1"/>
    <col min="5263" max="5266" width="6" style="458" bestFit="1" customWidth="1"/>
    <col min="5267" max="5267" width="5" style="458" bestFit="1" customWidth="1"/>
    <col min="5268" max="5272" width="6" style="458" bestFit="1" customWidth="1"/>
    <col min="5273" max="5273" width="5" style="458" bestFit="1" customWidth="1"/>
    <col min="5274" max="5277" width="6" style="458" bestFit="1" customWidth="1"/>
    <col min="5278" max="5278" width="3" style="458" bestFit="1" customWidth="1"/>
    <col min="5279" max="5281" width="6" style="458" bestFit="1" customWidth="1"/>
    <col min="5282" max="5282" width="5" style="458" bestFit="1" customWidth="1"/>
    <col min="5283" max="5285" width="6" style="458" bestFit="1" customWidth="1"/>
    <col min="5286" max="5286" width="3" style="458" bestFit="1" customWidth="1"/>
    <col min="5287" max="5288" width="5" style="458" bestFit="1" customWidth="1"/>
    <col min="5289" max="5290" width="6" style="458" bestFit="1" customWidth="1"/>
    <col min="5291" max="5292" width="5" style="458" bestFit="1" customWidth="1"/>
    <col min="5293" max="5293" width="6" style="458" bestFit="1" customWidth="1"/>
    <col min="5294" max="5294" width="5" style="458" bestFit="1" customWidth="1"/>
    <col min="5295" max="5297" width="6" style="458" bestFit="1" customWidth="1"/>
    <col min="5298" max="5298" width="3" style="458" bestFit="1" customWidth="1"/>
    <col min="5299" max="5300" width="6" style="458" bestFit="1" customWidth="1"/>
    <col min="5301" max="5301" width="5" style="458" bestFit="1" customWidth="1"/>
    <col min="5302" max="5303" width="6" style="458" bestFit="1" customWidth="1"/>
    <col min="5304" max="5305" width="5" style="458" bestFit="1" customWidth="1"/>
    <col min="5306" max="5315" width="6" style="458" bestFit="1" customWidth="1"/>
    <col min="5316" max="5316" width="3" style="458" bestFit="1" customWidth="1"/>
    <col min="5317" max="5318" width="6" style="458" bestFit="1" customWidth="1"/>
    <col min="5319" max="5319" width="5" style="458" bestFit="1" customWidth="1"/>
    <col min="5320" max="5320" width="6" style="458" bestFit="1" customWidth="1"/>
    <col min="5321" max="5322" width="5" style="458" bestFit="1" customWidth="1"/>
    <col min="5323" max="5323" width="3" style="458" bestFit="1" customWidth="1"/>
    <col min="5324" max="5326" width="6" style="458" bestFit="1" customWidth="1"/>
    <col min="5327" max="5327" width="5" style="458" bestFit="1" customWidth="1"/>
    <col min="5328" max="5330" width="6" style="458" bestFit="1" customWidth="1"/>
    <col min="5331" max="5331" width="5" style="458" bestFit="1" customWidth="1"/>
    <col min="5332" max="5333" width="6" style="458" bestFit="1" customWidth="1"/>
    <col min="5334" max="5334" width="3" style="458" bestFit="1" customWidth="1"/>
    <col min="5335" max="5338" width="6" style="458" bestFit="1" customWidth="1"/>
    <col min="5339" max="5340" width="5" style="458" bestFit="1" customWidth="1"/>
    <col min="5341" max="5348" width="6" style="458" bestFit="1" customWidth="1"/>
    <col min="5349" max="5350" width="5" style="458" bestFit="1" customWidth="1"/>
    <col min="5351" max="5351" width="3" style="458" bestFit="1" customWidth="1"/>
    <col min="5352" max="5355" width="6" style="458" bestFit="1" customWidth="1"/>
    <col min="5356" max="5356" width="3" style="458" bestFit="1" customWidth="1"/>
    <col min="5357" max="5357" width="5" style="458" bestFit="1" customWidth="1"/>
    <col min="5358" max="5358" width="6" style="458" bestFit="1" customWidth="1"/>
    <col min="5359" max="5359" width="5" style="458" bestFit="1" customWidth="1"/>
    <col min="5360" max="5362" width="6" style="458" bestFit="1" customWidth="1"/>
    <col min="5363" max="5363" width="5" style="458" bestFit="1" customWidth="1"/>
    <col min="5364" max="5364" width="6" style="458" bestFit="1" customWidth="1"/>
    <col min="5365" max="5365" width="5" style="458" bestFit="1" customWidth="1"/>
    <col min="5366" max="5367" width="6" style="458" bestFit="1" customWidth="1"/>
    <col min="5368" max="5368" width="3" style="458" bestFit="1" customWidth="1"/>
    <col min="5369" max="5369" width="6" style="458" bestFit="1" customWidth="1"/>
    <col min="5370" max="5370" width="5" style="458" bestFit="1" customWidth="1"/>
    <col min="5371" max="5371" width="6" style="458" bestFit="1" customWidth="1"/>
    <col min="5372" max="5372" width="5" style="458" bestFit="1" customWidth="1"/>
    <col min="5373" max="5373" width="6" style="458" bestFit="1" customWidth="1"/>
    <col min="5374" max="5374" width="5" style="458" bestFit="1" customWidth="1"/>
    <col min="5375" max="5376" width="6" style="458" bestFit="1" customWidth="1"/>
    <col min="5377" max="5377" width="3" style="458" bestFit="1" customWidth="1"/>
    <col min="5378" max="5379" width="6" style="458" bestFit="1" customWidth="1"/>
    <col min="5380" max="5380" width="3" style="458" bestFit="1" customWidth="1"/>
    <col min="5381" max="5391" width="6" style="458" bestFit="1" customWidth="1"/>
    <col min="5392" max="5392" width="3" style="458" bestFit="1" customWidth="1"/>
    <col min="5393" max="5395" width="6" style="458" bestFit="1" customWidth="1"/>
    <col min="5396" max="5396" width="5" style="458" bestFit="1" customWidth="1"/>
    <col min="5397" max="5399" width="6" style="458" bestFit="1" customWidth="1"/>
    <col min="5400" max="5400" width="3" style="458" bestFit="1" customWidth="1"/>
    <col min="5401" max="5403" width="6" style="458" bestFit="1" customWidth="1"/>
    <col min="5404" max="5404" width="3" style="458" bestFit="1" customWidth="1"/>
    <col min="5405" max="5407" width="6" style="458" bestFit="1" customWidth="1"/>
    <col min="5408" max="5408" width="3" style="458" bestFit="1" customWidth="1"/>
    <col min="5409" max="5410" width="6" style="458" bestFit="1" customWidth="1"/>
    <col min="5411" max="5411" width="5" style="458" bestFit="1" customWidth="1"/>
    <col min="5412" max="5421" width="6" style="458" bestFit="1" customWidth="1"/>
    <col min="5422" max="5422" width="5" style="458" bestFit="1" customWidth="1"/>
    <col min="5423" max="5431" width="6" style="458" bestFit="1" customWidth="1"/>
    <col min="5432" max="5432" width="3" style="458" bestFit="1" customWidth="1"/>
    <col min="5433" max="5435" width="6" style="458" bestFit="1" customWidth="1"/>
    <col min="5436" max="5436" width="3" style="458" bestFit="1" customWidth="1"/>
    <col min="5437" max="5437" width="5" style="458" bestFit="1" customWidth="1"/>
    <col min="5438" max="5439" width="6" style="458" bestFit="1" customWidth="1"/>
    <col min="5440" max="5441" width="5" style="458" bestFit="1" customWidth="1"/>
    <col min="5442" max="5442" width="3" style="458" bestFit="1" customWidth="1"/>
    <col min="5443" max="5445" width="6" style="458" bestFit="1" customWidth="1"/>
    <col min="5446" max="5446" width="3" style="458" bestFit="1" customWidth="1"/>
    <col min="5447" max="5449" width="6" style="458" bestFit="1" customWidth="1"/>
    <col min="5450" max="5450" width="5" style="458" bestFit="1" customWidth="1"/>
    <col min="5451" max="5451" width="6" style="458" bestFit="1" customWidth="1"/>
    <col min="5452" max="5452" width="3" style="458" bestFit="1" customWidth="1"/>
    <col min="5453" max="5458" width="6" style="458" bestFit="1" customWidth="1"/>
    <col min="5459" max="5459" width="5" style="458" bestFit="1" customWidth="1"/>
    <col min="5460" max="5462" width="6" style="458" bestFit="1" customWidth="1"/>
    <col min="5463" max="5463" width="3" style="458" bestFit="1" customWidth="1"/>
    <col min="5464" max="5469" width="6" style="458" bestFit="1" customWidth="1"/>
    <col min="5470" max="5470" width="5" style="458" bestFit="1" customWidth="1"/>
    <col min="5471" max="5477" width="6" style="458" bestFit="1" customWidth="1"/>
    <col min="5478" max="5478" width="5" style="458" bestFit="1" customWidth="1"/>
    <col min="5479" max="5484" width="6" style="458" bestFit="1" customWidth="1"/>
    <col min="5485" max="5485" width="3" style="458" bestFit="1" customWidth="1"/>
    <col min="5486" max="5495" width="6" style="458" bestFit="1" customWidth="1"/>
    <col min="5496" max="5497" width="5" style="458" bestFit="1" customWidth="1"/>
    <col min="5498" max="5499" width="6" style="458" bestFit="1" customWidth="1"/>
    <col min="5500" max="5500" width="3" style="458" bestFit="1" customWidth="1"/>
    <col min="5501" max="5502" width="5" style="458" bestFit="1" customWidth="1"/>
    <col min="5503" max="5504" width="6" style="458" bestFit="1" customWidth="1"/>
    <col min="5505" max="5505" width="5" style="458" bestFit="1" customWidth="1"/>
    <col min="5506" max="5507" width="6" style="458" bestFit="1" customWidth="1"/>
    <col min="5508" max="5508" width="3" style="458" bestFit="1" customWidth="1"/>
    <col min="5509" max="5513" width="6" style="458" bestFit="1" customWidth="1"/>
    <col min="5514" max="5514" width="5" style="458" bestFit="1" customWidth="1"/>
    <col min="5515" max="5515" width="6" style="458" bestFit="1" customWidth="1"/>
    <col min="5516" max="5516" width="5" style="458" bestFit="1" customWidth="1"/>
    <col min="5517" max="5520" width="6" style="458" bestFit="1" customWidth="1"/>
    <col min="5521" max="5521" width="3" style="458" bestFit="1" customWidth="1"/>
    <col min="5522" max="5525" width="6" style="458" bestFit="1" customWidth="1"/>
    <col min="5526" max="5526" width="3" style="458" bestFit="1" customWidth="1"/>
    <col min="5527" max="5527" width="6" style="458" bestFit="1" customWidth="1"/>
    <col min="5528" max="5528" width="5" style="458" bestFit="1" customWidth="1"/>
    <col min="5529" max="5529" width="6" style="458" bestFit="1" customWidth="1"/>
    <col min="5530" max="5530" width="5" style="458" bestFit="1" customWidth="1"/>
    <col min="5531" max="5531" width="3" style="458" bestFit="1" customWidth="1"/>
    <col min="5532" max="5538" width="6" style="458" bestFit="1" customWidth="1"/>
    <col min="5539" max="5539" width="3" style="458" bestFit="1" customWidth="1"/>
    <col min="5540" max="5540" width="6" style="458" bestFit="1" customWidth="1"/>
    <col min="5541" max="5541" width="3" style="458" bestFit="1" customWidth="1"/>
    <col min="5542" max="5548" width="6" style="458" bestFit="1" customWidth="1"/>
    <col min="5549" max="5549" width="5" style="458" bestFit="1" customWidth="1"/>
    <col min="5550" max="5550" width="6" style="458" bestFit="1" customWidth="1"/>
    <col min="5551" max="5551" width="3" style="458" bestFit="1" customWidth="1"/>
    <col min="5552" max="5555" width="6" style="458" bestFit="1" customWidth="1"/>
    <col min="5556" max="5556" width="3" style="458" bestFit="1" customWidth="1"/>
    <col min="5557" max="5557" width="6" style="458" bestFit="1" customWidth="1"/>
    <col min="5558" max="5558" width="3" style="458" bestFit="1" customWidth="1"/>
    <col min="5559" max="5559" width="5" style="458" bestFit="1" customWidth="1"/>
    <col min="5560" max="5560" width="6" style="458" bestFit="1" customWidth="1"/>
    <col min="5561" max="5561" width="3" style="458" bestFit="1" customWidth="1"/>
    <col min="5562" max="5563" width="6" style="458" bestFit="1" customWidth="1"/>
    <col min="5564" max="5564" width="3" style="458" bestFit="1" customWidth="1"/>
    <col min="5565" max="5565" width="6" style="458" bestFit="1" customWidth="1"/>
    <col min="5566" max="5566" width="3" style="458" bestFit="1" customWidth="1"/>
    <col min="5567" max="5567" width="5" style="458" bestFit="1" customWidth="1"/>
    <col min="5568" max="5576" width="6" style="458" bestFit="1" customWidth="1"/>
    <col min="5577" max="5577" width="3" style="458" bestFit="1" customWidth="1"/>
    <col min="5578" max="5580" width="6" style="458" bestFit="1" customWidth="1"/>
    <col min="5581" max="5581" width="5" style="458" bestFit="1" customWidth="1"/>
    <col min="5582" max="5583" width="6" style="458" bestFit="1" customWidth="1"/>
    <col min="5584" max="5584" width="3" style="458" bestFit="1" customWidth="1"/>
    <col min="5585" max="5585" width="6" style="458" bestFit="1" customWidth="1"/>
    <col min="5586" max="5586" width="5" style="458" bestFit="1" customWidth="1"/>
    <col min="5587" max="5590" width="6" style="458" bestFit="1" customWidth="1"/>
    <col min="5591" max="5591" width="5" style="458" bestFit="1" customWidth="1"/>
    <col min="5592" max="5592" width="3" style="458" bestFit="1" customWidth="1"/>
    <col min="5593" max="5593" width="6" style="458" bestFit="1" customWidth="1"/>
    <col min="5594" max="5594" width="5" style="458" bestFit="1" customWidth="1"/>
    <col min="5595" max="5595" width="6" style="458" bestFit="1" customWidth="1"/>
    <col min="5596" max="5596" width="5" style="458" bestFit="1" customWidth="1"/>
    <col min="5597" max="5597" width="3" style="458" bestFit="1" customWidth="1"/>
    <col min="5598" max="5599" width="6" style="458" bestFit="1" customWidth="1"/>
    <col min="5600" max="5600" width="5" style="458" bestFit="1" customWidth="1"/>
    <col min="5601" max="5601" width="6" style="458" bestFit="1" customWidth="1"/>
    <col min="5602" max="5602" width="4" style="458" bestFit="1" customWidth="1"/>
    <col min="5603" max="5610" width="7" style="458" bestFit="1" customWidth="1"/>
    <col min="5611" max="5611" width="6" style="458" bestFit="1" customWidth="1"/>
    <col min="5612" max="5622" width="7" style="458" bestFit="1" customWidth="1"/>
    <col min="5623" max="5623" width="4" style="458" bestFit="1" customWidth="1"/>
    <col min="5624" max="5626" width="7" style="458" bestFit="1" customWidth="1"/>
    <col min="5627" max="5627" width="6" style="458" bestFit="1" customWidth="1"/>
    <col min="5628" max="5630" width="7" style="458" bestFit="1" customWidth="1"/>
    <col min="5631" max="5631" width="6" style="458" bestFit="1" customWidth="1"/>
    <col min="5632" max="5632" width="4" style="458" bestFit="1" customWidth="1"/>
    <col min="5633" max="5639" width="7" style="458" bestFit="1" customWidth="1"/>
    <col min="5640" max="5640" width="4" style="458" bestFit="1" customWidth="1"/>
    <col min="5641" max="5651" width="7" style="458" bestFit="1" customWidth="1"/>
    <col min="5652" max="5652" width="6" style="458" bestFit="1" customWidth="1"/>
    <col min="5653" max="5653" width="4" style="458" bestFit="1" customWidth="1"/>
    <col min="5654" max="5656" width="7" style="458" bestFit="1" customWidth="1"/>
    <col min="5657" max="5657" width="6" style="458" bestFit="1" customWidth="1"/>
    <col min="5658" max="5659" width="4" style="458" bestFit="1" customWidth="1"/>
    <col min="5660" max="5665" width="7" style="458" bestFit="1" customWidth="1"/>
    <col min="5666" max="5666" width="4" style="458" bestFit="1" customWidth="1"/>
    <col min="5667" max="5667" width="6" style="458" bestFit="1" customWidth="1"/>
    <col min="5668" max="5669" width="7" style="458" bestFit="1" customWidth="1"/>
    <col min="5670" max="5670" width="6" style="458" bestFit="1" customWidth="1"/>
    <col min="5671" max="5674" width="7" style="458" bestFit="1" customWidth="1"/>
    <col min="5675" max="5675" width="4" style="458" bestFit="1" customWidth="1"/>
    <col min="5676" max="5677" width="7" style="458" bestFit="1" customWidth="1"/>
    <col min="5678" max="5678" width="6" style="458" bestFit="1" customWidth="1"/>
    <col min="5679" max="5682" width="7" style="458" bestFit="1" customWidth="1"/>
    <col min="5683" max="5683" width="6" style="458" bestFit="1" customWidth="1"/>
    <col min="5684" max="5686" width="7" style="458" bestFit="1" customWidth="1"/>
    <col min="5687" max="5687" width="4" style="458" bestFit="1" customWidth="1"/>
    <col min="5688" max="5690" width="7" style="458" bestFit="1" customWidth="1"/>
    <col min="5691" max="5691" width="4" style="458" bestFit="1" customWidth="1"/>
    <col min="5692" max="5694" width="7" style="458" bestFit="1" customWidth="1"/>
    <col min="5695" max="5695" width="4" style="458" bestFit="1" customWidth="1"/>
    <col min="5696" max="5696" width="7" style="458" bestFit="1" customWidth="1"/>
    <col min="5697" max="5697" width="6" style="458" bestFit="1" customWidth="1"/>
    <col min="5698" max="5698" width="4" style="458" bestFit="1" customWidth="1"/>
    <col min="5699" max="5701" width="7" style="458" bestFit="1" customWidth="1"/>
    <col min="5702" max="5702" width="4" style="458" bestFit="1" customWidth="1"/>
    <col min="5703" max="5707" width="7" style="458" bestFit="1" customWidth="1"/>
    <col min="5708" max="5708" width="4" style="458" bestFit="1" customWidth="1"/>
    <col min="5709" max="5709" width="7" style="458" bestFit="1" customWidth="1"/>
    <col min="5710" max="5710" width="4" style="458" bestFit="1" customWidth="1"/>
    <col min="5711" max="5715" width="7" style="458" bestFit="1" customWidth="1"/>
    <col min="5716" max="5716" width="6" style="458" bestFit="1" customWidth="1"/>
    <col min="5717" max="5719" width="7" style="458" bestFit="1" customWidth="1"/>
    <col min="5720" max="5720" width="6" style="458" bestFit="1" customWidth="1"/>
    <col min="5721" max="5723" width="7" style="458" bestFit="1" customWidth="1"/>
    <col min="5724" max="5724" width="6" style="458" bestFit="1" customWidth="1"/>
    <col min="5725" max="5726" width="7" style="458" bestFit="1" customWidth="1"/>
    <col min="5727" max="5727" width="6" style="458" bestFit="1" customWidth="1"/>
    <col min="5728" max="5728" width="4" style="458" bestFit="1" customWidth="1"/>
    <col min="5729" max="5731" width="7" style="458" bestFit="1" customWidth="1"/>
    <col min="5732" max="5732" width="4" style="458" bestFit="1" customWidth="1"/>
    <col min="5733" max="5733" width="7" style="458" bestFit="1" customWidth="1"/>
    <col min="5734" max="5734" width="6" style="458" bestFit="1" customWidth="1"/>
    <col min="5735" max="5735" width="7" style="458" bestFit="1" customWidth="1"/>
    <col min="5736" max="5736" width="6" style="458" bestFit="1" customWidth="1"/>
    <col min="5737" max="5737" width="7" style="458" bestFit="1" customWidth="1"/>
    <col min="5738" max="5738" width="4" style="458" bestFit="1" customWidth="1"/>
    <col min="5739" max="5744" width="7" style="458" bestFit="1" customWidth="1"/>
    <col min="5745" max="5745" width="6" style="458" bestFit="1" customWidth="1"/>
    <col min="5746" max="5746" width="4" style="458" bestFit="1" customWidth="1"/>
    <col min="5747" max="5747" width="7" style="458" bestFit="1" customWidth="1"/>
    <col min="5748" max="5748" width="4" style="458" bestFit="1" customWidth="1"/>
    <col min="5749" max="5750" width="7" style="458" bestFit="1" customWidth="1"/>
    <col min="5751" max="5751" width="4" style="458" bestFit="1" customWidth="1"/>
    <col min="5752" max="5752" width="7" style="458" bestFit="1" customWidth="1"/>
    <col min="5753" max="5753" width="4" style="458" bestFit="1" customWidth="1"/>
    <col min="5754" max="5755" width="7" style="458" bestFit="1" customWidth="1"/>
    <col min="5756" max="5756" width="6" style="458" bestFit="1" customWidth="1"/>
    <col min="5757" max="5758" width="7" style="458" bestFit="1" customWidth="1"/>
    <col min="5759" max="5759" width="4" style="458" bestFit="1" customWidth="1"/>
    <col min="5760" max="5762" width="7" style="458" bestFit="1" customWidth="1"/>
    <col min="5763" max="5764" width="6" style="458" bestFit="1" customWidth="1"/>
    <col min="5765" max="5765" width="7" style="458" bestFit="1" customWidth="1"/>
    <col min="5766" max="5766" width="4" style="458" bestFit="1" customWidth="1"/>
    <col min="5767" max="5769" width="6" style="458" bestFit="1" customWidth="1"/>
    <col min="5770" max="5770" width="7" style="458" bestFit="1" customWidth="1"/>
    <col min="5771" max="5771" width="6" style="458" bestFit="1" customWidth="1"/>
    <col min="5772" max="5772" width="4" style="458" bestFit="1" customWidth="1"/>
    <col min="5773" max="5779" width="7" style="458" bestFit="1" customWidth="1"/>
    <col min="5780" max="5780" width="4" style="458" bestFit="1" customWidth="1"/>
    <col min="5781" max="5781" width="7" style="458" bestFit="1" customWidth="1"/>
    <col min="5782" max="5782" width="4" style="458" bestFit="1" customWidth="1"/>
    <col min="5783" max="5787" width="7" style="458" bestFit="1" customWidth="1"/>
    <col min="5788" max="5788" width="4" style="458" bestFit="1" customWidth="1"/>
    <col min="5789" max="5791" width="7" style="458" bestFit="1" customWidth="1"/>
    <col min="5792" max="5792" width="4" style="458" bestFit="1" customWidth="1"/>
    <col min="5793" max="5793" width="6" style="458" bestFit="1" customWidth="1"/>
    <col min="5794" max="5797" width="7" style="458" bestFit="1" customWidth="1"/>
    <col min="5798" max="5798" width="6" style="458" bestFit="1" customWidth="1"/>
    <col min="5799" max="5799" width="4" style="458" bestFit="1" customWidth="1"/>
    <col min="5800" max="5800" width="7" style="458" bestFit="1" customWidth="1"/>
    <col min="5801" max="5801" width="6" style="458" bestFit="1" customWidth="1"/>
    <col min="5802" max="5809" width="7" style="458" bestFit="1" customWidth="1"/>
    <col min="5810" max="5810" width="4" style="458" bestFit="1" customWidth="1"/>
    <col min="5811" max="5815" width="7" style="458" bestFit="1" customWidth="1"/>
    <col min="5816" max="5816" width="6" style="458" bestFit="1" customWidth="1"/>
    <col min="5817" max="5817" width="7" style="458" bestFit="1" customWidth="1"/>
    <col min="5818" max="5818" width="6" style="458" bestFit="1" customWidth="1"/>
    <col min="5819" max="5819" width="4" style="458" bestFit="1" customWidth="1"/>
    <col min="5820" max="5822" width="7" style="458" bestFit="1" customWidth="1"/>
    <col min="5823" max="5823" width="6" style="458" bestFit="1" customWidth="1"/>
    <col min="5824" max="5824" width="7" style="458" bestFit="1" customWidth="1"/>
    <col min="5825" max="5825" width="6" style="458" bestFit="1" customWidth="1"/>
    <col min="5826" max="5831" width="7" style="458" bestFit="1" customWidth="1"/>
    <col min="5832" max="5832" width="4" style="458" bestFit="1" customWidth="1"/>
    <col min="5833" max="5833" width="6" style="458" bestFit="1" customWidth="1"/>
    <col min="5834" max="5836" width="7" style="458" bestFit="1" customWidth="1"/>
    <col min="5837" max="5838" width="4" style="458" bestFit="1" customWidth="1"/>
    <col min="5839" max="5839" width="6" style="458" bestFit="1" customWidth="1"/>
    <col min="5840" max="5840" width="7" style="458" bestFit="1" customWidth="1"/>
    <col min="5841" max="5841" width="6" style="458" bestFit="1" customWidth="1"/>
    <col min="5842" max="5845" width="7" style="458" bestFit="1" customWidth="1"/>
    <col min="5846" max="5846" width="4" style="458" bestFit="1" customWidth="1"/>
    <col min="5847" max="5848" width="7" style="458" bestFit="1" customWidth="1"/>
    <col min="5849" max="5849" width="6" style="458" bestFit="1" customWidth="1"/>
    <col min="5850" max="5850" width="7" style="458" bestFit="1" customWidth="1"/>
    <col min="5851" max="5851" width="4" style="458" bestFit="1" customWidth="1"/>
    <col min="5852" max="5854" width="7" style="458" bestFit="1" customWidth="1"/>
    <col min="5855" max="5855" width="4" style="458" bestFit="1" customWidth="1"/>
    <col min="5856" max="5857" width="7" style="458" bestFit="1" customWidth="1"/>
    <col min="5858" max="5858" width="6" style="458" bestFit="1" customWidth="1"/>
    <col min="5859" max="5860" width="7" style="458" bestFit="1" customWidth="1"/>
    <col min="5861" max="5861" width="4" style="458" bestFit="1" customWidth="1"/>
    <col min="5862" max="5863" width="7" style="458" bestFit="1" customWidth="1"/>
    <col min="5864" max="5864" width="6" style="458" bestFit="1" customWidth="1"/>
    <col min="5865" max="5866" width="7" style="458" bestFit="1" customWidth="1"/>
    <col min="5867" max="5867" width="4" style="458" bestFit="1" customWidth="1"/>
    <col min="5868" max="5868" width="7" style="458" bestFit="1" customWidth="1"/>
    <col min="5869" max="5869" width="6" style="458" bestFit="1" customWidth="1"/>
    <col min="5870" max="5870" width="4" style="458" bestFit="1" customWidth="1"/>
    <col min="5871" max="5872" width="7" style="458" bestFit="1" customWidth="1"/>
    <col min="5873" max="5873" width="4" style="458" bestFit="1" customWidth="1"/>
    <col min="5874" max="5879" width="7" style="458" bestFit="1" customWidth="1"/>
    <col min="5880" max="5880" width="4" style="458" bestFit="1" customWidth="1"/>
    <col min="5881" max="5882" width="7" style="458" bestFit="1" customWidth="1"/>
    <col min="5883" max="5883" width="4" style="458" bestFit="1" customWidth="1"/>
    <col min="5884" max="5885" width="7" style="458" bestFit="1" customWidth="1"/>
    <col min="5886" max="5886" width="6" style="458" bestFit="1" customWidth="1"/>
    <col min="5887" max="5889" width="7" style="458" bestFit="1" customWidth="1"/>
    <col min="5890" max="5890" width="6" style="458" bestFit="1" customWidth="1"/>
    <col min="5891" max="5891" width="7" style="458" bestFit="1" customWidth="1"/>
    <col min="5892" max="5892" width="4" style="458" bestFit="1" customWidth="1"/>
    <col min="5893" max="5894" width="7" style="458" bestFit="1" customWidth="1"/>
    <col min="5895" max="5895" width="6" style="458" bestFit="1" customWidth="1"/>
    <col min="5896" max="5897" width="7" style="458" bestFit="1" customWidth="1"/>
    <col min="5898" max="5898" width="6" style="458" bestFit="1" customWidth="1"/>
    <col min="5899" max="5901" width="7" style="458" bestFit="1" customWidth="1"/>
    <col min="5902" max="5902" width="4" style="458" bestFit="1" customWidth="1"/>
    <col min="5903" max="5903" width="6" style="458" bestFit="1" customWidth="1"/>
    <col min="5904" max="5908" width="7" style="458" bestFit="1" customWidth="1"/>
    <col min="5909" max="5909" width="4" style="458" bestFit="1" customWidth="1"/>
    <col min="5910" max="5911" width="6" style="458" bestFit="1" customWidth="1"/>
    <col min="5912" max="5912" width="7" style="458" bestFit="1" customWidth="1"/>
    <col min="5913" max="5913" width="6" style="458" bestFit="1" customWidth="1"/>
    <col min="5914" max="5915" width="7" style="458" bestFit="1" customWidth="1"/>
    <col min="5916" max="5916" width="4" style="458" bestFit="1" customWidth="1"/>
    <col min="5917" max="5917" width="7" style="458" bestFit="1" customWidth="1"/>
    <col min="5918" max="5918" width="6" style="458" bestFit="1" customWidth="1"/>
    <col min="5919" max="5919" width="7" style="458" bestFit="1" customWidth="1"/>
    <col min="5920" max="5920" width="6" style="458" bestFit="1" customWidth="1"/>
    <col min="5921" max="5922" width="7" style="458" bestFit="1" customWidth="1"/>
    <col min="5923" max="5923" width="6" style="458" bestFit="1" customWidth="1"/>
    <col min="5924" max="5929" width="7" style="458" bestFit="1" customWidth="1"/>
    <col min="5930" max="5930" width="6" style="458" bestFit="1" customWidth="1"/>
    <col min="5931" max="5935" width="7" style="458" bestFit="1" customWidth="1"/>
    <col min="5936" max="5936" width="4" style="458" bestFit="1" customWidth="1"/>
    <col min="5937" max="5941" width="7" style="458" bestFit="1" customWidth="1"/>
    <col min="5942" max="5942" width="4" style="458" bestFit="1" customWidth="1"/>
    <col min="5943" max="5946" width="7" style="458" bestFit="1" customWidth="1"/>
    <col min="5947" max="5947" width="4" style="458" bestFit="1" customWidth="1"/>
    <col min="5948" max="5961" width="7" style="458" bestFit="1" customWidth="1"/>
    <col min="5962" max="5962" width="4" style="458" bestFit="1" customWidth="1"/>
    <col min="5963" max="5963" width="7" style="458" bestFit="1" customWidth="1"/>
    <col min="5964" max="5965" width="6" style="458" bestFit="1" customWidth="1"/>
    <col min="5966" max="5966" width="7" style="458" bestFit="1" customWidth="1"/>
    <col min="5967" max="5967" width="4" style="458" bestFit="1" customWidth="1"/>
    <col min="5968" max="5968" width="7" style="458" bestFit="1" customWidth="1"/>
    <col min="5969" max="5969" width="6" style="458" bestFit="1" customWidth="1"/>
    <col min="5970" max="5972" width="7" style="458" bestFit="1" customWidth="1"/>
    <col min="5973" max="5973" width="6" style="458" bestFit="1" customWidth="1"/>
    <col min="5974" max="5974" width="7" style="458" bestFit="1" customWidth="1"/>
    <col min="5975" max="5975" width="6" style="458" bestFit="1" customWidth="1"/>
    <col min="5976" max="5981" width="7" style="458" bestFit="1" customWidth="1"/>
    <col min="5982" max="5982" width="4" style="458" bestFit="1" customWidth="1"/>
    <col min="5983" max="5983" width="6" style="458" bestFit="1" customWidth="1"/>
    <col min="5984" max="5984" width="7" style="458" bestFit="1" customWidth="1"/>
    <col min="5985" max="5985" width="6" style="458" bestFit="1" customWidth="1"/>
    <col min="5986" max="5990" width="7" style="458" bestFit="1" customWidth="1"/>
    <col min="5991" max="5991" width="6" style="458" bestFit="1" customWidth="1"/>
    <col min="5992" max="5994" width="7" style="458" bestFit="1" customWidth="1"/>
    <col min="5995" max="5995" width="4" style="458" bestFit="1" customWidth="1"/>
    <col min="5996" max="5999" width="7" style="458" bestFit="1" customWidth="1"/>
    <col min="6000" max="6001" width="6" style="458" bestFit="1" customWidth="1"/>
    <col min="6002" max="6005" width="7" style="458" bestFit="1" customWidth="1"/>
    <col min="6006" max="6007" width="4" style="458" bestFit="1" customWidth="1"/>
    <col min="6008" max="6008" width="6" style="458" bestFit="1" customWidth="1"/>
    <col min="6009" max="6009" width="4" style="458" bestFit="1" customWidth="1"/>
    <col min="6010" max="6010" width="7" style="458" bestFit="1" customWidth="1"/>
    <col min="6011" max="6011" width="6" style="458" bestFit="1" customWidth="1"/>
    <col min="6012" max="6012" width="7" style="458" bestFit="1" customWidth="1"/>
    <col min="6013" max="6013" width="6" style="458" bestFit="1" customWidth="1"/>
    <col min="6014" max="6014" width="4" style="458" bestFit="1" customWidth="1"/>
    <col min="6015" max="6015" width="7" style="458" bestFit="1" customWidth="1"/>
    <col min="6016" max="6016" width="4" style="458" bestFit="1" customWidth="1"/>
    <col min="6017" max="6017" width="6" style="458" bestFit="1" customWidth="1"/>
    <col min="6018" max="6020" width="7" style="458" bestFit="1" customWidth="1"/>
    <col min="6021" max="6021" width="6" style="458" bestFit="1" customWidth="1"/>
    <col min="6022" max="6022" width="4" style="458" bestFit="1" customWidth="1"/>
    <col min="6023" max="6023" width="6" style="458" bestFit="1" customWidth="1"/>
    <col min="6024" max="6031" width="7" style="458" bestFit="1" customWidth="1"/>
    <col min="6032" max="6032" width="6" style="458" bestFit="1" customWidth="1"/>
    <col min="6033" max="6033" width="7" style="458" bestFit="1" customWidth="1"/>
    <col min="6034" max="6035" width="6" style="458" bestFit="1" customWidth="1"/>
    <col min="6036" max="6036" width="4" style="458" bestFit="1" customWidth="1"/>
    <col min="6037" max="6039" width="7" style="458" bestFit="1" customWidth="1"/>
    <col min="6040" max="6040" width="4" style="458" bestFit="1" customWidth="1"/>
    <col min="6041" max="6043" width="7" style="458" bestFit="1" customWidth="1"/>
    <col min="6044" max="6046" width="4" style="458" bestFit="1" customWidth="1"/>
    <col min="6047" max="6048" width="7" style="458" bestFit="1" customWidth="1"/>
    <col min="6049" max="6049" width="8" style="458" bestFit="1" customWidth="1"/>
    <col min="6050" max="6051" width="5" style="458" bestFit="1" customWidth="1"/>
    <col min="6052" max="6053" width="7" style="458" bestFit="1" customWidth="1"/>
    <col min="6054" max="6056" width="8" style="458" bestFit="1" customWidth="1"/>
    <col min="6057" max="6059" width="5" style="458" bestFit="1" customWidth="1"/>
    <col min="6060" max="6061" width="8" style="458" bestFit="1" customWidth="1"/>
    <col min="6062" max="6065" width="5" style="458" bestFit="1" customWidth="1"/>
    <col min="6066" max="6066" width="7" style="458" bestFit="1" customWidth="1"/>
    <col min="6067" max="6068" width="8" style="458" bestFit="1" customWidth="1"/>
    <col min="6069" max="6069" width="5" style="458" bestFit="1" customWidth="1"/>
    <col min="6070" max="6070" width="8" style="458" bestFit="1" customWidth="1"/>
    <col min="6071" max="6071" width="7" style="458" bestFit="1" customWidth="1"/>
    <col min="6072" max="6073" width="8" style="458" bestFit="1" customWidth="1"/>
    <col min="6074" max="6074" width="5" style="458" bestFit="1" customWidth="1"/>
    <col min="6075" max="6075" width="7" style="458" bestFit="1" customWidth="1"/>
    <col min="6076" max="6077" width="8" style="458" bestFit="1" customWidth="1"/>
    <col min="6078" max="6078" width="7" style="458" bestFit="1" customWidth="1"/>
    <col min="6079" max="6079" width="8" style="458" bestFit="1" customWidth="1"/>
    <col min="6080" max="6080" width="5" style="458" bestFit="1" customWidth="1"/>
    <col min="6081" max="6081" width="8" style="458" bestFit="1" customWidth="1"/>
    <col min="6082" max="6082" width="5" style="458" bestFit="1" customWidth="1"/>
    <col min="6083" max="6083" width="8" style="458" bestFit="1" customWidth="1"/>
    <col min="6084" max="6084" width="5" style="458" bestFit="1" customWidth="1"/>
    <col min="6085" max="6085" width="7" style="458" bestFit="1" customWidth="1"/>
    <col min="6086" max="6096" width="8" style="458" bestFit="1" customWidth="1"/>
    <col min="6097" max="6097" width="7" style="458" bestFit="1" customWidth="1"/>
    <col min="6098" max="6098" width="5" style="458" bestFit="1" customWidth="1"/>
    <col min="6099" max="6104" width="8" style="458" bestFit="1" customWidth="1"/>
    <col min="6105" max="6105" width="5" style="458" bestFit="1" customWidth="1"/>
    <col min="6106" max="6107" width="8" style="458" bestFit="1" customWidth="1"/>
    <col min="6108" max="6108" width="5" style="458" bestFit="1" customWidth="1"/>
    <col min="6109" max="6110" width="8" style="458" bestFit="1" customWidth="1"/>
    <col min="6111" max="6111" width="5" style="458" bestFit="1" customWidth="1"/>
    <col min="6112" max="6113" width="9" style="458" bestFit="1" customWidth="1"/>
    <col min="6114" max="6114" width="6" style="458" bestFit="1" customWidth="1"/>
    <col min="6115" max="6116" width="9" style="458" bestFit="1" customWidth="1"/>
    <col min="6117" max="6117" width="6" style="458" bestFit="1" customWidth="1"/>
    <col min="6118" max="6119" width="9" style="458" bestFit="1" customWidth="1"/>
    <col min="6120" max="6120" width="7.109375" style="458" bestFit="1" customWidth="1"/>
    <col min="6121" max="6121" width="11.6640625" style="458" bestFit="1" customWidth="1"/>
    <col min="6122" max="6122" width="9.6640625" style="458" bestFit="1" customWidth="1"/>
    <col min="6123" max="6123" width="11" style="458" bestFit="1" customWidth="1"/>
    <col min="6124" max="16384" width="8.88671875" style="458"/>
  </cols>
  <sheetData>
    <row r="1" spans="1:26" s="458" customFormat="1">
      <c r="A1" s="444" t="s">
        <v>1729</v>
      </c>
      <c r="B1" s="458" t="s">
        <v>1737</v>
      </c>
      <c r="L1" s="195"/>
      <c r="M1" s="195"/>
      <c r="N1" s="195"/>
      <c r="O1" s="195"/>
      <c r="P1" s="195"/>
      <c r="Q1" s="195"/>
      <c r="R1" s="195"/>
      <c r="S1" s="195"/>
      <c r="T1" s="195"/>
      <c r="U1" s="195"/>
      <c r="V1" s="195"/>
      <c r="W1" s="195"/>
      <c r="X1" s="195"/>
      <c r="Y1" s="195"/>
      <c r="Z1" s="195"/>
    </row>
    <row r="2" spans="1:26" s="458" customFormat="1">
      <c r="L2" s="195"/>
      <c r="M2" s="195"/>
      <c r="N2" s="195"/>
      <c r="O2" s="195"/>
      <c r="P2" s="195"/>
      <c r="Q2" s="195"/>
      <c r="R2" s="195"/>
      <c r="S2" s="195"/>
      <c r="T2" s="195"/>
      <c r="U2" s="195"/>
      <c r="V2" s="195"/>
      <c r="W2" s="195"/>
      <c r="X2" s="195"/>
      <c r="Y2" s="195"/>
      <c r="Z2" s="195"/>
    </row>
    <row r="3" spans="1:26" s="446" customFormat="1">
      <c r="A3" s="458"/>
      <c r="B3" s="445" t="s">
        <v>1732</v>
      </c>
      <c r="C3" s="195"/>
      <c r="D3" s="195"/>
      <c r="E3" s="195"/>
      <c r="F3" s="195"/>
      <c r="G3" s="195"/>
      <c r="H3" s="195"/>
      <c r="I3" s="195"/>
      <c r="J3" s="195"/>
      <c r="K3" s="195"/>
    </row>
    <row r="4" spans="1:26" s="458" customFormat="1">
      <c r="B4" s="195" t="s">
        <v>1730</v>
      </c>
      <c r="C4" s="195"/>
      <c r="D4" s="195"/>
      <c r="E4" s="195"/>
      <c r="F4" s="195" t="s">
        <v>1731</v>
      </c>
      <c r="G4" s="195"/>
      <c r="H4" s="195"/>
      <c r="I4" s="195"/>
      <c r="J4" s="446" t="s">
        <v>1733</v>
      </c>
      <c r="K4" s="446" t="s">
        <v>1734</v>
      </c>
      <c r="L4" s="195"/>
      <c r="M4" s="195"/>
      <c r="N4" s="195"/>
      <c r="O4" s="195"/>
      <c r="P4" s="195"/>
      <c r="Q4" s="195"/>
      <c r="R4" s="195"/>
      <c r="S4" s="195"/>
      <c r="T4" s="195"/>
      <c r="U4" s="195"/>
      <c r="V4" s="195"/>
      <c r="W4" s="195"/>
      <c r="X4" s="195"/>
      <c r="Y4" s="195"/>
      <c r="Z4" s="195"/>
    </row>
    <row r="5" spans="1:26" s="458" customFormat="1">
      <c r="A5" s="447" t="s">
        <v>1735</v>
      </c>
      <c r="B5" s="446">
        <v>2021</v>
      </c>
      <c r="C5" s="446">
        <v>2020</v>
      </c>
      <c r="D5" s="446">
        <v>2019</v>
      </c>
      <c r="E5" s="446">
        <v>2018</v>
      </c>
      <c r="F5" s="446">
        <v>2021</v>
      </c>
      <c r="G5" s="446">
        <v>2020</v>
      </c>
      <c r="H5" s="446">
        <v>2019</v>
      </c>
      <c r="I5" s="446">
        <v>2018</v>
      </c>
      <c r="J5" s="446"/>
      <c r="K5" s="446"/>
      <c r="L5" s="195"/>
      <c r="M5" s="195"/>
      <c r="N5" s="195"/>
      <c r="O5" s="195"/>
      <c r="P5" s="195"/>
      <c r="Q5" s="195"/>
      <c r="R5" s="195"/>
      <c r="S5" s="195"/>
      <c r="T5" s="195"/>
      <c r="U5" s="195"/>
      <c r="V5" s="195"/>
      <c r="W5" s="195"/>
      <c r="X5" s="195"/>
      <c r="Y5" s="195"/>
      <c r="Z5" s="195"/>
    </row>
    <row r="6" spans="1:26" s="458" customFormat="1">
      <c r="A6" s="191" t="s">
        <v>808</v>
      </c>
      <c r="B6" s="195">
        <v>0</v>
      </c>
      <c r="C6" s="195">
        <v>-1</v>
      </c>
      <c r="D6" s="195">
        <v>-1</v>
      </c>
      <c r="E6" s="195">
        <v>0</v>
      </c>
      <c r="F6" s="195">
        <v>34446.380000000005</v>
      </c>
      <c r="G6" s="195">
        <v>23037.499999999993</v>
      </c>
      <c r="H6" s="195">
        <v>1018.458000000006</v>
      </c>
      <c r="I6" s="195">
        <v>-23835.700000000019</v>
      </c>
      <c r="J6" s="195">
        <v>-2</v>
      </c>
      <c r="K6" s="195">
        <v>34666.637999999977</v>
      </c>
      <c r="L6" s="195"/>
      <c r="M6" s="195"/>
      <c r="N6" s="195"/>
      <c r="O6" s="195"/>
      <c r="P6" s="195"/>
      <c r="Q6" s="195"/>
      <c r="R6" s="195"/>
      <c r="S6" s="195"/>
      <c r="T6" s="195"/>
      <c r="U6" s="195"/>
      <c r="V6" s="195"/>
      <c r="W6" s="195"/>
      <c r="X6" s="195"/>
      <c r="Y6" s="195"/>
      <c r="Z6" s="195"/>
    </row>
    <row r="7" spans="1:26" s="458" customFormat="1">
      <c r="A7" s="152">
        <v>8</v>
      </c>
      <c r="B7" s="195">
        <v>-144861</v>
      </c>
      <c r="C7" s="195">
        <v>-147042</v>
      </c>
      <c r="D7" s="195">
        <v>-145841</v>
      </c>
      <c r="E7" s="195">
        <v>-143892</v>
      </c>
      <c r="F7" s="195">
        <v>-72430</v>
      </c>
      <c r="G7" s="195">
        <v>-73521</v>
      </c>
      <c r="H7" s="195">
        <v>-72920</v>
      </c>
      <c r="I7" s="195">
        <v>-71946</v>
      </c>
      <c r="J7" s="195">
        <v>-581636</v>
      </c>
      <c r="K7" s="195">
        <v>-290817</v>
      </c>
      <c r="L7" s="195"/>
      <c r="M7" s="195"/>
      <c r="N7" s="195"/>
      <c r="O7" s="195"/>
      <c r="P7" s="195"/>
      <c r="Q7" s="195"/>
      <c r="R7" s="195"/>
      <c r="S7" s="195"/>
      <c r="T7" s="195"/>
      <c r="U7" s="195"/>
      <c r="V7" s="195"/>
      <c r="W7" s="195"/>
      <c r="X7" s="195"/>
      <c r="Y7" s="195"/>
      <c r="Z7" s="195"/>
    </row>
    <row r="8" spans="1:26" s="458" customFormat="1">
      <c r="A8" s="152">
        <v>17</v>
      </c>
      <c r="B8" s="195">
        <v>68188</v>
      </c>
      <c r="C8" s="195">
        <v>80188</v>
      </c>
      <c r="D8" s="195">
        <v>80188</v>
      </c>
      <c r="E8" s="195">
        <v>78707</v>
      </c>
      <c r="F8" s="195">
        <v>37693.660000000003</v>
      </c>
      <c r="G8" s="195">
        <v>31694.12999999999</v>
      </c>
      <c r="H8" s="195">
        <v>25288.22</v>
      </c>
      <c r="I8" s="195">
        <v>19438.819999999996</v>
      </c>
      <c r="J8" s="195">
        <v>307271</v>
      </c>
      <c r="K8" s="195">
        <v>114114.82999999999</v>
      </c>
      <c r="L8" s="195"/>
      <c r="M8" s="195"/>
      <c r="N8" s="195"/>
      <c r="O8" s="195"/>
      <c r="P8" s="195"/>
      <c r="Q8" s="195"/>
      <c r="R8" s="195"/>
      <c r="S8" s="195"/>
      <c r="T8" s="195"/>
      <c r="U8" s="195"/>
      <c r="V8" s="195"/>
      <c r="W8" s="195"/>
      <c r="X8" s="195"/>
      <c r="Y8" s="195"/>
      <c r="Z8" s="195"/>
    </row>
    <row r="9" spans="1:26" s="458" customFormat="1">
      <c r="A9" s="152">
        <v>20</v>
      </c>
      <c r="B9" s="195">
        <v>886</v>
      </c>
      <c r="C9" s="195">
        <v>882</v>
      </c>
      <c r="D9" s="195">
        <v>802</v>
      </c>
      <c r="E9" s="195">
        <v>787</v>
      </c>
      <c r="F9" s="195">
        <v>490.02</v>
      </c>
      <c r="G9" s="195">
        <v>348.64</v>
      </c>
      <c r="H9" s="195">
        <v>202.31</v>
      </c>
      <c r="I9" s="195">
        <v>194.37999999999997</v>
      </c>
      <c r="J9" s="195">
        <v>3357</v>
      </c>
      <c r="K9" s="195">
        <v>1235.3499999999999</v>
      </c>
      <c r="L9" s="195"/>
      <c r="M9" s="195"/>
      <c r="N9" s="195"/>
      <c r="O9" s="195"/>
      <c r="P9" s="195"/>
      <c r="Q9" s="195"/>
      <c r="R9" s="195"/>
      <c r="S9" s="195"/>
      <c r="T9" s="195"/>
      <c r="U9" s="195"/>
      <c r="V9" s="195"/>
      <c r="W9" s="195"/>
      <c r="X9" s="195"/>
      <c r="Y9" s="195"/>
      <c r="Z9" s="195"/>
    </row>
    <row r="10" spans="1:26" s="458" customFormat="1">
      <c r="A10" s="152">
        <v>23</v>
      </c>
      <c r="B10" s="195"/>
      <c r="C10" s="195">
        <v>40181</v>
      </c>
      <c r="D10" s="195">
        <v>44065</v>
      </c>
      <c r="E10" s="195">
        <v>35377</v>
      </c>
      <c r="F10" s="195"/>
      <c r="G10" s="195"/>
      <c r="H10" s="195"/>
      <c r="I10" s="195"/>
      <c r="J10" s="195">
        <v>119623</v>
      </c>
      <c r="K10" s="195"/>
      <c r="L10" s="195"/>
      <c r="M10" s="195"/>
      <c r="N10" s="195"/>
      <c r="O10" s="195"/>
      <c r="P10" s="195"/>
      <c r="Q10" s="195"/>
      <c r="R10" s="195"/>
      <c r="S10" s="195"/>
      <c r="T10" s="195"/>
      <c r="U10" s="195"/>
      <c r="V10" s="195"/>
      <c r="W10" s="195"/>
      <c r="X10" s="195"/>
      <c r="Y10" s="195"/>
      <c r="Z10" s="195"/>
    </row>
    <row r="11" spans="1:26" s="458" customFormat="1">
      <c r="A11" s="152">
        <v>24</v>
      </c>
      <c r="B11" s="195"/>
      <c r="C11" s="195">
        <v>7652</v>
      </c>
      <c r="D11" s="195"/>
      <c r="E11" s="195"/>
      <c r="F11" s="195"/>
      <c r="G11" s="195"/>
      <c r="H11" s="195"/>
      <c r="I11" s="195"/>
      <c r="J11" s="195">
        <v>7652</v>
      </c>
      <c r="K11" s="195"/>
      <c r="L11" s="195"/>
      <c r="M11" s="195"/>
      <c r="N11" s="195"/>
      <c r="O11" s="195"/>
      <c r="P11" s="195"/>
      <c r="Q11" s="195"/>
      <c r="R11" s="195"/>
      <c r="S11" s="195"/>
      <c r="T11" s="195"/>
      <c r="U11" s="195"/>
      <c r="V11" s="195"/>
      <c r="W11" s="195"/>
      <c r="X11" s="195"/>
      <c r="Y11" s="195"/>
      <c r="Z11" s="195"/>
    </row>
    <row r="12" spans="1:26" s="458" customFormat="1">
      <c r="A12" s="152">
        <v>25</v>
      </c>
      <c r="B12" s="195">
        <v>3385</v>
      </c>
      <c r="C12" s="195"/>
      <c r="D12" s="195"/>
      <c r="E12" s="195"/>
      <c r="F12" s="195">
        <v>3573.5399999999991</v>
      </c>
      <c r="G12" s="195">
        <v>3006.97</v>
      </c>
      <c r="H12" s="195">
        <v>492.47999999999996</v>
      </c>
      <c r="I12" s="195">
        <v>3666.43</v>
      </c>
      <c r="J12" s="195">
        <v>3385</v>
      </c>
      <c r="K12" s="195">
        <v>10739.419999999998</v>
      </c>
      <c r="L12" s="195"/>
      <c r="M12" s="195"/>
      <c r="N12" s="195"/>
      <c r="O12" s="195"/>
      <c r="P12" s="195"/>
      <c r="Q12" s="195"/>
      <c r="R12" s="195"/>
      <c r="S12" s="195"/>
      <c r="T12" s="195"/>
      <c r="U12" s="195"/>
      <c r="V12" s="195"/>
      <c r="W12" s="195"/>
      <c r="X12" s="195"/>
      <c r="Y12" s="195"/>
      <c r="Z12" s="195"/>
    </row>
    <row r="13" spans="1:26" s="458" customFormat="1">
      <c r="A13" s="152">
        <v>26</v>
      </c>
      <c r="B13" s="195">
        <v>2000</v>
      </c>
      <c r="C13" s="195"/>
      <c r="D13" s="195"/>
      <c r="E13" s="195"/>
      <c r="F13" s="195"/>
      <c r="G13" s="195"/>
      <c r="H13" s="195">
        <v>30.97</v>
      </c>
      <c r="I13" s="195">
        <v>47</v>
      </c>
      <c r="J13" s="195">
        <v>2000</v>
      </c>
      <c r="K13" s="195">
        <v>77.97</v>
      </c>
      <c r="L13" s="195"/>
      <c r="M13" s="195"/>
      <c r="N13" s="195"/>
      <c r="O13" s="195"/>
      <c r="P13" s="195"/>
      <c r="Q13" s="195"/>
      <c r="R13" s="195"/>
      <c r="S13" s="195"/>
      <c r="T13" s="195"/>
      <c r="U13" s="195"/>
      <c r="V13" s="195"/>
      <c r="W13" s="195"/>
      <c r="X13" s="195"/>
      <c r="Y13" s="195"/>
      <c r="Z13" s="195"/>
    </row>
    <row r="14" spans="1:26" s="458" customFormat="1">
      <c r="A14" s="152">
        <v>27</v>
      </c>
      <c r="B14" s="195">
        <v>7500</v>
      </c>
      <c r="C14" s="195"/>
      <c r="D14" s="195"/>
      <c r="E14" s="195"/>
      <c r="F14" s="195"/>
      <c r="G14" s="195">
        <v>6652</v>
      </c>
      <c r="H14" s="195"/>
      <c r="I14" s="195"/>
      <c r="J14" s="195">
        <v>7500</v>
      </c>
      <c r="K14" s="195">
        <v>6652</v>
      </c>
      <c r="L14" s="195"/>
      <c r="M14" s="195"/>
      <c r="N14" s="195"/>
      <c r="O14" s="195"/>
      <c r="P14" s="195"/>
      <c r="Q14" s="195"/>
      <c r="R14" s="195"/>
      <c r="S14" s="195"/>
      <c r="T14" s="195"/>
      <c r="U14" s="195"/>
      <c r="V14" s="195"/>
      <c r="W14" s="195"/>
      <c r="X14" s="195"/>
      <c r="Y14" s="195"/>
      <c r="Z14" s="195"/>
    </row>
    <row r="15" spans="1:26" s="458" customFormat="1">
      <c r="A15" s="152">
        <v>28</v>
      </c>
      <c r="B15" s="195">
        <v>2106</v>
      </c>
      <c r="C15" s="195"/>
      <c r="D15" s="195"/>
      <c r="E15" s="195"/>
      <c r="F15" s="195">
        <v>298.79000000000002</v>
      </c>
      <c r="G15" s="195">
        <v>1.8</v>
      </c>
      <c r="H15" s="195">
        <v>5683.29</v>
      </c>
      <c r="I15" s="195">
        <v>2371.2800000000002</v>
      </c>
      <c r="J15" s="195">
        <v>2106</v>
      </c>
      <c r="K15" s="195">
        <v>8355.16</v>
      </c>
      <c r="L15" s="195"/>
      <c r="M15" s="195"/>
      <c r="N15" s="195"/>
      <c r="O15" s="195"/>
      <c r="P15" s="195"/>
      <c r="Q15" s="195"/>
      <c r="R15" s="195"/>
      <c r="S15" s="195"/>
      <c r="T15" s="195"/>
      <c r="U15" s="195"/>
      <c r="V15" s="195"/>
      <c r="W15" s="195"/>
      <c r="X15" s="195"/>
      <c r="Y15" s="195"/>
      <c r="Z15" s="195"/>
    </row>
    <row r="16" spans="1:26" s="458" customFormat="1">
      <c r="A16" s="152">
        <v>29</v>
      </c>
      <c r="B16" s="195">
        <v>17190</v>
      </c>
      <c r="C16" s="195"/>
      <c r="D16" s="195"/>
      <c r="E16" s="195"/>
      <c r="F16" s="195">
        <v>1110</v>
      </c>
      <c r="G16" s="195">
        <v>9944.92</v>
      </c>
      <c r="H16" s="195">
        <v>3582.8499999999995</v>
      </c>
      <c r="I16" s="195">
        <v>7684.98</v>
      </c>
      <c r="J16" s="195">
        <v>17190</v>
      </c>
      <c r="K16" s="195">
        <v>22322.75</v>
      </c>
      <c r="L16" s="195"/>
      <c r="M16" s="195"/>
      <c r="N16" s="195"/>
      <c r="O16" s="195"/>
      <c r="P16" s="195"/>
      <c r="Q16" s="195"/>
      <c r="R16" s="195"/>
      <c r="S16" s="195"/>
      <c r="T16" s="195"/>
      <c r="U16" s="195"/>
      <c r="V16" s="195"/>
      <c r="W16" s="195"/>
      <c r="X16" s="195"/>
      <c r="Y16" s="195"/>
      <c r="Z16" s="195"/>
    </row>
    <row r="17" spans="1:26" s="458" customFormat="1">
      <c r="A17" s="152">
        <v>32</v>
      </c>
      <c r="B17" s="195"/>
      <c r="C17" s="195">
        <v>7652</v>
      </c>
      <c r="D17" s="195">
        <v>1500</v>
      </c>
      <c r="E17" s="195">
        <v>1500</v>
      </c>
      <c r="F17" s="195"/>
      <c r="G17" s="195"/>
      <c r="H17" s="195"/>
      <c r="I17" s="195"/>
      <c r="J17" s="195">
        <v>10652</v>
      </c>
      <c r="K17" s="195"/>
      <c r="L17" s="195"/>
      <c r="M17" s="195"/>
      <c r="N17" s="195"/>
      <c r="O17" s="195"/>
      <c r="P17" s="195"/>
      <c r="Q17" s="195"/>
      <c r="R17" s="195"/>
      <c r="S17" s="195"/>
      <c r="T17" s="195"/>
      <c r="U17" s="195"/>
      <c r="V17" s="195"/>
      <c r="W17" s="195"/>
      <c r="X17" s="195"/>
      <c r="Y17" s="195"/>
      <c r="Z17" s="195"/>
    </row>
    <row r="18" spans="1:26" s="458" customFormat="1">
      <c r="A18" s="152">
        <v>37</v>
      </c>
      <c r="B18" s="195">
        <v>7882</v>
      </c>
      <c r="C18" s="195"/>
      <c r="D18" s="195"/>
      <c r="E18" s="195"/>
      <c r="F18" s="195">
        <v>3440.7500000000005</v>
      </c>
      <c r="G18" s="195">
        <v>3416.0699999999997</v>
      </c>
      <c r="H18" s="195"/>
      <c r="I18" s="195"/>
      <c r="J18" s="195">
        <v>7882</v>
      </c>
      <c r="K18" s="195">
        <v>6856.82</v>
      </c>
      <c r="L18" s="195"/>
      <c r="M18" s="195"/>
      <c r="N18" s="195"/>
      <c r="O18" s="195"/>
      <c r="P18" s="195"/>
      <c r="Q18" s="195"/>
      <c r="R18" s="195"/>
      <c r="S18" s="195"/>
      <c r="T18" s="195"/>
      <c r="U18" s="195"/>
      <c r="V18" s="195"/>
      <c r="W18" s="195"/>
      <c r="X18" s="195"/>
      <c r="Y18" s="195"/>
      <c r="Z18" s="195"/>
    </row>
    <row r="19" spans="1:26" s="458" customFormat="1">
      <c r="A19" s="152">
        <v>38</v>
      </c>
      <c r="B19" s="195"/>
      <c r="C19" s="195"/>
      <c r="D19" s="195">
        <v>10000</v>
      </c>
      <c r="E19" s="195">
        <v>18688</v>
      </c>
      <c r="F19" s="195">
        <v>1691.83</v>
      </c>
      <c r="G19" s="195">
        <v>1943.78</v>
      </c>
      <c r="H19" s="195">
        <v>1192.46</v>
      </c>
      <c r="I19" s="195">
        <v>1050.52</v>
      </c>
      <c r="J19" s="195">
        <v>28688</v>
      </c>
      <c r="K19" s="195">
        <v>5878.59</v>
      </c>
      <c r="L19" s="195"/>
      <c r="M19" s="195"/>
      <c r="N19" s="195"/>
      <c r="O19" s="195"/>
      <c r="P19" s="195"/>
      <c r="Q19" s="195"/>
      <c r="R19" s="195"/>
      <c r="S19" s="195"/>
      <c r="T19" s="195"/>
      <c r="U19" s="195"/>
      <c r="V19" s="195"/>
      <c r="W19" s="195"/>
      <c r="X19" s="195"/>
      <c r="Y19" s="195"/>
      <c r="Z19" s="195"/>
    </row>
    <row r="20" spans="1:26" s="458" customFormat="1">
      <c r="A20" s="152">
        <v>40</v>
      </c>
      <c r="B20" s="195">
        <v>7924</v>
      </c>
      <c r="C20" s="195">
        <v>9640</v>
      </c>
      <c r="D20" s="195">
        <v>8589</v>
      </c>
      <c r="E20" s="195">
        <v>8158</v>
      </c>
      <c r="F20" s="195">
        <v>1691.8199999999997</v>
      </c>
      <c r="G20" s="195">
        <v>1943.7900000000002</v>
      </c>
      <c r="H20" s="195">
        <v>1192.48</v>
      </c>
      <c r="I20" s="195">
        <v>1050.52</v>
      </c>
      <c r="J20" s="195">
        <v>34311</v>
      </c>
      <c r="K20" s="195">
        <v>5878.6100000000006</v>
      </c>
      <c r="L20" s="195"/>
      <c r="M20" s="195"/>
      <c r="N20" s="195"/>
      <c r="O20" s="195"/>
      <c r="P20" s="195"/>
      <c r="Q20" s="195"/>
      <c r="R20" s="195"/>
      <c r="S20" s="195"/>
      <c r="T20" s="195"/>
      <c r="U20" s="195"/>
      <c r="V20" s="195"/>
      <c r="W20" s="195"/>
      <c r="X20" s="195"/>
      <c r="Y20" s="195"/>
      <c r="Z20" s="195"/>
    </row>
    <row r="21" spans="1:26" s="458" customFormat="1">
      <c r="A21" s="152">
        <v>41</v>
      </c>
      <c r="B21" s="195">
        <v>644</v>
      </c>
      <c r="C21" s="195">
        <v>846</v>
      </c>
      <c r="D21" s="195">
        <v>696</v>
      </c>
      <c r="E21" s="195">
        <v>675</v>
      </c>
      <c r="F21" s="195">
        <v>274.97000000000003</v>
      </c>
      <c r="G21" s="195">
        <v>341.40000000000003</v>
      </c>
      <c r="H21" s="195">
        <v>218.73999999999998</v>
      </c>
      <c r="I21" s="195">
        <v>170.37</v>
      </c>
      <c r="J21" s="195">
        <v>2861</v>
      </c>
      <c r="K21" s="195">
        <v>1005.4800000000001</v>
      </c>
      <c r="L21" s="195"/>
      <c r="M21" s="195"/>
      <c r="N21" s="195"/>
      <c r="O21" s="195"/>
      <c r="P21" s="195"/>
      <c r="Q21" s="195"/>
      <c r="R21" s="195"/>
      <c r="S21" s="195"/>
      <c r="T21" s="195"/>
      <c r="U21" s="195"/>
      <c r="V21" s="195"/>
      <c r="W21" s="195"/>
      <c r="X21" s="195"/>
      <c r="Y21" s="195"/>
      <c r="Z21" s="195"/>
    </row>
    <row r="22" spans="1:26" s="458" customFormat="1">
      <c r="A22" s="152">
        <v>45</v>
      </c>
      <c r="B22" s="195">
        <v>27156</v>
      </c>
      <c r="C22" s="195"/>
      <c r="D22" s="195"/>
      <c r="E22" s="195"/>
      <c r="F22" s="195">
        <v>56611</v>
      </c>
      <c r="G22" s="195">
        <v>37265</v>
      </c>
      <c r="H22" s="195">
        <v>36054.658000000003</v>
      </c>
      <c r="I22" s="195">
        <v>12436</v>
      </c>
      <c r="J22" s="195">
        <v>27156</v>
      </c>
      <c r="K22" s="195">
        <v>142366.658</v>
      </c>
      <c r="L22" s="195"/>
      <c r="M22" s="195"/>
      <c r="N22" s="195"/>
      <c r="O22" s="195"/>
      <c r="P22" s="195"/>
      <c r="Q22" s="195"/>
      <c r="R22" s="195"/>
      <c r="S22" s="195"/>
      <c r="T22" s="195"/>
      <c r="U22" s="195"/>
      <c r="V22" s="195"/>
      <c r="W22" s="195"/>
      <c r="X22" s="195"/>
      <c r="Y22" s="195"/>
      <c r="Z22" s="195"/>
    </row>
    <row r="23" spans="1:26" s="458" customFormat="1">
      <c r="A23" s="191" t="s">
        <v>1736</v>
      </c>
      <c r="B23" s="195">
        <v>0</v>
      </c>
      <c r="C23" s="195">
        <v>-1</v>
      </c>
      <c r="D23" s="195">
        <v>-1</v>
      </c>
      <c r="E23" s="195">
        <v>0</v>
      </c>
      <c r="F23" s="195">
        <v>34446.380000000005</v>
      </c>
      <c r="G23" s="195">
        <v>23037.499999999993</v>
      </c>
      <c r="H23" s="195">
        <v>1018.458000000006</v>
      </c>
      <c r="I23" s="195">
        <v>-23835.700000000019</v>
      </c>
      <c r="J23" s="195">
        <v>-2</v>
      </c>
      <c r="K23" s="195">
        <v>34666.637999999977</v>
      </c>
      <c r="L23" s="195"/>
      <c r="M23" s="195"/>
      <c r="N23" s="195"/>
      <c r="O23" s="195"/>
      <c r="P23" s="195"/>
      <c r="Q23" s="195"/>
      <c r="R23" s="195"/>
      <c r="S23" s="195"/>
      <c r="T23" s="195"/>
      <c r="U23" s="195"/>
      <c r="V23" s="195"/>
      <c r="W23" s="195"/>
      <c r="X23" s="195"/>
      <c r="Y23" s="195"/>
      <c r="Z23" s="195"/>
    </row>
    <row r="24" spans="1:26" s="458" customFormat="1">
      <c r="L24" s="195"/>
      <c r="M24" s="195"/>
      <c r="N24" s="195"/>
      <c r="O24" s="195"/>
      <c r="P24" s="195"/>
      <c r="Q24" s="195"/>
      <c r="R24" s="195"/>
      <c r="S24" s="195"/>
      <c r="T24" s="195"/>
      <c r="U24" s="195"/>
      <c r="V24" s="195"/>
      <c r="W24" s="195"/>
      <c r="X24" s="195"/>
      <c r="Y24" s="195"/>
      <c r="Z24" s="195"/>
    </row>
    <row r="25" spans="1:26" s="458" customFormat="1">
      <c r="L25" s="195"/>
      <c r="M25" s="195"/>
      <c r="N25" s="195"/>
      <c r="O25" s="195"/>
      <c r="P25" s="195"/>
      <c r="Q25" s="195"/>
      <c r="R25" s="195"/>
      <c r="S25" s="195"/>
      <c r="T25" s="195"/>
      <c r="U25" s="195"/>
      <c r="V25" s="195"/>
      <c r="W25" s="195"/>
      <c r="X25" s="195"/>
      <c r="Y25" s="195"/>
      <c r="Z25" s="195"/>
    </row>
    <row r="26" spans="1:26" s="458" customFormat="1">
      <c r="L26" s="195"/>
      <c r="M26" s="195"/>
      <c r="N26" s="195"/>
      <c r="O26" s="195"/>
      <c r="P26" s="195"/>
      <c r="Q26" s="195"/>
      <c r="R26" s="195"/>
      <c r="S26" s="195"/>
      <c r="T26" s="195"/>
      <c r="U26" s="195"/>
      <c r="V26" s="195"/>
      <c r="W26" s="195"/>
      <c r="X26" s="195"/>
      <c r="Y26" s="195"/>
      <c r="Z26" s="195"/>
    </row>
    <row r="27" spans="1:26" s="458" customFormat="1">
      <c r="L27" s="195"/>
      <c r="M27" s="195"/>
      <c r="N27" s="195"/>
      <c r="O27" s="195"/>
      <c r="P27" s="195"/>
      <c r="Q27" s="195"/>
      <c r="R27" s="195"/>
      <c r="S27" s="195"/>
      <c r="T27" s="195"/>
      <c r="U27" s="195"/>
      <c r="V27" s="195"/>
      <c r="W27" s="195"/>
      <c r="X27" s="195"/>
      <c r="Y27" s="195"/>
      <c r="Z27" s="195"/>
    </row>
    <row r="28" spans="1:26" s="458" customFormat="1">
      <c r="L28" s="195"/>
      <c r="M28" s="195"/>
      <c r="N28" s="195"/>
      <c r="O28" s="195"/>
      <c r="P28" s="195"/>
      <c r="Q28" s="195"/>
      <c r="R28" s="195"/>
      <c r="S28" s="195"/>
      <c r="T28" s="195"/>
      <c r="U28" s="195"/>
      <c r="V28" s="195"/>
      <c r="W28" s="195"/>
      <c r="X28" s="195"/>
      <c r="Y28" s="195"/>
      <c r="Z28" s="195"/>
    </row>
    <row r="29" spans="1:26" s="458" customFormat="1">
      <c r="L29" s="195"/>
      <c r="M29" s="195"/>
      <c r="N29" s="195"/>
      <c r="O29" s="195"/>
      <c r="P29" s="195"/>
      <c r="Q29" s="195"/>
      <c r="R29" s="195"/>
      <c r="S29" s="195"/>
      <c r="T29" s="195"/>
      <c r="U29" s="195"/>
      <c r="V29" s="195"/>
      <c r="W29" s="195"/>
      <c r="X29" s="195"/>
      <c r="Y29" s="195"/>
      <c r="Z29" s="195"/>
    </row>
    <row r="30" spans="1:26" s="458" customFormat="1">
      <c r="L30" s="195"/>
      <c r="M30" s="195"/>
      <c r="N30" s="195"/>
      <c r="O30" s="195"/>
      <c r="P30" s="195"/>
      <c r="Q30" s="195"/>
      <c r="R30" s="195"/>
      <c r="S30" s="195"/>
      <c r="T30" s="195"/>
      <c r="U30" s="195"/>
      <c r="V30" s="195"/>
      <c r="W30" s="195"/>
      <c r="X30" s="195"/>
      <c r="Y30" s="195"/>
      <c r="Z30" s="195"/>
    </row>
    <row r="31" spans="1:26" s="458" customFormat="1">
      <c r="L31" s="195"/>
      <c r="M31" s="195"/>
      <c r="N31" s="195"/>
      <c r="O31" s="195"/>
      <c r="P31" s="195"/>
      <c r="Q31" s="195"/>
      <c r="R31" s="195"/>
      <c r="S31" s="195"/>
      <c r="T31" s="195"/>
      <c r="U31" s="195"/>
      <c r="V31" s="195"/>
      <c r="W31" s="195"/>
      <c r="X31" s="195"/>
      <c r="Y31" s="195"/>
      <c r="Z31" s="195"/>
    </row>
    <row r="32" spans="1:26" s="458" customFormat="1">
      <c r="L32" s="195"/>
      <c r="M32" s="195"/>
      <c r="N32" s="195"/>
      <c r="O32" s="195"/>
      <c r="P32" s="195"/>
      <c r="Q32" s="195"/>
      <c r="R32" s="195"/>
      <c r="S32" s="195"/>
      <c r="T32" s="195"/>
      <c r="U32" s="195"/>
      <c r="V32" s="195"/>
      <c r="W32" s="195"/>
      <c r="X32" s="195"/>
      <c r="Y32" s="195"/>
      <c r="Z32" s="195"/>
    </row>
    <row r="33" spans="12:26" s="458" customFormat="1">
      <c r="L33" s="195"/>
      <c r="M33" s="195"/>
      <c r="N33" s="195"/>
      <c r="O33" s="195"/>
      <c r="P33" s="195"/>
      <c r="Q33" s="195"/>
      <c r="R33" s="195"/>
      <c r="S33" s="195"/>
      <c r="T33" s="195"/>
      <c r="U33" s="195"/>
      <c r="V33" s="195"/>
      <c r="W33" s="195"/>
      <c r="X33" s="195"/>
      <c r="Y33" s="195"/>
      <c r="Z33" s="195"/>
    </row>
    <row r="34" spans="12:26" s="458" customFormat="1">
      <c r="L34" s="195"/>
      <c r="M34" s="195"/>
      <c r="N34" s="195"/>
      <c r="O34" s="195"/>
      <c r="P34" s="195"/>
      <c r="Q34" s="195"/>
      <c r="R34" s="195"/>
      <c r="S34" s="195"/>
      <c r="T34" s="195"/>
      <c r="U34" s="195"/>
      <c r="V34" s="195"/>
      <c r="W34" s="195"/>
      <c r="X34" s="195"/>
      <c r="Y34" s="195"/>
      <c r="Z34" s="195"/>
    </row>
    <row r="35" spans="12:26" s="458" customFormat="1">
      <c r="L35" s="195"/>
      <c r="M35" s="195"/>
      <c r="N35" s="195"/>
      <c r="O35" s="195"/>
      <c r="P35" s="195"/>
      <c r="Q35" s="195"/>
      <c r="R35" s="195"/>
      <c r="S35" s="195"/>
      <c r="T35" s="195"/>
      <c r="U35" s="195"/>
      <c r="V35" s="195"/>
      <c r="W35" s="195"/>
      <c r="X35" s="195"/>
      <c r="Y35" s="195"/>
      <c r="Z35" s="195"/>
    </row>
    <row r="36" spans="12:26" s="458" customFormat="1">
      <c r="L36" s="195"/>
      <c r="M36" s="195"/>
      <c r="N36" s="195"/>
      <c r="O36" s="195"/>
      <c r="P36" s="195"/>
      <c r="Q36" s="195"/>
      <c r="R36" s="195"/>
      <c r="S36" s="195"/>
      <c r="T36" s="195"/>
      <c r="U36" s="195"/>
      <c r="V36" s="195"/>
      <c r="W36" s="195"/>
      <c r="X36" s="195"/>
      <c r="Y36" s="195"/>
      <c r="Z36" s="195"/>
    </row>
    <row r="37" spans="12:26" s="458" customFormat="1">
      <c r="L37" s="195"/>
      <c r="M37" s="195"/>
      <c r="N37" s="195"/>
      <c r="O37" s="195"/>
      <c r="P37" s="195"/>
      <c r="Q37" s="195"/>
      <c r="R37" s="195"/>
      <c r="S37" s="195"/>
      <c r="T37" s="195"/>
      <c r="U37" s="195"/>
      <c r="V37" s="195"/>
      <c r="W37" s="195"/>
      <c r="X37" s="195"/>
      <c r="Y37" s="195"/>
      <c r="Z37" s="195"/>
    </row>
    <row r="38" spans="12:26" s="458" customFormat="1">
      <c r="L38" s="195"/>
      <c r="M38" s="195"/>
      <c r="N38" s="195"/>
      <c r="O38" s="195"/>
      <c r="P38" s="195"/>
      <c r="Q38" s="195"/>
      <c r="R38" s="195"/>
      <c r="S38" s="195"/>
      <c r="T38" s="195"/>
      <c r="U38" s="195"/>
      <c r="V38" s="195"/>
      <c r="W38" s="195"/>
      <c r="X38" s="195"/>
      <c r="Y38" s="195"/>
      <c r="Z38" s="195"/>
    </row>
    <row r="39" spans="12:26" s="458" customFormat="1">
      <c r="L39" s="195"/>
      <c r="M39" s="195"/>
      <c r="N39" s="195"/>
      <c r="O39" s="195"/>
      <c r="P39" s="195"/>
      <c r="Q39" s="195"/>
      <c r="R39" s="195"/>
      <c r="S39" s="195"/>
      <c r="T39" s="195"/>
      <c r="U39" s="195"/>
      <c r="V39" s="195"/>
      <c r="W39" s="195"/>
      <c r="X39" s="195"/>
      <c r="Y39" s="195"/>
      <c r="Z39" s="195"/>
    </row>
    <row r="40" spans="12:26" s="458" customFormat="1">
      <c r="L40" s="195"/>
      <c r="M40" s="195"/>
      <c r="N40" s="195"/>
      <c r="O40" s="195"/>
      <c r="P40" s="195"/>
      <c r="Q40" s="195"/>
      <c r="R40" s="195"/>
      <c r="S40" s="195"/>
      <c r="T40" s="195"/>
      <c r="U40" s="195"/>
      <c r="V40" s="195"/>
      <c r="W40" s="195"/>
      <c r="X40" s="195"/>
      <c r="Y40" s="195"/>
      <c r="Z40" s="195"/>
    </row>
    <row r="41" spans="12:26" s="458" customFormat="1">
      <c r="L41" s="195"/>
      <c r="M41" s="195"/>
      <c r="N41" s="195"/>
      <c r="O41" s="195"/>
      <c r="P41" s="195"/>
      <c r="Q41" s="195"/>
      <c r="R41" s="195"/>
      <c r="S41" s="195"/>
      <c r="T41" s="195"/>
      <c r="U41" s="195"/>
      <c r="V41" s="195"/>
      <c r="W41" s="195"/>
      <c r="X41" s="195"/>
      <c r="Y41" s="195"/>
      <c r="Z41" s="195"/>
    </row>
    <row r="42" spans="12:26" s="458" customFormat="1">
      <c r="L42" s="195"/>
      <c r="M42" s="195"/>
      <c r="N42" s="195"/>
      <c r="O42" s="195"/>
      <c r="P42" s="195"/>
      <c r="Q42" s="195"/>
      <c r="R42" s="195"/>
      <c r="S42" s="195"/>
      <c r="T42" s="195"/>
      <c r="U42" s="195"/>
      <c r="V42" s="195"/>
      <c r="W42" s="195"/>
      <c r="X42" s="195"/>
      <c r="Y42" s="195"/>
      <c r="Z42" s="195"/>
    </row>
    <row r="43" spans="12:26" s="458" customFormat="1">
      <c r="L43" s="195"/>
      <c r="M43" s="195"/>
      <c r="N43" s="195"/>
      <c r="O43" s="195"/>
      <c r="P43" s="195"/>
      <c r="Q43" s="195"/>
      <c r="R43" s="195"/>
      <c r="S43" s="195"/>
      <c r="T43" s="195"/>
      <c r="U43" s="195"/>
      <c r="V43" s="195"/>
      <c r="W43" s="195"/>
      <c r="X43" s="195"/>
      <c r="Y43" s="195"/>
      <c r="Z43" s="195"/>
    </row>
    <row r="44" spans="12:26" s="458" customFormat="1">
      <c r="L44" s="195"/>
      <c r="M44" s="195"/>
      <c r="N44" s="195"/>
      <c r="O44" s="195"/>
      <c r="P44" s="195"/>
      <c r="Q44" s="195"/>
      <c r="R44" s="195"/>
      <c r="S44" s="195"/>
      <c r="T44" s="195"/>
      <c r="U44" s="195"/>
      <c r="V44" s="195"/>
      <c r="W44" s="195"/>
      <c r="X44" s="195"/>
      <c r="Y44" s="195"/>
      <c r="Z44" s="195"/>
    </row>
    <row r="45" spans="12:26" s="458" customFormat="1">
      <c r="L45" s="195"/>
      <c r="M45" s="195"/>
      <c r="N45" s="195"/>
      <c r="O45" s="195"/>
      <c r="P45" s="195"/>
      <c r="Q45" s="195"/>
      <c r="R45" s="195"/>
      <c r="S45" s="195"/>
      <c r="T45" s="195"/>
      <c r="U45" s="195"/>
      <c r="V45" s="195"/>
      <c r="W45" s="195"/>
      <c r="X45" s="195"/>
      <c r="Y45" s="195"/>
      <c r="Z45" s="195"/>
    </row>
    <row r="46" spans="12:26" s="458" customFormat="1">
      <c r="L46" s="195"/>
      <c r="M46" s="195"/>
      <c r="N46" s="195"/>
      <c r="O46" s="195"/>
      <c r="P46" s="195"/>
      <c r="Q46" s="195"/>
      <c r="R46" s="195"/>
      <c r="S46" s="195"/>
      <c r="T46" s="195"/>
      <c r="U46" s="195"/>
      <c r="V46" s="195"/>
      <c r="W46" s="195"/>
      <c r="X46" s="195"/>
      <c r="Y46" s="195"/>
      <c r="Z46" s="195"/>
    </row>
    <row r="47" spans="12:26" s="458" customFormat="1">
      <c r="L47" s="195"/>
      <c r="M47" s="195"/>
      <c r="N47" s="195"/>
      <c r="O47" s="195"/>
      <c r="P47" s="195"/>
      <c r="Q47" s="195"/>
      <c r="R47" s="195"/>
      <c r="S47" s="195"/>
      <c r="T47" s="195"/>
      <c r="U47" s="195"/>
      <c r="V47" s="195"/>
      <c r="W47" s="195"/>
      <c r="X47" s="195"/>
      <c r="Y47" s="195"/>
      <c r="Z47" s="195"/>
    </row>
    <row r="48" spans="12:26" s="458" customFormat="1">
      <c r="L48" s="195"/>
      <c r="M48" s="195"/>
      <c r="N48" s="195"/>
      <c r="O48" s="195"/>
      <c r="P48" s="195"/>
      <c r="Q48" s="195"/>
      <c r="R48" s="195"/>
      <c r="S48" s="195"/>
      <c r="T48" s="195"/>
      <c r="U48" s="195"/>
      <c r="V48" s="195"/>
      <c r="W48" s="195"/>
      <c r="X48" s="195"/>
      <c r="Y48" s="195"/>
      <c r="Z48" s="195"/>
    </row>
    <row r="49" spans="12:26" s="458" customFormat="1">
      <c r="L49" s="195"/>
      <c r="M49" s="195"/>
      <c r="N49" s="195"/>
      <c r="O49" s="195"/>
      <c r="P49" s="195"/>
      <c r="Q49" s="195"/>
      <c r="R49" s="195"/>
      <c r="S49" s="195"/>
      <c r="T49" s="195"/>
      <c r="U49" s="195"/>
      <c r="V49" s="195"/>
      <c r="W49" s="195"/>
      <c r="X49" s="195"/>
      <c r="Y49" s="195"/>
      <c r="Z49" s="195"/>
    </row>
    <row r="50" spans="12:26" s="458" customFormat="1">
      <c r="L50" s="195"/>
      <c r="M50" s="195"/>
      <c r="N50" s="195"/>
      <c r="O50" s="195"/>
      <c r="P50" s="195"/>
      <c r="Q50" s="195"/>
      <c r="R50" s="195"/>
      <c r="S50" s="195"/>
      <c r="T50" s="195"/>
      <c r="U50" s="195"/>
      <c r="V50" s="195"/>
      <c r="W50" s="195"/>
      <c r="X50" s="195"/>
      <c r="Y50" s="195"/>
      <c r="Z50" s="195"/>
    </row>
    <row r="51" spans="12:26" s="458" customFormat="1">
      <c r="L51" s="195"/>
      <c r="M51" s="195"/>
      <c r="N51" s="195"/>
      <c r="O51" s="195"/>
      <c r="P51" s="195"/>
      <c r="Q51" s="195"/>
      <c r="R51" s="195"/>
      <c r="S51" s="195"/>
      <c r="T51" s="195"/>
      <c r="U51" s="195"/>
      <c r="V51" s="195"/>
      <c r="W51" s="195"/>
      <c r="X51" s="195"/>
      <c r="Y51" s="195"/>
      <c r="Z51" s="195"/>
    </row>
    <row r="52" spans="12:26" s="458" customFormat="1">
      <c r="L52" s="195"/>
      <c r="M52" s="195"/>
      <c r="N52" s="195"/>
      <c r="O52" s="195"/>
      <c r="P52" s="195"/>
      <c r="Q52" s="195"/>
      <c r="R52" s="195"/>
      <c r="S52" s="195"/>
      <c r="T52" s="195"/>
      <c r="U52" s="195"/>
      <c r="V52" s="195"/>
      <c r="W52" s="195"/>
      <c r="X52" s="195"/>
      <c r="Y52" s="195"/>
      <c r="Z52" s="195"/>
    </row>
    <row r="53" spans="12:26" s="458" customFormat="1">
      <c r="L53" s="195"/>
      <c r="M53" s="195"/>
      <c r="N53" s="195"/>
      <c r="O53" s="195"/>
      <c r="P53" s="195"/>
      <c r="Q53" s="195"/>
      <c r="R53" s="195"/>
      <c r="S53" s="195"/>
      <c r="T53" s="195"/>
      <c r="U53" s="195"/>
      <c r="V53" s="195"/>
      <c r="W53" s="195"/>
      <c r="X53" s="195"/>
      <c r="Y53" s="195"/>
      <c r="Z53" s="195"/>
    </row>
    <row r="54" spans="12:26" s="458" customFormat="1">
      <c r="L54" s="195"/>
      <c r="M54" s="195"/>
      <c r="N54" s="195"/>
      <c r="O54" s="195"/>
      <c r="P54" s="195"/>
      <c r="Q54" s="195"/>
      <c r="R54" s="195"/>
      <c r="S54" s="195"/>
      <c r="T54" s="195"/>
      <c r="U54" s="195"/>
      <c r="V54" s="195"/>
      <c r="W54" s="195"/>
      <c r="X54" s="195"/>
      <c r="Y54" s="195"/>
      <c r="Z54" s="195"/>
    </row>
    <row r="55" spans="12:26" s="458" customFormat="1">
      <c r="L55" s="195"/>
      <c r="M55" s="195"/>
      <c r="N55" s="195"/>
      <c r="O55" s="195"/>
      <c r="P55" s="195"/>
      <c r="Q55" s="195"/>
      <c r="R55" s="195"/>
      <c r="S55" s="195"/>
      <c r="T55" s="195"/>
      <c r="U55" s="195"/>
      <c r="V55" s="195"/>
      <c r="W55" s="195"/>
      <c r="X55" s="195"/>
      <c r="Y55" s="195"/>
      <c r="Z55" s="195"/>
    </row>
    <row r="56" spans="12:26" s="458" customFormat="1">
      <c r="L56" s="195"/>
      <c r="M56" s="195"/>
      <c r="N56" s="195"/>
      <c r="O56" s="195"/>
      <c r="P56" s="195"/>
      <c r="Q56" s="195"/>
      <c r="R56" s="195"/>
      <c r="S56" s="195"/>
      <c r="T56" s="195"/>
      <c r="U56" s="195"/>
      <c r="V56" s="195"/>
      <c r="W56" s="195"/>
      <c r="X56" s="195"/>
      <c r="Y56" s="195"/>
      <c r="Z56" s="195"/>
    </row>
    <row r="57" spans="12:26" s="458" customFormat="1">
      <c r="L57" s="195"/>
      <c r="M57" s="195"/>
      <c r="N57" s="195"/>
      <c r="O57" s="195"/>
      <c r="P57" s="195"/>
      <c r="Q57" s="195"/>
      <c r="R57" s="195"/>
      <c r="S57" s="195"/>
      <c r="T57" s="195"/>
      <c r="U57" s="195"/>
      <c r="V57" s="195"/>
      <c r="W57" s="195"/>
      <c r="X57" s="195"/>
      <c r="Y57" s="195"/>
      <c r="Z57" s="195"/>
    </row>
    <row r="58" spans="12:26" s="458" customFormat="1">
      <c r="L58" s="195"/>
      <c r="M58" s="195"/>
      <c r="N58" s="195"/>
      <c r="O58" s="195"/>
      <c r="P58" s="195"/>
      <c r="Q58" s="195"/>
      <c r="R58" s="195"/>
      <c r="S58" s="195"/>
      <c r="T58" s="195"/>
      <c r="U58" s="195"/>
      <c r="V58" s="195"/>
      <c r="W58" s="195"/>
      <c r="X58" s="195"/>
      <c r="Y58" s="195"/>
      <c r="Z58" s="195"/>
    </row>
    <row r="59" spans="12:26" s="458" customFormat="1">
      <c r="L59" s="195"/>
      <c r="M59" s="195"/>
      <c r="N59" s="195"/>
      <c r="O59" s="195"/>
      <c r="P59" s="195"/>
      <c r="Q59" s="195"/>
      <c r="R59" s="195"/>
      <c r="S59" s="195"/>
      <c r="T59" s="195"/>
      <c r="U59" s="195"/>
      <c r="V59" s="195"/>
      <c r="W59" s="195"/>
      <c r="X59" s="195"/>
      <c r="Y59" s="195"/>
      <c r="Z59" s="195"/>
    </row>
    <row r="60" spans="12:26" s="458" customFormat="1">
      <c r="L60" s="195"/>
      <c r="M60" s="195"/>
      <c r="N60" s="195"/>
      <c r="O60" s="195"/>
      <c r="P60" s="195"/>
      <c r="Q60" s="195"/>
      <c r="R60" s="195"/>
      <c r="S60" s="195"/>
      <c r="T60" s="195"/>
      <c r="U60" s="195"/>
      <c r="V60" s="195"/>
      <c r="W60" s="195"/>
      <c r="X60" s="195"/>
      <c r="Y60" s="195"/>
      <c r="Z60" s="195"/>
    </row>
    <row r="61" spans="12:26" s="458" customFormat="1">
      <c r="L61" s="195"/>
      <c r="M61" s="195"/>
      <c r="N61" s="195"/>
      <c r="O61" s="195"/>
      <c r="P61" s="195"/>
      <c r="Q61" s="195"/>
      <c r="R61" s="195"/>
      <c r="S61" s="195"/>
      <c r="T61" s="195"/>
      <c r="U61" s="195"/>
      <c r="V61" s="195"/>
      <c r="W61" s="195"/>
      <c r="X61" s="195"/>
      <c r="Y61" s="195"/>
      <c r="Z61" s="195"/>
    </row>
    <row r="62" spans="12:26" s="458" customFormat="1">
      <c r="L62" s="195"/>
      <c r="M62" s="195"/>
      <c r="N62" s="195"/>
      <c r="O62" s="195"/>
      <c r="P62" s="195"/>
      <c r="Q62" s="195"/>
      <c r="R62" s="195"/>
      <c r="S62" s="195"/>
      <c r="T62" s="195"/>
      <c r="U62" s="195"/>
      <c r="V62" s="195"/>
      <c r="W62" s="195"/>
      <c r="X62" s="195"/>
      <c r="Y62" s="195"/>
      <c r="Z62" s="195"/>
    </row>
    <row r="63" spans="12:26" s="458" customFormat="1">
      <c r="L63" s="195"/>
      <c r="M63" s="195"/>
      <c r="N63" s="195"/>
      <c r="O63" s="195"/>
      <c r="P63" s="195"/>
      <c r="Q63" s="195"/>
      <c r="R63" s="195"/>
      <c r="S63" s="195"/>
      <c r="T63" s="195"/>
      <c r="U63" s="195"/>
      <c r="V63" s="195"/>
      <c r="W63" s="195"/>
      <c r="X63" s="195"/>
      <c r="Y63" s="195"/>
      <c r="Z63" s="1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246FF-FDA5-4725-AB3C-AF4B3D997CBE}">
  <sheetPr codeName="AcctCodes">
    <tabColor theme="7" tint="0.79998168889431442"/>
  </sheetPr>
  <dimension ref="A1:F1075"/>
  <sheetViews>
    <sheetView showGridLines="0" showRowColHeaders="0" workbookViewId="0">
      <pane ySplit="1" topLeftCell="A323" activePane="bottomLeft" state="frozen"/>
      <selection pane="bottomLeft"/>
    </sheetView>
  </sheetViews>
  <sheetFormatPr defaultColWidth="8.88671875" defaultRowHeight="15.6"/>
  <cols>
    <col min="1" max="2" width="8.88671875" style="329"/>
    <col min="3" max="3" width="32.109375" style="187" bestFit="1" customWidth="1"/>
    <col min="4" max="4" width="51.88671875" style="152" bestFit="1" customWidth="1"/>
    <col min="5" max="16384" width="8.88671875" style="329"/>
  </cols>
  <sheetData>
    <row r="1" spans="1:6">
      <c r="A1" s="329" t="s">
        <v>1345</v>
      </c>
      <c r="B1" s="12" t="s">
        <v>1346</v>
      </c>
      <c r="C1" s="12" t="s">
        <v>176</v>
      </c>
      <c r="D1" s="12" t="s">
        <v>177</v>
      </c>
      <c r="E1" s="12" t="s">
        <v>178</v>
      </c>
      <c r="F1" s="12" t="s">
        <v>179</v>
      </c>
    </row>
    <row r="2" spans="1:6">
      <c r="A2" s="329">
        <v>0</v>
      </c>
      <c r="B2" s="328">
        <v>8</v>
      </c>
      <c r="C2" s="184" t="s">
        <v>180</v>
      </c>
      <c r="D2" s="152" t="s">
        <v>181</v>
      </c>
      <c r="E2" s="185">
        <v>220000</v>
      </c>
      <c r="F2" s="185">
        <v>224999</v>
      </c>
    </row>
    <row r="3" spans="1:6">
      <c r="A3" s="329">
        <f>A2+1</f>
        <v>1</v>
      </c>
      <c r="B3" s="328">
        <v>8</v>
      </c>
      <c r="C3" s="184" t="s">
        <v>180</v>
      </c>
      <c r="D3" s="152" t="s">
        <v>182</v>
      </c>
      <c r="E3" s="186">
        <v>225000</v>
      </c>
      <c r="F3" s="186">
        <v>229996</v>
      </c>
    </row>
    <row r="4" spans="1:6">
      <c r="A4" s="329">
        <f t="shared" ref="A4:A67" si="0">A3+1</f>
        <v>2</v>
      </c>
      <c r="B4" s="328">
        <v>8</v>
      </c>
      <c r="C4" s="184" t="s">
        <v>180</v>
      </c>
      <c r="D4" s="152" t="s">
        <v>183</v>
      </c>
      <c r="E4" s="186">
        <v>229997</v>
      </c>
      <c r="F4" s="186">
        <v>229997</v>
      </c>
    </row>
    <row r="5" spans="1:6">
      <c r="A5" s="329">
        <f t="shared" si="0"/>
        <v>3</v>
      </c>
      <c r="B5" s="328">
        <v>8</v>
      </c>
      <c r="C5" s="184" t="s">
        <v>180</v>
      </c>
      <c r="D5" s="152" t="s">
        <v>184</v>
      </c>
      <c r="E5" s="186">
        <v>229998</v>
      </c>
      <c r="F5" s="186">
        <v>229998</v>
      </c>
    </row>
    <row r="6" spans="1:6">
      <c r="A6" s="329">
        <f t="shared" si="0"/>
        <v>4</v>
      </c>
      <c r="B6" s="328">
        <v>8</v>
      </c>
      <c r="C6" s="184" t="s">
        <v>180</v>
      </c>
      <c r="D6" s="152" t="s">
        <v>185</v>
      </c>
      <c r="E6" s="186">
        <v>229999</v>
      </c>
      <c r="F6" s="186">
        <v>229999</v>
      </c>
    </row>
    <row r="7" spans="1:6">
      <c r="A7" s="329">
        <f t="shared" si="0"/>
        <v>5</v>
      </c>
      <c r="B7" s="328">
        <v>9</v>
      </c>
      <c r="C7" s="184" t="s">
        <v>186</v>
      </c>
      <c r="D7" s="152" t="s">
        <v>187</v>
      </c>
      <c r="E7" s="186">
        <v>200000</v>
      </c>
      <c r="F7" s="186">
        <v>200000</v>
      </c>
    </row>
    <row r="8" spans="1:6">
      <c r="A8" s="329">
        <f t="shared" si="0"/>
        <v>6</v>
      </c>
      <c r="B8" s="328">
        <v>9</v>
      </c>
      <c r="C8" s="184" t="s">
        <v>186</v>
      </c>
      <c r="D8" s="152" t="s">
        <v>188</v>
      </c>
      <c r="E8" s="186">
        <v>200100</v>
      </c>
      <c r="F8" s="186">
        <v>200999</v>
      </c>
    </row>
    <row r="9" spans="1:6">
      <c r="A9" s="329">
        <f t="shared" si="0"/>
        <v>7</v>
      </c>
      <c r="B9" s="328">
        <v>9</v>
      </c>
      <c r="C9" s="184" t="s">
        <v>186</v>
      </c>
      <c r="D9" s="152" t="s">
        <v>189</v>
      </c>
      <c r="E9" s="186">
        <v>201000</v>
      </c>
      <c r="F9" s="186">
        <v>201997</v>
      </c>
    </row>
    <row r="10" spans="1:6">
      <c r="A10" s="329">
        <f t="shared" si="0"/>
        <v>8</v>
      </c>
      <c r="B10" s="328">
        <v>9</v>
      </c>
      <c r="C10" s="184" t="s">
        <v>186</v>
      </c>
      <c r="D10" s="152" t="s">
        <v>190</v>
      </c>
      <c r="E10" s="186">
        <v>202000</v>
      </c>
      <c r="F10" s="186">
        <v>202000</v>
      </c>
    </row>
    <row r="11" spans="1:6">
      <c r="A11" s="329">
        <f t="shared" si="0"/>
        <v>9</v>
      </c>
      <c r="B11" s="328">
        <v>9</v>
      </c>
      <c r="C11" s="184" t="s">
        <v>186</v>
      </c>
      <c r="D11" s="152" t="s">
        <v>191</v>
      </c>
      <c r="E11" s="186">
        <v>202001</v>
      </c>
      <c r="F11" s="186">
        <v>202001</v>
      </c>
    </row>
    <row r="12" spans="1:6">
      <c r="A12" s="329">
        <f t="shared" si="0"/>
        <v>10</v>
      </c>
      <c r="B12" s="328">
        <v>9</v>
      </c>
      <c r="C12" s="184" t="s">
        <v>186</v>
      </c>
      <c r="D12" s="152" t="s">
        <v>192</v>
      </c>
      <c r="E12" s="186">
        <v>202002</v>
      </c>
      <c r="F12" s="186">
        <v>202002</v>
      </c>
    </row>
    <row r="13" spans="1:6">
      <c r="A13" s="329">
        <f t="shared" si="0"/>
        <v>11</v>
      </c>
      <c r="B13" s="328">
        <v>9</v>
      </c>
      <c r="C13" s="184" t="s">
        <v>186</v>
      </c>
      <c r="D13" s="152" t="s">
        <v>193</v>
      </c>
      <c r="E13" s="186">
        <v>202003</v>
      </c>
      <c r="F13" s="186">
        <v>202003</v>
      </c>
    </row>
    <row r="14" spans="1:6">
      <c r="A14" s="329">
        <f t="shared" si="0"/>
        <v>12</v>
      </c>
      <c r="B14" s="328">
        <v>9</v>
      </c>
      <c r="C14" s="184" t="s">
        <v>186</v>
      </c>
      <c r="D14" s="152" t="s">
        <v>194</v>
      </c>
      <c r="E14" s="186">
        <v>202004</v>
      </c>
      <c r="F14" s="186">
        <v>202004</v>
      </c>
    </row>
    <row r="15" spans="1:6">
      <c r="A15" s="329">
        <f t="shared" si="0"/>
        <v>13</v>
      </c>
      <c r="B15" s="328">
        <v>9</v>
      </c>
      <c r="C15" s="184" t="s">
        <v>186</v>
      </c>
      <c r="D15" s="152" t="s">
        <v>195</v>
      </c>
      <c r="E15" s="186">
        <v>202005</v>
      </c>
      <c r="F15" s="186">
        <v>202005</v>
      </c>
    </row>
    <row r="16" spans="1:6">
      <c r="A16" s="329">
        <f t="shared" si="0"/>
        <v>14</v>
      </c>
      <c r="B16" s="328">
        <v>9</v>
      </c>
      <c r="C16" s="184" t="s">
        <v>186</v>
      </c>
      <c r="D16" s="152" t="s">
        <v>196</v>
      </c>
      <c r="E16" s="186">
        <v>202006</v>
      </c>
      <c r="F16" s="186">
        <v>202006</v>
      </c>
    </row>
    <row r="17" spans="1:6">
      <c r="A17" s="329">
        <f t="shared" si="0"/>
        <v>15</v>
      </c>
      <c r="B17" s="328">
        <v>9</v>
      </c>
      <c r="C17" s="184" t="s">
        <v>186</v>
      </c>
      <c r="D17" s="152" t="s">
        <v>197</v>
      </c>
      <c r="E17" s="186">
        <v>230000</v>
      </c>
      <c r="F17" s="186">
        <v>237999</v>
      </c>
    </row>
    <row r="18" spans="1:6">
      <c r="A18" s="329">
        <f t="shared" si="0"/>
        <v>16</v>
      </c>
      <c r="B18" s="328">
        <v>9</v>
      </c>
      <c r="C18" s="184" t="s">
        <v>186</v>
      </c>
      <c r="D18" s="152" t="s">
        <v>198</v>
      </c>
      <c r="E18" s="186">
        <v>250000</v>
      </c>
      <c r="F18" s="186">
        <v>250099</v>
      </c>
    </row>
    <row r="19" spans="1:6">
      <c r="A19" s="329">
        <f t="shared" si="0"/>
        <v>17</v>
      </c>
      <c r="B19" s="328">
        <v>9</v>
      </c>
      <c r="C19" s="184" t="s">
        <v>186</v>
      </c>
      <c r="D19" s="152" t="s">
        <v>199</v>
      </c>
      <c r="E19" s="186">
        <v>250100</v>
      </c>
      <c r="F19" s="186">
        <v>254999</v>
      </c>
    </row>
    <row r="20" spans="1:6">
      <c r="A20" s="329">
        <f t="shared" si="0"/>
        <v>18</v>
      </c>
      <c r="B20" s="328">
        <v>9</v>
      </c>
      <c r="C20" s="184" t="s">
        <v>186</v>
      </c>
      <c r="D20" s="152" t="s">
        <v>200</v>
      </c>
      <c r="E20" s="186">
        <v>255000</v>
      </c>
      <c r="F20" s="186">
        <v>259997</v>
      </c>
    </row>
    <row r="21" spans="1:6">
      <c r="A21" s="329">
        <f t="shared" si="0"/>
        <v>19</v>
      </c>
      <c r="B21" s="328">
        <v>9</v>
      </c>
      <c r="C21" s="184" t="s">
        <v>186</v>
      </c>
      <c r="D21" s="152" t="s">
        <v>201</v>
      </c>
      <c r="E21" s="186">
        <v>280000</v>
      </c>
      <c r="F21" s="186">
        <v>280099</v>
      </c>
    </row>
    <row r="22" spans="1:6">
      <c r="A22" s="329">
        <f t="shared" si="0"/>
        <v>20</v>
      </c>
      <c r="B22" s="328">
        <v>9</v>
      </c>
      <c r="C22" s="184" t="s">
        <v>186</v>
      </c>
      <c r="D22" s="152" t="s">
        <v>202</v>
      </c>
      <c r="E22" s="186">
        <v>280100</v>
      </c>
      <c r="F22" s="186">
        <v>284999</v>
      </c>
    </row>
    <row r="23" spans="1:6">
      <c r="A23" s="329">
        <f t="shared" si="0"/>
        <v>21</v>
      </c>
      <c r="B23" s="328">
        <v>9</v>
      </c>
      <c r="C23" s="184" t="s">
        <v>186</v>
      </c>
      <c r="D23" s="152" t="s">
        <v>203</v>
      </c>
      <c r="E23" s="186">
        <v>285000</v>
      </c>
      <c r="F23" s="186">
        <v>289997</v>
      </c>
    </row>
    <row r="24" spans="1:6">
      <c r="A24" s="329">
        <f t="shared" si="0"/>
        <v>22</v>
      </c>
      <c r="B24" s="328">
        <v>9</v>
      </c>
      <c r="C24" s="184" t="s">
        <v>186</v>
      </c>
      <c r="D24" s="152" t="s">
        <v>204</v>
      </c>
      <c r="E24" s="186">
        <v>289998</v>
      </c>
      <c r="F24" s="186">
        <v>289998</v>
      </c>
    </row>
    <row r="25" spans="1:6">
      <c r="A25" s="329">
        <f t="shared" si="0"/>
        <v>23</v>
      </c>
      <c r="B25" s="328">
        <v>9</v>
      </c>
      <c r="C25" s="184" t="s">
        <v>186</v>
      </c>
      <c r="D25" s="152" t="s">
        <v>205</v>
      </c>
      <c r="E25" s="186">
        <v>289999</v>
      </c>
      <c r="F25" s="186">
        <v>289999</v>
      </c>
    </row>
    <row r="26" spans="1:6">
      <c r="A26" s="329">
        <f t="shared" si="0"/>
        <v>24</v>
      </c>
      <c r="B26" s="328">
        <v>9</v>
      </c>
      <c r="C26" s="184" t="s">
        <v>186</v>
      </c>
      <c r="D26" s="152" t="s">
        <v>206</v>
      </c>
      <c r="E26" s="186">
        <v>310000</v>
      </c>
      <c r="F26" s="186">
        <v>310099</v>
      </c>
    </row>
    <row r="27" spans="1:6">
      <c r="A27" s="329">
        <f t="shared" si="0"/>
        <v>25</v>
      </c>
      <c r="B27" s="328">
        <v>9</v>
      </c>
      <c r="C27" s="184" t="s">
        <v>186</v>
      </c>
      <c r="D27" s="152" t="s">
        <v>207</v>
      </c>
      <c r="E27" s="186">
        <v>310100</v>
      </c>
      <c r="F27" s="186">
        <v>310999</v>
      </c>
    </row>
    <row r="28" spans="1:6">
      <c r="A28" s="329">
        <f t="shared" si="0"/>
        <v>26</v>
      </c>
      <c r="B28" s="328">
        <v>9</v>
      </c>
      <c r="C28" s="184" t="s">
        <v>186</v>
      </c>
      <c r="D28" s="152" t="s">
        <v>208</v>
      </c>
      <c r="E28" s="186">
        <v>311000</v>
      </c>
      <c r="F28" s="186">
        <v>311999</v>
      </c>
    </row>
    <row r="29" spans="1:6">
      <c r="A29" s="329">
        <f t="shared" si="0"/>
        <v>27</v>
      </c>
      <c r="B29" s="328">
        <v>9</v>
      </c>
      <c r="C29" s="184" t="s">
        <v>186</v>
      </c>
      <c r="D29" s="152" t="s">
        <v>209</v>
      </c>
      <c r="E29" s="186">
        <v>315000</v>
      </c>
      <c r="F29" s="186">
        <v>315099</v>
      </c>
    </row>
    <row r="30" spans="1:6">
      <c r="A30" s="329">
        <f t="shared" si="0"/>
        <v>28</v>
      </c>
      <c r="B30" s="328">
        <v>9</v>
      </c>
      <c r="C30" s="184" t="s">
        <v>186</v>
      </c>
      <c r="D30" s="152" t="s">
        <v>210</v>
      </c>
      <c r="E30" s="186">
        <v>315100</v>
      </c>
      <c r="F30" s="186">
        <v>315199</v>
      </c>
    </row>
    <row r="31" spans="1:6">
      <c r="A31" s="329">
        <f t="shared" si="0"/>
        <v>29</v>
      </c>
      <c r="B31" s="328">
        <v>9</v>
      </c>
      <c r="C31" s="184" t="s">
        <v>186</v>
      </c>
      <c r="D31" s="152" t="s">
        <v>211</v>
      </c>
      <c r="E31" s="186">
        <v>315200</v>
      </c>
      <c r="F31" s="186">
        <v>315299</v>
      </c>
    </row>
    <row r="32" spans="1:6">
      <c r="A32" s="329">
        <f t="shared" si="0"/>
        <v>30</v>
      </c>
      <c r="B32" s="328">
        <v>9</v>
      </c>
      <c r="C32" s="184" t="s">
        <v>186</v>
      </c>
      <c r="D32" s="152" t="s">
        <v>212</v>
      </c>
      <c r="E32" s="186">
        <v>315300</v>
      </c>
      <c r="F32" s="186">
        <v>315399</v>
      </c>
    </row>
    <row r="33" spans="1:6">
      <c r="A33" s="329">
        <f t="shared" si="0"/>
        <v>31</v>
      </c>
      <c r="B33" s="328">
        <v>9</v>
      </c>
      <c r="C33" s="184" t="s">
        <v>186</v>
      </c>
      <c r="D33" s="152" t="s">
        <v>213</v>
      </c>
      <c r="E33" s="186">
        <v>315400</v>
      </c>
      <c r="F33" s="186">
        <v>315499</v>
      </c>
    </row>
    <row r="34" spans="1:6">
      <c r="A34" s="329">
        <f t="shared" si="0"/>
        <v>32</v>
      </c>
      <c r="B34" s="328">
        <v>9</v>
      </c>
      <c r="C34" s="184" t="s">
        <v>186</v>
      </c>
      <c r="D34" s="152" t="s">
        <v>214</v>
      </c>
      <c r="E34" s="186">
        <v>315500</v>
      </c>
      <c r="F34" s="186">
        <v>315599</v>
      </c>
    </row>
    <row r="35" spans="1:6">
      <c r="A35" s="329">
        <f t="shared" si="0"/>
        <v>33</v>
      </c>
      <c r="B35" s="328">
        <v>9</v>
      </c>
      <c r="C35" s="184" t="s">
        <v>186</v>
      </c>
      <c r="D35" s="152" t="s">
        <v>215</v>
      </c>
      <c r="E35" s="186">
        <v>315600</v>
      </c>
      <c r="F35" s="186">
        <v>315699</v>
      </c>
    </row>
    <row r="36" spans="1:6">
      <c r="A36" s="329">
        <f t="shared" si="0"/>
        <v>34</v>
      </c>
      <c r="B36" s="328">
        <v>9</v>
      </c>
      <c r="C36" s="184" t="s">
        <v>186</v>
      </c>
      <c r="D36" s="152" t="s">
        <v>216</v>
      </c>
      <c r="E36" s="186">
        <v>315700</v>
      </c>
      <c r="F36" s="186">
        <v>315799</v>
      </c>
    </row>
    <row r="37" spans="1:6">
      <c r="A37" s="329">
        <f t="shared" si="0"/>
        <v>35</v>
      </c>
      <c r="B37" s="328">
        <v>9</v>
      </c>
      <c r="C37" s="184" t="s">
        <v>186</v>
      </c>
      <c r="D37" s="152" t="s">
        <v>217</v>
      </c>
      <c r="E37" s="186">
        <v>320000</v>
      </c>
      <c r="F37" s="186">
        <v>320099</v>
      </c>
    </row>
    <row r="38" spans="1:6">
      <c r="A38" s="329">
        <f t="shared" si="0"/>
        <v>36</v>
      </c>
      <c r="B38" s="328">
        <v>9</v>
      </c>
      <c r="C38" s="184" t="s">
        <v>186</v>
      </c>
      <c r="D38" s="152" t="s">
        <v>218</v>
      </c>
      <c r="E38" s="186">
        <v>320100</v>
      </c>
      <c r="F38" s="186">
        <v>320999</v>
      </c>
    </row>
    <row r="39" spans="1:6">
      <c r="A39" s="329">
        <f t="shared" si="0"/>
        <v>37</v>
      </c>
      <c r="B39" s="328">
        <v>9</v>
      </c>
      <c r="C39" s="184" t="s">
        <v>186</v>
      </c>
      <c r="D39" s="152" t="s">
        <v>219</v>
      </c>
      <c r="E39" s="186">
        <v>321000</v>
      </c>
      <c r="F39" s="186">
        <v>321997</v>
      </c>
    </row>
    <row r="40" spans="1:6">
      <c r="A40" s="329">
        <f t="shared" si="0"/>
        <v>38</v>
      </c>
      <c r="B40" s="328">
        <v>9</v>
      </c>
      <c r="C40" s="184" t="s">
        <v>186</v>
      </c>
      <c r="D40" s="152" t="s">
        <v>220</v>
      </c>
      <c r="E40" s="186">
        <v>325000</v>
      </c>
      <c r="F40" s="186">
        <v>325099</v>
      </c>
    </row>
    <row r="41" spans="1:6">
      <c r="A41" s="329">
        <f t="shared" si="0"/>
        <v>39</v>
      </c>
      <c r="B41" s="328">
        <v>9</v>
      </c>
      <c r="C41" s="184" t="s">
        <v>186</v>
      </c>
      <c r="D41" s="152" t="s">
        <v>221</v>
      </c>
      <c r="E41" s="186">
        <v>325100</v>
      </c>
      <c r="F41" s="186">
        <v>332999</v>
      </c>
    </row>
    <row r="42" spans="1:6">
      <c r="A42" s="329">
        <f t="shared" si="0"/>
        <v>40</v>
      </c>
      <c r="B42" s="328">
        <v>9</v>
      </c>
      <c r="C42" s="184" t="s">
        <v>186</v>
      </c>
      <c r="D42" s="152" t="s">
        <v>222</v>
      </c>
      <c r="E42" s="186">
        <v>333000</v>
      </c>
      <c r="F42" s="186">
        <v>334996</v>
      </c>
    </row>
    <row r="43" spans="1:6">
      <c r="A43" s="329">
        <f t="shared" si="0"/>
        <v>41</v>
      </c>
      <c r="B43" s="328">
        <v>9</v>
      </c>
      <c r="C43" s="184" t="s">
        <v>186</v>
      </c>
      <c r="D43" s="152" t="s">
        <v>223</v>
      </c>
      <c r="E43" s="186">
        <v>334997</v>
      </c>
      <c r="F43" s="186">
        <v>334997</v>
      </c>
    </row>
    <row r="44" spans="1:6">
      <c r="A44" s="329">
        <f t="shared" si="0"/>
        <v>42</v>
      </c>
      <c r="B44" s="328">
        <v>9</v>
      </c>
      <c r="C44" s="184" t="s">
        <v>186</v>
      </c>
      <c r="D44" s="152" t="s">
        <v>224</v>
      </c>
      <c r="E44" s="186">
        <v>355000</v>
      </c>
      <c r="F44" s="186">
        <v>355099</v>
      </c>
    </row>
    <row r="45" spans="1:6">
      <c r="A45" s="329">
        <f t="shared" si="0"/>
        <v>43</v>
      </c>
      <c r="B45" s="328">
        <v>9</v>
      </c>
      <c r="C45" s="184" t="s">
        <v>186</v>
      </c>
      <c r="D45" s="152" t="s">
        <v>225</v>
      </c>
      <c r="E45" s="186">
        <v>355100</v>
      </c>
      <c r="F45" s="186">
        <v>355199</v>
      </c>
    </row>
    <row r="46" spans="1:6">
      <c r="A46" s="329">
        <f t="shared" si="0"/>
        <v>44</v>
      </c>
      <c r="B46" s="328">
        <v>9</v>
      </c>
      <c r="C46" s="184" t="s">
        <v>186</v>
      </c>
      <c r="D46" s="152" t="s">
        <v>226</v>
      </c>
      <c r="E46" s="186">
        <v>355200</v>
      </c>
      <c r="F46" s="186">
        <v>355299</v>
      </c>
    </row>
    <row r="47" spans="1:6">
      <c r="A47" s="329">
        <f t="shared" si="0"/>
        <v>45</v>
      </c>
      <c r="B47" s="328">
        <v>9</v>
      </c>
      <c r="C47" s="184" t="s">
        <v>186</v>
      </c>
      <c r="D47" s="152" t="s">
        <v>227</v>
      </c>
      <c r="E47" s="186">
        <v>355300</v>
      </c>
      <c r="F47" s="186">
        <v>355399</v>
      </c>
    </row>
    <row r="48" spans="1:6">
      <c r="A48" s="329">
        <f t="shared" si="0"/>
        <v>46</v>
      </c>
      <c r="B48" s="328">
        <v>9</v>
      </c>
      <c r="C48" s="184" t="s">
        <v>186</v>
      </c>
      <c r="D48" s="152" t="s">
        <v>228</v>
      </c>
      <c r="E48" s="186">
        <v>355400</v>
      </c>
      <c r="F48" s="186">
        <v>355499</v>
      </c>
    </row>
    <row r="49" spans="1:6">
      <c r="A49" s="329">
        <f t="shared" si="0"/>
        <v>47</v>
      </c>
      <c r="B49" s="328">
        <v>9</v>
      </c>
      <c r="C49" s="184" t="s">
        <v>186</v>
      </c>
      <c r="D49" s="152" t="s">
        <v>229</v>
      </c>
      <c r="E49" s="186">
        <v>355500</v>
      </c>
      <c r="F49" s="186">
        <v>355599</v>
      </c>
    </row>
    <row r="50" spans="1:6">
      <c r="A50" s="329">
        <f t="shared" si="0"/>
        <v>48</v>
      </c>
      <c r="B50" s="328">
        <v>9</v>
      </c>
      <c r="C50" s="184" t="s">
        <v>186</v>
      </c>
      <c r="D50" s="152" t="s">
        <v>230</v>
      </c>
      <c r="E50" s="186">
        <v>355700</v>
      </c>
      <c r="F50" s="186">
        <v>355799</v>
      </c>
    </row>
    <row r="51" spans="1:6">
      <c r="A51" s="329">
        <f t="shared" si="0"/>
        <v>49</v>
      </c>
      <c r="B51" s="328">
        <v>9</v>
      </c>
      <c r="C51" s="184" t="s">
        <v>186</v>
      </c>
      <c r="D51" s="152" t="s">
        <v>231</v>
      </c>
      <c r="E51" s="186">
        <v>380000</v>
      </c>
      <c r="F51" s="186">
        <v>380099</v>
      </c>
    </row>
    <row r="52" spans="1:6">
      <c r="A52" s="329">
        <f t="shared" si="0"/>
        <v>50</v>
      </c>
      <c r="B52" s="328">
        <v>9</v>
      </c>
      <c r="C52" s="184" t="s">
        <v>186</v>
      </c>
      <c r="D52" s="152" t="s">
        <v>232</v>
      </c>
      <c r="E52" s="186">
        <v>380100</v>
      </c>
      <c r="F52" s="186">
        <v>384999</v>
      </c>
    </row>
    <row r="53" spans="1:6">
      <c r="A53" s="329">
        <f t="shared" si="0"/>
        <v>51</v>
      </c>
      <c r="B53" s="328">
        <v>9</v>
      </c>
      <c r="C53" s="184" t="s">
        <v>186</v>
      </c>
      <c r="D53" s="152" t="s">
        <v>233</v>
      </c>
      <c r="E53" s="186">
        <v>385000</v>
      </c>
      <c r="F53" s="186">
        <v>389999</v>
      </c>
    </row>
    <row r="54" spans="1:6">
      <c r="A54" s="329">
        <f t="shared" si="0"/>
        <v>52</v>
      </c>
      <c r="B54" s="328">
        <v>9</v>
      </c>
      <c r="C54" s="184" t="s">
        <v>186</v>
      </c>
      <c r="D54" s="152" t="s">
        <v>234</v>
      </c>
      <c r="E54" s="186">
        <v>390000</v>
      </c>
      <c r="F54" s="186">
        <v>390000</v>
      </c>
    </row>
    <row r="55" spans="1:6">
      <c r="A55" s="329">
        <f t="shared" si="0"/>
        <v>53</v>
      </c>
      <c r="B55" s="328">
        <v>9</v>
      </c>
      <c r="C55" s="184" t="s">
        <v>186</v>
      </c>
      <c r="D55" s="152" t="s">
        <v>235</v>
      </c>
      <c r="E55" s="186">
        <v>390001</v>
      </c>
      <c r="F55" s="186">
        <v>390001</v>
      </c>
    </row>
    <row r="56" spans="1:6">
      <c r="A56" s="329">
        <f t="shared" si="0"/>
        <v>54</v>
      </c>
      <c r="B56" s="328">
        <v>9</v>
      </c>
      <c r="C56" s="184" t="s">
        <v>186</v>
      </c>
      <c r="D56" s="152" t="s">
        <v>236</v>
      </c>
      <c r="E56" s="186">
        <v>390002</v>
      </c>
      <c r="F56" s="186">
        <v>390002</v>
      </c>
    </row>
    <row r="57" spans="1:6">
      <c r="A57" s="329">
        <f t="shared" si="0"/>
        <v>55</v>
      </c>
      <c r="B57" s="328">
        <v>9</v>
      </c>
      <c r="C57" s="184" t="s">
        <v>186</v>
      </c>
      <c r="D57" s="152" t="s">
        <v>237</v>
      </c>
      <c r="E57" s="186">
        <v>390003</v>
      </c>
      <c r="F57" s="186">
        <v>390003</v>
      </c>
    </row>
    <row r="58" spans="1:6">
      <c r="A58" s="329">
        <f t="shared" si="0"/>
        <v>56</v>
      </c>
      <c r="B58" s="328">
        <v>9</v>
      </c>
      <c r="C58" s="184" t="s">
        <v>186</v>
      </c>
      <c r="D58" s="152" t="s">
        <v>238</v>
      </c>
      <c r="E58" s="186">
        <v>390004</v>
      </c>
      <c r="F58" s="186">
        <v>390004</v>
      </c>
    </row>
    <row r="59" spans="1:6">
      <c r="A59" s="329">
        <f t="shared" si="0"/>
        <v>57</v>
      </c>
      <c r="B59" s="328">
        <v>9</v>
      </c>
      <c r="C59" s="184" t="s">
        <v>186</v>
      </c>
      <c r="D59" s="152" t="s">
        <v>239</v>
      </c>
      <c r="E59" s="186">
        <v>390005</v>
      </c>
      <c r="F59" s="186">
        <v>390005</v>
      </c>
    </row>
    <row r="60" spans="1:6">
      <c r="A60" s="329">
        <f t="shared" si="0"/>
        <v>58</v>
      </c>
      <c r="B60" s="328">
        <v>9</v>
      </c>
      <c r="C60" s="184" t="s">
        <v>186</v>
      </c>
      <c r="D60" s="152" t="s">
        <v>240</v>
      </c>
      <c r="E60" s="186">
        <v>390006</v>
      </c>
      <c r="F60" s="186">
        <v>390006</v>
      </c>
    </row>
    <row r="61" spans="1:6">
      <c r="A61" s="329">
        <f t="shared" si="0"/>
        <v>59</v>
      </c>
      <c r="B61" s="328">
        <v>9</v>
      </c>
      <c r="C61" s="184" t="s">
        <v>186</v>
      </c>
      <c r="D61" s="152" t="s">
        <v>241</v>
      </c>
      <c r="E61" s="186">
        <v>390007</v>
      </c>
      <c r="F61" s="186">
        <v>390007</v>
      </c>
    </row>
    <row r="62" spans="1:6">
      <c r="A62" s="329">
        <f t="shared" si="0"/>
        <v>60</v>
      </c>
      <c r="B62" s="328">
        <v>9</v>
      </c>
      <c r="C62" s="184" t="s">
        <v>186</v>
      </c>
      <c r="D62" s="152" t="s">
        <v>242</v>
      </c>
      <c r="E62" s="186">
        <v>390008</v>
      </c>
      <c r="F62" s="186">
        <v>390008</v>
      </c>
    </row>
    <row r="63" spans="1:6">
      <c r="A63" s="329">
        <f t="shared" si="0"/>
        <v>61</v>
      </c>
      <c r="B63" s="328">
        <v>9</v>
      </c>
      <c r="C63" s="184" t="s">
        <v>186</v>
      </c>
      <c r="D63" s="152" t="s">
        <v>243</v>
      </c>
      <c r="E63" s="186">
        <v>390009</v>
      </c>
      <c r="F63" s="186">
        <v>390009</v>
      </c>
    </row>
    <row r="64" spans="1:6">
      <c r="A64" s="329">
        <f t="shared" si="0"/>
        <v>62</v>
      </c>
      <c r="B64" s="328">
        <v>9</v>
      </c>
      <c r="C64" s="184" t="s">
        <v>186</v>
      </c>
      <c r="D64" s="152" t="s">
        <v>244</v>
      </c>
      <c r="E64" s="186">
        <v>390010</v>
      </c>
      <c r="F64" s="186">
        <v>390010</v>
      </c>
    </row>
    <row r="65" spans="1:6">
      <c r="A65" s="329">
        <f t="shared" si="0"/>
        <v>63</v>
      </c>
      <c r="B65" s="328">
        <v>9</v>
      </c>
      <c r="C65" s="184" t="s">
        <v>186</v>
      </c>
      <c r="D65" s="152" t="s">
        <v>245</v>
      </c>
      <c r="E65" s="186">
        <v>390011</v>
      </c>
      <c r="F65" s="186">
        <v>390011</v>
      </c>
    </row>
    <row r="66" spans="1:6">
      <c r="A66" s="329">
        <f t="shared" si="0"/>
        <v>64</v>
      </c>
      <c r="B66" s="328">
        <v>9</v>
      </c>
      <c r="C66" s="184" t="s">
        <v>186</v>
      </c>
      <c r="D66" s="152" t="s">
        <v>246</v>
      </c>
      <c r="E66" s="186">
        <v>390012</v>
      </c>
      <c r="F66" s="186">
        <v>390012</v>
      </c>
    </row>
    <row r="67" spans="1:6">
      <c r="A67" s="329">
        <f t="shared" si="0"/>
        <v>65</v>
      </c>
      <c r="B67" s="328">
        <v>9</v>
      </c>
      <c r="C67" s="184" t="s">
        <v>186</v>
      </c>
      <c r="D67" s="152" t="s">
        <v>247</v>
      </c>
      <c r="E67" s="186">
        <v>390013</v>
      </c>
      <c r="F67" s="186">
        <v>390013</v>
      </c>
    </row>
    <row r="68" spans="1:6">
      <c r="A68" s="329">
        <f t="shared" ref="A68:A131" si="1">A67+1</f>
        <v>66</v>
      </c>
      <c r="B68" s="328">
        <v>9</v>
      </c>
      <c r="C68" s="184" t="s">
        <v>186</v>
      </c>
      <c r="D68" s="152" t="s">
        <v>248</v>
      </c>
      <c r="E68" s="186">
        <v>390014</v>
      </c>
      <c r="F68" s="186">
        <v>390014</v>
      </c>
    </row>
    <row r="69" spans="1:6">
      <c r="A69" s="329">
        <f t="shared" si="1"/>
        <v>67</v>
      </c>
      <c r="B69" s="328">
        <v>9</v>
      </c>
      <c r="C69" s="184" t="s">
        <v>186</v>
      </c>
      <c r="D69" s="152" t="s">
        <v>249</v>
      </c>
      <c r="E69" s="186">
        <v>390015</v>
      </c>
      <c r="F69" s="186">
        <v>390015</v>
      </c>
    </row>
    <row r="70" spans="1:6">
      <c r="A70" s="329">
        <f t="shared" si="1"/>
        <v>68</v>
      </c>
      <c r="B70" s="328">
        <v>9</v>
      </c>
      <c r="C70" s="184" t="s">
        <v>186</v>
      </c>
      <c r="D70" s="152" t="s">
        <v>250</v>
      </c>
      <c r="E70" s="186">
        <v>390016</v>
      </c>
      <c r="F70" s="186">
        <v>390016</v>
      </c>
    </row>
    <row r="71" spans="1:6">
      <c r="A71" s="329">
        <f t="shared" si="1"/>
        <v>69</v>
      </c>
      <c r="B71" s="328">
        <v>9</v>
      </c>
      <c r="C71" s="184" t="s">
        <v>186</v>
      </c>
      <c r="D71" s="152" t="s">
        <v>251</v>
      </c>
      <c r="E71" s="186">
        <v>390017</v>
      </c>
      <c r="F71" s="186">
        <v>390017</v>
      </c>
    </row>
    <row r="72" spans="1:6">
      <c r="A72" s="329">
        <f t="shared" si="1"/>
        <v>70</v>
      </c>
      <c r="B72" s="328">
        <v>9</v>
      </c>
      <c r="C72" s="184" t="s">
        <v>186</v>
      </c>
      <c r="D72" s="152" t="s">
        <v>252</v>
      </c>
      <c r="E72" s="186">
        <v>390018</v>
      </c>
      <c r="F72" s="186">
        <v>390018</v>
      </c>
    </row>
    <row r="73" spans="1:6">
      <c r="A73" s="329">
        <f t="shared" si="1"/>
        <v>71</v>
      </c>
      <c r="B73" s="328">
        <v>9</v>
      </c>
      <c r="C73" s="184" t="s">
        <v>186</v>
      </c>
      <c r="D73" s="152" t="s">
        <v>253</v>
      </c>
      <c r="E73" s="186">
        <v>390019</v>
      </c>
      <c r="F73" s="186">
        <v>390019</v>
      </c>
    </row>
    <row r="74" spans="1:6">
      <c r="A74" s="329">
        <f t="shared" si="1"/>
        <v>72</v>
      </c>
      <c r="B74" s="328">
        <v>9</v>
      </c>
      <c r="C74" s="184" t="s">
        <v>186</v>
      </c>
      <c r="D74" s="152" t="s">
        <v>254</v>
      </c>
      <c r="E74" s="186">
        <v>390020</v>
      </c>
      <c r="F74" s="186">
        <v>390020</v>
      </c>
    </row>
    <row r="75" spans="1:6">
      <c r="A75" s="329">
        <f t="shared" si="1"/>
        <v>73</v>
      </c>
      <c r="B75" s="328">
        <v>9</v>
      </c>
      <c r="C75" s="184" t="s">
        <v>186</v>
      </c>
      <c r="D75" s="152" t="s">
        <v>255</v>
      </c>
      <c r="E75" s="186">
        <v>390021</v>
      </c>
      <c r="F75" s="186">
        <v>390021</v>
      </c>
    </row>
    <row r="76" spans="1:6">
      <c r="A76" s="329">
        <f t="shared" si="1"/>
        <v>74</v>
      </c>
      <c r="B76" s="328">
        <v>9</v>
      </c>
      <c r="C76" s="184" t="s">
        <v>186</v>
      </c>
      <c r="D76" s="152" t="s">
        <v>256</v>
      </c>
      <c r="E76" s="186">
        <v>390022</v>
      </c>
      <c r="F76" s="186">
        <v>390022</v>
      </c>
    </row>
    <row r="77" spans="1:6">
      <c r="A77" s="329">
        <f t="shared" si="1"/>
        <v>75</v>
      </c>
      <c r="B77" s="328">
        <v>9</v>
      </c>
      <c r="C77" s="184" t="s">
        <v>186</v>
      </c>
      <c r="D77" s="152" t="s">
        <v>257</v>
      </c>
      <c r="E77" s="186">
        <v>390023</v>
      </c>
      <c r="F77" s="186">
        <v>390023</v>
      </c>
    </row>
    <row r="78" spans="1:6">
      <c r="A78" s="329">
        <f t="shared" si="1"/>
        <v>76</v>
      </c>
      <c r="B78" s="328">
        <v>9</v>
      </c>
      <c r="C78" s="184" t="s">
        <v>186</v>
      </c>
      <c r="D78" s="152" t="s">
        <v>258</v>
      </c>
      <c r="E78" s="186">
        <v>390024</v>
      </c>
      <c r="F78" s="186">
        <v>390024</v>
      </c>
    </row>
    <row r="79" spans="1:6">
      <c r="A79" s="329">
        <f t="shared" si="1"/>
        <v>77</v>
      </c>
      <c r="B79" s="328">
        <v>9</v>
      </c>
      <c r="C79" s="184" t="s">
        <v>186</v>
      </c>
      <c r="D79" s="152" t="s">
        <v>259</v>
      </c>
      <c r="E79" s="186">
        <v>390025</v>
      </c>
      <c r="F79" s="186">
        <v>390025</v>
      </c>
    </row>
    <row r="80" spans="1:6">
      <c r="A80" s="329">
        <f t="shared" si="1"/>
        <v>78</v>
      </c>
      <c r="B80" s="328">
        <v>9</v>
      </c>
      <c r="C80" s="184" t="s">
        <v>186</v>
      </c>
      <c r="D80" s="152" t="s">
        <v>260</v>
      </c>
      <c r="E80" s="186">
        <v>390026</v>
      </c>
      <c r="F80" s="186">
        <v>390026</v>
      </c>
    </row>
    <row r="81" spans="1:6">
      <c r="A81" s="329">
        <f t="shared" si="1"/>
        <v>79</v>
      </c>
      <c r="B81" s="328">
        <v>9</v>
      </c>
      <c r="C81" s="184" t="s">
        <v>186</v>
      </c>
      <c r="D81" s="152" t="s">
        <v>261</v>
      </c>
      <c r="E81" s="186">
        <v>390027</v>
      </c>
      <c r="F81" s="186">
        <v>390027</v>
      </c>
    </row>
    <row r="82" spans="1:6">
      <c r="A82" s="329">
        <f t="shared" si="1"/>
        <v>80</v>
      </c>
      <c r="B82" s="328">
        <v>9</v>
      </c>
      <c r="C82" s="184" t="s">
        <v>186</v>
      </c>
      <c r="D82" s="152" t="s">
        <v>262</v>
      </c>
      <c r="E82" s="186">
        <v>390029</v>
      </c>
      <c r="F82" s="186">
        <v>390029</v>
      </c>
    </row>
    <row r="83" spans="1:6">
      <c r="A83" s="329">
        <f t="shared" si="1"/>
        <v>81</v>
      </c>
      <c r="B83" s="328">
        <v>9</v>
      </c>
      <c r="C83" s="184" t="s">
        <v>186</v>
      </c>
      <c r="D83" s="152" t="s">
        <v>263</v>
      </c>
      <c r="E83" s="186">
        <v>390030</v>
      </c>
      <c r="F83" s="186">
        <v>390030</v>
      </c>
    </row>
    <row r="84" spans="1:6">
      <c r="A84" s="329">
        <f t="shared" si="1"/>
        <v>82</v>
      </c>
      <c r="B84" s="328">
        <v>9</v>
      </c>
      <c r="C84" s="184" t="s">
        <v>186</v>
      </c>
      <c r="D84" s="152" t="s">
        <v>264</v>
      </c>
      <c r="E84" s="186">
        <v>390031</v>
      </c>
      <c r="F84" s="186">
        <v>390031</v>
      </c>
    </row>
    <row r="85" spans="1:6">
      <c r="A85" s="329">
        <f t="shared" si="1"/>
        <v>83</v>
      </c>
      <c r="B85" s="328">
        <v>9</v>
      </c>
      <c r="C85" s="184" t="s">
        <v>186</v>
      </c>
      <c r="D85" s="152" t="s">
        <v>265</v>
      </c>
      <c r="E85" s="186">
        <v>390032</v>
      </c>
      <c r="F85" s="186">
        <v>390032</v>
      </c>
    </row>
    <row r="86" spans="1:6">
      <c r="A86" s="329">
        <f t="shared" si="1"/>
        <v>84</v>
      </c>
      <c r="B86" s="328">
        <v>9</v>
      </c>
      <c r="C86" s="184" t="s">
        <v>186</v>
      </c>
      <c r="D86" s="152" t="s">
        <v>266</v>
      </c>
      <c r="E86" s="186">
        <v>390049</v>
      </c>
      <c r="F86" s="186">
        <v>390049</v>
      </c>
    </row>
    <row r="87" spans="1:6">
      <c r="A87" s="329">
        <f t="shared" si="1"/>
        <v>85</v>
      </c>
      <c r="B87" s="328">
        <v>9</v>
      </c>
      <c r="C87" s="184" t="s">
        <v>186</v>
      </c>
      <c r="D87" s="152" t="s">
        <v>267</v>
      </c>
      <c r="E87" s="186">
        <v>390050</v>
      </c>
      <c r="F87" s="186">
        <v>390050</v>
      </c>
    </row>
    <row r="88" spans="1:6">
      <c r="A88" s="329">
        <f t="shared" si="1"/>
        <v>86</v>
      </c>
      <c r="B88" s="328">
        <v>9</v>
      </c>
      <c r="C88" s="184" t="s">
        <v>186</v>
      </c>
      <c r="D88" s="152" t="s">
        <v>268</v>
      </c>
      <c r="E88" s="186">
        <v>390051</v>
      </c>
      <c r="F88" s="186">
        <v>390051</v>
      </c>
    </row>
    <row r="89" spans="1:6">
      <c r="A89" s="329">
        <f t="shared" si="1"/>
        <v>87</v>
      </c>
      <c r="B89" s="328">
        <v>9</v>
      </c>
      <c r="C89" s="184" t="s">
        <v>186</v>
      </c>
      <c r="D89" s="152" t="s">
        <v>269</v>
      </c>
      <c r="E89" s="186">
        <v>390052</v>
      </c>
      <c r="F89" s="186">
        <v>390052</v>
      </c>
    </row>
    <row r="90" spans="1:6">
      <c r="A90" s="329">
        <f t="shared" si="1"/>
        <v>88</v>
      </c>
      <c r="B90" s="328">
        <v>9</v>
      </c>
      <c r="C90" s="184" t="s">
        <v>186</v>
      </c>
      <c r="D90" s="152" t="s">
        <v>270</v>
      </c>
      <c r="E90" s="186">
        <v>390053</v>
      </c>
      <c r="F90" s="186">
        <v>390053</v>
      </c>
    </row>
    <row r="91" spans="1:6">
      <c r="A91" s="329">
        <f t="shared" si="1"/>
        <v>89</v>
      </c>
      <c r="B91" s="328">
        <v>9</v>
      </c>
      <c r="C91" s="184" t="s">
        <v>186</v>
      </c>
      <c r="D91" s="152" t="s">
        <v>271</v>
      </c>
      <c r="E91" s="186">
        <v>390054</v>
      </c>
      <c r="F91" s="186">
        <v>390054</v>
      </c>
    </row>
    <row r="92" spans="1:6">
      <c r="A92" s="329">
        <f t="shared" si="1"/>
        <v>90</v>
      </c>
      <c r="B92" s="328">
        <v>9</v>
      </c>
      <c r="C92" s="184" t="s">
        <v>186</v>
      </c>
      <c r="D92" s="152" t="s">
        <v>272</v>
      </c>
      <c r="E92" s="186">
        <v>390055</v>
      </c>
      <c r="F92" s="186">
        <v>390055</v>
      </c>
    </row>
    <row r="93" spans="1:6">
      <c r="A93" s="329">
        <f t="shared" si="1"/>
        <v>91</v>
      </c>
      <c r="B93" s="328">
        <v>9</v>
      </c>
      <c r="C93" s="184" t="s">
        <v>186</v>
      </c>
      <c r="D93" s="152" t="s">
        <v>273</v>
      </c>
      <c r="E93" s="186">
        <v>390056</v>
      </c>
      <c r="F93" s="186">
        <v>390056</v>
      </c>
    </row>
    <row r="94" spans="1:6">
      <c r="A94" s="329">
        <f t="shared" si="1"/>
        <v>92</v>
      </c>
      <c r="B94" s="328">
        <v>9</v>
      </c>
      <c r="C94" s="184" t="s">
        <v>186</v>
      </c>
      <c r="D94" s="152" t="s">
        <v>274</v>
      </c>
      <c r="E94" s="186">
        <v>390057</v>
      </c>
      <c r="F94" s="186">
        <v>390057</v>
      </c>
    </row>
    <row r="95" spans="1:6">
      <c r="A95" s="329">
        <f t="shared" si="1"/>
        <v>93</v>
      </c>
      <c r="B95" s="328">
        <v>9</v>
      </c>
      <c r="C95" s="184" t="s">
        <v>186</v>
      </c>
      <c r="D95" s="152" t="s">
        <v>275</v>
      </c>
      <c r="E95" s="186">
        <v>390058</v>
      </c>
      <c r="F95" s="186">
        <v>390058</v>
      </c>
    </row>
    <row r="96" spans="1:6">
      <c r="A96" s="329">
        <f t="shared" si="1"/>
        <v>94</v>
      </c>
      <c r="B96" s="328">
        <v>9</v>
      </c>
      <c r="C96" s="184" t="s">
        <v>186</v>
      </c>
      <c r="D96" s="152" t="s">
        <v>276</v>
      </c>
      <c r="E96" s="186">
        <v>390059</v>
      </c>
      <c r="F96" s="186">
        <v>390059</v>
      </c>
    </row>
    <row r="97" spans="1:6">
      <c r="A97" s="329">
        <f t="shared" si="1"/>
        <v>95</v>
      </c>
      <c r="B97" s="328">
        <v>9</v>
      </c>
      <c r="C97" s="184" t="s">
        <v>186</v>
      </c>
      <c r="D97" s="152" t="s">
        <v>277</v>
      </c>
      <c r="E97" s="186">
        <v>390060</v>
      </c>
      <c r="F97" s="186">
        <v>390060</v>
      </c>
    </row>
    <row r="98" spans="1:6">
      <c r="A98" s="329">
        <f t="shared" si="1"/>
        <v>96</v>
      </c>
      <c r="B98" s="328">
        <v>9</v>
      </c>
      <c r="C98" s="184" t="s">
        <v>186</v>
      </c>
      <c r="D98" s="152" t="s">
        <v>278</v>
      </c>
      <c r="E98" s="186">
        <v>390061</v>
      </c>
      <c r="F98" s="186">
        <v>390061</v>
      </c>
    </row>
    <row r="99" spans="1:6">
      <c r="A99" s="329">
        <f t="shared" si="1"/>
        <v>97</v>
      </c>
      <c r="B99" s="328">
        <v>9</v>
      </c>
      <c r="C99" s="184" t="s">
        <v>186</v>
      </c>
      <c r="D99" s="152" t="s">
        <v>279</v>
      </c>
      <c r="E99" s="186">
        <v>390062</v>
      </c>
      <c r="F99" s="186">
        <v>390062</v>
      </c>
    </row>
    <row r="100" spans="1:6">
      <c r="A100" s="329">
        <f t="shared" si="1"/>
        <v>98</v>
      </c>
      <c r="B100" s="328">
        <v>9</v>
      </c>
      <c r="C100" s="184" t="s">
        <v>186</v>
      </c>
      <c r="D100" s="152" t="s">
        <v>280</v>
      </c>
      <c r="E100" s="186">
        <v>390063</v>
      </c>
      <c r="F100" s="186">
        <v>390063</v>
      </c>
    </row>
    <row r="101" spans="1:6">
      <c r="A101" s="329">
        <f t="shared" si="1"/>
        <v>99</v>
      </c>
      <c r="B101" s="328">
        <v>9</v>
      </c>
      <c r="C101" s="184" t="s">
        <v>186</v>
      </c>
      <c r="D101" s="152" t="s">
        <v>281</v>
      </c>
      <c r="E101" s="186">
        <v>390064</v>
      </c>
      <c r="F101" s="186">
        <v>390064</v>
      </c>
    </row>
    <row r="102" spans="1:6">
      <c r="A102" s="329">
        <f t="shared" si="1"/>
        <v>100</v>
      </c>
      <c r="B102" s="328">
        <v>9</v>
      </c>
      <c r="C102" s="184" t="s">
        <v>186</v>
      </c>
      <c r="D102" s="152" t="s">
        <v>282</v>
      </c>
      <c r="E102" s="186">
        <v>390065</v>
      </c>
      <c r="F102" s="186">
        <v>390065</v>
      </c>
    </row>
    <row r="103" spans="1:6">
      <c r="A103" s="329">
        <f t="shared" si="1"/>
        <v>101</v>
      </c>
      <c r="B103" s="328">
        <v>9</v>
      </c>
      <c r="C103" s="184" t="s">
        <v>186</v>
      </c>
      <c r="D103" s="152" t="s">
        <v>283</v>
      </c>
      <c r="E103" s="186">
        <v>390066</v>
      </c>
      <c r="F103" s="186">
        <v>390066</v>
      </c>
    </row>
    <row r="104" spans="1:6">
      <c r="A104" s="329">
        <f t="shared" si="1"/>
        <v>102</v>
      </c>
      <c r="B104" s="328">
        <v>9</v>
      </c>
      <c r="C104" s="184" t="s">
        <v>186</v>
      </c>
      <c r="D104" s="152" t="s">
        <v>284</v>
      </c>
      <c r="E104" s="186">
        <v>390067</v>
      </c>
      <c r="F104" s="186">
        <v>390067</v>
      </c>
    </row>
    <row r="105" spans="1:6">
      <c r="A105" s="329">
        <f t="shared" si="1"/>
        <v>103</v>
      </c>
      <c r="B105" s="328">
        <v>9</v>
      </c>
      <c r="C105" s="184" t="s">
        <v>186</v>
      </c>
      <c r="D105" s="152" t="s">
        <v>285</v>
      </c>
      <c r="E105" s="186">
        <v>390069</v>
      </c>
      <c r="F105" s="186">
        <v>390069</v>
      </c>
    </row>
    <row r="106" spans="1:6">
      <c r="A106" s="329">
        <f t="shared" si="1"/>
        <v>104</v>
      </c>
      <c r="B106" s="328">
        <v>9</v>
      </c>
      <c r="C106" s="184" t="s">
        <v>186</v>
      </c>
      <c r="D106" s="152" t="s">
        <v>286</v>
      </c>
      <c r="E106" s="186">
        <v>390070</v>
      </c>
      <c r="F106" s="186">
        <v>390070</v>
      </c>
    </row>
    <row r="107" spans="1:6">
      <c r="A107" s="329">
        <f t="shared" si="1"/>
        <v>105</v>
      </c>
      <c r="B107" s="328">
        <v>9</v>
      </c>
      <c r="C107" s="184" t="s">
        <v>186</v>
      </c>
      <c r="D107" s="152" t="s">
        <v>287</v>
      </c>
      <c r="E107" s="186">
        <v>390071</v>
      </c>
      <c r="F107" s="186">
        <v>390071</v>
      </c>
    </row>
    <row r="108" spans="1:6">
      <c r="A108" s="329">
        <f t="shared" si="1"/>
        <v>106</v>
      </c>
      <c r="B108" s="328">
        <v>9</v>
      </c>
      <c r="C108" s="184" t="s">
        <v>186</v>
      </c>
      <c r="D108" s="152" t="s">
        <v>288</v>
      </c>
      <c r="E108" s="186">
        <v>390072</v>
      </c>
      <c r="F108" s="186">
        <v>390072</v>
      </c>
    </row>
    <row r="109" spans="1:6">
      <c r="A109" s="329">
        <f t="shared" si="1"/>
        <v>107</v>
      </c>
      <c r="B109" s="328">
        <v>9</v>
      </c>
      <c r="C109" s="184" t="s">
        <v>186</v>
      </c>
      <c r="D109" s="152" t="s">
        <v>289</v>
      </c>
      <c r="E109" s="186">
        <v>390073</v>
      </c>
      <c r="F109" s="186">
        <v>390073</v>
      </c>
    </row>
    <row r="110" spans="1:6">
      <c r="A110" s="329">
        <f t="shared" si="1"/>
        <v>108</v>
      </c>
      <c r="B110" s="328">
        <v>9</v>
      </c>
      <c r="C110" s="184" t="s">
        <v>186</v>
      </c>
      <c r="D110" s="152" t="s">
        <v>290</v>
      </c>
      <c r="E110" s="186">
        <v>390074</v>
      </c>
      <c r="F110" s="186">
        <v>390074</v>
      </c>
    </row>
    <row r="111" spans="1:6">
      <c r="A111" s="329">
        <f t="shared" si="1"/>
        <v>109</v>
      </c>
      <c r="B111" s="328">
        <v>9</v>
      </c>
      <c r="C111" s="184" t="s">
        <v>186</v>
      </c>
      <c r="D111" s="152" t="s">
        <v>291</v>
      </c>
      <c r="E111" s="186">
        <v>390075</v>
      </c>
      <c r="F111" s="186">
        <v>390075</v>
      </c>
    </row>
    <row r="112" spans="1:6">
      <c r="A112" s="329">
        <f t="shared" si="1"/>
        <v>110</v>
      </c>
      <c r="B112" s="328">
        <v>9</v>
      </c>
      <c r="C112" s="184" t="s">
        <v>186</v>
      </c>
      <c r="D112" s="152" t="s">
        <v>292</v>
      </c>
      <c r="E112" s="186">
        <v>390076</v>
      </c>
      <c r="F112" s="186">
        <v>390076</v>
      </c>
    </row>
    <row r="113" spans="1:6">
      <c r="A113" s="329">
        <f t="shared" si="1"/>
        <v>111</v>
      </c>
      <c r="B113" s="328">
        <v>9</v>
      </c>
      <c r="C113" s="184" t="s">
        <v>186</v>
      </c>
      <c r="D113" s="152" t="s">
        <v>293</v>
      </c>
      <c r="E113" s="186">
        <v>390077</v>
      </c>
      <c r="F113" s="186">
        <v>390077</v>
      </c>
    </row>
    <row r="114" spans="1:6">
      <c r="A114" s="329">
        <f t="shared" si="1"/>
        <v>112</v>
      </c>
      <c r="B114" s="328">
        <v>9</v>
      </c>
      <c r="C114" s="184" t="s">
        <v>186</v>
      </c>
      <c r="D114" s="152" t="s">
        <v>294</v>
      </c>
      <c r="E114" s="186">
        <v>390078</v>
      </c>
      <c r="F114" s="186">
        <v>390078</v>
      </c>
    </row>
    <row r="115" spans="1:6">
      <c r="A115" s="329">
        <f t="shared" si="1"/>
        <v>113</v>
      </c>
      <c r="B115" s="328">
        <v>9</v>
      </c>
      <c r="C115" s="184" t="s">
        <v>186</v>
      </c>
      <c r="D115" s="152" t="s">
        <v>295</v>
      </c>
      <c r="E115" s="186">
        <v>390079</v>
      </c>
      <c r="F115" s="186">
        <v>390079</v>
      </c>
    </row>
    <row r="116" spans="1:6">
      <c r="A116" s="329">
        <f t="shared" si="1"/>
        <v>114</v>
      </c>
      <c r="B116" s="328">
        <v>9</v>
      </c>
      <c r="C116" s="184" t="s">
        <v>186</v>
      </c>
      <c r="D116" s="152" t="s">
        <v>296</v>
      </c>
      <c r="E116" s="186">
        <v>390080</v>
      </c>
      <c r="F116" s="186">
        <v>390080</v>
      </c>
    </row>
    <row r="117" spans="1:6">
      <c r="A117" s="329">
        <f t="shared" si="1"/>
        <v>115</v>
      </c>
      <c r="B117" s="328">
        <v>9</v>
      </c>
      <c r="C117" s="184" t="s">
        <v>186</v>
      </c>
      <c r="D117" s="152" t="s">
        <v>297</v>
      </c>
      <c r="E117" s="186">
        <v>390081</v>
      </c>
      <c r="F117" s="186">
        <v>390081</v>
      </c>
    </row>
    <row r="118" spans="1:6">
      <c r="A118" s="329">
        <f t="shared" si="1"/>
        <v>116</v>
      </c>
      <c r="B118" s="328">
        <v>9</v>
      </c>
      <c r="C118" s="184" t="s">
        <v>186</v>
      </c>
      <c r="D118" s="152" t="s">
        <v>298</v>
      </c>
      <c r="E118" s="186">
        <v>390083</v>
      </c>
      <c r="F118" s="186">
        <v>390083</v>
      </c>
    </row>
    <row r="119" spans="1:6">
      <c r="A119" s="329">
        <f t="shared" si="1"/>
        <v>117</v>
      </c>
      <c r="B119" s="328">
        <v>9</v>
      </c>
      <c r="C119" s="184" t="s">
        <v>186</v>
      </c>
      <c r="D119" s="152" t="s">
        <v>299</v>
      </c>
      <c r="E119" s="186">
        <v>390084</v>
      </c>
      <c r="F119" s="186">
        <v>390084</v>
      </c>
    </row>
    <row r="120" spans="1:6">
      <c r="A120" s="329">
        <f t="shared" si="1"/>
        <v>118</v>
      </c>
      <c r="B120" s="328">
        <v>9</v>
      </c>
      <c r="C120" s="184" t="s">
        <v>186</v>
      </c>
      <c r="D120" s="152" t="s">
        <v>300</v>
      </c>
      <c r="E120" s="186">
        <v>390085</v>
      </c>
      <c r="F120" s="186">
        <v>390085</v>
      </c>
    </row>
    <row r="121" spans="1:6">
      <c r="A121" s="329">
        <f t="shared" si="1"/>
        <v>119</v>
      </c>
      <c r="B121" s="328">
        <v>9</v>
      </c>
      <c r="C121" s="184" t="s">
        <v>186</v>
      </c>
      <c r="D121" s="152" t="s">
        <v>301</v>
      </c>
      <c r="E121" s="186">
        <v>390086</v>
      </c>
      <c r="F121" s="186">
        <v>390086</v>
      </c>
    </row>
    <row r="122" spans="1:6">
      <c r="A122" s="329">
        <f t="shared" si="1"/>
        <v>120</v>
      </c>
      <c r="B122" s="328">
        <v>9</v>
      </c>
      <c r="C122" s="184" t="s">
        <v>186</v>
      </c>
      <c r="D122" s="152" t="s">
        <v>302</v>
      </c>
      <c r="E122" s="186">
        <v>390087</v>
      </c>
      <c r="F122" s="186">
        <v>390087</v>
      </c>
    </row>
    <row r="123" spans="1:6">
      <c r="A123" s="329">
        <f t="shared" si="1"/>
        <v>121</v>
      </c>
      <c r="B123" s="328">
        <v>9</v>
      </c>
      <c r="C123" s="184" t="s">
        <v>186</v>
      </c>
      <c r="D123" s="152" t="s">
        <v>303</v>
      </c>
      <c r="E123" s="186">
        <v>390088</v>
      </c>
      <c r="F123" s="186">
        <v>390088</v>
      </c>
    </row>
    <row r="124" spans="1:6">
      <c r="A124" s="329">
        <f t="shared" si="1"/>
        <v>122</v>
      </c>
      <c r="B124" s="328">
        <v>9</v>
      </c>
      <c r="C124" s="184" t="s">
        <v>186</v>
      </c>
      <c r="D124" s="152" t="s">
        <v>304</v>
      </c>
      <c r="E124" s="186">
        <v>390089</v>
      </c>
      <c r="F124" s="186">
        <v>390089</v>
      </c>
    </row>
    <row r="125" spans="1:6">
      <c r="A125" s="329">
        <f t="shared" si="1"/>
        <v>123</v>
      </c>
      <c r="B125" s="328">
        <v>9</v>
      </c>
      <c r="C125" s="184" t="s">
        <v>186</v>
      </c>
      <c r="D125" s="152" t="s">
        <v>305</v>
      </c>
      <c r="E125" s="186">
        <v>390090</v>
      </c>
      <c r="F125" s="186">
        <v>390090</v>
      </c>
    </row>
    <row r="126" spans="1:6">
      <c r="A126" s="329">
        <f t="shared" si="1"/>
        <v>124</v>
      </c>
      <c r="B126" s="328">
        <v>9</v>
      </c>
      <c r="C126" s="184" t="s">
        <v>186</v>
      </c>
      <c r="D126" s="152" t="s">
        <v>306</v>
      </c>
      <c r="E126" s="186">
        <v>390091</v>
      </c>
      <c r="F126" s="186">
        <v>390091</v>
      </c>
    </row>
    <row r="127" spans="1:6">
      <c r="A127" s="329">
        <f t="shared" si="1"/>
        <v>125</v>
      </c>
      <c r="B127" s="328">
        <v>9</v>
      </c>
      <c r="C127" s="184" t="s">
        <v>186</v>
      </c>
      <c r="D127" s="152" t="s">
        <v>307</v>
      </c>
      <c r="E127" s="186">
        <v>390092</v>
      </c>
      <c r="F127" s="186">
        <v>390092</v>
      </c>
    </row>
    <row r="128" spans="1:6">
      <c r="A128" s="329">
        <f t="shared" si="1"/>
        <v>126</v>
      </c>
      <c r="B128" s="328">
        <v>9</v>
      </c>
      <c r="C128" s="184" t="s">
        <v>186</v>
      </c>
      <c r="D128" s="152" t="s">
        <v>308</v>
      </c>
      <c r="E128" s="186">
        <v>390093</v>
      </c>
      <c r="F128" s="186">
        <v>390093</v>
      </c>
    </row>
    <row r="129" spans="1:6">
      <c r="A129" s="329">
        <f t="shared" si="1"/>
        <v>127</v>
      </c>
      <c r="B129" s="328">
        <v>9</v>
      </c>
      <c r="C129" s="184" t="s">
        <v>186</v>
      </c>
      <c r="D129" s="152" t="s">
        <v>309</v>
      </c>
      <c r="E129" s="186">
        <v>390094</v>
      </c>
      <c r="F129" s="186">
        <v>390094</v>
      </c>
    </row>
    <row r="130" spans="1:6">
      <c r="A130" s="329">
        <f t="shared" si="1"/>
        <v>128</v>
      </c>
      <c r="B130" s="328">
        <v>9</v>
      </c>
      <c r="C130" s="184" t="s">
        <v>186</v>
      </c>
      <c r="D130" s="152" t="s">
        <v>310</v>
      </c>
      <c r="E130" s="186">
        <v>390095</v>
      </c>
      <c r="F130" s="186">
        <v>390095</v>
      </c>
    </row>
    <row r="131" spans="1:6">
      <c r="A131" s="329">
        <f t="shared" si="1"/>
        <v>129</v>
      </c>
      <c r="B131" s="328">
        <v>9</v>
      </c>
      <c r="C131" s="184" t="s">
        <v>186</v>
      </c>
      <c r="D131" s="152" t="s">
        <v>311</v>
      </c>
      <c r="E131" s="186">
        <v>390096</v>
      </c>
      <c r="F131" s="186">
        <v>390096</v>
      </c>
    </row>
    <row r="132" spans="1:6">
      <c r="A132" s="329">
        <f t="shared" ref="A132:A195" si="2">A131+1</f>
        <v>130</v>
      </c>
      <c r="B132" s="328">
        <v>9</v>
      </c>
      <c r="C132" s="184" t="s">
        <v>186</v>
      </c>
      <c r="D132" s="152" t="s">
        <v>312</v>
      </c>
      <c r="E132" s="186">
        <v>390098</v>
      </c>
      <c r="F132" s="186">
        <v>390098</v>
      </c>
    </row>
    <row r="133" spans="1:6">
      <c r="A133" s="329">
        <f t="shared" si="2"/>
        <v>131</v>
      </c>
      <c r="B133" s="328">
        <v>9</v>
      </c>
      <c r="C133" s="184" t="s">
        <v>186</v>
      </c>
      <c r="D133" s="152" t="s">
        <v>313</v>
      </c>
      <c r="E133" s="186">
        <v>390100</v>
      </c>
      <c r="F133" s="186">
        <v>390100</v>
      </c>
    </row>
    <row r="134" spans="1:6">
      <c r="A134" s="329">
        <f t="shared" si="2"/>
        <v>132</v>
      </c>
      <c r="B134" s="328">
        <v>9</v>
      </c>
      <c r="C134" s="184" t="s">
        <v>186</v>
      </c>
      <c r="D134" s="152" t="s">
        <v>314</v>
      </c>
      <c r="E134" s="186">
        <v>390101</v>
      </c>
      <c r="F134" s="186">
        <v>390101</v>
      </c>
    </row>
    <row r="135" spans="1:6">
      <c r="A135" s="329">
        <f t="shared" si="2"/>
        <v>133</v>
      </c>
      <c r="B135" s="328">
        <v>9</v>
      </c>
      <c r="C135" s="184" t="s">
        <v>186</v>
      </c>
      <c r="D135" s="152" t="s">
        <v>315</v>
      </c>
      <c r="E135" s="186">
        <v>390102</v>
      </c>
      <c r="F135" s="186">
        <v>390102</v>
      </c>
    </row>
    <row r="136" spans="1:6">
      <c r="A136" s="329">
        <f t="shared" si="2"/>
        <v>134</v>
      </c>
      <c r="B136" s="328">
        <v>9</v>
      </c>
      <c r="C136" s="184" t="s">
        <v>186</v>
      </c>
      <c r="D136" s="152" t="s">
        <v>316</v>
      </c>
      <c r="E136" s="186">
        <v>390103</v>
      </c>
      <c r="F136" s="186">
        <v>390103</v>
      </c>
    </row>
    <row r="137" spans="1:6">
      <c r="A137" s="329">
        <f t="shared" si="2"/>
        <v>135</v>
      </c>
      <c r="B137" s="328">
        <v>9</v>
      </c>
      <c r="C137" s="184" t="s">
        <v>186</v>
      </c>
      <c r="D137" s="152" t="s">
        <v>317</v>
      </c>
      <c r="E137" s="186">
        <v>390104</v>
      </c>
      <c r="F137" s="186">
        <v>390104</v>
      </c>
    </row>
    <row r="138" spans="1:6">
      <c r="A138" s="329">
        <f t="shared" si="2"/>
        <v>136</v>
      </c>
      <c r="B138" s="328">
        <v>9</v>
      </c>
      <c r="C138" s="184" t="s">
        <v>186</v>
      </c>
      <c r="D138" s="152" t="s">
        <v>318</v>
      </c>
      <c r="E138" s="186">
        <v>390105</v>
      </c>
      <c r="F138" s="186">
        <v>390105</v>
      </c>
    </row>
    <row r="139" spans="1:6">
      <c r="A139" s="329">
        <f t="shared" si="2"/>
        <v>137</v>
      </c>
      <c r="B139" s="328">
        <v>9</v>
      </c>
      <c r="C139" s="184" t="s">
        <v>186</v>
      </c>
      <c r="D139" s="152" t="s">
        <v>319</v>
      </c>
      <c r="E139" s="186">
        <v>390106</v>
      </c>
      <c r="F139" s="186">
        <v>390106</v>
      </c>
    </row>
    <row r="140" spans="1:6">
      <c r="A140" s="329">
        <f t="shared" si="2"/>
        <v>138</v>
      </c>
      <c r="B140" s="328">
        <v>9</v>
      </c>
      <c r="C140" s="184" t="s">
        <v>186</v>
      </c>
      <c r="D140" s="152" t="s">
        <v>320</v>
      </c>
      <c r="E140" s="186">
        <v>390107</v>
      </c>
      <c r="F140" s="186">
        <v>390107</v>
      </c>
    </row>
    <row r="141" spans="1:6">
      <c r="A141" s="329">
        <f t="shared" si="2"/>
        <v>139</v>
      </c>
      <c r="B141" s="328">
        <v>9</v>
      </c>
      <c r="C141" s="184" t="s">
        <v>186</v>
      </c>
      <c r="D141" s="152" t="s">
        <v>321</v>
      </c>
      <c r="E141" s="186">
        <v>390108</v>
      </c>
      <c r="F141" s="186">
        <v>390108</v>
      </c>
    </row>
    <row r="142" spans="1:6">
      <c r="A142" s="329">
        <f t="shared" si="2"/>
        <v>140</v>
      </c>
      <c r="B142" s="328">
        <v>9</v>
      </c>
      <c r="C142" s="184" t="s">
        <v>186</v>
      </c>
      <c r="D142" s="152" t="s">
        <v>322</v>
      </c>
      <c r="E142" s="186">
        <v>390109</v>
      </c>
      <c r="F142" s="186">
        <v>390109</v>
      </c>
    </row>
    <row r="143" spans="1:6">
      <c r="A143" s="329">
        <f t="shared" si="2"/>
        <v>141</v>
      </c>
      <c r="B143" s="328">
        <v>9</v>
      </c>
      <c r="C143" s="184" t="s">
        <v>186</v>
      </c>
      <c r="D143" s="152" t="s">
        <v>323</v>
      </c>
      <c r="E143" s="186">
        <v>390110</v>
      </c>
      <c r="F143" s="186">
        <v>390110</v>
      </c>
    </row>
    <row r="144" spans="1:6">
      <c r="A144" s="329">
        <f t="shared" si="2"/>
        <v>142</v>
      </c>
      <c r="B144" s="328">
        <v>9</v>
      </c>
      <c r="C144" s="184" t="s">
        <v>186</v>
      </c>
      <c r="D144" s="152" t="s">
        <v>324</v>
      </c>
      <c r="E144" s="186">
        <v>390111</v>
      </c>
      <c r="F144" s="186">
        <v>390111</v>
      </c>
    </row>
    <row r="145" spans="1:6">
      <c r="A145" s="329">
        <f t="shared" si="2"/>
        <v>143</v>
      </c>
      <c r="B145" s="328">
        <v>9</v>
      </c>
      <c r="C145" s="184" t="s">
        <v>186</v>
      </c>
      <c r="D145" s="152" t="s">
        <v>325</v>
      </c>
      <c r="E145" s="186">
        <v>390112</v>
      </c>
      <c r="F145" s="186">
        <v>390112</v>
      </c>
    </row>
    <row r="146" spans="1:6">
      <c r="A146" s="329">
        <f t="shared" si="2"/>
        <v>144</v>
      </c>
      <c r="B146" s="328">
        <v>9</v>
      </c>
      <c r="C146" s="184" t="s">
        <v>186</v>
      </c>
      <c r="D146" s="152" t="s">
        <v>326</v>
      </c>
      <c r="E146" s="186">
        <v>390113</v>
      </c>
      <c r="F146" s="186">
        <v>390113</v>
      </c>
    </row>
    <row r="147" spans="1:6">
      <c r="A147" s="329">
        <f t="shared" si="2"/>
        <v>145</v>
      </c>
      <c r="B147" s="328">
        <v>9</v>
      </c>
      <c r="C147" s="184" t="s">
        <v>186</v>
      </c>
      <c r="D147" s="152" t="s">
        <v>327</v>
      </c>
      <c r="E147" s="186">
        <v>390114</v>
      </c>
      <c r="F147" s="186">
        <v>390114</v>
      </c>
    </row>
    <row r="148" spans="1:6">
      <c r="A148" s="329">
        <f t="shared" si="2"/>
        <v>146</v>
      </c>
      <c r="B148" s="328">
        <v>9</v>
      </c>
      <c r="C148" s="184" t="s">
        <v>186</v>
      </c>
      <c r="D148" s="152" t="s">
        <v>328</v>
      </c>
      <c r="E148" s="186">
        <v>390115</v>
      </c>
      <c r="F148" s="186">
        <v>390115</v>
      </c>
    </row>
    <row r="149" spans="1:6">
      <c r="A149" s="329">
        <f t="shared" si="2"/>
        <v>147</v>
      </c>
      <c r="B149" s="328">
        <v>9</v>
      </c>
      <c r="C149" s="184" t="s">
        <v>186</v>
      </c>
      <c r="D149" s="152" t="s">
        <v>329</v>
      </c>
      <c r="E149" s="186">
        <v>390116</v>
      </c>
      <c r="F149" s="186">
        <v>390116</v>
      </c>
    </row>
    <row r="150" spans="1:6">
      <c r="A150" s="329">
        <f t="shared" si="2"/>
        <v>148</v>
      </c>
      <c r="B150" s="328">
        <v>9</v>
      </c>
      <c r="C150" s="184" t="s">
        <v>186</v>
      </c>
      <c r="D150" s="152" t="s">
        <v>330</v>
      </c>
      <c r="E150" s="186">
        <v>390117</v>
      </c>
      <c r="F150" s="186">
        <v>390117</v>
      </c>
    </row>
    <row r="151" spans="1:6">
      <c r="A151" s="329">
        <f t="shared" si="2"/>
        <v>149</v>
      </c>
      <c r="B151" s="328">
        <v>9</v>
      </c>
      <c r="C151" s="184" t="s">
        <v>186</v>
      </c>
      <c r="D151" s="152" t="s">
        <v>331</v>
      </c>
      <c r="E151" s="186">
        <v>390118</v>
      </c>
      <c r="F151" s="186">
        <v>390118</v>
      </c>
    </row>
    <row r="152" spans="1:6">
      <c r="A152" s="329">
        <f t="shared" si="2"/>
        <v>150</v>
      </c>
      <c r="B152" s="328">
        <v>9</v>
      </c>
      <c r="C152" s="184" t="s">
        <v>186</v>
      </c>
      <c r="D152" s="152" t="s">
        <v>332</v>
      </c>
      <c r="E152" s="186">
        <v>390119</v>
      </c>
      <c r="F152" s="186">
        <v>390119</v>
      </c>
    </row>
    <row r="153" spans="1:6">
      <c r="A153" s="329">
        <f t="shared" si="2"/>
        <v>151</v>
      </c>
      <c r="B153" s="328">
        <v>9</v>
      </c>
      <c r="C153" s="184" t="s">
        <v>186</v>
      </c>
      <c r="D153" s="152" t="s">
        <v>333</v>
      </c>
      <c r="E153" s="186">
        <v>390120</v>
      </c>
      <c r="F153" s="186">
        <v>390120</v>
      </c>
    </row>
    <row r="154" spans="1:6">
      <c r="A154" s="329">
        <f t="shared" si="2"/>
        <v>152</v>
      </c>
      <c r="B154" s="328">
        <v>9</v>
      </c>
      <c r="C154" s="184" t="s">
        <v>186</v>
      </c>
      <c r="D154" s="152" t="s">
        <v>334</v>
      </c>
      <c r="E154" s="186">
        <v>390121</v>
      </c>
      <c r="F154" s="186">
        <v>390121</v>
      </c>
    </row>
    <row r="155" spans="1:6">
      <c r="A155" s="329">
        <f t="shared" si="2"/>
        <v>153</v>
      </c>
      <c r="B155" s="328">
        <v>9</v>
      </c>
      <c r="C155" s="184" t="s">
        <v>186</v>
      </c>
      <c r="D155" s="152" t="s">
        <v>335</v>
      </c>
      <c r="E155" s="186">
        <v>390122</v>
      </c>
      <c r="F155" s="186">
        <v>390122</v>
      </c>
    </row>
    <row r="156" spans="1:6">
      <c r="A156" s="329">
        <f t="shared" si="2"/>
        <v>154</v>
      </c>
      <c r="B156" s="328">
        <v>9</v>
      </c>
      <c r="C156" s="184" t="s">
        <v>186</v>
      </c>
      <c r="D156" s="152" t="s">
        <v>336</v>
      </c>
      <c r="E156" s="186">
        <v>390123</v>
      </c>
      <c r="F156" s="186">
        <v>390123</v>
      </c>
    </row>
    <row r="157" spans="1:6">
      <c r="A157" s="329">
        <f t="shared" si="2"/>
        <v>155</v>
      </c>
      <c r="B157" s="328">
        <v>9</v>
      </c>
      <c r="C157" s="184" t="s">
        <v>186</v>
      </c>
      <c r="D157" s="152" t="s">
        <v>337</v>
      </c>
      <c r="E157" s="186">
        <v>390124</v>
      </c>
      <c r="F157" s="186">
        <v>390124</v>
      </c>
    </row>
    <row r="158" spans="1:6">
      <c r="A158" s="329">
        <f t="shared" si="2"/>
        <v>156</v>
      </c>
      <c r="B158" s="328">
        <v>9</v>
      </c>
      <c r="C158" s="184" t="s">
        <v>186</v>
      </c>
      <c r="D158" s="152" t="s">
        <v>338</v>
      </c>
      <c r="E158" s="186">
        <v>390125</v>
      </c>
      <c r="F158" s="186">
        <v>390125</v>
      </c>
    </row>
    <row r="159" spans="1:6">
      <c r="A159" s="329">
        <f t="shared" si="2"/>
        <v>157</v>
      </c>
      <c r="B159" s="328">
        <v>9</v>
      </c>
      <c r="C159" s="184" t="s">
        <v>186</v>
      </c>
      <c r="D159" s="152" t="s">
        <v>339</v>
      </c>
      <c r="E159" s="186">
        <v>390126</v>
      </c>
      <c r="F159" s="186">
        <v>390126</v>
      </c>
    </row>
    <row r="160" spans="1:6">
      <c r="A160" s="329">
        <f t="shared" si="2"/>
        <v>158</v>
      </c>
      <c r="B160" s="328">
        <v>10</v>
      </c>
      <c r="C160" s="184" t="s">
        <v>123</v>
      </c>
      <c r="D160" s="152" t="s">
        <v>340</v>
      </c>
      <c r="E160" s="186">
        <v>235000</v>
      </c>
      <c r="F160" s="186">
        <v>235099</v>
      </c>
    </row>
    <row r="161" spans="1:6">
      <c r="A161" s="329">
        <f t="shared" si="2"/>
        <v>159</v>
      </c>
      <c r="B161" s="328">
        <v>10</v>
      </c>
      <c r="C161" s="184" t="s">
        <v>123</v>
      </c>
      <c r="D161" s="152" t="s">
        <v>341</v>
      </c>
      <c r="E161" s="186">
        <v>235100</v>
      </c>
      <c r="F161" s="186">
        <v>235399</v>
      </c>
    </row>
    <row r="162" spans="1:6">
      <c r="A162" s="329">
        <f t="shared" si="2"/>
        <v>160</v>
      </c>
      <c r="B162" s="328">
        <v>10</v>
      </c>
      <c r="C162" s="184" t="s">
        <v>123</v>
      </c>
      <c r="D162" s="152" t="s">
        <v>342</v>
      </c>
      <c r="E162" s="186">
        <v>235400</v>
      </c>
      <c r="F162" s="186">
        <v>236499</v>
      </c>
    </row>
    <row r="163" spans="1:6">
      <c r="A163" s="329">
        <f t="shared" si="2"/>
        <v>161</v>
      </c>
      <c r="B163" s="328">
        <v>10</v>
      </c>
      <c r="C163" s="184" t="s">
        <v>123</v>
      </c>
      <c r="D163" s="152" t="s">
        <v>343</v>
      </c>
      <c r="E163" s="186">
        <v>236500</v>
      </c>
      <c r="F163" s="186">
        <v>236999</v>
      </c>
    </row>
    <row r="164" spans="1:6">
      <c r="A164" s="329">
        <f t="shared" si="2"/>
        <v>162</v>
      </c>
      <c r="B164" s="328">
        <v>10</v>
      </c>
      <c r="C164" s="184" t="s">
        <v>123</v>
      </c>
      <c r="D164" s="152" t="s">
        <v>344</v>
      </c>
      <c r="E164" s="186">
        <v>237000</v>
      </c>
      <c r="F164" s="186">
        <v>237499</v>
      </c>
    </row>
    <row r="165" spans="1:6">
      <c r="A165" s="329">
        <f t="shared" si="2"/>
        <v>163</v>
      </c>
      <c r="B165" s="328">
        <v>10</v>
      </c>
      <c r="C165" s="184" t="s">
        <v>123</v>
      </c>
      <c r="D165" s="152" t="s">
        <v>345</v>
      </c>
      <c r="E165" s="186">
        <v>240000</v>
      </c>
      <c r="F165" s="186">
        <v>240997</v>
      </c>
    </row>
    <row r="166" spans="1:6">
      <c r="A166" s="329">
        <f t="shared" si="2"/>
        <v>164</v>
      </c>
      <c r="B166" s="328">
        <v>10</v>
      </c>
      <c r="C166" s="184" t="s">
        <v>123</v>
      </c>
      <c r="D166" s="152" t="s">
        <v>346</v>
      </c>
      <c r="E166" s="186">
        <v>390028</v>
      </c>
      <c r="F166" s="186">
        <v>390028</v>
      </c>
    </row>
    <row r="167" spans="1:6">
      <c r="A167" s="329">
        <f t="shared" si="2"/>
        <v>165</v>
      </c>
      <c r="B167" s="328">
        <v>10</v>
      </c>
      <c r="C167" s="184" t="s">
        <v>123</v>
      </c>
      <c r="D167" s="152" t="s">
        <v>347</v>
      </c>
      <c r="E167" s="186">
        <v>390097</v>
      </c>
      <c r="F167" s="186">
        <v>390097</v>
      </c>
    </row>
    <row r="168" spans="1:6">
      <c r="A168" s="329">
        <f t="shared" si="2"/>
        <v>166</v>
      </c>
      <c r="B168" s="328">
        <v>10</v>
      </c>
      <c r="C168" s="184" t="s">
        <v>123</v>
      </c>
      <c r="D168" s="152" t="s">
        <v>348</v>
      </c>
      <c r="E168" s="186">
        <v>971101</v>
      </c>
      <c r="F168" s="186">
        <v>971101</v>
      </c>
    </row>
    <row r="169" spans="1:6">
      <c r="A169" s="329">
        <f t="shared" si="2"/>
        <v>167</v>
      </c>
      <c r="B169" s="328">
        <v>11</v>
      </c>
      <c r="C169" s="184" t="s">
        <v>124</v>
      </c>
      <c r="D169" s="152" t="s">
        <v>1721</v>
      </c>
      <c r="E169" s="186">
        <v>990000</v>
      </c>
      <c r="F169" s="186">
        <v>991999</v>
      </c>
    </row>
    <row r="170" spans="1:6">
      <c r="A170" s="329">
        <f t="shared" si="2"/>
        <v>168</v>
      </c>
      <c r="B170" s="328">
        <v>11</v>
      </c>
      <c r="C170" s="184" t="s">
        <v>124</v>
      </c>
      <c r="D170" s="152" t="s">
        <v>349</v>
      </c>
      <c r="E170" s="186">
        <v>995000</v>
      </c>
      <c r="F170" s="186">
        <v>996999</v>
      </c>
    </row>
    <row r="171" spans="1:6">
      <c r="A171" s="329">
        <f t="shared" si="2"/>
        <v>169</v>
      </c>
      <c r="B171" s="328">
        <v>15</v>
      </c>
      <c r="C171" s="184" t="s">
        <v>127</v>
      </c>
      <c r="D171" s="152" t="s">
        <v>350</v>
      </c>
      <c r="E171" s="186">
        <v>400000</v>
      </c>
      <c r="F171" s="186">
        <v>400189</v>
      </c>
    </row>
    <row r="172" spans="1:6">
      <c r="A172" s="329">
        <f t="shared" si="2"/>
        <v>170</v>
      </c>
      <c r="B172" s="328">
        <v>15</v>
      </c>
      <c r="C172" s="184" t="s">
        <v>127</v>
      </c>
      <c r="D172" s="152" t="s">
        <v>351</v>
      </c>
      <c r="E172" s="186">
        <v>400190</v>
      </c>
      <c r="F172" s="186">
        <v>400289</v>
      </c>
    </row>
    <row r="173" spans="1:6">
      <c r="A173" s="329">
        <f t="shared" si="2"/>
        <v>171</v>
      </c>
      <c r="B173" s="328">
        <v>15</v>
      </c>
      <c r="C173" s="184" t="s">
        <v>127</v>
      </c>
      <c r="D173" s="152" t="s">
        <v>352</v>
      </c>
      <c r="E173" s="186">
        <v>400290</v>
      </c>
      <c r="F173" s="186">
        <v>400389</v>
      </c>
    </row>
    <row r="174" spans="1:6">
      <c r="A174" s="329">
        <f t="shared" si="2"/>
        <v>172</v>
      </c>
      <c r="B174" s="328">
        <v>15</v>
      </c>
      <c r="C174" s="184" t="s">
        <v>127</v>
      </c>
      <c r="D174" s="152" t="s">
        <v>353</v>
      </c>
      <c r="E174" s="186">
        <v>400390</v>
      </c>
      <c r="F174" s="186">
        <v>400549</v>
      </c>
    </row>
    <row r="175" spans="1:6">
      <c r="A175" s="329">
        <f t="shared" si="2"/>
        <v>173</v>
      </c>
      <c r="B175" s="328">
        <v>15</v>
      </c>
      <c r="C175" s="184" t="s">
        <v>127</v>
      </c>
      <c r="D175" s="152" t="s">
        <v>354</v>
      </c>
      <c r="E175" s="186">
        <v>400550</v>
      </c>
      <c r="F175" s="186">
        <v>400689</v>
      </c>
    </row>
    <row r="176" spans="1:6">
      <c r="A176" s="329">
        <f t="shared" si="2"/>
        <v>174</v>
      </c>
      <c r="B176" s="328">
        <v>15</v>
      </c>
      <c r="C176" s="184" t="s">
        <v>127</v>
      </c>
      <c r="D176" s="152" t="s">
        <v>355</v>
      </c>
      <c r="E176" s="186">
        <v>400690</v>
      </c>
      <c r="F176" s="186">
        <v>400789</v>
      </c>
    </row>
    <row r="177" spans="1:6">
      <c r="A177" s="329">
        <f t="shared" si="2"/>
        <v>175</v>
      </c>
      <c r="B177" s="328">
        <v>15</v>
      </c>
      <c r="C177" s="184" t="s">
        <v>127</v>
      </c>
      <c r="D177" s="152" t="s">
        <v>356</v>
      </c>
      <c r="E177" s="186">
        <v>400790</v>
      </c>
      <c r="F177" s="186">
        <v>400889</v>
      </c>
    </row>
    <row r="178" spans="1:6">
      <c r="A178" s="329">
        <f t="shared" si="2"/>
        <v>176</v>
      </c>
      <c r="B178" s="328">
        <v>15</v>
      </c>
      <c r="C178" s="184" t="s">
        <v>127</v>
      </c>
      <c r="D178" s="152" t="s">
        <v>357</v>
      </c>
      <c r="E178" s="186">
        <v>400890</v>
      </c>
      <c r="F178" s="186">
        <v>400999</v>
      </c>
    </row>
    <row r="179" spans="1:6">
      <c r="A179" s="329">
        <f t="shared" si="2"/>
        <v>177</v>
      </c>
      <c r="B179" s="328">
        <v>15</v>
      </c>
      <c r="C179" s="184" t="s">
        <v>127</v>
      </c>
      <c r="D179" s="152" t="s">
        <v>358</v>
      </c>
      <c r="E179" s="186">
        <v>401000</v>
      </c>
      <c r="F179" s="186">
        <v>401099</v>
      </c>
    </row>
    <row r="180" spans="1:6">
      <c r="A180" s="329">
        <f t="shared" si="2"/>
        <v>178</v>
      </c>
      <c r="B180" s="328">
        <v>15</v>
      </c>
      <c r="C180" s="184" t="s">
        <v>127</v>
      </c>
      <c r="D180" s="152" t="s">
        <v>359</v>
      </c>
      <c r="E180" s="186">
        <v>401100</v>
      </c>
      <c r="F180" s="186">
        <v>401199</v>
      </c>
    </row>
    <row r="181" spans="1:6">
      <c r="A181" s="329">
        <f t="shared" si="2"/>
        <v>179</v>
      </c>
      <c r="B181" s="328">
        <v>15</v>
      </c>
      <c r="C181" s="184" t="s">
        <v>127</v>
      </c>
      <c r="D181" s="152" t="s">
        <v>360</v>
      </c>
      <c r="E181" s="186">
        <v>401200</v>
      </c>
      <c r="F181" s="186">
        <v>401449</v>
      </c>
    </row>
    <row r="182" spans="1:6">
      <c r="A182" s="329">
        <f t="shared" si="2"/>
        <v>180</v>
      </c>
      <c r="B182" s="328">
        <v>15</v>
      </c>
      <c r="C182" s="184" t="s">
        <v>127</v>
      </c>
      <c r="D182" s="152" t="s">
        <v>361</v>
      </c>
      <c r="E182" s="186">
        <v>401450</v>
      </c>
      <c r="F182" s="186">
        <v>401649</v>
      </c>
    </row>
    <row r="183" spans="1:6">
      <c r="A183" s="329">
        <f t="shared" si="2"/>
        <v>181</v>
      </c>
      <c r="B183" s="328">
        <v>15</v>
      </c>
      <c r="C183" s="184" t="s">
        <v>127</v>
      </c>
      <c r="D183" s="152" t="s">
        <v>362</v>
      </c>
      <c r="E183" s="186">
        <v>401650</v>
      </c>
      <c r="F183" s="186">
        <v>401749</v>
      </c>
    </row>
    <row r="184" spans="1:6">
      <c r="A184" s="329">
        <f t="shared" si="2"/>
        <v>182</v>
      </c>
      <c r="B184" s="328">
        <v>15</v>
      </c>
      <c r="C184" s="184" t="s">
        <v>127</v>
      </c>
      <c r="D184" s="152" t="s">
        <v>363</v>
      </c>
      <c r="E184" s="186">
        <v>401750</v>
      </c>
      <c r="F184" s="186">
        <v>401849</v>
      </c>
    </row>
    <row r="185" spans="1:6">
      <c r="A185" s="329">
        <f t="shared" si="2"/>
        <v>183</v>
      </c>
      <c r="B185" s="328">
        <v>15</v>
      </c>
      <c r="C185" s="184" t="s">
        <v>127</v>
      </c>
      <c r="D185" s="152" t="s">
        <v>364</v>
      </c>
      <c r="E185" s="186">
        <v>401850</v>
      </c>
      <c r="F185" s="186">
        <v>402099</v>
      </c>
    </row>
    <row r="186" spans="1:6">
      <c r="A186" s="329">
        <f t="shared" si="2"/>
        <v>184</v>
      </c>
      <c r="B186" s="328">
        <v>15</v>
      </c>
      <c r="C186" s="184" t="s">
        <v>127</v>
      </c>
      <c r="D186" s="152" t="s">
        <v>365</v>
      </c>
      <c r="E186" s="186">
        <v>402200</v>
      </c>
      <c r="F186" s="186">
        <v>402249</v>
      </c>
    </row>
    <row r="187" spans="1:6">
      <c r="A187" s="329">
        <f t="shared" si="2"/>
        <v>185</v>
      </c>
      <c r="B187" s="328">
        <v>15</v>
      </c>
      <c r="C187" s="184" t="s">
        <v>127</v>
      </c>
      <c r="D187" s="152" t="s">
        <v>366</v>
      </c>
      <c r="E187" s="186">
        <v>402250</v>
      </c>
      <c r="F187" s="186">
        <v>402299</v>
      </c>
    </row>
    <row r="188" spans="1:6">
      <c r="A188" s="329">
        <f t="shared" si="2"/>
        <v>186</v>
      </c>
      <c r="B188" s="328">
        <v>15</v>
      </c>
      <c r="C188" s="184" t="s">
        <v>127</v>
      </c>
      <c r="D188" s="152" t="s">
        <v>367</v>
      </c>
      <c r="E188" s="186">
        <v>402300</v>
      </c>
      <c r="F188" s="186">
        <v>402349</v>
      </c>
    </row>
    <row r="189" spans="1:6">
      <c r="A189" s="329">
        <f t="shared" si="2"/>
        <v>187</v>
      </c>
      <c r="B189" s="328">
        <v>15</v>
      </c>
      <c r="C189" s="184" t="s">
        <v>127</v>
      </c>
      <c r="D189" s="152" t="s">
        <v>368</v>
      </c>
      <c r="E189" s="186">
        <v>402350</v>
      </c>
      <c r="F189" s="186">
        <v>402399</v>
      </c>
    </row>
    <row r="190" spans="1:6">
      <c r="A190" s="329">
        <f t="shared" si="2"/>
        <v>188</v>
      </c>
      <c r="B190" s="328">
        <v>15</v>
      </c>
      <c r="C190" s="184" t="s">
        <v>127</v>
      </c>
      <c r="D190" s="152" t="s">
        <v>369</v>
      </c>
      <c r="E190" s="186">
        <v>402400</v>
      </c>
      <c r="F190" s="186">
        <v>402499</v>
      </c>
    </row>
    <row r="191" spans="1:6">
      <c r="A191" s="329">
        <f t="shared" si="2"/>
        <v>189</v>
      </c>
      <c r="B191" s="328">
        <v>15</v>
      </c>
      <c r="C191" s="184" t="s">
        <v>127</v>
      </c>
      <c r="D191" s="152" t="s">
        <v>370</v>
      </c>
      <c r="E191" s="186">
        <v>402500</v>
      </c>
      <c r="F191" s="186">
        <v>403099</v>
      </c>
    </row>
    <row r="192" spans="1:6">
      <c r="A192" s="329">
        <f t="shared" si="2"/>
        <v>190</v>
      </c>
      <c r="B192" s="328">
        <v>15</v>
      </c>
      <c r="C192" s="184" t="s">
        <v>127</v>
      </c>
      <c r="D192" s="152" t="s">
        <v>371</v>
      </c>
      <c r="E192" s="186">
        <v>403100</v>
      </c>
      <c r="F192" s="186">
        <v>404999</v>
      </c>
    </row>
    <row r="193" spans="1:6">
      <c r="A193" s="329">
        <f t="shared" si="2"/>
        <v>191</v>
      </c>
      <c r="B193" s="328">
        <v>16</v>
      </c>
      <c r="C193" s="184" t="s">
        <v>128</v>
      </c>
      <c r="D193" s="152" t="s">
        <v>372</v>
      </c>
      <c r="E193" s="186">
        <v>405000</v>
      </c>
      <c r="F193" s="186">
        <v>405149</v>
      </c>
    </row>
    <row r="194" spans="1:6">
      <c r="A194" s="329">
        <f t="shared" si="2"/>
        <v>192</v>
      </c>
      <c r="B194" s="328">
        <v>16</v>
      </c>
      <c r="C194" s="184" t="s">
        <v>128</v>
      </c>
      <c r="D194" s="152" t="s">
        <v>373</v>
      </c>
      <c r="E194" s="186">
        <v>405150</v>
      </c>
      <c r="F194" s="186">
        <v>405249</v>
      </c>
    </row>
    <row r="195" spans="1:6">
      <c r="A195" s="329">
        <f t="shared" si="2"/>
        <v>193</v>
      </c>
      <c r="B195" s="328">
        <v>16</v>
      </c>
      <c r="C195" s="184" t="s">
        <v>128</v>
      </c>
      <c r="D195" s="152" t="s">
        <v>374</v>
      </c>
      <c r="E195" s="186">
        <v>405250</v>
      </c>
      <c r="F195" s="186">
        <v>405349</v>
      </c>
    </row>
    <row r="196" spans="1:6">
      <c r="A196" s="329">
        <f t="shared" ref="A196:A259" si="3">A195+1</f>
        <v>194</v>
      </c>
      <c r="B196" s="328">
        <v>16</v>
      </c>
      <c r="C196" s="184" t="s">
        <v>128</v>
      </c>
      <c r="D196" s="152" t="s">
        <v>375</v>
      </c>
      <c r="E196" s="186">
        <v>405350</v>
      </c>
      <c r="F196" s="186">
        <v>405449</v>
      </c>
    </row>
    <row r="197" spans="1:6">
      <c r="A197" s="329">
        <f t="shared" si="3"/>
        <v>195</v>
      </c>
      <c r="B197" s="328">
        <v>16</v>
      </c>
      <c r="C197" s="184" t="s">
        <v>128</v>
      </c>
      <c r="D197" s="152" t="s">
        <v>376</v>
      </c>
      <c r="E197" s="186">
        <v>405450</v>
      </c>
      <c r="F197" s="186">
        <v>405999</v>
      </c>
    </row>
    <row r="198" spans="1:6">
      <c r="A198" s="329">
        <f t="shared" si="3"/>
        <v>196</v>
      </c>
      <c r="B198" s="328">
        <v>16</v>
      </c>
      <c r="C198" s="184" t="s">
        <v>128</v>
      </c>
      <c r="D198" s="152" t="s">
        <v>377</v>
      </c>
      <c r="E198" s="186">
        <v>406000</v>
      </c>
      <c r="F198" s="186">
        <v>407499</v>
      </c>
    </row>
    <row r="199" spans="1:6">
      <c r="A199" s="329">
        <f t="shared" si="3"/>
        <v>197</v>
      </c>
      <c r="B199" s="328">
        <v>17</v>
      </c>
      <c r="C199" s="184" t="s">
        <v>129</v>
      </c>
      <c r="D199" s="152" t="s">
        <v>378</v>
      </c>
      <c r="E199" s="186">
        <v>407500</v>
      </c>
      <c r="F199" s="186">
        <v>407699</v>
      </c>
    </row>
    <row r="200" spans="1:6">
      <c r="A200" s="329">
        <f t="shared" si="3"/>
        <v>198</v>
      </c>
      <c r="B200" s="328">
        <v>17</v>
      </c>
      <c r="C200" s="184" t="s">
        <v>129</v>
      </c>
      <c r="D200" s="152" t="s">
        <v>379</v>
      </c>
      <c r="E200" s="186">
        <v>407700</v>
      </c>
      <c r="F200" s="186">
        <v>407799</v>
      </c>
    </row>
    <row r="201" spans="1:6">
      <c r="A201" s="329">
        <f t="shared" si="3"/>
        <v>199</v>
      </c>
      <c r="B201" s="328">
        <v>17</v>
      </c>
      <c r="C201" s="184" t="s">
        <v>129</v>
      </c>
      <c r="D201" s="152" t="s">
        <v>380</v>
      </c>
      <c r="E201" s="186">
        <v>407800</v>
      </c>
      <c r="F201" s="186">
        <v>407899</v>
      </c>
    </row>
    <row r="202" spans="1:6">
      <c r="A202" s="329">
        <f t="shared" si="3"/>
        <v>200</v>
      </c>
      <c r="B202" s="328">
        <v>17</v>
      </c>
      <c r="C202" s="184" t="s">
        <v>129</v>
      </c>
      <c r="D202" s="152" t="s">
        <v>381</v>
      </c>
      <c r="E202" s="186">
        <v>407900</v>
      </c>
      <c r="F202" s="186">
        <v>407999</v>
      </c>
    </row>
    <row r="203" spans="1:6">
      <c r="A203" s="329">
        <f t="shared" si="3"/>
        <v>201</v>
      </c>
      <c r="B203" s="328">
        <v>17</v>
      </c>
      <c r="C203" s="184" t="s">
        <v>129</v>
      </c>
      <c r="D203" s="152" t="s">
        <v>382</v>
      </c>
      <c r="E203" s="186">
        <v>408100</v>
      </c>
      <c r="F203" s="186">
        <v>408199</v>
      </c>
    </row>
    <row r="204" spans="1:6">
      <c r="A204" s="329">
        <f t="shared" si="3"/>
        <v>202</v>
      </c>
      <c r="B204" s="328">
        <v>17</v>
      </c>
      <c r="C204" s="184" t="s">
        <v>129</v>
      </c>
      <c r="D204" s="152" t="s">
        <v>383</v>
      </c>
      <c r="E204" s="186">
        <v>408200</v>
      </c>
      <c r="F204" s="186">
        <v>408299</v>
      </c>
    </row>
    <row r="205" spans="1:6">
      <c r="A205" s="329">
        <f t="shared" si="3"/>
        <v>203</v>
      </c>
      <c r="B205" s="328">
        <v>17</v>
      </c>
      <c r="C205" s="184" t="s">
        <v>129</v>
      </c>
      <c r="D205" s="152" t="s">
        <v>384</v>
      </c>
      <c r="E205" s="186">
        <v>410000</v>
      </c>
      <c r="F205" s="186">
        <v>418399</v>
      </c>
    </row>
    <row r="206" spans="1:6">
      <c r="A206" s="329">
        <f t="shared" si="3"/>
        <v>204</v>
      </c>
      <c r="B206" s="328">
        <v>18</v>
      </c>
      <c r="C206" s="184" t="s">
        <v>130</v>
      </c>
      <c r="D206" s="152" t="s">
        <v>385</v>
      </c>
      <c r="E206" s="186">
        <v>418400</v>
      </c>
      <c r="F206" s="186">
        <v>418499</v>
      </c>
    </row>
    <row r="207" spans="1:6">
      <c r="A207" s="329">
        <f t="shared" si="3"/>
        <v>205</v>
      </c>
      <c r="B207" s="328">
        <v>18</v>
      </c>
      <c r="C207" s="184" t="s">
        <v>130</v>
      </c>
      <c r="D207" s="152" t="s">
        <v>386</v>
      </c>
      <c r="E207" s="186">
        <v>418500</v>
      </c>
      <c r="F207" s="186">
        <v>418599</v>
      </c>
    </row>
    <row r="208" spans="1:6">
      <c r="A208" s="329">
        <f t="shared" si="3"/>
        <v>206</v>
      </c>
      <c r="B208" s="328">
        <v>18</v>
      </c>
      <c r="C208" s="184" t="s">
        <v>130</v>
      </c>
      <c r="D208" s="152" t="s">
        <v>387</v>
      </c>
      <c r="E208" s="186">
        <v>418600</v>
      </c>
      <c r="F208" s="186">
        <v>418699</v>
      </c>
    </row>
    <row r="209" spans="1:6">
      <c r="A209" s="329">
        <f t="shared" si="3"/>
        <v>207</v>
      </c>
      <c r="B209" s="328">
        <v>18</v>
      </c>
      <c r="C209" s="184" t="s">
        <v>130</v>
      </c>
      <c r="D209" s="152" t="s">
        <v>388</v>
      </c>
      <c r="E209" s="186">
        <v>418700</v>
      </c>
      <c r="F209" s="186">
        <v>418799</v>
      </c>
    </row>
    <row r="210" spans="1:6">
      <c r="A210" s="329">
        <f t="shared" si="3"/>
        <v>208</v>
      </c>
      <c r="B210" s="328">
        <v>18</v>
      </c>
      <c r="C210" s="184" t="s">
        <v>130</v>
      </c>
      <c r="D210" s="152" t="s">
        <v>389</v>
      </c>
      <c r="E210" s="186">
        <v>418800</v>
      </c>
      <c r="F210" s="186">
        <v>418899</v>
      </c>
    </row>
    <row r="211" spans="1:6">
      <c r="A211" s="329">
        <f t="shared" si="3"/>
        <v>209</v>
      </c>
      <c r="B211" s="328">
        <v>18</v>
      </c>
      <c r="C211" s="184" t="s">
        <v>130</v>
      </c>
      <c r="D211" s="152" t="s">
        <v>390</v>
      </c>
      <c r="E211" s="186">
        <v>418900</v>
      </c>
      <c r="F211" s="186">
        <v>418999</v>
      </c>
    </row>
    <row r="212" spans="1:6">
      <c r="A212" s="329">
        <f t="shared" si="3"/>
        <v>210</v>
      </c>
      <c r="B212" s="328">
        <v>18</v>
      </c>
      <c r="C212" s="184" t="s">
        <v>130</v>
      </c>
      <c r="D212" s="152" t="s">
        <v>391</v>
      </c>
      <c r="E212" s="186">
        <v>419000</v>
      </c>
      <c r="F212" s="186">
        <v>419089</v>
      </c>
    </row>
    <row r="213" spans="1:6">
      <c r="A213" s="329">
        <f t="shared" si="3"/>
        <v>211</v>
      </c>
      <c r="B213" s="328">
        <v>18</v>
      </c>
      <c r="C213" s="184" t="s">
        <v>130</v>
      </c>
      <c r="D213" s="152" t="s">
        <v>392</v>
      </c>
      <c r="E213" s="186">
        <v>419090</v>
      </c>
      <c r="F213" s="186">
        <v>419899</v>
      </c>
    </row>
    <row r="214" spans="1:6">
      <c r="A214" s="329">
        <f t="shared" si="3"/>
        <v>212</v>
      </c>
      <c r="B214" s="328">
        <v>18</v>
      </c>
      <c r="C214" s="184" t="s">
        <v>130</v>
      </c>
      <c r="D214" s="152" t="s">
        <v>393</v>
      </c>
      <c r="E214" s="186">
        <v>419900</v>
      </c>
      <c r="F214" s="186">
        <v>420499</v>
      </c>
    </row>
    <row r="215" spans="1:6">
      <c r="A215" s="329">
        <f t="shared" si="3"/>
        <v>213</v>
      </c>
      <c r="B215" s="328">
        <v>18</v>
      </c>
      <c r="C215" s="184" t="s">
        <v>130</v>
      </c>
      <c r="D215" s="152" t="s">
        <v>394</v>
      </c>
      <c r="E215" s="186">
        <v>420500</v>
      </c>
      <c r="F215" s="186">
        <v>420999</v>
      </c>
    </row>
    <row r="216" spans="1:6">
      <c r="A216" s="329">
        <f t="shared" si="3"/>
        <v>214</v>
      </c>
      <c r="B216" s="328">
        <v>18</v>
      </c>
      <c r="C216" s="184" t="s">
        <v>130</v>
      </c>
      <c r="D216" s="152" t="s">
        <v>395</v>
      </c>
      <c r="E216" s="186">
        <v>421000</v>
      </c>
      <c r="F216" s="186">
        <v>421199</v>
      </c>
    </row>
    <row r="217" spans="1:6">
      <c r="A217" s="329">
        <f t="shared" si="3"/>
        <v>215</v>
      </c>
      <c r="B217" s="328">
        <v>18</v>
      </c>
      <c r="C217" s="184" t="s">
        <v>130</v>
      </c>
      <c r="D217" s="152" t="s">
        <v>396</v>
      </c>
      <c r="E217" s="186">
        <v>421200</v>
      </c>
      <c r="F217" s="186">
        <v>421399</v>
      </c>
    </row>
    <row r="218" spans="1:6">
      <c r="A218" s="329">
        <f t="shared" si="3"/>
        <v>216</v>
      </c>
      <c r="B218" s="328">
        <v>18</v>
      </c>
      <c r="C218" s="184" t="s">
        <v>130</v>
      </c>
      <c r="D218" s="152" t="s">
        <v>397</v>
      </c>
      <c r="E218" s="186">
        <v>421400</v>
      </c>
      <c r="F218" s="186">
        <v>421599</v>
      </c>
    </row>
    <row r="219" spans="1:6">
      <c r="A219" s="329">
        <f t="shared" si="3"/>
        <v>217</v>
      </c>
      <c r="B219" s="328">
        <v>18</v>
      </c>
      <c r="C219" s="184" t="s">
        <v>130</v>
      </c>
      <c r="D219" s="152" t="s">
        <v>398</v>
      </c>
      <c r="E219" s="186">
        <v>421600</v>
      </c>
      <c r="F219" s="186">
        <v>421799</v>
      </c>
    </row>
    <row r="220" spans="1:6">
      <c r="A220" s="329">
        <f t="shared" si="3"/>
        <v>218</v>
      </c>
      <c r="B220" s="328">
        <v>18</v>
      </c>
      <c r="C220" s="184" t="s">
        <v>130</v>
      </c>
      <c r="D220" s="152" t="s">
        <v>399</v>
      </c>
      <c r="E220" s="186">
        <v>421800</v>
      </c>
      <c r="F220" s="186">
        <v>421999</v>
      </c>
    </row>
    <row r="221" spans="1:6">
      <c r="A221" s="329">
        <f t="shared" si="3"/>
        <v>219</v>
      </c>
      <c r="B221" s="328">
        <v>18</v>
      </c>
      <c r="C221" s="184" t="s">
        <v>130</v>
      </c>
      <c r="D221" s="152" t="s">
        <v>400</v>
      </c>
      <c r="E221" s="186">
        <v>422000</v>
      </c>
      <c r="F221" s="186">
        <v>422099</v>
      </c>
    </row>
    <row r="222" spans="1:6">
      <c r="A222" s="329">
        <f t="shared" si="3"/>
        <v>220</v>
      </c>
      <c r="B222" s="328">
        <v>18</v>
      </c>
      <c r="C222" s="184" t="s">
        <v>130</v>
      </c>
      <c r="D222" s="152" t="s">
        <v>401</v>
      </c>
      <c r="E222" s="186">
        <v>422100</v>
      </c>
      <c r="F222" s="186">
        <v>422204</v>
      </c>
    </row>
    <row r="223" spans="1:6">
      <c r="A223" s="329">
        <f t="shared" si="3"/>
        <v>221</v>
      </c>
      <c r="B223" s="328">
        <v>18</v>
      </c>
      <c r="C223" s="184" t="s">
        <v>130</v>
      </c>
      <c r="D223" s="152" t="s">
        <v>402</v>
      </c>
      <c r="E223" s="186">
        <v>422210</v>
      </c>
      <c r="F223" s="186">
        <v>422259</v>
      </c>
    </row>
    <row r="224" spans="1:6">
      <c r="A224" s="329">
        <f t="shared" si="3"/>
        <v>222</v>
      </c>
      <c r="B224" s="328">
        <v>18</v>
      </c>
      <c r="C224" s="184" t="s">
        <v>130</v>
      </c>
      <c r="D224" s="152" t="s">
        <v>403</v>
      </c>
      <c r="E224" s="186">
        <v>422260</v>
      </c>
      <c r="F224" s="186">
        <v>422299</v>
      </c>
    </row>
    <row r="225" spans="1:6">
      <c r="A225" s="329">
        <f t="shared" si="3"/>
        <v>223</v>
      </c>
      <c r="B225" s="328">
        <v>18</v>
      </c>
      <c r="C225" s="184" t="s">
        <v>130</v>
      </c>
      <c r="D225" s="152" t="s">
        <v>404</v>
      </c>
      <c r="E225" s="186">
        <v>422300</v>
      </c>
      <c r="F225" s="186">
        <v>422359</v>
      </c>
    </row>
    <row r="226" spans="1:6">
      <c r="A226" s="329">
        <f t="shared" si="3"/>
        <v>224</v>
      </c>
      <c r="B226" s="328">
        <v>18</v>
      </c>
      <c r="C226" s="184" t="s">
        <v>130</v>
      </c>
      <c r="D226" s="152" t="s">
        <v>405</v>
      </c>
      <c r="E226" s="186">
        <v>422360</v>
      </c>
      <c r="F226" s="186">
        <v>422399</v>
      </c>
    </row>
    <row r="227" spans="1:6">
      <c r="A227" s="329">
        <f t="shared" si="3"/>
        <v>225</v>
      </c>
      <c r="B227" s="328">
        <v>18</v>
      </c>
      <c r="C227" s="184" t="s">
        <v>130</v>
      </c>
      <c r="D227" s="152" t="s">
        <v>406</v>
      </c>
      <c r="E227" s="186">
        <v>422400</v>
      </c>
      <c r="F227" s="186">
        <v>422409</v>
      </c>
    </row>
    <row r="228" spans="1:6">
      <c r="A228" s="329">
        <f t="shared" si="3"/>
        <v>226</v>
      </c>
      <c r="B228" s="328">
        <v>18</v>
      </c>
      <c r="C228" s="184" t="s">
        <v>130</v>
      </c>
      <c r="D228" s="152" t="s">
        <v>407</v>
      </c>
      <c r="E228" s="186">
        <v>422410</v>
      </c>
      <c r="F228" s="186">
        <v>422439</v>
      </c>
    </row>
    <row r="229" spans="1:6">
      <c r="A229" s="329">
        <f t="shared" si="3"/>
        <v>227</v>
      </c>
      <c r="B229" s="328">
        <v>18</v>
      </c>
      <c r="C229" s="184" t="s">
        <v>130</v>
      </c>
      <c r="D229" s="152" t="s">
        <v>408</v>
      </c>
      <c r="E229" s="186">
        <v>422440</v>
      </c>
      <c r="F229" s="186">
        <v>422499</v>
      </c>
    </row>
    <row r="230" spans="1:6">
      <c r="A230" s="329">
        <f t="shared" si="3"/>
        <v>228</v>
      </c>
      <c r="B230" s="328">
        <v>18</v>
      </c>
      <c r="C230" s="184" t="s">
        <v>130</v>
      </c>
      <c r="D230" s="152" t="s">
        <v>409</v>
      </c>
      <c r="E230" s="186">
        <v>422500</v>
      </c>
      <c r="F230" s="186">
        <v>422799</v>
      </c>
    </row>
    <row r="231" spans="1:6">
      <c r="A231" s="329">
        <f t="shared" si="3"/>
        <v>229</v>
      </c>
      <c r="B231" s="328">
        <v>18</v>
      </c>
      <c r="C231" s="184" t="s">
        <v>130</v>
      </c>
      <c r="D231" s="152" t="s">
        <v>410</v>
      </c>
      <c r="E231" s="186">
        <v>422800</v>
      </c>
      <c r="F231" s="186">
        <v>422899</v>
      </c>
    </row>
    <row r="232" spans="1:6">
      <c r="A232" s="329">
        <f t="shared" si="3"/>
        <v>230</v>
      </c>
      <c r="B232" s="328">
        <v>18</v>
      </c>
      <c r="C232" s="184" t="s">
        <v>130</v>
      </c>
      <c r="D232" s="152" t="s">
        <v>411</v>
      </c>
      <c r="E232" s="186">
        <v>422900</v>
      </c>
      <c r="F232" s="186">
        <v>424999</v>
      </c>
    </row>
    <row r="233" spans="1:6">
      <c r="A233" s="329">
        <f t="shared" si="3"/>
        <v>231</v>
      </c>
      <c r="B233" s="328">
        <v>19</v>
      </c>
      <c r="C233" s="184" t="s">
        <v>131</v>
      </c>
      <c r="D233" s="152" t="s">
        <v>412</v>
      </c>
      <c r="E233" s="186">
        <v>425000</v>
      </c>
      <c r="F233" s="186">
        <v>425099</v>
      </c>
    </row>
    <row r="234" spans="1:6">
      <c r="A234" s="329">
        <f t="shared" si="3"/>
        <v>232</v>
      </c>
      <c r="B234" s="328">
        <v>19</v>
      </c>
      <c r="C234" s="184" t="s">
        <v>131</v>
      </c>
      <c r="D234" s="152" t="s">
        <v>413</v>
      </c>
      <c r="E234" s="186">
        <v>425100</v>
      </c>
      <c r="F234" s="186">
        <v>425199</v>
      </c>
    </row>
    <row r="235" spans="1:6">
      <c r="A235" s="329">
        <f t="shared" si="3"/>
        <v>233</v>
      </c>
      <c r="B235" s="328">
        <v>19</v>
      </c>
      <c r="C235" s="184" t="s">
        <v>131</v>
      </c>
      <c r="D235" s="152" t="s">
        <v>414</v>
      </c>
      <c r="E235" s="186">
        <v>425200</v>
      </c>
      <c r="F235" s="186">
        <v>425299</v>
      </c>
    </row>
    <row r="236" spans="1:6">
      <c r="A236" s="329">
        <f t="shared" si="3"/>
        <v>234</v>
      </c>
      <c r="B236" s="328">
        <v>19</v>
      </c>
      <c r="C236" s="184" t="s">
        <v>131</v>
      </c>
      <c r="D236" s="152" t="s">
        <v>415</v>
      </c>
      <c r="E236" s="186">
        <v>425300</v>
      </c>
      <c r="F236" s="186">
        <v>425399</v>
      </c>
    </row>
    <row r="237" spans="1:6">
      <c r="A237" s="329">
        <f t="shared" si="3"/>
        <v>235</v>
      </c>
      <c r="B237" s="328">
        <v>19</v>
      </c>
      <c r="C237" s="184" t="s">
        <v>131</v>
      </c>
      <c r="D237" s="152" t="s">
        <v>416</v>
      </c>
      <c r="E237" s="186">
        <v>425400</v>
      </c>
      <c r="F237" s="186">
        <v>426399</v>
      </c>
    </row>
    <row r="238" spans="1:6">
      <c r="A238" s="329">
        <f t="shared" si="3"/>
        <v>236</v>
      </c>
      <c r="B238" s="328">
        <v>19</v>
      </c>
      <c r="C238" s="184" t="s">
        <v>131</v>
      </c>
      <c r="D238" s="152" t="s">
        <v>417</v>
      </c>
      <c r="E238" s="186">
        <v>426400</v>
      </c>
      <c r="F238" s="186">
        <v>427499</v>
      </c>
    </row>
    <row r="239" spans="1:6">
      <c r="A239" s="329">
        <f t="shared" si="3"/>
        <v>237</v>
      </c>
      <c r="B239" s="328">
        <v>20</v>
      </c>
      <c r="C239" s="184" t="s">
        <v>132</v>
      </c>
      <c r="D239" s="152" t="s">
        <v>418</v>
      </c>
      <c r="E239" s="186">
        <v>427500</v>
      </c>
      <c r="F239" s="186">
        <v>428259</v>
      </c>
    </row>
    <row r="240" spans="1:6">
      <c r="A240" s="329">
        <f t="shared" si="3"/>
        <v>238</v>
      </c>
      <c r="B240" s="328">
        <v>20</v>
      </c>
      <c r="C240" s="184" t="s">
        <v>132</v>
      </c>
      <c r="D240" s="152" t="s">
        <v>419</v>
      </c>
      <c r="E240" s="186">
        <v>428260</v>
      </c>
      <c r="F240" s="186">
        <v>428289</v>
      </c>
    </row>
    <row r="241" spans="1:6">
      <c r="A241" s="329">
        <f t="shared" si="3"/>
        <v>239</v>
      </c>
      <c r="B241" s="328">
        <v>20</v>
      </c>
      <c r="C241" s="184" t="s">
        <v>132</v>
      </c>
      <c r="D241" s="152" t="s">
        <v>420</v>
      </c>
      <c r="E241" s="186">
        <v>428290</v>
      </c>
      <c r="F241" s="186">
        <v>429199</v>
      </c>
    </row>
    <row r="242" spans="1:6">
      <c r="A242" s="329">
        <f t="shared" si="3"/>
        <v>240</v>
      </c>
      <c r="B242" s="328">
        <v>20</v>
      </c>
      <c r="C242" s="184" t="s">
        <v>132</v>
      </c>
      <c r="D242" s="152" t="s">
        <v>421</v>
      </c>
      <c r="E242" s="186">
        <v>429200</v>
      </c>
      <c r="F242" s="186">
        <v>429999</v>
      </c>
    </row>
    <row r="243" spans="1:6">
      <c r="A243" s="329">
        <f t="shared" si="3"/>
        <v>241</v>
      </c>
      <c r="B243" s="328">
        <v>20</v>
      </c>
      <c r="C243" s="184" t="s">
        <v>132</v>
      </c>
      <c r="D243" s="152" t="s">
        <v>422</v>
      </c>
      <c r="E243" s="186">
        <v>430000</v>
      </c>
      <c r="F243" s="186">
        <v>430199</v>
      </c>
    </row>
    <row r="244" spans="1:6">
      <c r="A244" s="329">
        <f t="shared" si="3"/>
        <v>242</v>
      </c>
      <c r="B244" s="328">
        <v>20</v>
      </c>
      <c r="C244" s="184" t="s">
        <v>132</v>
      </c>
      <c r="D244" s="152" t="s">
        <v>423</v>
      </c>
      <c r="E244" s="186">
        <v>430200</v>
      </c>
      <c r="F244" s="186">
        <v>430899</v>
      </c>
    </row>
    <row r="245" spans="1:6">
      <c r="A245" s="329">
        <f t="shared" si="3"/>
        <v>243</v>
      </c>
      <c r="B245" s="328">
        <v>20</v>
      </c>
      <c r="C245" s="184" t="s">
        <v>132</v>
      </c>
      <c r="D245" s="152" t="s">
        <v>424</v>
      </c>
      <c r="E245" s="186">
        <v>430900</v>
      </c>
      <c r="F245" s="186">
        <v>430999</v>
      </c>
    </row>
    <row r="246" spans="1:6">
      <c r="A246" s="329">
        <f t="shared" si="3"/>
        <v>244</v>
      </c>
      <c r="B246" s="328">
        <v>20</v>
      </c>
      <c r="C246" s="184" t="s">
        <v>132</v>
      </c>
      <c r="D246" s="152" t="s">
        <v>425</v>
      </c>
      <c r="E246" s="186">
        <v>431000</v>
      </c>
      <c r="F246" s="186">
        <v>431000</v>
      </c>
    </row>
    <row r="247" spans="1:6">
      <c r="A247" s="329">
        <f t="shared" si="3"/>
        <v>245</v>
      </c>
      <c r="B247" s="328">
        <v>20</v>
      </c>
      <c r="C247" s="184" t="s">
        <v>132</v>
      </c>
      <c r="D247" s="152" t="s">
        <v>426</v>
      </c>
      <c r="E247" s="186">
        <v>431001</v>
      </c>
      <c r="F247" s="186">
        <v>439999</v>
      </c>
    </row>
    <row r="248" spans="1:6">
      <c r="A248" s="329">
        <f t="shared" si="3"/>
        <v>246</v>
      </c>
      <c r="B248" s="328">
        <v>23</v>
      </c>
      <c r="C248" s="184" t="s">
        <v>135</v>
      </c>
      <c r="D248" s="152" t="s">
        <v>427</v>
      </c>
      <c r="E248" s="186">
        <v>460000</v>
      </c>
      <c r="F248" s="186">
        <v>479999</v>
      </c>
    </row>
    <row r="249" spans="1:6">
      <c r="A249" s="329">
        <f t="shared" si="3"/>
        <v>247</v>
      </c>
      <c r="B249" s="328">
        <v>24</v>
      </c>
      <c r="C249" s="184" t="s">
        <v>136</v>
      </c>
      <c r="D249" s="152" t="s">
        <v>428</v>
      </c>
      <c r="E249" s="186">
        <v>440100</v>
      </c>
      <c r="F249" s="186">
        <v>450199</v>
      </c>
    </row>
    <row r="250" spans="1:6">
      <c r="A250" s="329">
        <f t="shared" si="3"/>
        <v>248</v>
      </c>
      <c r="B250" s="328">
        <v>24</v>
      </c>
      <c r="C250" s="184" t="s">
        <v>136</v>
      </c>
      <c r="D250" s="152" t="s">
        <v>429</v>
      </c>
      <c r="E250" s="186">
        <v>450200</v>
      </c>
      <c r="F250" s="186">
        <v>450299</v>
      </c>
    </row>
    <row r="251" spans="1:6">
      <c r="A251" s="329">
        <f t="shared" si="3"/>
        <v>249</v>
      </c>
      <c r="B251" s="328">
        <v>24</v>
      </c>
      <c r="C251" s="184" t="s">
        <v>136</v>
      </c>
      <c r="D251" s="152" t="s">
        <v>430</v>
      </c>
      <c r="E251" s="186">
        <v>450300</v>
      </c>
      <c r="F251" s="186">
        <v>450399</v>
      </c>
    </row>
    <row r="252" spans="1:6">
      <c r="A252" s="329">
        <f t="shared" si="3"/>
        <v>250</v>
      </c>
      <c r="B252" s="328">
        <v>24</v>
      </c>
      <c r="C252" s="184" t="s">
        <v>136</v>
      </c>
      <c r="D252" s="152" t="s">
        <v>431</v>
      </c>
      <c r="E252" s="186">
        <v>450400</v>
      </c>
      <c r="F252" s="186">
        <v>450499</v>
      </c>
    </row>
    <row r="253" spans="1:6">
      <c r="A253" s="329">
        <f t="shared" si="3"/>
        <v>251</v>
      </c>
      <c r="B253" s="328">
        <v>24</v>
      </c>
      <c r="C253" s="184" t="s">
        <v>136</v>
      </c>
      <c r="D253" s="152" t="s">
        <v>432</v>
      </c>
      <c r="E253" s="186">
        <v>450500</v>
      </c>
      <c r="F253" s="186">
        <v>450599</v>
      </c>
    </row>
    <row r="254" spans="1:6">
      <c r="A254" s="329">
        <f t="shared" si="3"/>
        <v>252</v>
      </c>
      <c r="B254" s="328">
        <v>24</v>
      </c>
      <c r="C254" s="184" t="s">
        <v>136</v>
      </c>
      <c r="D254" s="152" t="s">
        <v>433</v>
      </c>
      <c r="E254" s="186">
        <v>450600</v>
      </c>
      <c r="F254" s="186">
        <v>459999</v>
      </c>
    </row>
    <row r="255" spans="1:6">
      <c r="A255" s="329">
        <f t="shared" si="3"/>
        <v>253</v>
      </c>
      <c r="B255" s="328">
        <v>25</v>
      </c>
      <c r="C255" s="184" t="s">
        <v>137</v>
      </c>
      <c r="D255" s="152" t="s">
        <v>434</v>
      </c>
      <c r="E255" s="186">
        <v>480000</v>
      </c>
      <c r="F255" s="186">
        <v>482499</v>
      </c>
    </row>
    <row r="256" spans="1:6">
      <c r="A256" s="329">
        <f t="shared" si="3"/>
        <v>254</v>
      </c>
      <c r="B256" s="328">
        <v>25</v>
      </c>
      <c r="C256" s="184" t="s">
        <v>137</v>
      </c>
      <c r="D256" s="152" t="s">
        <v>435</v>
      </c>
      <c r="E256" s="186">
        <v>482500</v>
      </c>
      <c r="F256" s="186">
        <v>484999</v>
      </c>
    </row>
    <row r="257" spans="1:6">
      <c r="A257" s="329">
        <f t="shared" si="3"/>
        <v>255</v>
      </c>
      <c r="B257" s="328">
        <v>25</v>
      </c>
      <c r="C257" s="184" t="s">
        <v>137</v>
      </c>
      <c r="D257" s="152" t="s">
        <v>436</v>
      </c>
      <c r="E257" s="186">
        <v>485000</v>
      </c>
      <c r="F257" s="186">
        <v>487499</v>
      </c>
    </row>
    <row r="258" spans="1:6">
      <c r="A258" s="329">
        <f t="shared" si="3"/>
        <v>256</v>
      </c>
      <c r="B258" s="328">
        <v>25</v>
      </c>
      <c r="C258" s="184" t="s">
        <v>137</v>
      </c>
      <c r="D258" s="152" t="s">
        <v>437</v>
      </c>
      <c r="E258" s="186">
        <v>500000</v>
      </c>
      <c r="F258" s="186">
        <v>502499</v>
      </c>
    </row>
    <row r="259" spans="1:6">
      <c r="A259" s="329">
        <f t="shared" si="3"/>
        <v>257</v>
      </c>
      <c r="B259" s="328">
        <v>25</v>
      </c>
      <c r="C259" s="184" t="s">
        <v>137</v>
      </c>
      <c r="D259" s="152" t="s">
        <v>438</v>
      </c>
      <c r="E259" s="186">
        <v>512500</v>
      </c>
      <c r="F259" s="186">
        <v>514999</v>
      </c>
    </row>
    <row r="260" spans="1:6">
      <c r="A260" s="329">
        <f t="shared" ref="A260:A323" si="4">A259+1</f>
        <v>258</v>
      </c>
      <c r="B260" s="328">
        <v>25</v>
      </c>
      <c r="C260" s="184" t="s">
        <v>137</v>
      </c>
      <c r="D260" s="152" t="s">
        <v>439</v>
      </c>
      <c r="E260" s="186">
        <v>517500</v>
      </c>
      <c r="F260" s="186">
        <v>519999</v>
      </c>
    </row>
    <row r="261" spans="1:6">
      <c r="A261" s="329">
        <f t="shared" si="4"/>
        <v>259</v>
      </c>
      <c r="B261" s="328">
        <v>25</v>
      </c>
      <c r="C261" s="184" t="s">
        <v>137</v>
      </c>
      <c r="D261" s="152" t="s">
        <v>440</v>
      </c>
      <c r="E261" s="186">
        <v>527500</v>
      </c>
      <c r="F261" s="186">
        <v>529999</v>
      </c>
    </row>
    <row r="262" spans="1:6">
      <c r="A262" s="329">
        <f t="shared" si="4"/>
        <v>260</v>
      </c>
      <c r="B262" s="328">
        <v>25</v>
      </c>
      <c r="C262" s="184" t="s">
        <v>137</v>
      </c>
      <c r="D262" s="152" t="s">
        <v>441</v>
      </c>
      <c r="E262" s="186">
        <v>530000</v>
      </c>
      <c r="F262" s="186">
        <v>532499</v>
      </c>
    </row>
    <row r="263" spans="1:6">
      <c r="A263" s="329">
        <f t="shared" si="4"/>
        <v>261</v>
      </c>
      <c r="B263" s="328">
        <v>25</v>
      </c>
      <c r="C263" s="184" t="s">
        <v>137</v>
      </c>
      <c r="D263" s="152" t="s">
        <v>442</v>
      </c>
      <c r="E263" s="186">
        <v>540000</v>
      </c>
      <c r="F263" s="186">
        <v>542499</v>
      </c>
    </row>
    <row r="264" spans="1:6">
      <c r="A264" s="329">
        <f t="shared" si="4"/>
        <v>262</v>
      </c>
      <c r="B264" s="328">
        <v>25</v>
      </c>
      <c r="C264" s="184" t="s">
        <v>137</v>
      </c>
      <c r="D264" s="152" t="s">
        <v>443</v>
      </c>
      <c r="E264" s="186">
        <v>790000</v>
      </c>
      <c r="F264" s="186">
        <v>790099</v>
      </c>
    </row>
    <row r="265" spans="1:6">
      <c r="A265" s="329">
        <f t="shared" si="4"/>
        <v>263</v>
      </c>
      <c r="B265" s="328">
        <v>25</v>
      </c>
      <c r="C265" s="184" t="s">
        <v>137</v>
      </c>
      <c r="D265" s="152" t="s">
        <v>444</v>
      </c>
      <c r="E265" s="186">
        <v>790100</v>
      </c>
      <c r="F265" s="186">
        <v>790109</v>
      </c>
    </row>
    <row r="266" spans="1:6">
      <c r="A266" s="329">
        <f t="shared" si="4"/>
        <v>264</v>
      </c>
      <c r="B266" s="328">
        <v>25</v>
      </c>
      <c r="C266" s="184" t="s">
        <v>137</v>
      </c>
      <c r="D266" s="152" t="s">
        <v>445</v>
      </c>
      <c r="E266" s="186">
        <v>790110</v>
      </c>
      <c r="F266" s="186">
        <v>790275</v>
      </c>
    </row>
    <row r="267" spans="1:6">
      <c r="A267" s="329">
        <f t="shared" si="4"/>
        <v>265</v>
      </c>
      <c r="B267" s="328">
        <v>26</v>
      </c>
      <c r="C267" s="184" t="s">
        <v>138</v>
      </c>
      <c r="D267" s="152" t="s">
        <v>446</v>
      </c>
      <c r="E267" s="186">
        <v>522500</v>
      </c>
      <c r="F267" s="186">
        <v>524999</v>
      </c>
    </row>
    <row r="268" spans="1:6">
      <c r="A268" s="329">
        <f t="shared" si="4"/>
        <v>266</v>
      </c>
      <c r="B268" s="328">
        <v>26</v>
      </c>
      <c r="C268" s="184" t="s">
        <v>138</v>
      </c>
      <c r="D268" s="152" t="s">
        <v>447</v>
      </c>
      <c r="E268" s="186">
        <v>550000</v>
      </c>
      <c r="F268" s="186">
        <v>552499</v>
      </c>
    </row>
    <row r="269" spans="1:6">
      <c r="A269" s="329">
        <f t="shared" si="4"/>
        <v>267</v>
      </c>
      <c r="B269" s="328">
        <v>27</v>
      </c>
      <c r="C269" s="184" t="s">
        <v>139</v>
      </c>
      <c r="D269" s="152" t="s">
        <v>448</v>
      </c>
      <c r="E269" s="186">
        <v>502500</v>
      </c>
      <c r="F269" s="186">
        <v>504999</v>
      </c>
    </row>
    <row r="270" spans="1:6">
      <c r="A270" s="329">
        <f t="shared" si="4"/>
        <v>268</v>
      </c>
      <c r="B270" s="328">
        <v>28</v>
      </c>
      <c r="C270" s="184" t="s">
        <v>140</v>
      </c>
      <c r="D270" s="152" t="s">
        <v>449</v>
      </c>
      <c r="E270" s="186">
        <v>487500</v>
      </c>
      <c r="F270" s="186">
        <v>489999</v>
      </c>
    </row>
    <row r="271" spans="1:6">
      <c r="A271" s="329">
        <f t="shared" si="4"/>
        <v>269</v>
      </c>
      <c r="B271" s="328">
        <v>28</v>
      </c>
      <c r="C271" s="184" t="s">
        <v>140</v>
      </c>
      <c r="D271" s="152" t="s">
        <v>450</v>
      </c>
      <c r="E271" s="186">
        <v>490000</v>
      </c>
      <c r="F271" s="186">
        <v>492499</v>
      </c>
    </row>
    <row r="272" spans="1:6">
      <c r="A272" s="329">
        <f t="shared" si="4"/>
        <v>270</v>
      </c>
      <c r="B272" s="328">
        <v>28</v>
      </c>
      <c r="C272" s="184" t="s">
        <v>140</v>
      </c>
      <c r="D272" s="152" t="s">
        <v>451</v>
      </c>
      <c r="E272" s="186">
        <v>507500</v>
      </c>
      <c r="F272" s="186">
        <v>509999</v>
      </c>
    </row>
    <row r="273" spans="1:6">
      <c r="A273" s="329">
        <f t="shared" si="4"/>
        <v>271</v>
      </c>
      <c r="B273" s="328">
        <v>29</v>
      </c>
      <c r="C273" s="184" t="s">
        <v>141</v>
      </c>
      <c r="D273" s="152" t="s">
        <v>452</v>
      </c>
      <c r="E273" s="186">
        <v>492500</v>
      </c>
      <c r="F273" s="186">
        <v>494999</v>
      </c>
    </row>
    <row r="274" spans="1:6">
      <c r="A274" s="329">
        <f t="shared" si="4"/>
        <v>272</v>
      </c>
      <c r="B274" s="328">
        <v>29</v>
      </c>
      <c r="C274" s="184" t="s">
        <v>141</v>
      </c>
      <c r="D274" s="152" t="s">
        <v>453</v>
      </c>
      <c r="E274" s="186">
        <v>495000</v>
      </c>
      <c r="F274" s="186">
        <v>497499</v>
      </c>
    </row>
    <row r="275" spans="1:6">
      <c r="A275" s="329">
        <f t="shared" si="4"/>
        <v>273</v>
      </c>
      <c r="B275" s="328">
        <v>29</v>
      </c>
      <c r="C275" s="184" t="s">
        <v>141</v>
      </c>
      <c r="D275" s="152" t="s">
        <v>454</v>
      </c>
      <c r="E275" s="186">
        <v>497500</v>
      </c>
      <c r="F275" s="186">
        <v>499999</v>
      </c>
    </row>
    <row r="276" spans="1:6">
      <c r="A276" s="329">
        <f t="shared" si="4"/>
        <v>274</v>
      </c>
      <c r="B276" s="328">
        <v>29</v>
      </c>
      <c r="C276" s="184" t="s">
        <v>141</v>
      </c>
      <c r="D276" s="152" t="s">
        <v>455</v>
      </c>
      <c r="E276" s="186">
        <v>510000</v>
      </c>
      <c r="F276" s="186">
        <v>512499</v>
      </c>
    </row>
    <row r="277" spans="1:6">
      <c r="A277" s="329">
        <f t="shared" si="4"/>
        <v>275</v>
      </c>
      <c r="B277" s="328">
        <v>29</v>
      </c>
      <c r="C277" s="184" t="s">
        <v>141</v>
      </c>
      <c r="D277" s="152" t="s">
        <v>456</v>
      </c>
      <c r="E277" s="186">
        <v>515000</v>
      </c>
      <c r="F277" s="186">
        <v>517499</v>
      </c>
    </row>
    <row r="278" spans="1:6">
      <c r="A278" s="329">
        <f t="shared" si="4"/>
        <v>276</v>
      </c>
      <c r="B278" s="328">
        <v>29</v>
      </c>
      <c r="C278" s="184" t="s">
        <v>141</v>
      </c>
      <c r="D278" s="152" t="s">
        <v>457</v>
      </c>
      <c r="E278" s="186">
        <v>520000</v>
      </c>
      <c r="F278" s="186">
        <v>522499</v>
      </c>
    </row>
    <row r="279" spans="1:6">
      <c r="A279" s="329">
        <f t="shared" si="4"/>
        <v>277</v>
      </c>
      <c r="B279" s="328">
        <v>29</v>
      </c>
      <c r="C279" s="184" t="s">
        <v>141</v>
      </c>
      <c r="D279" s="152" t="s">
        <v>458</v>
      </c>
      <c r="E279" s="186">
        <v>532500</v>
      </c>
      <c r="F279" s="186">
        <v>534999</v>
      </c>
    </row>
    <row r="280" spans="1:6">
      <c r="A280" s="329">
        <f t="shared" si="4"/>
        <v>278</v>
      </c>
      <c r="B280" s="328">
        <v>29</v>
      </c>
      <c r="C280" s="184" t="s">
        <v>141</v>
      </c>
      <c r="D280" s="152" t="s">
        <v>459</v>
      </c>
      <c r="E280" s="186">
        <v>535000</v>
      </c>
      <c r="F280" s="186">
        <v>537499</v>
      </c>
    </row>
    <row r="281" spans="1:6">
      <c r="A281" s="329">
        <f t="shared" si="4"/>
        <v>279</v>
      </c>
      <c r="B281" s="328">
        <v>29</v>
      </c>
      <c r="C281" s="184" t="s">
        <v>141</v>
      </c>
      <c r="D281" s="152" t="s">
        <v>460</v>
      </c>
      <c r="E281" s="186">
        <v>537500</v>
      </c>
      <c r="F281" s="186">
        <v>539999</v>
      </c>
    </row>
    <row r="282" spans="1:6">
      <c r="A282" s="329">
        <f t="shared" si="4"/>
        <v>280</v>
      </c>
      <c r="B282" s="328">
        <v>29</v>
      </c>
      <c r="C282" s="184" t="s">
        <v>141</v>
      </c>
      <c r="D282" s="152" t="s">
        <v>461</v>
      </c>
      <c r="E282" s="186">
        <v>547500</v>
      </c>
      <c r="F282" s="186">
        <v>549999</v>
      </c>
    </row>
    <row r="283" spans="1:6">
      <c r="A283" s="329">
        <f t="shared" si="4"/>
        <v>281</v>
      </c>
      <c r="B283" s="328">
        <v>29</v>
      </c>
      <c r="C283" s="184" t="s">
        <v>141</v>
      </c>
      <c r="D283" s="152" t="s">
        <v>462</v>
      </c>
      <c r="E283" s="186">
        <v>552500</v>
      </c>
      <c r="F283" s="186">
        <v>557499</v>
      </c>
    </row>
    <row r="284" spans="1:6">
      <c r="A284" s="329">
        <f t="shared" si="4"/>
        <v>282</v>
      </c>
      <c r="B284" s="328">
        <v>29</v>
      </c>
      <c r="C284" s="184" t="s">
        <v>141</v>
      </c>
      <c r="D284" s="152" t="s">
        <v>463</v>
      </c>
      <c r="E284" s="186">
        <v>557500</v>
      </c>
      <c r="F284" s="186">
        <v>699999</v>
      </c>
    </row>
    <row r="285" spans="1:6">
      <c r="A285" s="329">
        <f t="shared" si="4"/>
        <v>283</v>
      </c>
      <c r="B285" s="328">
        <v>29</v>
      </c>
      <c r="C285" s="184" t="s">
        <v>141</v>
      </c>
      <c r="D285" s="152" t="s">
        <v>464</v>
      </c>
      <c r="E285" s="186">
        <v>950700</v>
      </c>
      <c r="F285" s="186">
        <v>950799</v>
      </c>
    </row>
    <row r="286" spans="1:6">
      <c r="A286" s="329">
        <f t="shared" si="4"/>
        <v>284</v>
      </c>
      <c r="B286" s="328">
        <v>32</v>
      </c>
      <c r="C286" s="184" t="s">
        <v>144</v>
      </c>
      <c r="D286" s="152" t="s">
        <v>465</v>
      </c>
      <c r="E286" s="186">
        <v>700000</v>
      </c>
      <c r="F286" s="186">
        <v>700099</v>
      </c>
    </row>
    <row r="287" spans="1:6">
      <c r="A287" s="329">
        <f t="shared" si="4"/>
        <v>285</v>
      </c>
      <c r="B287" s="328">
        <v>32</v>
      </c>
      <c r="C287" s="184" t="s">
        <v>144</v>
      </c>
      <c r="D287" s="152" t="s">
        <v>466</v>
      </c>
      <c r="E287" s="186">
        <v>700100</v>
      </c>
      <c r="F287" s="186">
        <v>701999</v>
      </c>
    </row>
    <row r="288" spans="1:6">
      <c r="A288" s="329">
        <f t="shared" si="4"/>
        <v>286</v>
      </c>
      <c r="B288" s="328">
        <v>33</v>
      </c>
      <c r="C288" s="184" t="s">
        <v>145</v>
      </c>
      <c r="D288" s="152" t="s">
        <v>467</v>
      </c>
      <c r="E288" s="186">
        <v>702000</v>
      </c>
      <c r="F288" s="186">
        <v>703999</v>
      </c>
    </row>
    <row r="289" spans="1:6">
      <c r="A289" s="329">
        <f t="shared" si="4"/>
        <v>287</v>
      </c>
      <c r="B289" s="328">
        <v>36</v>
      </c>
      <c r="C289" s="184" t="s">
        <v>148</v>
      </c>
      <c r="D289" s="152" t="s">
        <v>468</v>
      </c>
      <c r="E289" s="186">
        <v>545000</v>
      </c>
      <c r="F289" s="186">
        <v>545499</v>
      </c>
    </row>
    <row r="290" spans="1:6">
      <c r="A290" s="329">
        <f t="shared" si="4"/>
        <v>288</v>
      </c>
      <c r="B290" s="328">
        <v>37</v>
      </c>
      <c r="C290" s="184" t="s">
        <v>149</v>
      </c>
      <c r="D290" s="152" t="s">
        <v>469</v>
      </c>
      <c r="E290" s="186">
        <v>750000</v>
      </c>
      <c r="F290" s="186">
        <v>750099</v>
      </c>
    </row>
    <row r="291" spans="1:6">
      <c r="A291" s="329">
        <f t="shared" si="4"/>
        <v>289</v>
      </c>
      <c r="B291" s="328">
        <v>37</v>
      </c>
      <c r="C291" s="184" t="s">
        <v>149</v>
      </c>
      <c r="D291" s="152" t="s">
        <v>470</v>
      </c>
      <c r="E291" s="186">
        <v>750100</v>
      </c>
      <c r="F291" s="186">
        <v>750199</v>
      </c>
    </row>
    <row r="292" spans="1:6">
      <c r="A292" s="329">
        <f t="shared" si="4"/>
        <v>290</v>
      </c>
      <c r="B292" s="328">
        <v>37</v>
      </c>
      <c r="C292" s="184" t="s">
        <v>149</v>
      </c>
      <c r="D292" s="152" t="s">
        <v>471</v>
      </c>
      <c r="E292" s="186">
        <v>750200</v>
      </c>
      <c r="F292" s="186">
        <v>750299</v>
      </c>
    </row>
    <row r="293" spans="1:6">
      <c r="A293" s="329">
        <f t="shared" si="4"/>
        <v>291</v>
      </c>
      <c r="B293" s="328">
        <v>37</v>
      </c>
      <c r="C293" s="184" t="s">
        <v>149</v>
      </c>
      <c r="D293" s="152" t="s">
        <v>472</v>
      </c>
      <c r="E293" s="186">
        <v>750300</v>
      </c>
      <c r="F293" s="186">
        <v>750399</v>
      </c>
    </row>
    <row r="294" spans="1:6">
      <c r="A294" s="329">
        <f t="shared" si="4"/>
        <v>292</v>
      </c>
      <c r="B294" s="328">
        <v>37</v>
      </c>
      <c r="C294" s="184" t="s">
        <v>149</v>
      </c>
      <c r="D294" s="152" t="s">
        <v>473</v>
      </c>
      <c r="E294" s="186">
        <v>750400</v>
      </c>
      <c r="F294" s="186">
        <v>750499</v>
      </c>
    </row>
    <row r="295" spans="1:6">
      <c r="A295" s="329">
        <f t="shared" si="4"/>
        <v>293</v>
      </c>
      <c r="B295" s="328">
        <v>37</v>
      </c>
      <c r="C295" s="184" t="s">
        <v>149</v>
      </c>
      <c r="D295" s="152" t="s">
        <v>474</v>
      </c>
      <c r="E295" s="186">
        <v>750500</v>
      </c>
      <c r="F295" s="186">
        <v>750599</v>
      </c>
    </row>
    <row r="296" spans="1:6">
      <c r="A296" s="329">
        <f t="shared" si="4"/>
        <v>294</v>
      </c>
      <c r="B296" s="328">
        <v>37</v>
      </c>
      <c r="C296" s="184" t="s">
        <v>149</v>
      </c>
      <c r="D296" s="152" t="s">
        <v>475</v>
      </c>
      <c r="E296" s="186">
        <v>750600</v>
      </c>
      <c r="F296" s="186">
        <v>750699</v>
      </c>
    </row>
    <row r="297" spans="1:6">
      <c r="A297" s="329">
        <f t="shared" si="4"/>
        <v>295</v>
      </c>
      <c r="B297" s="328">
        <v>37</v>
      </c>
      <c r="C297" s="184" t="s">
        <v>149</v>
      </c>
      <c r="D297" s="152" t="s">
        <v>476</v>
      </c>
      <c r="E297" s="186">
        <v>750700</v>
      </c>
      <c r="F297" s="186">
        <v>750799</v>
      </c>
    </row>
    <row r="298" spans="1:6">
      <c r="A298" s="329">
        <f t="shared" si="4"/>
        <v>296</v>
      </c>
      <c r="B298" s="328">
        <v>37</v>
      </c>
      <c r="C298" s="184" t="s">
        <v>149</v>
      </c>
      <c r="D298" s="152" t="s">
        <v>477</v>
      </c>
      <c r="E298" s="186">
        <v>750800</v>
      </c>
      <c r="F298" s="186">
        <v>750899</v>
      </c>
    </row>
    <row r="299" spans="1:6">
      <c r="A299" s="329">
        <f t="shared" si="4"/>
        <v>297</v>
      </c>
      <c r="B299" s="328">
        <v>37</v>
      </c>
      <c r="C299" s="184" t="s">
        <v>149</v>
      </c>
      <c r="D299" s="152" t="s">
        <v>478</v>
      </c>
      <c r="E299" s="186">
        <v>750900</v>
      </c>
      <c r="F299" s="186">
        <v>750999</v>
      </c>
    </row>
    <row r="300" spans="1:6">
      <c r="A300" s="329">
        <f t="shared" si="4"/>
        <v>298</v>
      </c>
      <c r="B300" s="328">
        <v>37</v>
      </c>
      <c r="C300" s="184" t="s">
        <v>149</v>
      </c>
      <c r="D300" s="152" t="s">
        <v>479</v>
      </c>
      <c r="E300" s="186">
        <v>751000</v>
      </c>
      <c r="F300" s="186">
        <v>751099</v>
      </c>
    </row>
    <row r="301" spans="1:6">
      <c r="A301" s="329">
        <f t="shared" si="4"/>
        <v>299</v>
      </c>
      <c r="B301" s="328">
        <v>37</v>
      </c>
      <c r="C301" s="184" t="s">
        <v>149</v>
      </c>
      <c r="D301" s="152" t="s">
        <v>480</v>
      </c>
      <c r="E301" s="186">
        <v>751100</v>
      </c>
      <c r="F301" s="186">
        <v>751199</v>
      </c>
    </row>
    <row r="302" spans="1:6">
      <c r="A302" s="329">
        <f t="shared" si="4"/>
        <v>300</v>
      </c>
      <c r="B302" s="328">
        <v>37</v>
      </c>
      <c r="C302" s="184" t="s">
        <v>149</v>
      </c>
      <c r="D302" s="152" t="s">
        <v>481</v>
      </c>
      <c r="E302" s="186">
        <v>752492</v>
      </c>
      <c r="F302" s="186">
        <v>752492</v>
      </c>
    </row>
    <row r="303" spans="1:6">
      <c r="A303" s="329">
        <f t="shared" si="4"/>
        <v>301</v>
      </c>
      <c r="B303" s="328">
        <v>37</v>
      </c>
      <c r="C303" s="184" t="s">
        <v>149</v>
      </c>
      <c r="D303" s="152" t="s">
        <v>482</v>
      </c>
      <c r="E303" s="186">
        <v>752493</v>
      </c>
      <c r="F303" s="186">
        <v>752493</v>
      </c>
    </row>
    <row r="304" spans="1:6">
      <c r="A304" s="329">
        <f t="shared" si="4"/>
        <v>302</v>
      </c>
      <c r="B304" s="328">
        <v>37</v>
      </c>
      <c r="C304" s="184" t="s">
        <v>149</v>
      </c>
      <c r="D304" s="152" t="s">
        <v>483</v>
      </c>
      <c r="E304" s="186">
        <v>752494</v>
      </c>
      <c r="F304" s="186">
        <v>752494</v>
      </c>
    </row>
    <row r="305" spans="1:6">
      <c r="A305" s="329">
        <f t="shared" si="4"/>
        <v>303</v>
      </c>
      <c r="B305" s="328">
        <v>37</v>
      </c>
      <c r="C305" s="184" t="s">
        <v>149</v>
      </c>
      <c r="D305" s="152" t="s">
        <v>484</v>
      </c>
      <c r="E305" s="186">
        <v>752495</v>
      </c>
      <c r="F305" s="186">
        <v>752495</v>
      </c>
    </row>
    <row r="306" spans="1:6">
      <c r="A306" s="329">
        <f t="shared" si="4"/>
        <v>304</v>
      </c>
      <c r="B306" s="328">
        <v>37</v>
      </c>
      <c r="C306" s="184" t="s">
        <v>149</v>
      </c>
      <c r="D306" s="152" t="s">
        <v>485</v>
      </c>
      <c r="E306" s="186">
        <v>752496</v>
      </c>
      <c r="F306" s="186">
        <v>752496</v>
      </c>
    </row>
    <row r="307" spans="1:6">
      <c r="A307" s="329">
        <f t="shared" si="4"/>
        <v>305</v>
      </c>
      <c r="B307" s="328">
        <v>38</v>
      </c>
      <c r="C307" s="184" t="s">
        <v>33</v>
      </c>
      <c r="D307" s="152" t="s">
        <v>486</v>
      </c>
      <c r="E307" s="186">
        <v>762500</v>
      </c>
      <c r="F307" s="186">
        <v>792500</v>
      </c>
    </row>
    <row r="308" spans="1:6">
      <c r="A308" s="329">
        <f t="shared" si="4"/>
        <v>306</v>
      </c>
      <c r="B308" s="328">
        <v>38</v>
      </c>
      <c r="C308" s="184" t="s">
        <v>33</v>
      </c>
      <c r="D308" s="152" t="s">
        <v>487</v>
      </c>
      <c r="E308" s="186">
        <v>792501</v>
      </c>
      <c r="F308" s="186">
        <v>792501</v>
      </c>
    </row>
    <row r="309" spans="1:6">
      <c r="A309" s="329">
        <f t="shared" si="4"/>
        <v>307</v>
      </c>
      <c r="B309" s="328">
        <v>38</v>
      </c>
      <c r="C309" s="184" t="s">
        <v>33</v>
      </c>
      <c r="D309" s="152" t="s">
        <v>488</v>
      </c>
      <c r="E309" s="186">
        <v>810000</v>
      </c>
      <c r="F309" s="186">
        <v>810099</v>
      </c>
    </row>
    <row r="310" spans="1:6">
      <c r="A310" s="329">
        <f t="shared" si="4"/>
        <v>308</v>
      </c>
      <c r="B310" s="328">
        <v>38</v>
      </c>
      <c r="C310" s="184" t="s">
        <v>33</v>
      </c>
      <c r="D310" s="152" t="s">
        <v>489</v>
      </c>
      <c r="E310" s="186">
        <v>810100</v>
      </c>
      <c r="F310" s="186">
        <v>810199</v>
      </c>
    </row>
    <row r="311" spans="1:6">
      <c r="A311" s="329">
        <f t="shared" si="4"/>
        <v>309</v>
      </c>
      <c r="B311" s="328">
        <v>38</v>
      </c>
      <c r="C311" s="184" t="s">
        <v>33</v>
      </c>
      <c r="D311" s="152" t="s">
        <v>490</v>
      </c>
      <c r="E311" s="186">
        <v>810200</v>
      </c>
      <c r="F311" s="186">
        <v>810299</v>
      </c>
    </row>
    <row r="312" spans="1:6">
      <c r="A312" s="329">
        <f t="shared" si="4"/>
        <v>310</v>
      </c>
      <c r="B312" s="328">
        <v>38</v>
      </c>
      <c r="C312" s="184" t="s">
        <v>33</v>
      </c>
      <c r="D312" s="152" t="s">
        <v>491</v>
      </c>
      <c r="E312" s="186">
        <v>810300</v>
      </c>
      <c r="F312" s="186">
        <v>810349</v>
      </c>
    </row>
    <row r="313" spans="1:6">
      <c r="A313" s="329">
        <f t="shared" si="4"/>
        <v>311</v>
      </c>
      <c r="B313" s="328">
        <v>38</v>
      </c>
      <c r="C313" s="184" t="s">
        <v>33</v>
      </c>
      <c r="D313" s="152" t="s">
        <v>492</v>
      </c>
      <c r="E313" s="186">
        <v>810350</v>
      </c>
      <c r="F313" s="186">
        <v>810399</v>
      </c>
    </row>
    <row r="314" spans="1:6">
      <c r="A314" s="329">
        <f t="shared" si="4"/>
        <v>312</v>
      </c>
      <c r="B314" s="328">
        <v>38</v>
      </c>
      <c r="C314" s="184" t="s">
        <v>33</v>
      </c>
      <c r="D314" s="152" t="s">
        <v>493</v>
      </c>
      <c r="E314" s="186">
        <v>810400</v>
      </c>
      <c r="F314" s="186">
        <v>810499</v>
      </c>
    </row>
    <row r="315" spans="1:6">
      <c r="A315" s="329">
        <f t="shared" si="4"/>
        <v>313</v>
      </c>
      <c r="B315" s="328">
        <v>38</v>
      </c>
      <c r="C315" s="184" t="s">
        <v>33</v>
      </c>
      <c r="D315" s="152" t="s">
        <v>494</v>
      </c>
      <c r="E315" s="186">
        <v>810500</v>
      </c>
      <c r="F315" s="186">
        <v>810599</v>
      </c>
    </row>
    <row r="316" spans="1:6">
      <c r="A316" s="329">
        <f t="shared" si="4"/>
        <v>314</v>
      </c>
      <c r="B316" s="328">
        <v>38</v>
      </c>
      <c r="C316" s="184" t="s">
        <v>33</v>
      </c>
      <c r="D316" s="152" t="s">
        <v>495</v>
      </c>
      <c r="E316" s="186">
        <v>810600</v>
      </c>
      <c r="F316" s="186">
        <v>810699</v>
      </c>
    </row>
    <row r="317" spans="1:6">
      <c r="A317" s="329">
        <f t="shared" si="4"/>
        <v>315</v>
      </c>
      <c r="B317" s="328">
        <v>38</v>
      </c>
      <c r="C317" s="184" t="s">
        <v>33</v>
      </c>
      <c r="D317" s="152" t="s">
        <v>496</v>
      </c>
      <c r="E317" s="186">
        <v>810700</v>
      </c>
      <c r="F317" s="186">
        <v>810799</v>
      </c>
    </row>
    <row r="318" spans="1:6">
      <c r="A318" s="329">
        <f t="shared" si="4"/>
        <v>316</v>
      </c>
      <c r="B318" s="328">
        <v>38</v>
      </c>
      <c r="C318" s="184" t="s">
        <v>33</v>
      </c>
      <c r="D318" s="152" t="s">
        <v>497</v>
      </c>
      <c r="E318" s="186">
        <v>810800</v>
      </c>
      <c r="F318" s="186">
        <v>810899</v>
      </c>
    </row>
    <row r="319" spans="1:6">
      <c r="A319" s="329">
        <f t="shared" si="4"/>
        <v>317</v>
      </c>
      <c r="B319" s="328">
        <v>38</v>
      </c>
      <c r="C319" s="184" t="s">
        <v>33</v>
      </c>
      <c r="D319" s="152" t="s">
        <v>498</v>
      </c>
      <c r="E319" s="186">
        <v>810900</v>
      </c>
      <c r="F319" s="186">
        <v>810999</v>
      </c>
    </row>
    <row r="320" spans="1:6">
      <c r="A320" s="329">
        <f t="shared" si="4"/>
        <v>318</v>
      </c>
      <c r="B320" s="328">
        <v>38</v>
      </c>
      <c r="C320" s="184" t="s">
        <v>33</v>
      </c>
      <c r="D320" s="152" t="s">
        <v>499</v>
      </c>
      <c r="E320" s="186">
        <v>811000</v>
      </c>
      <c r="F320" s="186">
        <v>811099</v>
      </c>
    </row>
    <row r="321" spans="1:6">
      <c r="A321" s="329">
        <f t="shared" si="4"/>
        <v>319</v>
      </c>
      <c r="B321" s="328">
        <v>38</v>
      </c>
      <c r="C321" s="184" t="s">
        <v>33</v>
      </c>
      <c r="D321" s="152" t="s">
        <v>500</v>
      </c>
      <c r="E321" s="186">
        <v>811100</v>
      </c>
      <c r="F321" s="186">
        <v>811199</v>
      </c>
    </row>
    <row r="322" spans="1:6">
      <c r="A322" s="329">
        <f t="shared" si="4"/>
        <v>320</v>
      </c>
      <c r="B322" s="328">
        <v>38</v>
      </c>
      <c r="C322" s="184" t="s">
        <v>33</v>
      </c>
      <c r="D322" s="152" t="s">
        <v>501</v>
      </c>
      <c r="E322" s="186">
        <v>811200</v>
      </c>
      <c r="F322" s="186">
        <v>811299</v>
      </c>
    </row>
    <row r="323" spans="1:6">
      <c r="A323" s="329">
        <f t="shared" si="4"/>
        <v>321</v>
      </c>
      <c r="B323" s="328">
        <v>38</v>
      </c>
      <c r="C323" s="184" t="s">
        <v>33</v>
      </c>
      <c r="D323" s="152" t="s">
        <v>502</v>
      </c>
      <c r="E323" s="186">
        <v>811300</v>
      </c>
      <c r="F323" s="186">
        <v>811399</v>
      </c>
    </row>
    <row r="324" spans="1:6">
      <c r="A324" s="329">
        <f t="shared" ref="A324:A351" si="5">A323+1</f>
        <v>322</v>
      </c>
      <c r="B324" s="328">
        <v>38</v>
      </c>
      <c r="C324" s="184" t="s">
        <v>33</v>
      </c>
      <c r="D324" s="152" t="s">
        <v>514</v>
      </c>
      <c r="E324" s="186">
        <v>960400</v>
      </c>
      <c r="F324" s="186">
        <v>960499</v>
      </c>
    </row>
    <row r="325" spans="1:6">
      <c r="A325" s="329">
        <f t="shared" si="5"/>
        <v>323</v>
      </c>
      <c r="B325" s="328">
        <v>38</v>
      </c>
      <c r="C325" s="184" t="s">
        <v>33</v>
      </c>
      <c r="D325" s="152" t="s">
        <v>503</v>
      </c>
      <c r="E325" s="186">
        <v>970100</v>
      </c>
      <c r="F325" s="186">
        <v>970199</v>
      </c>
    </row>
    <row r="326" spans="1:6">
      <c r="A326" s="329">
        <f t="shared" si="5"/>
        <v>324</v>
      </c>
      <c r="B326" s="328">
        <v>38</v>
      </c>
      <c r="C326" s="184" t="s">
        <v>33</v>
      </c>
      <c r="D326" s="152" t="s">
        <v>504</v>
      </c>
      <c r="E326" s="186">
        <v>970200</v>
      </c>
      <c r="F326" s="186">
        <v>970299</v>
      </c>
    </row>
    <row r="327" spans="1:6">
      <c r="A327" s="329">
        <f t="shared" si="5"/>
        <v>325</v>
      </c>
      <c r="B327" s="328">
        <v>39</v>
      </c>
      <c r="C327" s="184" t="s">
        <v>150</v>
      </c>
      <c r="D327" s="152" t="s">
        <v>505</v>
      </c>
      <c r="E327" s="186">
        <v>950000</v>
      </c>
      <c r="F327" s="186">
        <v>950099</v>
      </c>
    </row>
    <row r="328" spans="1:6">
      <c r="A328" s="329">
        <f t="shared" si="5"/>
        <v>326</v>
      </c>
      <c r="B328" s="328">
        <v>39</v>
      </c>
      <c r="C328" s="184" t="s">
        <v>150</v>
      </c>
      <c r="D328" s="152" t="s">
        <v>506</v>
      </c>
      <c r="E328" s="186">
        <v>950100</v>
      </c>
      <c r="F328" s="186">
        <v>950199</v>
      </c>
    </row>
    <row r="329" spans="1:6">
      <c r="A329" s="329">
        <f t="shared" si="5"/>
        <v>327</v>
      </c>
      <c r="B329" s="328">
        <v>39</v>
      </c>
      <c r="C329" s="184" t="s">
        <v>150</v>
      </c>
      <c r="D329" s="152" t="s">
        <v>507</v>
      </c>
      <c r="E329" s="186">
        <v>950200</v>
      </c>
      <c r="F329" s="186">
        <v>950299</v>
      </c>
    </row>
    <row r="330" spans="1:6">
      <c r="A330" s="329">
        <f t="shared" si="5"/>
        <v>328</v>
      </c>
      <c r="B330" s="328">
        <v>39</v>
      </c>
      <c r="C330" s="184" t="s">
        <v>150</v>
      </c>
      <c r="D330" s="152" t="s">
        <v>508</v>
      </c>
      <c r="E330" s="186">
        <v>950300</v>
      </c>
      <c r="F330" s="186">
        <v>950399</v>
      </c>
    </row>
    <row r="331" spans="1:6">
      <c r="A331" s="329">
        <f t="shared" si="5"/>
        <v>329</v>
      </c>
      <c r="B331" s="328">
        <v>39</v>
      </c>
      <c r="C331" s="184" t="s">
        <v>150</v>
      </c>
      <c r="D331" s="152" t="s">
        <v>509</v>
      </c>
      <c r="E331" s="186">
        <v>950400</v>
      </c>
      <c r="F331" s="186">
        <v>950499</v>
      </c>
    </row>
    <row r="332" spans="1:6">
      <c r="A332" s="329">
        <f t="shared" si="5"/>
        <v>330</v>
      </c>
      <c r="B332" s="328">
        <v>39</v>
      </c>
      <c r="C332" s="184" t="s">
        <v>150</v>
      </c>
      <c r="D332" s="152" t="s">
        <v>510</v>
      </c>
      <c r="E332" s="186">
        <v>950500</v>
      </c>
      <c r="F332" s="186">
        <v>950599</v>
      </c>
    </row>
    <row r="333" spans="1:6">
      <c r="A333" s="329">
        <f t="shared" si="5"/>
        <v>331</v>
      </c>
      <c r="B333" s="328">
        <v>39</v>
      </c>
      <c r="C333" s="184" t="s">
        <v>150</v>
      </c>
      <c r="D333" s="152" t="s">
        <v>511</v>
      </c>
      <c r="E333" s="186">
        <v>950600</v>
      </c>
      <c r="F333" s="186">
        <v>950699</v>
      </c>
    </row>
    <row r="334" spans="1:6">
      <c r="A334" s="329">
        <f t="shared" si="5"/>
        <v>332</v>
      </c>
      <c r="B334" s="328">
        <v>40</v>
      </c>
      <c r="C334" s="184" t="s">
        <v>151</v>
      </c>
      <c r="D334" s="152" t="s">
        <v>512</v>
      </c>
      <c r="E334" s="186">
        <v>790276</v>
      </c>
      <c r="F334" s="186">
        <v>790399</v>
      </c>
    </row>
    <row r="335" spans="1:6">
      <c r="A335" s="329">
        <f t="shared" si="5"/>
        <v>333</v>
      </c>
      <c r="B335" s="328">
        <v>40</v>
      </c>
      <c r="C335" s="184" t="s">
        <v>151</v>
      </c>
      <c r="D335" s="152" t="s">
        <v>513</v>
      </c>
      <c r="E335" s="186">
        <v>960000</v>
      </c>
      <c r="F335" s="186">
        <v>960199</v>
      </c>
    </row>
    <row r="336" spans="1:6">
      <c r="A336" s="329">
        <f t="shared" si="5"/>
        <v>334</v>
      </c>
      <c r="B336" s="328">
        <v>41</v>
      </c>
      <c r="C336" s="184" t="s">
        <v>152</v>
      </c>
      <c r="D336" s="152" t="s">
        <v>515</v>
      </c>
      <c r="E336" s="186">
        <v>960200</v>
      </c>
      <c r="F336" s="186">
        <v>960299</v>
      </c>
    </row>
    <row r="337" spans="1:6">
      <c r="A337" s="329">
        <f t="shared" si="5"/>
        <v>335</v>
      </c>
      <c r="B337" s="328">
        <v>45</v>
      </c>
      <c r="C337" s="184" t="s">
        <v>156</v>
      </c>
      <c r="D337" s="152" t="s">
        <v>516</v>
      </c>
      <c r="E337" s="186">
        <v>997000</v>
      </c>
      <c r="F337" s="186">
        <v>999997</v>
      </c>
    </row>
    <row r="338" spans="1:6">
      <c r="A338" s="329">
        <f t="shared" si="5"/>
        <v>336</v>
      </c>
      <c r="B338" s="328">
        <v>46</v>
      </c>
      <c r="C338" s="184" t="s">
        <v>157</v>
      </c>
      <c r="D338" s="152" t="s">
        <v>517</v>
      </c>
      <c r="E338" s="186">
        <v>542500</v>
      </c>
      <c r="F338" s="186">
        <v>544999</v>
      </c>
    </row>
    <row r="339" spans="1:6">
      <c r="A339" s="329">
        <f t="shared" si="5"/>
        <v>337</v>
      </c>
      <c r="B339" s="328">
        <v>46</v>
      </c>
      <c r="C339" s="184" t="s">
        <v>157</v>
      </c>
      <c r="D339" s="152" t="s">
        <v>518</v>
      </c>
      <c r="E339" s="186">
        <v>811400</v>
      </c>
      <c r="F339" s="186">
        <v>812399</v>
      </c>
    </row>
    <row r="340" spans="1:6">
      <c r="A340" s="329">
        <f t="shared" si="5"/>
        <v>338</v>
      </c>
      <c r="B340" s="328">
        <v>46</v>
      </c>
      <c r="C340" s="184" t="s">
        <v>157</v>
      </c>
      <c r="D340" s="152" t="s">
        <v>519</v>
      </c>
      <c r="E340" s="186">
        <v>970000</v>
      </c>
      <c r="F340" s="186">
        <v>970099</v>
      </c>
    </row>
    <row r="341" spans="1:6">
      <c r="A341" s="329">
        <f t="shared" si="5"/>
        <v>339</v>
      </c>
      <c r="B341" s="328">
        <v>46</v>
      </c>
      <c r="C341" s="184" t="s">
        <v>157</v>
      </c>
      <c r="D341" s="152" t="s">
        <v>520</v>
      </c>
      <c r="E341" s="186">
        <v>970300</v>
      </c>
      <c r="F341" s="186">
        <v>970399</v>
      </c>
    </row>
    <row r="342" spans="1:6">
      <c r="A342" s="329">
        <f t="shared" si="5"/>
        <v>340</v>
      </c>
      <c r="B342" s="328">
        <v>46</v>
      </c>
      <c r="C342" s="184" t="s">
        <v>157</v>
      </c>
      <c r="D342" s="152" t="s">
        <v>521</v>
      </c>
      <c r="E342" s="186">
        <v>970400</v>
      </c>
      <c r="F342" s="186">
        <v>970499</v>
      </c>
    </row>
    <row r="343" spans="1:6">
      <c r="A343" s="329">
        <f t="shared" si="5"/>
        <v>341</v>
      </c>
      <c r="B343" s="328">
        <v>46</v>
      </c>
      <c r="C343" s="184" t="s">
        <v>157</v>
      </c>
      <c r="D343" s="152" t="s">
        <v>522</v>
      </c>
      <c r="E343" s="186">
        <v>970500</v>
      </c>
      <c r="F343" s="186">
        <v>970599</v>
      </c>
    </row>
    <row r="344" spans="1:6">
      <c r="A344" s="329">
        <f t="shared" si="5"/>
        <v>342</v>
      </c>
      <c r="B344" s="328">
        <v>46</v>
      </c>
      <c r="C344" s="184" t="s">
        <v>157</v>
      </c>
      <c r="D344" s="152" t="s">
        <v>523</v>
      </c>
      <c r="E344" s="186">
        <v>970600</v>
      </c>
      <c r="F344" s="186">
        <v>970699</v>
      </c>
    </row>
    <row r="345" spans="1:6">
      <c r="A345" s="329">
        <f t="shared" si="5"/>
        <v>343</v>
      </c>
      <c r="B345" s="328">
        <v>46</v>
      </c>
      <c r="C345" s="184" t="s">
        <v>157</v>
      </c>
      <c r="D345" s="152" t="s">
        <v>524</v>
      </c>
      <c r="E345" s="186">
        <v>970700</v>
      </c>
      <c r="F345" s="186">
        <v>970799</v>
      </c>
    </row>
    <row r="346" spans="1:6">
      <c r="A346" s="329">
        <f t="shared" si="5"/>
        <v>344</v>
      </c>
      <c r="B346" s="328">
        <v>46</v>
      </c>
      <c r="C346" s="184" t="s">
        <v>157</v>
      </c>
      <c r="D346" s="152" t="s">
        <v>525</v>
      </c>
      <c r="E346" s="186">
        <v>970800</v>
      </c>
      <c r="F346" s="186">
        <v>970899</v>
      </c>
    </row>
    <row r="347" spans="1:6">
      <c r="A347" s="329">
        <f t="shared" si="5"/>
        <v>345</v>
      </c>
      <c r="B347" s="328">
        <v>46</v>
      </c>
      <c r="C347" s="184" t="s">
        <v>157</v>
      </c>
      <c r="D347" s="152" t="s">
        <v>526</v>
      </c>
      <c r="E347" s="186">
        <v>970900</v>
      </c>
      <c r="F347" s="186">
        <v>970999</v>
      </c>
    </row>
    <row r="348" spans="1:6">
      <c r="A348" s="329">
        <f t="shared" si="5"/>
        <v>346</v>
      </c>
      <c r="B348" s="328">
        <v>46</v>
      </c>
      <c r="C348" s="184" t="s">
        <v>157</v>
      </c>
      <c r="D348" s="152" t="s">
        <v>527</v>
      </c>
      <c r="E348" s="186">
        <v>971000</v>
      </c>
      <c r="F348" s="186">
        <v>971099</v>
      </c>
    </row>
    <row r="349" spans="1:6">
      <c r="A349" s="329">
        <f t="shared" si="5"/>
        <v>347</v>
      </c>
      <c r="B349" s="328">
        <v>46</v>
      </c>
      <c r="C349" s="184" t="s">
        <v>157</v>
      </c>
      <c r="D349" s="152" t="s">
        <v>528</v>
      </c>
      <c r="E349" s="186">
        <v>971100</v>
      </c>
      <c r="F349" s="186">
        <v>971199</v>
      </c>
    </row>
    <row r="350" spans="1:6">
      <c r="A350" s="329">
        <f t="shared" si="5"/>
        <v>348</v>
      </c>
      <c r="B350" s="328">
        <v>46</v>
      </c>
      <c r="C350" s="184" t="s">
        <v>157</v>
      </c>
      <c r="D350" s="152" t="s">
        <v>529</v>
      </c>
      <c r="E350" s="186">
        <v>971200</v>
      </c>
      <c r="F350" s="186">
        <v>971299</v>
      </c>
    </row>
    <row r="351" spans="1:6">
      <c r="A351" s="329">
        <f t="shared" si="5"/>
        <v>349</v>
      </c>
      <c r="B351" s="328">
        <v>46</v>
      </c>
      <c r="C351" s="184" t="s">
        <v>157</v>
      </c>
      <c r="D351" s="152" t="s">
        <v>530</v>
      </c>
      <c r="E351" s="186">
        <v>971300</v>
      </c>
      <c r="F351" s="186">
        <v>971399</v>
      </c>
    </row>
    <row r="352" spans="1:6">
      <c r="A352" s="329">
        <f t="shared" ref="A352:A415" si="6">IF(B352="","",A351+1)</f>
        <v>350</v>
      </c>
      <c r="B352" s="438">
        <v>46</v>
      </c>
      <c r="C352" s="184" t="s">
        <v>157</v>
      </c>
      <c r="D352" s="152" t="s">
        <v>531</v>
      </c>
      <c r="E352" s="186">
        <v>972000</v>
      </c>
      <c r="F352" s="186">
        <v>994999</v>
      </c>
    </row>
    <row r="353" spans="1:1">
      <c r="A353" s="329" t="str">
        <f t="shared" si="6"/>
        <v/>
      </c>
    </row>
    <row r="354" spans="1:1">
      <c r="A354" s="329" t="str">
        <f t="shared" si="6"/>
        <v/>
      </c>
    </row>
    <row r="355" spans="1:1">
      <c r="A355" s="329" t="str">
        <f t="shared" si="6"/>
        <v/>
      </c>
    </row>
    <row r="356" spans="1:1">
      <c r="A356" s="329" t="str">
        <f t="shared" si="6"/>
        <v/>
      </c>
    </row>
    <row r="357" spans="1:1">
      <c r="A357" s="329" t="str">
        <f t="shared" si="6"/>
        <v/>
      </c>
    </row>
    <row r="358" spans="1:1">
      <c r="A358" s="329" t="str">
        <f t="shared" si="6"/>
        <v/>
      </c>
    </row>
    <row r="359" spans="1:1">
      <c r="A359" s="329" t="str">
        <f t="shared" si="6"/>
        <v/>
      </c>
    </row>
    <row r="360" spans="1:1">
      <c r="A360" s="329" t="str">
        <f t="shared" si="6"/>
        <v/>
      </c>
    </row>
    <row r="361" spans="1:1">
      <c r="A361" s="329" t="str">
        <f t="shared" si="6"/>
        <v/>
      </c>
    </row>
    <row r="362" spans="1:1">
      <c r="A362" s="329" t="str">
        <f t="shared" si="6"/>
        <v/>
      </c>
    </row>
    <row r="363" spans="1:1">
      <c r="A363" s="329" t="str">
        <f t="shared" si="6"/>
        <v/>
      </c>
    </row>
    <row r="364" spans="1:1">
      <c r="A364" s="329" t="str">
        <f t="shared" si="6"/>
        <v/>
      </c>
    </row>
    <row r="365" spans="1:1">
      <c r="A365" s="329" t="str">
        <f t="shared" si="6"/>
        <v/>
      </c>
    </row>
    <row r="366" spans="1:1">
      <c r="A366" s="329" t="str">
        <f t="shared" si="6"/>
        <v/>
      </c>
    </row>
    <row r="367" spans="1:1">
      <c r="A367" s="329" t="str">
        <f t="shared" si="6"/>
        <v/>
      </c>
    </row>
    <row r="368" spans="1:1">
      <c r="A368" s="329" t="str">
        <f t="shared" si="6"/>
        <v/>
      </c>
    </row>
    <row r="369" spans="1:1">
      <c r="A369" s="329" t="str">
        <f t="shared" si="6"/>
        <v/>
      </c>
    </row>
    <row r="370" spans="1:1">
      <c r="A370" s="329" t="str">
        <f t="shared" si="6"/>
        <v/>
      </c>
    </row>
    <row r="371" spans="1:1">
      <c r="A371" s="329" t="str">
        <f t="shared" si="6"/>
        <v/>
      </c>
    </row>
    <row r="372" spans="1:1">
      <c r="A372" s="329" t="str">
        <f t="shared" si="6"/>
        <v/>
      </c>
    </row>
    <row r="373" spans="1:1">
      <c r="A373" s="329" t="str">
        <f t="shared" si="6"/>
        <v/>
      </c>
    </row>
    <row r="374" spans="1:1">
      <c r="A374" s="329" t="str">
        <f t="shared" si="6"/>
        <v/>
      </c>
    </row>
    <row r="375" spans="1:1">
      <c r="A375" s="329" t="str">
        <f t="shared" si="6"/>
        <v/>
      </c>
    </row>
    <row r="376" spans="1:1">
      <c r="A376" s="329" t="str">
        <f t="shared" si="6"/>
        <v/>
      </c>
    </row>
    <row r="377" spans="1:1">
      <c r="A377" s="329" t="str">
        <f t="shared" si="6"/>
        <v/>
      </c>
    </row>
    <row r="378" spans="1:1">
      <c r="A378" s="329" t="str">
        <f t="shared" si="6"/>
        <v/>
      </c>
    </row>
    <row r="379" spans="1:1">
      <c r="A379" s="329" t="str">
        <f t="shared" si="6"/>
        <v/>
      </c>
    </row>
    <row r="380" spans="1:1">
      <c r="A380" s="329" t="str">
        <f t="shared" si="6"/>
        <v/>
      </c>
    </row>
    <row r="381" spans="1:1">
      <c r="A381" s="329" t="str">
        <f t="shared" si="6"/>
        <v/>
      </c>
    </row>
    <row r="382" spans="1:1">
      <c r="A382" s="329" t="str">
        <f t="shared" si="6"/>
        <v/>
      </c>
    </row>
    <row r="383" spans="1:1">
      <c r="A383" s="329" t="str">
        <f t="shared" si="6"/>
        <v/>
      </c>
    </row>
    <row r="384" spans="1:1">
      <c r="A384" s="329" t="str">
        <f t="shared" si="6"/>
        <v/>
      </c>
    </row>
    <row r="385" spans="1:1">
      <c r="A385" s="329" t="str">
        <f t="shared" si="6"/>
        <v/>
      </c>
    </row>
    <row r="386" spans="1:1">
      <c r="A386" s="329" t="str">
        <f t="shared" si="6"/>
        <v/>
      </c>
    </row>
    <row r="387" spans="1:1">
      <c r="A387" s="329" t="str">
        <f t="shared" si="6"/>
        <v/>
      </c>
    </row>
    <row r="388" spans="1:1">
      <c r="A388" s="329" t="str">
        <f t="shared" si="6"/>
        <v/>
      </c>
    </row>
    <row r="389" spans="1:1">
      <c r="A389" s="329" t="str">
        <f t="shared" si="6"/>
        <v/>
      </c>
    </row>
    <row r="390" spans="1:1">
      <c r="A390" s="329" t="str">
        <f t="shared" si="6"/>
        <v/>
      </c>
    </row>
    <row r="391" spans="1:1">
      <c r="A391" s="329" t="str">
        <f t="shared" si="6"/>
        <v/>
      </c>
    </row>
    <row r="392" spans="1:1">
      <c r="A392" s="329" t="str">
        <f t="shared" si="6"/>
        <v/>
      </c>
    </row>
    <row r="393" spans="1:1">
      <c r="A393" s="329" t="str">
        <f t="shared" si="6"/>
        <v/>
      </c>
    </row>
    <row r="394" spans="1:1">
      <c r="A394" s="329" t="str">
        <f t="shared" si="6"/>
        <v/>
      </c>
    </row>
    <row r="395" spans="1:1">
      <c r="A395" s="329" t="str">
        <f t="shared" si="6"/>
        <v/>
      </c>
    </row>
    <row r="396" spans="1:1">
      <c r="A396" s="329" t="str">
        <f t="shared" si="6"/>
        <v/>
      </c>
    </row>
    <row r="397" spans="1:1">
      <c r="A397" s="329" t="str">
        <f t="shared" si="6"/>
        <v/>
      </c>
    </row>
    <row r="398" spans="1:1">
      <c r="A398" s="329" t="str">
        <f t="shared" si="6"/>
        <v/>
      </c>
    </row>
    <row r="399" spans="1:1">
      <c r="A399" s="329" t="str">
        <f t="shared" si="6"/>
        <v/>
      </c>
    </row>
    <row r="400" spans="1:1">
      <c r="A400" s="329" t="str">
        <f t="shared" si="6"/>
        <v/>
      </c>
    </row>
    <row r="401" spans="1:1">
      <c r="A401" s="329" t="str">
        <f t="shared" si="6"/>
        <v/>
      </c>
    </row>
    <row r="402" spans="1:1">
      <c r="A402" s="329" t="str">
        <f t="shared" si="6"/>
        <v/>
      </c>
    </row>
    <row r="403" spans="1:1">
      <c r="A403" s="329" t="str">
        <f t="shared" si="6"/>
        <v/>
      </c>
    </row>
    <row r="404" spans="1:1">
      <c r="A404" s="329" t="str">
        <f t="shared" si="6"/>
        <v/>
      </c>
    </row>
    <row r="405" spans="1:1">
      <c r="A405" s="329" t="str">
        <f t="shared" si="6"/>
        <v/>
      </c>
    </row>
    <row r="406" spans="1:1">
      <c r="A406" s="329" t="str">
        <f t="shared" si="6"/>
        <v/>
      </c>
    </row>
    <row r="407" spans="1:1">
      <c r="A407" s="329" t="str">
        <f t="shared" si="6"/>
        <v/>
      </c>
    </row>
    <row r="408" spans="1:1">
      <c r="A408" s="329" t="str">
        <f t="shared" si="6"/>
        <v/>
      </c>
    </row>
    <row r="409" spans="1:1">
      <c r="A409" s="329" t="str">
        <f t="shared" si="6"/>
        <v/>
      </c>
    </row>
    <row r="410" spans="1:1">
      <c r="A410" s="329" t="str">
        <f t="shared" si="6"/>
        <v/>
      </c>
    </row>
    <row r="411" spans="1:1">
      <c r="A411" s="329" t="str">
        <f t="shared" si="6"/>
        <v/>
      </c>
    </row>
    <row r="412" spans="1:1">
      <c r="A412" s="329" t="str">
        <f t="shared" si="6"/>
        <v/>
      </c>
    </row>
    <row r="413" spans="1:1">
      <c r="A413" s="329" t="str">
        <f t="shared" si="6"/>
        <v/>
      </c>
    </row>
    <row r="414" spans="1:1">
      <c r="A414" s="329" t="str">
        <f t="shared" si="6"/>
        <v/>
      </c>
    </row>
    <row r="415" spans="1:1">
      <c r="A415" s="329" t="str">
        <f t="shared" si="6"/>
        <v/>
      </c>
    </row>
    <row r="416" spans="1:1">
      <c r="A416" s="329" t="str">
        <f t="shared" ref="A416:A479" si="7">IF(B416="","",A415+1)</f>
        <v/>
      </c>
    </row>
    <row r="417" spans="1:1">
      <c r="A417" s="329" t="str">
        <f t="shared" si="7"/>
        <v/>
      </c>
    </row>
    <row r="418" spans="1:1">
      <c r="A418" s="329" t="str">
        <f t="shared" si="7"/>
        <v/>
      </c>
    </row>
    <row r="419" spans="1:1">
      <c r="A419" s="329" t="str">
        <f t="shared" si="7"/>
        <v/>
      </c>
    </row>
    <row r="420" spans="1:1">
      <c r="A420" s="329" t="str">
        <f t="shared" si="7"/>
        <v/>
      </c>
    </row>
    <row r="421" spans="1:1">
      <c r="A421" s="329" t="str">
        <f t="shared" si="7"/>
        <v/>
      </c>
    </row>
    <row r="422" spans="1:1">
      <c r="A422" s="329" t="str">
        <f t="shared" si="7"/>
        <v/>
      </c>
    </row>
    <row r="423" spans="1:1">
      <c r="A423" s="329" t="str">
        <f t="shared" si="7"/>
        <v/>
      </c>
    </row>
    <row r="424" spans="1:1">
      <c r="A424" s="329" t="str">
        <f t="shared" si="7"/>
        <v/>
      </c>
    </row>
    <row r="425" spans="1:1">
      <c r="A425" s="329" t="str">
        <f t="shared" si="7"/>
        <v/>
      </c>
    </row>
    <row r="426" spans="1:1">
      <c r="A426" s="329" t="str">
        <f t="shared" si="7"/>
        <v/>
      </c>
    </row>
    <row r="427" spans="1:1">
      <c r="A427" s="329" t="str">
        <f t="shared" si="7"/>
        <v/>
      </c>
    </row>
    <row r="428" spans="1:1">
      <c r="A428" s="329" t="str">
        <f t="shared" si="7"/>
        <v/>
      </c>
    </row>
    <row r="429" spans="1:1">
      <c r="A429" s="329" t="str">
        <f t="shared" si="7"/>
        <v/>
      </c>
    </row>
    <row r="430" spans="1:1">
      <c r="A430" s="329" t="str">
        <f t="shared" si="7"/>
        <v/>
      </c>
    </row>
    <row r="431" spans="1:1">
      <c r="A431" s="329" t="str">
        <f t="shared" si="7"/>
        <v/>
      </c>
    </row>
    <row r="432" spans="1:1">
      <c r="A432" s="329" t="str">
        <f t="shared" si="7"/>
        <v/>
      </c>
    </row>
    <row r="433" spans="1:1">
      <c r="A433" s="329" t="str">
        <f t="shared" si="7"/>
        <v/>
      </c>
    </row>
    <row r="434" spans="1:1">
      <c r="A434" s="329" t="str">
        <f t="shared" si="7"/>
        <v/>
      </c>
    </row>
    <row r="435" spans="1:1">
      <c r="A435" s="329" t="str">
        <f t="shared" si="7"/>
        <v/>
      </c>
    </row>
    <row r="436" spans="1:1">
      <c r="A436" s="329" t="str">
        <f t="shared" si="7"/>
        <v/>
      </c>
    </row>
    <row r="437" spans="1:1">
      <c r="A437" s="329" t="str">
        <f t="shared" si="7"/>
        <v/>
      </c>
    </row>
    <row r="438" spans="1:1">
      <c r="A438" s="329" t="str">
        <f t="shared" si="7"/>
        <v/>
      </c>
    </row>
    <row r="439" spans="1:1">
      <c r="A439" s="329" t="str">
        <f t="shared" si="7"/>
        <v/>
      </c>
    </row>
    <row r="440" spans="1:1">
      <c r="A440" s="329" t="str">
        <f t="shared" si="7"/>
        <v/>
      </c>
    </row>
    <row r="441" spans="1:1">
      <c r="A441" s="329" t="str">
        <f t="shared" si="7"/>
        <v/>
      </c>
    </row>
    <row r="442" spans="1:1">
      <c r="A442" s="329" t="str">
        <f t="shared" si="7"/>
        <v/>
      </c>
    </row>
    <row r="443" spans="1:1">
      <c r="A443" s="329" t="str">
        <f t="shared" si="7"/>
        <v/>
      </c>
    </row>
    <row r="444" spans="1:1">
      <c r="A444" s="329" t="str">
        <f t="shared" si="7"/>
        <v/>
      </c>
    </row>
    <row r="445" spans="1:1">
      <c r="A445" s="329" t="str">
        <f t="shared" si="7"/>
        <v/>
      </c>
    </row>
    <row r="446" spans="1:1">
      <c r="A446" s="329" t="str">
        <f t="shared" si="7"/>
        <v/>
      </c>
    </row>
    <row r="447" spans="1:1">
      <c r="A447" s="329" t="str">
        <f t="shared" si="7"/>
        <v/>
      </c>
    </row>
    <row r="448" spans="1:1">
      <c r="A448" s="329" t="str">
        <f t="shared" si="7"/>
        <v/>
      </c>
    </row>
    <row r="449" spans="1:1">
      <c r="A449" s="329" t="str">
        <f t="shared" si="7"/>
        <v/>
      </c>
    </row>
    <row r="450" spans="1:1">
      <c r="A450" s="329" t="str">
        <f t="shared" si="7"/>
        <v/>
      </c>
    </row>
    <row r="451" spans="1:1">
      <c r="A451" s="329" t="str">
        <f t="shared" si="7"/>
        <v/>
      </c>
    </row>
    <row r="452" spans="1:1">
      <c r="A452" s="329" t="str">
        <f t="shared" si="7"/>
        <v/>
      </c>
    </row>
    <row r="453" spans="1:1">
      <c r="A453" s="329" t="str">
        <f t="shared" si="7"/>
        <v/>
      </c>
    </row>
    <row r="454" spans="1:1">
      <c r="A454" s="329" t="str">
        <f t="shared" si="7"/>
        <v/>
      </c>
    </row>
    <row r="455" spans="1:1">
      <c r="A455" s="329" t="str">
        <f t="shared" si="7"/>
        <v/>
      </c>
    </row>
    <row r="456" spans="1:1">
      <c r="A456" s="329" t="str">
        <f t="shared" si="7"/>
        <v/>
      </c>
    </row>
    <row r="457" spans="1:1">
      <c r="A457" s="329" t="str">
        <f t="shared" si="7"/>
        <v/>
      </c>
    </row>
    <row r="458" spans="1:1">
      <c r="A458" s="329" t="str">
        <f t="shared" si="7"/>
        <v/>
      </c>
    </row>
    <row r="459" spans="1:1">
      <c r="A459" s="329" t="str">
        <f t="shared" si="7"/>
        <v/>
      </c>
    </row>
    <row r="460" spans="1:1">
      <c r="A460" s="329" t="str">
        <f t="shared" si="7"/>
        <v/>
      </c>
    </row>
    <row r="461" spans="1:1">
      <c r="A461" s="329" t="str">
        <f t="shared" si="7"/>
        <v/>
      </c>
    </row>
    <row r="462" spans="1:1">
      <c r="A462" s="329" t="str">
        <f t="shared" si="7"/>
        <v/>
      </c>
    </row>
    <row r="463" spans="1:1">
      <c r="A463" s="329" t="str">
        <f t="shared" si="7"/>
        <v/>
      </c>
    </row>
    <row r="464" spans="1:1">
      <c r="A464" s="329" t="str">
        <f t="shared" si="7"/>
        <v/>
      </c>
    </row>
    <row r="465" spans="1:1">
      <c r="A465" s="329" t="str">
        <f t="shared" si="7"/>
        <v/>
      </c>
    </row>
    <row r="466" spans="1:1">
      <c r="A466" s="329" t="str">
        <f t="shared" si="7"/>
        <v/>
      </c>
    </row>
    <row r="467" spans="1:1">
      <c r="A467" s="329" t="str">
        <f t="shared" si="7"/>
        <v/>
      </c>
    </row>
    <row r="468" spans="1:1">
      <c r="A468" s="329" t="str">
        <f t="shared" si="7"/>
        <v/>
      </c>
    </row>
    <row r="469" spans="1:1">
      <c r="A469" s="329" t="str">
        <f t="shared" si="7"/>
        <v/>
      </c>
    </row>
    <row r="470" spans="1:1">
      <c r="A470" s="329" t="str">
        <f t="shared" si="7"/>
        <v/>
      </c>
    </row>
    <row r="471" spans="1:1">
      <c r="A471" s="329" t="str">
        <f t="shared" si="7"/>
        <v/>
      </c>
    </row>
    <row r="472" spans="1:1">
      <c r="A472" s="329" t="str">
        <f t="shared" si="7"/>
        <v/>
      </c>
    </row>
    <row r="473" spans="1:1">
      <c r="A473" s="329" t="str">
        <f t="shared" si="7"/>
        <v/>
      </c>
    </row>
    <row r="474" spans="1:1">
      <c r="A474" s="329" t="str">
        <f t="shared" si="7"/>
        <v/>
      </c>
    </row>
    <row r="475" spans="1:1">
      <c r="A475" s="329" t="str">
        <f t="shared" si="7"/>
        <v/>
      </c>
    </row>
    <row r="476" spans="1:1">
      <c r="A476" s="329" t="str">
        <f t="shared" si="7"/>
        <v/>
      </c>
    </row>
    <row r="477" spans="1:1">
      <c r="A477" s="329" t="str">
        <f t="shared" si="7"/>
        <v/>
      </c>
    </row>
    <row r="478" spans="1:1">
      <c r="A478" s="329" t="str">
        <f t="shared" si="7"/>
        <v/>
      </c>
    </row>
    <row r="479" spans="1:1">
      <c r="A479" s="329" t="str">
        <f t="shared" si="7"/>
        <v/>
      </c>
    </row>
    <row r="480" spans="1:1">
      <c r="A480" s="329" t="str">
        <f t="shared" ref="A480:A543" si="8">IF(B480="","",A479+1)</f>
        <v/>
      </c>
    </row>
    <row r="481" spans="1:1">
      <c r="A481" s="329" t="str">
        <f t="shared" si="8"/>
        <v/>
      </c>
    </row>
    <row r="482" spans="1:1">
      <c r="A482" s="329" t="str">
        <f t="shared" si="8"/>
        <v/>
      </c>
    </row>
    <row r="483" spans="1:1">
      <c r="A483" s="329" t="str">
        <f t="shared" si="8"/>
        <v/>
      </c>
    </row>
    <row r="484" spans="1:1">
      <c r="A484" s="329" t="str">
        <f t="shared" si="8"/>
        <v/>
      </c>
    </row>
    <row r="485" spans="1:1">
      <c r="A485" s="329" t="str">
        <f t="shared" si="8"/>
        <v/>
      </c>
    </row>
    <row r="486" spans="1:1">
      <c r="A486" s="329" t="str">
        <f t="shared" si="8"/>
        <v/>
      </c>
    </row>
    <row r="487" spans="1:1">
      <c r="A487" s="329" t="str">
        <f t="shared" si="8"/>
        <v/>
      </c>
    </row>
    <row r="488" spans="1:1">
      <c r="A488" s="329" t="str">
        <f t="shared" si="8"/>
        <v/>
      </c>
    </row>
    <row r="489" spans="1:1">
      <c r="A489" s="329" t="str">
        <f t="shared" si="8"/>
        <v/>
      </c>
    </row>
    <row r="490" spans="1:1">
      <c r="A490" s="329" t="str">
        <f t="shared" si="8"/>
        <v/>
      </c>
    </row>
    <row r="491" spans="1:1">
      <c r="A491" s="329" t="str">
        <f t="shared" si="8"/>
        <v/>
      </c>
    </row>
    <row r="492" spans="1:1">
      <c r="A492" s="329" t="str">
        <f t="shared" si="8"/>
        <v/>
      </c>
    </row>
    <row r="493" spans="1:1">
      <c r="A493" s="329" t="str">
        <f t="shared" si="8"/>
        <v/>
      </c>
    </row>
    <row r="494" spans="1:1">
      <c r="A494" s="329" t="str">
        <f t="shared" si="8"/>
        <v/>
      </c>
    </row>
    <row r="495" spans="1:1">
      <c r="A495" s="329" t="str">
        <f t="shared" si="8"/>
        <v/>
      </c>
    </row>
    <row r="496" spans="1:1">
      <c r="A496" s="329" t="str">
        <f t="shared" si="8"/>
        <v/>
      </c>
    </row>
    <row r="497" spans="1:1">
      <c r="A497" s="329" t="str">
        <f t="shared" si="8"/>
        <v/>
      </c>
    </row>
    <row r="498" spans="1:1">
      <c r="A498" s="329" t="str">
        <f t="shared" si="8"/>
        <v/>
      </c>
    </row>
    <row r="499" spans="1:1">
      <c r="A499" s="329" t="str">
        <f t="shared" si="8"/>
        <v/>
      </c>
    </row>
    <row r="500" spans="1:1">
      <c r="A500" s="329" t="str">
        <f t="shared" si="8"/>
        <v/>
      </c>
    </row>
    <row r="501" spans="1:1">
      <c r="A501" s="329" t="str">
        <f t="shared" si="8"/>
        <v/>
      </c>
    </row>
    <row r="502" spans="1:1">
      <c r="A502" s="329" t="str">
        <f t="shared" si="8"/>
        <v/>
      </c>
    </row>
    <row r="503" spans="1:1">
      <c r="A503" s="329" t="str">
        <f t="shared" si="8"/>
        <v/>
      </c>
    </row>
    <row r="504" spans="1:1">
      <c r="A504" s="329" t="str">
        <f t="shared" si="8"/>
        <v/>
      </c>
    </row>
    <row r="505" spans="1:1">
      <c r="A505" s="329" t="str">
        <f t="shared" si="8"/>
        <v/>
      </c>
    </row>
    <row r="506" spans="1:1">
      <c r="A506" s="329" t="str">
        <f t="shared" si="8"/>
        <v/>
      </c>
    </row>
    <row r="507" spans="1:1">
      <c r="A507" s="329" t="str">
        <f t="shared" si="8"/>
        <v/>
      </c>
    </row>
    <row r="508" spans="1:1">
      <c r="A508" s="329" t="str">
        <f t="shared" si="8"/>
        <v/>
      </c>
    </row>
    <row r="509" spans="1:1">
      <c r="A509" s="329" t="str">
        <f t="shared" si="8"/>
        <v/>
      </c>
    </row>
    <row r="510" spans="1:1">
      <c r="A510" s="329" t="str">
        <f t="shared" si="8"/>
        <v/>
      </c>
    </row>
    <row r="511" spans="1:1">
      <c r="A511" s="329" t="str">
        <f t="shared" si="8"/>
        <v/>
      </c>
    </row>
    <row r="512" spans="1:1">
      <c r="A512" s="329" t="str">
        <f t="shared" si="8"/>
        <v/>
      </c>
    </row>
    <row r="513" spans="1:1">
      <c r="A513" s="329" t="str">
        <f t="shared" si="8"/>
        <v/>
      </c>
    </row>
    <row r="514" spans="1:1">
      <c r="A514" s="329" t="str">
        <f t="shared" si="8"/>
        <v/>
      </c>
    </row>
    <row r="515" spans="1:1">
      <c r="A515" s="329" t="str">
        <f t="shared" si="8"/>
        <v/>
      </c>
    </row>
    <row r="516" spans="1:1">
      <c r="A516" s="329" t="str">
        <f t="shared" si="8"/>
        <v/>
      </c>
    </row>
    <row r="517" spans="1:1">
      <c r="A517" s="329" t="str">
        <f t="shared" si="8"/>
        <v/>
      </c>
    </row>
    <row r="518" spans="1:1">
      <c r="A518" s="329" t="str">
        <f t="shared" si="8"/>
        <v/>
      </c>
    </row>
    <row r="519" spans="1:1">
      <c r="A519" s="329" t="str">
        <f t="shared" si="8"/>
        <v/>
      </c>
    </row>
    <row r="520" spans="1:1">
      <c r="A520" s="329" t="str">
        <f t="shared" si="8"/>
        <v/>
      </c>
    </row>
    <row r="521" spans="1:1">
      <c r="A521" s="329" t="str">
        <f t="shared" si="8"/>
        <v/>
      </c>
    </row>
    <row r="522" spans="1:1">
      <c r="A522" s="329" t="str">
        <f t="shared" si="8"/>
        <v/>
      </c>
    </row>
    <row r="523" spans="1:1">
      <c r="A523" s="329" t="str">
        <f t="shared" si="8"/>
        <v/>
      </c>
    </row>
    <row r="524" spans="1:1">
      <c r="A524" s="329" t="str">
        <f t="shared" si="8"/>
        <v/>
      </c>
    </row>
    <row r="525" spans="1:1">
      <c r="A525" s="329" t="str">
        <f t="shared" si="8"/>
        <v/>
      </c>
    </row>
    <row r="526" spans="1:1">
      <c r="A526" s="329" t="str">
        <f t="shared" si="8"/>
        <v/>
      </c>
    </row>
    <row r="527" spans="1:1">
      <c r="A527" s="329" t="str">
        <f t="shared" si="8"/>
        <v/>
      </c>
    </row>
    <row r="528" spans="1:1">
      <c r="A528" s="329" t="str">
        <f t="shared" si="8"/>
        <v/>
      </c>
    </row>
    <row r="529" spans="1:1">
      <c r="A529" s="329" t="str">
        <f t="shared" si="8"/>
        <v/>
      </c>
    </row>
    <row r="530" spans="1:1">
      <c r="A530" s="329" t="str">
        <f t="shared" si="8"/>
        <v/>
      </c>
    </row>
    <row r="531" spans="1:1">
      <c r="A531" s="329" t="str">
        <f t="shared" si="8"/>
        <v/>
      </c>
    </row>
    <row r="532" spans="1:1">
      <c r="A532" s="329" t="str">
        <f t="shared" si="8"/>
        <v/>
      </c>
    </row>
    <row r="533" spans="1:1">
      <c r="A533" s="329" t="str">
        <f t="shared" si="8"/>
        <v/>
      </c>
    </row>
    <row r="534" spans="1:1">
      <c r="A534" s="329" t="str">
        <f t="shared" si="8"/>
        <v/>
      </c>
    </row>
    <row r="535" spans="1:1">
      <c r="A535" s="329" t="str">
        <f t="shared" si="8"/>
        <v/>
      </c>
    </row>
    <row r="536" spans="1:1">
      <c r="A536" s="329" t="str">
        <f t="shared" si="8"/>
        <v/>
      </c>
    </row>
    <row r="537" spans="1:1">
      <c r="A537" s="329" t="str">
        <f t="shared" si="8"/>
        <v/>
      </c>
    </row>
    <row r="538" spans="1:1">
      <c r="A538" s="329" t="str">
        <f t="shared" si="8"/>
        <v/>
      </c>
    </row>
    <row r="539" spans="1:1">
      <c r="A539" s="329" t="str">
        <f t="shared" si="8"/>
        <v/>
      </c>
    </row>
    <row r="540" spans="1:1">
      <c r="A540" s="329" t="str">
        <f t="shared" si="8"/>
        <v/>
      </c>
    </row>
    <row r="541" spans="1:1">
      <c r="A541" s="329" t="str">
        <f t="shared" si="8"/>
        <v/>
      </c>
    </row>
    <row r="542" spans="1:1">
      <c r="A542" s="329" t="str">
        <f t="shared" si="8"/>
        <v/>
      </c>
    </row>
    <row r="543" spans="1:1">
      <c r="A543" s="329" t="str">
        <f t="shared" si="8"/>
        <v/>
      </c>
    </row>
    <row r="544" spans="1:1">
      <c r="A544" s="329" t="str">
        <f t="shared" ref="A544:A607" si="9">IF(B544="","",A543+1)</f>
        <v/>
      </c>
    </row>
    <row r="545" spans="1:1">
      <c r="A545" s="329" t="str">
        <f t="shared" si="9"/>
        <v/>
      </c>
    </row>
    <row r="546" spans="1:1">
      <c r="A546" s="329" t="str">
        <f t="shared" si="9"/>
        <v/>
      </c>
    </row>
    <row r="547" spans="1:1">
      <c r="A547" s="329" t="str">
        <f t="shared" si="9"/>
        <v/>
      </c>
    </row>
    <row r="548" spans="1:1">
      <c r="A548" s="329" t="str">
        <f t="shared" si="9"/>
        <v/>
      </c>
    </row>
    <row r="549" spans="1:1">
      <c r="A549" s="329" t="str">
        <f t="shared" si="9"/>
        <v/>
      </c>
    </row>
    <row r="550" spans="1:1">
      <c r="A550" s="329" t="str">
        <f t="shared" si="9"/>
        <v/>
      </c>
    </row>
    <row r="551" spans="1:1">
      <c r="A551" s="329" t="str">
        <f t="shared" si="9"/>
        <v/>
      </c>
    </row>
    <row r="552" spans="1:1">
      <c r="A552" s="329" t="str">
        <f t="shared" si="9"/>
        <v/>
      </c>
    </row>
    <row r="553" spans="1:1">
      <c r="A553" s="329" t="str">
        <f t="shared" si="9"/>
        <v/>
      </c>
    </row>
    <row r="554" spans="1:1">
      <c r="A554" s="329" t="str">
        <f t="shared" si="9"/>
        <v/>
      </c>
    </row>
    <row r="555" spans="1:1">
      <c r="A555" s="329" t="str">
        <f t="shared" si="9"/>
        <v/>
      </c>
    </row>
    <row r="556" spans="1:1">
      <c r="A556" s="329" t="str">
        <f t="shared" si="9"/>
        <v/>
      </c>
    </row>
    <row r="557" spans="1:1">
      <c r="A557" s="329" t="str">
        <f t="shared" si="9"/>
        <v/>
      </c>
    </row>
    <row r="558" spans="1:1">
      <c r="A558" s="329" t="str">
        <f t="shared" si="9"/>
        <v/>
      </c>
    </row>
    <row r="559" spans="1:1">
      <c r="A559" s="329" t="str">
        <f t="shared" si="9"/>
        <v/>
      </c>
    </row>
    <row r="560" spans="1:1">
      <c r="A560" s="329" t="str">
        <f t="shared" si="9"/>
        <v/>
      </c>
    </row>
    <row r="561" spans="1:1">
      <c r="A561" s="329" t="str">
        <f t="shared" si="9"/>
        <v/>
      </c>
    </row>
    <row r="562" spans="1:1">
      <c r="A562" s="329" t="str">
        <f t="shared" si="9"/>
        <v/>
      </c>
    </row>
    <row r="563" spans="1:1">
      <c r="A563" s="329" t="str">
        <f t="shared" si="9"/>
        <v/>
      </c>
    </row>
    <row r="564" spans="1:1">
      <c r="A564" s="329" t="str">
        <f t="shared" si="9"/>
        <v/>
      </c>
    </row>
    <row r="565" spans="1:1">
      <c r="A565" s="329" t="str">
        <f t="shared" si="9"/>
        <v/>
      </c>
    </row>
    <row r="566" spans="1:1">
      <c r="A566" s="329" t="str">
        <f t="shared" si="9"/>
        <v/>
      </c>
    </row>
    <row r="567" spans="1:1">
      <c r="A567" s="329" t="str">
        <f t="shared" si="9"/>
        <v/>
      </c>
    </row>
    <row r="568" spans="1:1">
      <c r="A568" s="329" t="str">
        <f t="shared" si="9"/>
        <v/>
      </c>
    </row>
    <row r="569" spans="1:1">
      <c r="A569" s="329" t="str">
        <f t="shared" si="9"/>
        <v/>
      </c>
    </row>
    <row r="570" spans="1:1">
      <c r="A570" s="329" t="str">
        <f t="shared" si="9"/>
        <v/>
      </c>
    </row>
    <row r="571" spans="1:1">
      <c r="A571" s="329" t="str">
        <f t="shared" si="9"/>
        <v/>
      </c>
    </row>
    <row r="572" spans="1:1">
      <c r="A572" s="329" t="str">
        <f t="shared" si="9"/>
        <v/>
      </c>
    </row>
    <row r="573" spans="1:1">
      <c r="A573" s="329" t="str">
        <f t="shared" si="9"/>
        <v/>
      </c>
    </row>
    <row r="574" spans="1:1">
      <c r="A574" s="329" t="str">
        <f t="shared" si="9"/>
        <v/>
      </c>
    </row>
    <row r="575" spans="1:1">
      <c r="A575" s="329" t="str">
        <f t="shared" si="9"/>
        <v/>
      </c>
    </row>
    <row r="576" spans="1:1">
      <c r="A576" s="329" t="str">
        <f t="shared" si="9"/>
        <v/>
      </c>
    </row>
    <row r="577" spans="1:1">
      <c r="A577" s="329" t="str">
        <f t="shared" si="9"/>
        <v/>
      </c>
    </row>
    <row r="578" spans="1:1">
      <c r="A578" s="329" t="str">
        <f t="shared" si="9"/>
        <v/>
      </c>
    </row>
    <row r="579" spans="1:1">
      <c r="A579" s="329" t="str">
        <f t="shared" si="9"/>
        <v/>
      </c>
    </row>
    <row r="580" spans="1:1">
      <c r="A580" s="329" t="str">
        <f t="shared" si="9"/>
        <v/>
      </c>
    </row>
    <row r="581" spans="1:1">
      <c r="A581" s="329" t="str">
        <f t="shared" si="9"/>
        <v/>
      </c>
    </row>
    <row r="582" spans="1:1">
      <c r="A582" s="329" t="str">
        <f t="shared" si="9"/>
        <v/>
      </c>
    </row>
    <row r="583" spans="1:1">
      <c r="A583" s="329" t="str">
        <f t="shared" si="9"/>
        <v/>
      </c>
    </row>
    <row r="584" spans="1:1">
      <c r="A584" s="329" t="str">
        <f t="shared" si="9"/>
        <v/>
      </c>
    </row>
    <row r="585" spans="1:1">
      <c r="A585" s="329" t="str">
        <f t="shared" si="9"/>
        <v/>
      </c>
    </row>
    <row r="586" spans="1:1">
      <c r="A586" s="329" t="str">
        <f t="shared" si="9"/>
        <v/>
      </c>
    </row>
    <row r="587" spans="1:1">
      <c r="A587" s="329" t="str">
        <f t="shared" si="9"/>
        <v/>
      </c>
    </row>
    <row r="588" spans="1:1">
      <c r="A588" s="329" t="str">
        <f t="shared" si="9"/>
        <v/>
      </c>
    </row>
    <row r="589" spans="1:1">
      <c r="A589" s="329" t="str">
        <f t="shared" si="9"/>
        <v/>
      </c>
    </row>
    <row r="590" spans="1:1">
      <c r="A590" s="329" t="str">
        <f t="shared" si="9"/>
        <v/>
      </c>
    </row>
    <row r="591" spans="1:1">
      <c r="A591" s="329" t="str">
        <f t="shared" si="9"/>
        <v/>
      </c>
    </row>
    <row r="592" spans="1:1">
      <c r="A592" s="329" t="str">
        <f t="shared" si="9"/>
        <v/>
      </c>
    </row>
    <row r="593" spans="1:1">
      <c r="A593" s="329" t="str">
        <f t="shared" si="9"/>
        <v/>
      </c>
    </row>
    <row r="594" spans="1:1">
      <c r="A594" s="329" t="str">
        <f t="shared" si="9"/>
        <v/>
      </c>
    </row>
    <row r="595" spans="1:1">
      <c r="A595" s="329" t="str">
        <f t="shared" si="9"/>
        <v/>
      </c>
    </row>
    <row r="596" spans="1:1">
      <c r="A596" s="329" t="str">
        <f t="shared" si="9"/>
        <v/>
      </c>
    </row>
    <row r="597" spans="1:1">
      <c r="A597" s="329" t="str">
        <f t="shared" si="9"/>
        <v/>
      </c>
    </row>
    <row r="598" spans="1:1">
      <c r="A598" s="329" t="str">
        <f t="shared" si="9"/>
        <v/>
      </c>
    </row>
    <row r="599" spans="1:1">
      <c r="A599" s="329" t="str">
        <f t="shared" si="9"/>
        <v/>
      </c>
    </row>
    <row r="600" spans="1:1">
      <c r="A600" s="329" t="str">
        <f t="shared" si="9"/>
        <v/>
      </c>
    </row>
    <row r="601" spans="1:1">
      <c r="A601" s="329" t="str">
        <f t="shared" si="9"/>
        <v/>
      </c>
    </row>
    <row r="602" spans="1:1">
      <c r="A602" s="329" t="str">
        <f t="shared" si="9"/>
        <v/>
      </c>
    </row>
    <row r="603" spans="1:1">
      <c r="A603" s="329" t="str">
        <f t="shared" si="9"/>
        <v/>
      </c>
    </row>
    <row r="604" spans="1:1">
      <c r="A604" s="329" t="str">
        <f t="shared" si="9"/>
        <v/>
      </c>
    </row>
    <row r="605" spans="1:1">
      <c r="A605" s="329" t="str">
        <f t="shared" si="9"/>
        <v/>
      </c>
    </row>
    <row r="606" spans="1:1">
      <c r="A606" s="329" t="str">
        <f t="shared" si="9"/>
        <v/>
      </c>
    </row>
    <row r="607" spans="1:1">
      <c r="A607" s="329" t="str">
        <f t="shared" si="9"/>
        <v/>
      </c>
    </row>
    <row r="608" spans="1:1">
      <c r="A608" s="329" t="str">
        <f t="shared" ref="A608:A671" si="10">IF(B608="","",A607+1)</f>
        <v/>
      </c>
    </row>
    <row r="609" spans="1:1">
      <c r="A609" s="329" t="str">
        <f t="shared" si="10"/>
        <v/>
      </c>
    </row>
    <row r="610" spans="1:1">
      <c r="A610" s="329" t="str">
        <f t="shared" si="10"/>
        <v/>
      </c>
    </row>
    <row r="611" spans="1:1">
      <c r="A611" s="329" t="str">
        <f t="shared" si="10"/>
        <v/>
      </c>
    </row>
    <row r="612" spans="1:1">
      <c r="A612" s="329" t="str">
        <f t="shared" si="10"/>
        <v/>
      </c>
    </row>
    <row r="613" spans="1:1">
      <c r="A613" s="329" t="str">
        <f t="shared" si="10"/>
        <v/>
      </c>
    </row>
    <row r="614" spans="1:1">
      <c r="A614" s="329" t="str">
        <f t="shared" si="10"/>
        <v/>
      </c>
    </row>
    <row r="615" spans="1:1">
      <c r="A615" s="329" t="str">
        <f t="shared" si="10"/>
        <v/>
      </c>
    </row>
    <row r="616" spans="1:1">
      <c r="A616" s="329" t="str">
        <f t="shared" si="10"/>
        <v/>
      </c>
    </row>
    <row r="617" spans="1:1">
      <c r="A617" s="329" t="str">
        <f t="shared" si="10"/>
        <v/>
      </c>
    </row>
    <row r="618" spans="1:1">
      <c r="A618" s="329" t="str">
        <f t="shared" si="10"/>
        <v/>
      </c>
    </row>
    <row r="619" spans="1:1">
      <c r="A619" s="329" t="str">
        <f t="shared" si="10"/>
        <v/>
      </c>
    </row>
    <row r="620" spans="1:1">
      <c r="A620" s="329" t="str">
        <f t="shared" si="10"/>
        <v/>
      </c>
    </row>
    <row r="621" spans="1:1">
      <c r="A621" s="329" t="str">
        <f t="shared" si="10"/>
        <v/>
      </c>
    </row>
    <row r="622" spans="1:1">
      <c r="A622" s="329" t="str">
        <f t="shared" si="10"/>
        <v/>
      </c>
    </row>
    <row r="623" spans="1:1">
      <c r="A623" s="329" t="str">
        <f t="shared" si="10"/>
        <v/>
      </c>
    </row>
    <row r="624" spans="1:1">
      <c r="A624" s="329" t="str">
        <f t="shared" si="10"/>
        <v/>
      </c>
    </row>
    <row r="625" spans="1:1">
      <c r="A625" s="329" t="str">
        <f t="shared" si="10"/>
        <v/>
      </c>
    </row>
    <row r="626" spans="1:1">
      <c r="A626" s="329" t="str">
        <f t="shared" si="10"/>
        <v/>
      </c>
    </row>
    <row r="627" spans="1:1">
      <c r="A627" s="329" t="str">
        <f t="shared" si="10"/>
        <v/>
      </c>
    </row>
    <row r="628" spans="1:1">
      <c r="A628" s="329" t="str">
        <f t="shared" si="10"/>
        <v/>
      </c>
    </row>
    <row r="629" spans="1:1">
      <c r="A629" s="329" t="str">
        <f t="shared" si="10"/>
        <v/>
      </c>
    </row>
    <row r="630" spans="1:1">
      <c r="A630" s="329" t="str">
        <f t="shared" si="10"/>
        <v/>
      </c>
    </row>
    <row r="631" spans="1:1">
      <c r="A631" s="329" t="str">
        <f t="shared" si="10"/>
        <v/>
      </c>
    </row>
    <row r="632" spans="1:1">
      <c r="A632" s="329" t="str">
        <f t="shared" si="10"/>
        <v/>
      </c>
    </row>
    <row r="633" spans="1:1">
      <c r="A633" s="329" t="str">
        <f t="shared" si="10"/>
        <v/>
      </c>
    </row>
    <row r="634" spans="1:1">
      <c r="A634" s="329" t="str">
        <f t="shared" si="10"/>
        <v/>
      </c>
    </row>
    <row r="635" spans="1:1">
      <c r="A635" s="329" t="str">
        <f t="shared" si="10"/>
        <v/>
      </c>
    </row>
    <row r="636" spans="1:1">
      <c r="A636" s="329" t="str">
        <f t="shared" si="10"/>
        <v/>
      </c>
    </row>
    <row r="637" spans="1:1">
      <c r="A637" s="329" t="str">
        <f t="shared" si="10"/>
        <v/>
      </c>
    </row>
    <row r="638" spans="1:1">
      <c r="A638" s="329" t="str">
        <f t="shared" si="10"/>
        <v/>
      </c>
    </row>
    <row r="639" spans="1:1">
      <c r="A639" s="329" t="str">
        <f t="shared" si="10"/>
        <v/>
      </c>
    </row>
    <row r="640" spans="1:1">
      <c r="A640" s="329" t="str">
        <f t="shared" si="10"/>
        <v/>
      </c>
    </row>
    <row r="641" spans="1:1">
      <c r="A641" s="329" t="str">
        <f t="shared" si="10"/>
        <v/>
      </c>
    </row>
    <row r="642" spans="1:1">
      <c r="A642" s="329" t="str">
        <f t="shared" si="10"/>
        <v/>
      </c>
    </row>
    <row r="643" spans="1:1">
      <c r="A643" s="329" t="str">
        <f t="shared" si="10"/>
        <v/>
      </c>
    </row>
    <row r="644" spans="1:1">
      <c r="A644" s="329" t="str">
        <f t="shared" si="10"/>
        <v/>
      </c>
    </row>
    <row r="645" spans="1:1">
      <c r="A645" s="329" t="str">
        <f t="shared" si="10"/>
        <v/>
      </c>
    </row>
    <row r="646" spans="1:1">
      <c r="A646" s="329" t="str">
        <f t="shared" si="10"/>
        <v/>
      </c>
    </row>
    <row r="647" spans="1:1">
      <c r="A647" s="329" t="str">
        <f t="shared" si="10"/>
        <v/>
      </c>
    </row>
    <row r="648" spans="1:1">
      <c r="A648" s="329" t="str">
        <f t="shared" si="10"/>
        <v/>
      </c>
    </row>
    <row r="649" spans="1:1">
      <c r="A649" s="329" t="str">
        <f t="shared" si="10"/>
        <v/>
      </c>
    </row>
    <row r="650" spans="1:1">
      <c r="A650" s="329" t="str">
        <f t="shared" si="10"/>
        <v/>
      </c>
    </row>
    <row r="651" spans="1:1">
      <c r="A651" s="329" t="str">
        <f t="shared" si="10"/>
        <v/>
      </c>
    </row>
    <row r="652" spans="1:1">
      <c r="A652" s="329" t="str">
        <f t="shared" si="10"/>
        <v/>
      </c>
    </row>
    <row r="653" spans="1:1">
      <c r="A653" s="329" t="str">
        <f t="shared" si="10"/>
        <v/>
      </c>
    </row>
    <row r="654" spans="1:1">
      <c r="A654" s="329" t="str">
        <f t="shared" si="10"/>
        <v/>
      </c>
    </row>
    <row r="655" spans="1:1">
      <c r="A655" s="329" t="str">
        <f t="shared" si="10"/>
        <v/>
      </c>
    </row>
    <row r="656" spans="1:1">
      <c r="A656" s="329" t="str">
        <f t="shared" si="10"/>
        <v/>
      </c>
    </row>
    <row r="657" spans="1:1">
      <c r="A657" s="329" t="str">
        <f t="shared" si="10"/>
        <v/>
      </c>
    </row>
    <row r="658" spans="1:1">
      <c r="A658" s="329" t="str">
        <f t="shared" si="10"/>
        <v/>
      </c>
    </row>
    <row r="659" spans="1:1">
      <c r="A659" s="329" t="str">
        <f t="shared" si="10"/>
        <v/>
      </c>
    </row>
    <row r="660" spans="1:1">
      <c r="A660" s="329" t="str">
        <f t="shared" si="10"/>
        <v/>
      </c>
    </row>
    <row r="661" spans="1:1">
      <c r="A661" s="329" t="str">
        <f t="shared" si="10"/>
        <v/>
      </c>
    </row>
    <row r="662" spans="1:1">
      <c r="A662" s="329" t="str">
        <f t="shared" si="10"/>
        <v/>
      </c>
    </row>
    <row r="663" spans="1:1">
      <c r="A663" s="329" t="str">
        <f t="shared" si="10"/>
        <v/>
      </c>
    </row>
    <row r="664" spans="1:1">
      <c r="A664" s="329" t="str">
        <f t="shared" si="10"/>
        <v/>
      </c>
    </row>
    <row r="665" spans="1:1">
      <c r="A665" s="329" t="str">
        <f t="shared" si="10"/>
        <v/>
      </c>
    </row>
    <row r="666" spans="1:1">
      <c r="A666" s="329" t="str">
        <f t="shared" si="10"/>
        <v/>
      </c>
    </row>
    <row r="667" spans="1:1">
      <c r="A667" s="329" t="str">
        <f t="shared" si="10"/>
        <v/>
      </c>
    </row>
    <row r="668" spans="1:1">
      <c r="A668" s="329" t="str">
        <f t="shared" si="10"/>
        <v/>
      </c>
    </row>
    <row r="669" spans="1:1">
      <c r="A669" s="329" t="str">
        <f t="shared" si="10"/>
        <v/>
      </c>
    </row>
    <row r="670" spans="1:1">
      <c r="A670" s="329" t="str">
        <f t="shared" si="10"/>
        <v/>
      </c>
    </row>
    <row r="671" spans="1:1">
      <c r="A671" s="329" t="str">
        <f t="shared" si="10"/>
        <v/>
      </c>
    </row>
    <row r="672" spans="1:1">
      <c r="A672" s="329" t="str">
        <f t="shared" ref="A672:A735" si="11">IF(B672="","",A671+1)</f>
        <v/>
      </c>
    </row>
    <row r="673" spans="1:1">
      <c r="A673" s="329" t="str">
        <f t="shared" si="11"/>
        <v/>
      </c>
    </row>
    <row r="674" spans="1:1">
      <c r="A674" s="329" t="str">
        <f t="shared" si="11"/>
        <v/>
      </c>
    </row>
    <row r="675" spans="1:1">
      <c r="A675" s="329" t="str">
        <f t="shared" si="11"/>
        <v/>
      </c>
    </row>
    <row r="676" spans="1:1">
      <c r="A676" s="329" t="str">
        <f t="shared" si="11"/>
        <v/>
      </c>
    </row>
    <row r="677" spans="1:1">
      <c r="A677" s="329" t="str">
        <f t="shared" si="11"/>
        <v/>
      </c>
    </row>
    <row r="678" spans="1:1">
      <c r="A678" s="329" t="str">
        <f t="shared" si="11"/>
        <v/>
      </c>
    </row>
    <row r="679" spans="1:1">
      <c r="A679" s="329" t="str">
        <f t="shared" si="11"/>
        <v/>
      </c>
    </row>
    <row r="680" spans="1:1">
      <c r="A680" s="329" t="str">
        <f t="shared" si="11"/>
        <v/>
      </c>
    </row>
    <row r="681" spans="1:1">
      <c r="A681" s="329" t="str">
        <f t="shared" si="11"/>
        <v/>
      </c>
    </row>
    <row r="682" spans="1:1">
      <c r="A682" s="329" t="str">
        <f t="shared" si="11"/>
        <v/>
      </c>
    </row>
    <row r="683" spans="1:1">
      <c r="A683" s="329" t="str">
        <f t="shared" si="11"/>
        <v/>
      </c>
    </row>
    <row r="684" spans="1:1">
      <c r="A684" s="329" t="str">
        <f t="shared" si="11"/>
        <v/>
      </c>
    </row>
    <row r="685" spans="1:1">
      <c r="A685" s="329" t="str">
        <f t="shared" si="11"/>
        <v/>
      </c>
    </row>
    <row r="686" spans="1:1">
      <c r="A686" s="329" t="str">
        <f t="shared" si="11"/>
        <v/>
      </c>
    </row>
    <row r="687" spans="1:1">
      <c r="A687" s="329" t="str">
        <f t="shared" si="11"/>
        <v/>
      </c>
    </row>
    <row r="688" spans="1:1">
      <c r="A688" s="329" t="str">
        <f t="shared" si="11"/>
        <v/>
      </c>
    </row>
    <row r="689" spans="1:1">
      <c r="A689" s="329" t="str">
        <f t="shared" si="11"/>
        <v/>
      </c>
    </row>
    <row r="690" spans="1:1">
      <c r="A690" s="329" t="str">
        <f t="shared" si="11"/>
        <v/>
      </c>
    </row>
    <row r="691" spans="1:1">
      <c r="A691" s="329" t="str">
        <f t="shared" si="11"/>
        <v/>
      </c>
    </row>
    <row r="692" spans="1:1">
      <c r="A692" s="329" t="str">
        <f t="shared" si="11"/>
        <v/>
      </c>
    </row>
    <row r="693" spans="1:1">
      <c r="A693" s="329" t="str">
        <f t="shared" si="11"/>
        <v/>
      </c>
    </row>
    <row r="694" spans="1:1">
      <c r="A694" s="329" t="str">
        <f t="shared" si="11"/>
        <v/>
      </c>
    </row>
    <row r="695" spans="1:1">
      <c r="A695" s="329" t="str">
        <f t="shared" si="11"/>
        <v/>
      </c>
    </row>
    <row r="696" spans="1:1">
      <c r="A696" s="329" t="str">
        <f t="shared" si="11"/>
        <v/>
      </c>
    </row>
    <row r="697" spans="1:1">
      <c r="A697" s="329" t="str">
        <f t="shared" si="11"/>
        <v/>
      </c>
    </row>
    <row r="698" spans="1:1">
      <c r="A698" s="329" t="str">
        <f t="shared" si="11"/>
        <v/>
      </c>
    </row>
    <row r="699" spans="1:1">
      <c r="A699" s="329" t="str">
        <f t="shared" si="11"/>
        <v/>
      </c>
    </row>
    <row r="700" spans="1:1">
      <c r="A700" s="329" t="str">
        <f t="shared" si="11"/>
        <v/>
      </c>
    </row>
    <row r="701" spans="1:1">
      <c r="A701" s="329" t="str">
        <f t="shared" si="11"/>
        <v/>
      </c>
    </row>
    <row r="702" spans="1:1">
      <c r="A702" s="329" t="str">
        <f t="shared" si="11"/>
        <v/>
      </c>
    </row>
    <row r="703" spans="1:1">
      <c r="A703" s="329" t="str">
        <f t="shared" si="11"/>
        <v/>
      </c>
    </row>
    <row r="704" spans="1:1">
      <c r="A704" s="329" t="str">
        <f t="shared" si="11"/>
        <v/>
      </c>
    </row>
    <row r="705" spans="1:1">
      <c r="A705" s="329" t="str">
        <f t="shared" si="11"/>
        <v/>
      </c>
    </row>
    <row r="706" spans="1:1">
      <c r="A706" s="329" t="str">
        <f t="shared" si="11"/>
        <v/>
      </c>
    </row>
    <row r="707" spans="1:1">
      <c r="A707" s="329" t="str">
        <f t="shared" si="11"/>
        <v/>
      </c>
    </row>
    <row r="708" spans="1:1">
      <c r="A708" s="329" t="str">
        <f t="shared" si="11"/>
        <v/>
      </c>
    </row>
    <row r="709" spans="1:1">
      <c r="A709" s="329" t="str">
        <f t="shared" si="11"/>
        <v/>
      </c>
    </row>
    <row r="710" spans="1:1">
      <c r="A710" s="329" t="str">
        <f t="shared" si="11"/>
        <v/>
      </c>
    </row>
    <row r="711" spans="1:1">
      <c r="A711" s="329" t="str">
        <f t="shared" si="11"/>
        <v/>
      </c>
    </row>
    <row r="712" spans="1:1">
      <c r="A712" s="329" t="str">
        <f t="shared" si="11"/>
        <v/>
      </c>
    </row>
    <row r="713" spans="1:1">
      <c r="A713" s="329" t="str">
        <f t="shared" si="11"/>
        <v/>
      </c>
    </row>
    <row r="714" spans="1:1">
      <c r="A714" s="329" t="str">
        <f t="shared" si="11"/>
        <v/>
      </c>
    </row>
    <row r="715" spans="1:1">
      <c r="A715" s="329" t="str">
        <f t="shared" si="11"/>
        <v/>
      </c>
    </row>
    <row r="716" spans="1:1">
      <c r="A716" s="329" t="str">
        <f t="shared" si="11"/>
        <v/>
      </c>
    </row>
    <row r="717" spans="1:1">
      <c r="A717" s="329" t="str">
        <f t="shared" si="11"/>
        <v/>
      </c>
    </row>
    <row r="718" spans="1:1">
      <c r="A718" s="329" t="str">
        <f t="shared" si="11"/>
        <v/>
      </c>
    </row>
    <row r="719" spans="1:1">
      <c r="A719" s="329" t="str">
        <f t="shared" si="11"/>
        <v/>
      </c>
    </row>
    <row r="720" spans="1:1">
      <c r="A720" s="329" t="str">
        <f t="shared" si="11"/>
        <v/>
      </c>
    </row>
    <row r="721" spans="1:1">
      <c r="A721" s="329" t="str">
        <f t="shared" si="11"/>
        <v/>
      </c>
    </row>
    <row r="722" spans="1:1">
      <c r="A722" s="329" t="str">
        <f t="shared" si="11"/>
        <v/>
      </c>
    </row>
    <row r="723" spans="1:1">
      <c r="A723" s="329" t="str">
        <f t="shared" si="11"/>
        <v/>
      </c>
    </row>
    <row r="724" spans="1:1">
      <c r="A724" s="329" t="str">
        <f t="shared" si="11"/>
        <v/>
      </c>
    </row>
    <row r="725" spans="1:1">
      <c r="A725" s="329" t="str">
        <f t="shared" si="11"/>
        <v/>
      </c>
    </row>
    <row r="726" spans="1:1">
      <c r="A726" s="329" t="str">
        <f t="shared" si="11"/>
        <v/>
      </c>
    </row>
    <row r="727" spans="1:1">
      <c r="A727" s="329" t="str">
        <f t="shared" si="11"/>
        <v/>
      </c>
    </row>
    <row r="728" spans="1:1">
      <c r="A728" s="329" t="str">
        <f t="shared" si="11"/>
        <v/>
      </c>
    </row>
    <row r="729" spans="1:1">
      <c r="A729" s="329" t="str">
        <f t="shared" si="11"/>
        <v/>
      </c>
    </row>
    <row r="730" spans="1:1">
      <c r="A730" s="329" t="str">
        <f t="shared" si="11"/>
        <v/>
      </c>
    </row>
    <row r="731" spans="1:1">
      <c r="A731" s="329" t="str">
        <f t="shared" si="11"/>
        <v/>
      </c>
    </row>
    <row r="732" spans="1:1">
      <c r="A732" s="329" t="str">
        <f t="shared" si="11"/>
        <v/>
      </c>
    </row>
    <row r="733" spans="1:1">
      <c r="A733" s="329" t="str">
        <f t="shared" si="11"/>
        <v/>
      </c>
    </row>
    <row r="734" spans="1:1">
      <c r="A734" s="329" t="str">
        <f t="shared" si="11"/>
        <v/>
      </c>
    </row>
    <row r="735" spans="1:1">
      <c r="A735" s="329" t="str">
        <f t="shared" si="11"/>
        <v/>
      </c>
    </row>
    <row r="736" spans="1:1">
      <c r="A736" s="329" t="str">
        <f t="shared" ref="A736:A799" si="12">IF(B736="","",A735+1)</f>
        <v/>
      </c>
    </row>
    <row r="737" spans="1:1">
      <c r="A737" s="329" t="str">
        <f t="shared" si="12"/>
        <v/>
      </c>
    </row>
    <row r="738" spans="1:1">
      <c r="A738" s="329" t="str">
        <f t="shared" si="12"/>
        <v/>
      </c>
    </row>
    <row r="739" spans="1:1">
      <c r="A739" s="329" t="str">
        <f t="shared" si="12"/>
        <v/>
      </c>
    </row>
    <row r="740" spans="1:1">
      <c r="A740" s="329" t="str">
        <f t="shared" si="12"/>
        <v/>
      </c>
    </row>
    <row r="741" spans="1:1">
      <c r="A741" s="329" t="str">
        <f t="shared" si="12"/>
        <v/>
      </c>
    </row>
    <row r="742" spans="1:1">
      <c r="A742" s="329" t="str">
        <f t="shared" si="12"/>
        <v/>
      </c>
    </row>
    <row r="743" spans="1:1">
      <c r="A743" s="329" t="str">
        <f t="shared" si="12"/>
        <v/>
      </c>
    </row>
    <row r="744" spans="1:1">
      <c r="A744" s="329" t="str">
        <f t="shared" si="12"/>
        <v/>
      </c>
    </row>
    <row r="745" spans="1:1">
      <c r="A745" s="329" t="str">
        <f t="shared" si="12"/>
        <v/>
      </c>
    </row>
    <row r="746" spans="1:1">
      <c r="A746" s="329" t="str">
        <f t="shared" si="12"/>
        <v/>
      </c>
    </row>
    <row r="747" spans="1:1">
      <c r="A747" s="329" t="str">
        <f t="shared" si="12"/>
        <v/>
      </c>
    </row>
    <row r="748" spans="1:1">
      <c r="A748" s="329" t="str">
        <f t="shared" si="12"/>
        <v/>
      </c>
    </row>
    <row r="749" spans="1:1">
      <c r="A749" s="329" t="str">
        <f t="shared" si="12"/>
        <v/>
      </c>
    </row>
    <row r="750" spans="1:1">
      <c r="A750" s="329" t="str">
        <f t="shared" si="12"/>
        <v/>
      </c>
    </row>
    <row r="751" spans="1:1">
      <c r="A751" s="329" t="str">
        <f t="shared" si="12"/>
        <v/>
      </c>
    </row>
    <row r="752" spans="1:1">
      <c r="A752" s="329" t="str">
        <f t="shared" si="12"/>
        <v/>
      </c>
    </row>
    <row r="753" spans="1:1">
      <c r="A753" s="329" t="str">
        <f t="shared" si="12"/>
        <v/>
      </c>
    </row>
    <row r="754" spans="1:1">
      <c r="A754" s="329" t="str">
        <f t="shared" si="12"/>
        <v/>
      </c>
    </row>
    <row r="755" spans="1:1">
      <c r="A755" s="329" t="str">
        <f t="shared" si="12"/>
        <v/>
      </c>
    </row>
    <row r="756" spans="1:1">
      <c r="A756" s="329" t="str">
        <f t="shared" si="12"/>
        <v/>
      </c>
    </row>
    <row r="757" spans="1:1">
      <c r="A757" s="329" t="str">
        <f t="shared" si="12"/>
        <v/>
      </c>
    </row>
    <row r="758" spans="1:1">
      <c r="A758" s="329" t="str">
        <f t="shared" si="12"/>
        <v/>
      </c>
    </row>
    <row r="759" spans="1:1">
      <c r="A759" s="329" t="str">
        <f t="shared" si="12"/>
        <v/>
      </c>
    </row>
    <row r="760" spans="1:1">
      <c r="A760" s="329" t="str">
        <f t="shared" si="12"/>
        <v/>
      </c>
    </row>
    <row r="761" spans="1:1">
      <c r="A761" s="329" t="str">
        <f t="shared" si="12"/>
        <v/>
      </c>
    </row>
    <row r="762" spans="1:1">
      <c r="A762" s="329" t="str">
        <f t="shared" si="12"/>
        <v/>
      </c>
    </row>
    <row r="763" spans="1:1">
      <c r="A763" s="329" t="str">
        <f t="shared" si="12"/>
        <v/>
      </c>
    </row>
    <row r="764" spans="1:1">
      <c r="A764" s="329" t="str">
        <f t="shared" si="12"/>
        <v/>
      </c>
    </row>
    <row r="765" spans="1:1">
      <c r="A765" s="329" t="str">
        <f t="shared" si="12"/>
        <v/>
      </c>
    </row>
    <row r="766" spans="1:1">
      <c r="A766" s="329" t="str">
        <f t="shared" si="12"/>
        <v/>
      </c>
    </row>
    <row r="767" spans="1:1">
      <c r="A767" s="329" t="str">
        <f t="shared" si="12"/>
        <v/>
      </c>
    </row>
    <row r="768" spans="1:1">
      <c r="A768" s="329" t="str">
        <f t="shared" si="12"/>
        <v/>
      </c>
    </row>
    <row r="769" spans="1:1">
      <c r="A769" s="329" t="str">
        <f t="shared" si="12"/>
        <v/>
      </c>
    </row>
    <row r="770" spans="1:1">
      <c r="A770" s="329" t="str">
        <f t="shared" si="12"/>
        <v/>
      </c>
    </row>
    <row r="771" spans="1:1">
      <c r="A771" s="329" t="str">
        <f t="shared" si="12"/>
        <v/>
      </c>
    </row>
    <row r="772" spans="1:1">
      <c r="A772" s="329" t="str">
        <f t="shared" si="12"/>
        <v/>
      </c>
    </row>
    <row r="773" spans="1:1">
      <c r="A773" s="329" t="str">
        <f t="shared" si="12"/>
        <v/>
      </c>
    </row>
    <row r="774" spans="1:1">
      <c r="A774" s="329" t="str">
        <f t="shared" si="12"/>
        <v/>
      </c>
    </row>
    <row r="775" spans="1:1">
      <c r="A775" s="329" t="str">
        <f t="shared" si="12"/>
        <v/>
      </c>
    </row>
    <row r="776" spans="1:1">
      <c r="A776" s="329" t="str">
        <f t="shared" si="12"/>
        <v/>
      </c>
    </row>
    <row r="777" spans="1:1">
      <c r="A777" s="329" t="str">
        <f t="shared" si="12"/>
        <v/>
      </c>
    </row>
    <row r="778" spans="1:1">
      <c r="A778" s="329" t="str">
        <f t="shared" si="12"/>
        <v/>
      </c>
    </row>
    <row r="779" spans="1:1">
      <c r="A779" s="329" t="str">
        <f t="shared" si="12"/>
        <v/>
      </c>
    </row>
    <row r="780" spans="1:1">
      <c r="A780" s="329" t="str">
        <f t="shared" si="12"/>
        <v/>
      </c>
    </row>
    <row r="781" spans="1:1">
      <c r="A781" s="329" t="str">
        <f t="shared" si="12"/>
        <v/>
      </c>
    </row>
    <row r="782" spans="1:1">
      <c r="A782" s="329" t="str">
        <f t="shared" si="12"/>
        <v/>
      </c>
    </row>
    <row r="783" spans="1:1">
      <c r="A783" s="329" t="str">
        <f t="shared" si="12"/>
        <v/>
      </c>
    </row>
    <row r="784" spans="1:1">
      <c r="A784" s="329" t="str">
        <f t="shared" si="12"/>
        <v/>
      </c>
    </row>
    <row r="785" spans="1:1">
      <c r="A785" s="329" t="str">
        <f t="shared" si="12"/>
        <v/>
      </c>
    </row>
    <row r="786" spans="1:1">
      <c r="A786" s="329" t="str">
        <f t="shared" si="12"/>
        <v/>
      </c>
    </row>
    <row r="787" spans="1:1">
      <c r="A787" s="329" t="str">
        <f t="shared" si="12"/>
        <v/>
      </c>
    </row>
    <row r="788" spans="1:1">
      <c r="A788" s="329" t="str">
        <f t="shared" si="12"/>
        <v/>
      </c>
    </row>
    <row r="789" spans="1:1">
      <c r="A789" s="329" t="str">
        <f t="shared" si="12"/>
        <v/>
      </c>
    </row>
    <row r="790" spans="1:1">
      <c r="A790" s="329" t="str">
        <f t="shared" si="12"/>
        <v/>
      </c>
    </row>
    <row r="791" spans="1:1">
      <c r="A791" s="329" t="str">
        <f t="shared" si="12"/>
        <v/>
      </c>
    </row>
    <row r="792" spans="1:1">
      <c r="A792" s="329" t="str">
        <f t="shared" si="12"/>
        <v/>
      </c>
    </row>
    <row r="793" spans="1:1">
      <c r="A793" s="329" t="str">
        <f t="shared" si="12"/>
        <v/>
      </c>
    </row>
    <row r="794" spans="1:1">
      <c r="A794" s="329" t="str">
        <f t="shared" si="12"/>
        <v/>
      </c>
    </row>
    <row r="795" spans="1:1">
      <c r="A795" s="329" t="str">
        <f t="shared" si="12"/>
        <v/>
      </c>
    </row>
    <row r="796" spans="1:1">
      <c r="A796" s="329" t="str">
        <f t="shared" si="12"/>
        <v/>
      </c>
    </row>
    <row r="797" spans="1:1">
      <c r="A797" s="329" t="str">
        <f t="shared" si="12"/>
        <v/>
      </c>
    </row>
    <row r="798" spans="1:1">
      <c r="A798" s="329" t="str">
        <f t="shared" si="12"/>
        <v/>
      </c>
    </row>
    <row r="799" spans="1:1">
      <c r="A799" s="329" t="str">
        <f t="shared" si="12"/>
        <v/>
      </c>
    </row>
    <row r="800" spans="1:1">
      <c r="A800" s="329" t="str">
        <f t="shared" ref="A800:A863" si="13">IF(B800="","",A799+1)</f>
        <v/>
      </c>
    </row>
    <row r="801" spans="1:1">
      <c r="A801" s="329" t="str">
        <f t="shared" si="13"/>
        <v/>
      </c>
    </row>
    <row r="802" spans="1:1">
      <c r="A802" s="329" t="str">
        <f t="shared" si="13"/>
        <v/>
      </c>
    </row>
    <row r="803" spans="1:1">
      <c r="A803" s="329" t="str">
        <f t="shared" si="13"/>
        <v/>
      </c>
    </row>
    <row r="804" spans="1:1">
      <c r="A804" s="329" t="str">
        <f t="shared" si="13"/>
        <v/>
      </c>
    </row>
    <row r="805" spans="1:1">
      <c r="A805" s="329" t="str">
        <f t="shared" si="13"/>
        <v/>
      </c>
    </row>
    <row r="806" spans="1:1">
      <c r="A806" s="329" t="str">
        <f t="shared" si="13"/>
        <v/>
      </c>
    </row>
    <row r="807" spans="1:1">
      <c r="A807" s="329" t="str">
        <f t="shared" si="13"/>
        <v/>
      </c>
    </row>
    <row r="808" spans="1:1">
      <c r="A808" s="329" t="str">
        <f t="shared" si="13"/>
        <v/>
      </c>
    </row>
    <row r="809" spans="1:1">
      <c r="A809" s="329" t="str">
        <f t="shared" si="13"/>
        <v/>
      </c>
    </row>
    <row r="810" spans="1:1">
      <c r="A810" s="329" t="str">
        <f t="shared" si="13"/>
        <v/>
      </c>
    </row>
    <row r="811" spans="1:1">
      <c r="A811" s="329" t="str">
        <f t="shared" si="13"/>
        <v/>
      </c>
    </row>
    <row r="812" spans="1:1">
      <c r="A812" s="329" t="str">
        <f t="shared" si="13"/>
        <v/>
      </c>
    </row>
    <row r="813" spans="1:1">
      <c r="A813" s="329" t="str">
        <f t="shared" si="13"/>
        <v/>
      </c>
    </row>
    <row r="814" spans="1:1">
      <c r="A814" s="329" t="str">
        <f t="shared" si="13"/>
        <v/>
      </c>
    </row>
    <row r="815" spans="1:1">
      <c r="A815" s="329" t="str">
        <f t="shared" si="13"/>
        <v/>
      </c>
    </row>
    <row r="816" spans="1:1">
      <c r="A816" s="329" t="str">
        <f t="shared" si="13"/>
        <v/>
      </c>
    </row>
    <row r="817" spans="1:1">
      <c r="A817" s="329" t="str">
        <f t="shared" si="13"/>
        <v/>
      </c>
    </row>
    <row r="818" spans="1:1">
      <c r="A818" s="329" t="str">
        <f t="shared" si="13"/>
        <v/>
      </c>
    </row>
    <row r="819" spans="1:1">
      <c r="A819" s="329" t="str">
        <f t="shared" si="13"/>
        <v/>
      </c>
    </row>
    <row r="820" spans="1:1">
      <c r="A820" s="329" t="str">
        <f t="shared" si="13"/>
        <v/>
      </c>
    </row>
    <row r="821" spans="1:1">
      <c r="A821" s="329" t="str">
        <f t="shared" si="13"/>
        <v/>
      </c>
    </row>
    <row r="822" spans="1:1">
      <c r="A822" s="329" t="str">
        <f t="shared" si="13"/>
        <v/>
      </c>
    </row>
    <row r="823" spans="1:1">
      <c r="A823" s="329" t="str">
        <f t="shared" si="13"/>
        <v/>
      </c>
    </row>
    <row r="824" spans="1:1">
      <c r="A824" s="329" t="str">
        <f t="shared" si="13"/>
        <v/>
      </c>
    </row>
    <row r="825" spans="1:1">
      <c r="A825" s="329" t="str">
        <f t="shared" si="13"/>
        <v/>
      </c>
    </row>
    <row r="826" spans="1:1">
      <c r="A826" s="329" t="str">
        <f t="shared" si="13"/>
        <v/>
      </c>
    </row>
    <row r="827" spans="1:1">
      <c r="A827" s="329" t="str">
        <f t="shared" si="13"/>
        <v/>
      </c>
    </row>
    <row r="828" spans="1:1">
      <c r="A828" s="329" t="str">
        <f t="shared" si="13"/>
        <v/>
      </c>
    </row>
    <row r="829" spans="1:1">
      <c r="A829" s="329" t="str">
        <f t="shared" si="13"/>
        <v/>
      </c>
    </row>
    <row r="830" spans="1:1">
      <c r="A830" s="329" t="str">
        <f t="shared" si="13"/>
        <v/>
      </c>
    </row>
    <row r="831" spans="1:1">
      <c r="A831" s="329" t="str">
        <f t="shared" si="13"/>
        <v/>
      </c>
    </row>
    <row r="832" spans="1:1">
      <c r="A832" s="329" t="str">
        <f t="shared" si="13"/>
        <v/>
      </c>
    </row>
    <row r="833" spans="1:1">
      <c r="A833" s="329" t="str">
        <f t="shared" si="13"/>
        <v/>
      </c>
    </row>
    <row r="834" spans="1:1">
      <c r="A834" s="329" t="str">
        <f t="shared" si="13"/>
        <v/>
      </c>
    </row>
    <row r="835" spans="1:1">
      <c r="A835" s="329" t="str">
        <f t="shared" si="13"/>
        <v/>
      </c>
    </row>
    <row r="836" spans="1:1">
      <c r="A836" s="329" t="str">
        <f t="shared" si="13"/>
        <v/>
      </c>
    </row>
    <row r="837" spans="1:1">
      <c r="A837" s="329" t="str">
        <f t="shared" si="13"/>
        <v/>
      </c>
    </row>
    <row r="838" spans="1:1">
      <c r="A838" s="329" t="str">
        <f t="shared" si="13"/>
        <v/>
      </c>
    </row>
    <row r="839" spans="1:1">
      <c r="A839" s="329" t="str">
        <f t="shared" si="13"/>
        <v/>
      </c>
    </row>
    <row r="840" spans="1:1">
      <c r="A840" s="329" t="str">
        <f t="shared" si="13"/>
        <v/>
      </c>
    </row>
    <row r="841" spans="1:1">
      <c r="A841" s="329" t="str">
        <f t="shared" si="13"/>
        <v/>
      </c>
    </row>
    <row r="842" spans="1:1">
      <c r="A842" s="329" t="str">
        <f t="shared" si="13"/>
        <v/>
      </c>
    </row>
    <row r="843" spans="1:1">
      <c r="A843" s="329" t="str">
        <f t="shared" si="13"/>
        <v/>
      </c>
    </row>
    <row r="844" spans="1:1">
      <c r="A844" s="329" t="str">
        <f t="shared" si="13"/>
        <v/>
      </c>
    </row>
    <row r="845" spans="1:1">
      <c r="A845" s="329" t="str">
        <f t="shared" si="13"/>
        <v/>
      </c>
    </row>
    <row r="846" spans="1:1">
      <c r="A846" s="329" t="str">
        <f t="shared" si="13"/>
        <v/>
      </c>
    </row>
    <row r="847" spans="1:1">
      <c r="A847" s="329" t="str">
        <f t="shared" si="13"/>
        <v/>
      </c>
    </row>
    <row r="848" spans="1:1">
      <c r="A848" s="329" t="str">
        <f t="shared" si="13"/>
        <v/>
      </c>
    </row>
    <row r="849" spans="1:1">
      <c r="A849" s="329" t="str">
        <f t="shared" si="13"/>
        <v/>
      </c>
    </row>
    <row r="850" spans="1:1">
      <c r="A850" s="329" t="str">
        <f t="shared" si="13"/>
        <v/>
      </c>
    </row>
    <row r="851" spans="1:1">
      <c r="A851" s="329" t="str">
        <f t="shared" si="13"/>
        <v/>
      </c>
    </row>
    <row r="852" spans="1:1">
      <c r="A852" s="329" t="str">
        <f t="shared" si="13"/>
        <v/>
      </c>
    </row>
    <row r="853" spans="1:1">
      <c r="A853" s="329" t="str">
        <f t="shared" si="13"/>
        <v/>
      </c>
    </row>
    <row r="854" spans="1:1">
      <c r="A854" s="329" t="str">
        <f t="shared" si="13"/>
        <v/>
      </c>
    </row>
    <row r="855" spans="1:1">
      <c r="A855" s="329" t="str">
        <f t="shared" si="13"/>
        <v/>
      </c>
    </row>
    <row r="856" spans="1:1">
      <c r="A856" s="329" t="str">
        <f t="shared" si="13"/>
        <v/>
      </c>
    </row>
    <row r="857" spans="1:1">
      <c r="A857" s="329" t="str">
        <f t="shared" si="13"/>
        <v/>
      </c>
    </row>
    <row r="858" spans="1:1">
      <c r="A858" s="329" t="str">
        <f t="shared" si="13"/>
        <v/>
      </c>
    </row>
    <row r="859" spans="1:1">
      <c r="A859" s="329" t="str">
        <f t="shared" si="13"/>
        <v/>
      </c>
    </row>
    <row r="860" spans="1:1">
      <c r="A860" s="329" t="str">
        <f t="shared" si="13"/>
        <v/>
      </c>
    </row>
    <row r="861" spans="1:1">
      <c r="A861" s="329" t="str">
        <f t="shared" si="13"/>
        <v/>
      </c>
    </row>
    <row r="862" spans="1:1">
      <c r="A862" s="329" t="str">
        <f t="shared" si="13"/>
        <v/>
      </c>
    </row>
    <row r="863" spans="1:1">
      <c r="A863" s="329" t="str">
        <f t="shared" si="13"/>
        <v/>
      </c>
    </row>
    <row r="864" spans="1:1">
      <c r="A864" s="329" t="str">
        <f t="shared" ref="A864:A927" si="14">IF(B864="","",A863+1)</f>
        <v/>
      </c>
    </row>
    <row r="865" spans="1:1">
      <c r="A865" s="329" t="str">
        <f t="shared" si="14"/>
        <v/>
      </c>
    </row>
    <row r="866" spans="1:1">
      <c r="A866" s="329" t="str">
        <f t="shared" si="14"/>
        <v/>
      </c>
    </row>
    <row r="867" spans="1:1">
      <c r="A867" s="329" t="str">
        <f t="shared" si="14"/>
        <v/>
      </c>
    </row>
    <row r="868" spans="1:1">
      <c r="A868" s="329" t="str">
        <f t="shared" si="14"/>
        <v/>
      </c>
    </row>
    <row r="869" spans="1:1">
      <c r="A869" s="329" t="str">
        <f t="shared" si="14"/>
        <v/>
      </c>
    </row>
    <row r="870" spans="1:1">
      <c r="A870" s="329" t="str">
        <f t="shared" si="14"/>
        <v/>
      </c>
    </row>
    <row r="871" spans="1:1">
      <c r="A871" s="329" t="str">
        <f t="shared" si="14"/>
        <v/>
      </c>
    </row>
    <row r="872" spans="1:1">
      <c r="A872" s="329" t="str">
        <f t="shared" si="14"/>
        <v/>
      </c>
    </row>
    <row r="873" spans="1:1">
      <c r="A873" s="329" t="str">
        <f t="shared" si="14"/>
        <v/>
      </c>
    </row>
    <row r="874" spans="1:1">
      <c r="A874" s="329" t="str">
        <f t="shared" si="14"/>
        <v/>
      </c>
    </row>
    <row r="875" spans="1:1">
      <c r="A875" s="329" t="str">
        <f t="shared" si="14"/>
        <v/>
      </c>
    </row>
    <row r="876" spans="1:1">
      <c r="A876" s="329" t="str">
        <f t="shared" si="14"/>
        <v/>
      </c>
    </row>
    <row r="877" spans="1:1">
      <c r="A877" s="329" t="str">
        <f t="shared" si="14"/>
        <v/>
      </c>
    </row>
    <row r="878" spans="1:1">
      <c r="A878" s="329" t="str">
        <f t="shared" si="14"/>
        <v/>
      </c>
    </row>
    <row r="879" spans="1:1">
      <c r="A879" s="329" t="str">
        <f t="shared" si="14"/>
        <v/>
      </c>
    </row>
    <row r="880" spans="1:1">
      <c r="A880" s="329" t="str">
        <f t="shared" si="14"/>
        <v/>
      </c>
    </row>
    <row r="881" spans="1:1">
      <c r="A881" s="329" t="str">
        <f t="shared" si="14"/>
        <v/>
      </c>
    </row>
    <row r="882" spans="1:1">
      <c r="A882" s="329" t="str">
        <f t="shared" si="14"/>
        <v/>
      </c>
    </row>
    <row r="883" spans="1:1">
      <c r="A883" s="329" t="str">
        <f t="shared" si="14"/>
        <v/>
      </c>
    </row>
    <row r="884" spans="1:1">
      <c r="A884" s="329" t="str">
        <f t="shared" si="14"/>
        <v/>
      </c>
    </row>
    <row r="885" spans="1:1">
      <c r="A885" s="329" t="str">
        <f t="shared" si="14"/>
        <v/>
      </c>
    </row>
    <row r="886" spans="1:1">
      <c r="A886" s="329" t="str">
        <f t="shared" si="14"/>
        <v/>
      </c>
    </row>
    <row r="887" spans="1:1">
      <c r="A887" s="329" t="str">
        <f t="shared" si="14"/>
        <v/>
      </c>
    </row>
    <row r="888" spans="1:1">
      <c r="A888" s="329" t="str">
        <f t="shared" si="14"/>
        <v/>
      </c>
    </row>
    <row r="889" spans="1:1">
      <c r="A889" s="329" t="str">
        <f t="shared" si="14"/>
        <v/>
      </c>
    </row>
    <row r="890" spans="1:1">
      <c r="A890" s="329" t="str">
        <f t="shared" si="14"/>
        <v/>
      </c>
    </row>
    <row r="891" spans="1:1">
      <c r="A891" s="329" t="str">
        <f t="shared" si="14"/>
        <v/>
      </c>
    </row>
    <row r="892" spans="1:1">
      <c r="A892" s="329" t="str">
        <f t="shared" si="14"/>
        <v/>
      </c>
    </row>
    <row r="893" spans="1:1">
      <c r="A893" s="329" t="str">
        <f t="shared" si="14"/>
        <v/>
      </c>
    </row>
    <row r="894" spans="1:1">
      <c r="A894" s="329" t="str">
        <f t="shared" si="14"/>
        <v/>
      </c>
    </row>
    <row r="895" spans="1:1">
      <c r="A895" s="329" t="str">
        <f t="shared" si="14"/>
        <v/>
      </c>
    </row>
    <row r="896" spans="1:1">
      <c r="A896" s="329" t="str">
        <f t="shared" si="14"/>
        <v/>
      </c>
    </row>
    <row r="897" spans="1:1">
      <c r="A897" s="329" t="str">
        <f t="shared" si="14"/>
        <v/>
      </c>
    </row>
    <row r="898" spans="1:1">
      <c r="A898" s="329" t="str">
        <f t="shared" si="14"/>
        <v/>
      </c>
    </row>
    <row r="899" spans="1:1">
      <c r="A899" s="329" t="str">
        <f t="shared" si="14"/>
        <v/>
      </c>
    </row>
    <row r="900" spans="1:1">
      <c r="A900" s="329" t="str">
        <f t="shared" si="14"/>
        <v/>
      </c>
    </row>
    <row r="901" spans="1:1">
      <c r="A901" s="329" t="str">
        <f t="shared" si="14"/>
        <v/>
      </c>
    </row>
    <row r="902" spans="1:1">
      <c r="A902" s="329" t="str">
        <f t="shared" si="14"/>
        <v/>
      </c>
    </row>
    <row r="903" spans="1:1">
      <c r="A903" s="329" t="str">
        <f t="shared" si="14"/>
        <v/>
      </c>
    </row>
    <row r="904" spans="1:1">
      <c r="A904" s="329" t="str">
        <f t="shared" si="14"/>
        <v/>
      </c>
    </row>
    <row r="905" spans="1:1">
      <c r="A905" s="329" t="str">
        <f t="shared" si="14"/>
        <v/>
      </c>
    </row>
    <row r="906" spans="1:1">
      <c r="A906" s="329" t="str">
        <f t="shared" si="14"/>
        <v/>
      </c>
    </row>
    <row r="907" spans="1:1">
      <c r="A907" s="329" t="str">
        <f t="shared" si="14"/>
        <v/>
      </c>
    </row>
    <row r="908" spans="1:1">
      <c r="A908" s="329" t="str">
        <f t="shared" si="14"/>
        <v/>
      </c>
    </row>
    <row r="909" spans="1:1">
      <c r="A909" s="329" t="str">
        <f t="shared" si="14"/>
        <v/>
      </c>
    </row>
    <row r="910" spans="1:1">
      <c r="A910" s="329" t="str">
        <f t="shared" si="14"/>
        <v/>
      </c>
    </row>
    <row r="911" spans="1:1">
      <c r="A911" s="329" t="str">
        <f t="shared" si="14"/>
        <v/>
      </c>
    </row>
    <row r="912" spans="1:1">
      <c r="A912" s="329" t="str">
        <f t="shared" si="14"/>
        <v/>
      </c>
    </row>
    <row r="913" spans="1:1">
      <c r="A913" s="329" t="str">
        <f t="shared" si="14"/>
        <v/>
      </c>
    </row>
    <row r="914" spans="1:1">
      <c r="A914" s="329" t="str">
        <f t="shared" si="14"/>
        <v/>
      </c>
    </row>
    <row r="915" spans="1:1">
      <c r="A915" s="329" t="str">
        <f t="shared" si="14"/>
        <v/>
      </c>
    </row>
    <row r="916" spans="1:1">
      <c r="A916" s="329" t="str">
        <f t="shared" si="14"/>
        <v/>
      </c>
    </row>
    <row r="917" spans="1:1">
      <c r="A917" s="329" t="str">
        <f t="shared" si="14"/>
        <v/>
      </c>
    </row>
    <row r="918" spans="1:1">
      <c r="A918" s="329" t="str">
        <f t="shared" si="14"/>
        <v/>
      </c>
    </row>
    <row r="919" spans="1:1">
      <c r="A919" s="329" t="str">
        <f t="shared" si="14"/>
        <v/>
      </c>
    </row>
    <row r="920" spans="1:1">
      <c r="A920" s="329" t="str">
        <f t="shared" si="14"/>
        <v/>
      </c>
    </row>
    <row r="921" spans="1:1">
      <c r="A921" s="329" t="str">
        <f t="shared" si="14"/>
        <v/>
      </c>
    </row>
    <row r="922" spans="1:1">
      <c r="A922" s="329" t="str">
        <f t="shared" si="14"/>
        <v/>
      </c>
    </row>
    <row r="923" spans="1:1">
      <c r="A923" s="329" t="str">
        <f t="shared" si="14"/>
        <v/>
      </c>
    </row>
    <row r="924" spans="1:1">
      <c r="A924" s="329" t="str">
        <f t="shared" si="14"/>
        <v/>
      </c>
    </row>
    <row r="925" spans="1:1">
      <c r="A925" s="329" t="str">
        <f t="shared" si="14"/>
        <v/>
      </c>
    </row>
    <row r="926" spans="1:1">
      <c r="A926" s="329" t="str">
        <f t="shared" si="14"/>
        <v/>
      </c>
    </row>
    <row r="927" spans="1:1">
      <c r="A927" s="329" t="str">
        <f t="shared" si="14"/>
        <v/>
      </c>
    </row>
    <row r="928" spans="1:1">
      <c r="A928" s="329" t="str">
        <f t="shared" ref="A928:A991" si="15">IF(B928="","",A927+1)</f>
        <v/>
      </c>
    </row>
    <row r="929" spans="1:1">
      <c r="A929" s="329" t="str">
        <f t="shared" si="15"/>
        <v/>
      </c>
    </row>
    <row r="930" spans="1:1">
      <c r="A930" s="329" t="str">
        <f t="shared" si="15"/>
        <v/>
      </c>
    </row>
    <row r="931" spans="1:1">
      <c r="A931" s="329" t="str">
        <f t="shared" si="15"/>
        <v/>
      </c>
    </row>
    <row r="932" spans="1:1">
      <c r="A932" s="329" t="str">
        <f t="shared" si="15"/>
        <v/>
      </c>
    </row>
    <row r="933" spans="1:1">
      <c r="A933" s="329" t="str">
        <f t="shared" si="15"/>
        <v/>
      </c>
    </row>
    <row r="934" spans="1:1">
      <c r="A934" s="329" t="str">
        <f t="shared" si="15"/>
        <v/>
      </c>
    </row>
    <row r="935" spans="1:1">
      <c r="A935" s="329" t="str">
        <f t="shared" si="15"/>
        <v/>
      </c>
    </row>
    <row r="936" spans="1:1">
      <c r="A936" s="329" t="str">
        <f t="shared" si="15"/>
        <v/>
      </c>
    </row>
    <row r="937" spans="1:1">
      <c r="A937" s="329" t="str">
        <f t="shared" si="15"/>
        <v/>
      </c>
    </row>
    <row r="938" spans="1:1">
      <c r="A938" s="329" t="str">
        <f t="shared" si="15"/>
        <v/>
      </c>
    </row>
    <row r="939" spans="1:1">
      <c r="A939" s="329" t="str">
        <f t="shared" si="15"/>
        <v/>
      </c>
    </row>
    <row r="940" spans="1:1">
      <c r="A940" s="329" t="str">
        <f t="shared" si="15"/>
        <v/>
      </c>
    </row>
    <row r="941" spans="1:1">
      <c r="A941" s="329" t="str">
        <f t="shared" si="15"/>
        <v/>
      </c>
    </row>
    <row r="942" spans="1:1">
      <c r="A942" s="329" t="str">
        <f t="shared" si="15"/>
        <v/>
      </c>
    </row>
    <row r="943" spans="1:1">
      <c r="A943" s="329" t="str">
        <f t="shared" si="15"/>
        <v/>
      </c>
    </row>
    <row r="944" spans="1:1">
      <c r="A944" s="329" t="str">
        <f t="shared" si="15"/>
        <v/>
      </c>
    </row>
    <row r="945" spans="1:1">
      <c r="A945" s="329" t="str">
        <f t="shared" si="15"/>
        <v/>
      </c>
    </row>
    <row r="946" spans="1:1">
      <c r="A946" s="329" t="str">
        <f t="shared" si="15"/>
        <v/>
      </c>
    </row>
    <row r="947" spans="1:1">
      <c r="A947" s="329" t="str">
        <f t="shared" si="15"/>
        <v/>
      </c>
    </row>
    <row r="948" spans="1:1">
      <c r="A948" s="329" t="str">
        <f t="shared" si="15"/>
        <v/>
      </c>
    </row>
    <row r="949" spans="1:1">
      <c r="A949" s="329" t="str">
        <f t="shared" si="15"/>
        <v/>
      </c>
    </row>
    <row r="950" spans="1:1">
      <c r="A950" s="329" t="str">
        <f t="shared" si="15"/>
        <v/>
      </c>
    </row>
    <row r="951" spans="1:1">
      <c r="A951" s="329" t="str">
        <f t="shared" si="15"/>
        <v/>
      </c>
    </row>
    <row r="952" spans="1:1">
      <c r="A952" s="329" t="str">
        <f t="shared" si="15"/>
        <v/>
      </c>
    </row>
    <row r="953" spans="1:1">
      <c r="A953" s="329" t="str">
        <f t="shared" si="15"/>
        <v/>
      </c>
    </row>
    <row r="954" spans="1:1">
      <c r="A954" s="329" t="str">
        <f t="shared" si="15"/>
        <v/>
      </c>
    </row>
    <row r="955" spans="1:1">
      <c r="A955" s="329" t="str">
        <f t="shared" si="15"/>
        <v/>
      </c>
    </row>
    <row r="956" spans="1:1">
      <c r="A956" s="329" t="str">
        <f t="shared" si="15"/>
        <v/>
      </c>
    </row>
    <row r="957" spans="1:1">
      <c r="A957" s="329" t="str">
        <f t="shared" si="15"/>
        <v/>
      </c>
    </row>
    <row r="958" spans="1:1">
      <c r="A958" s="329" t="str">
        <f t="shared" si="15"/>
        <v/>
      </c>
    </row>
    <row r="959" spans="1:1">
      <c r="A959" s="329" t="str">
        <f t="shared" si="15"/>
        <v/>
      </c>
    </row>
    <row r="960" spans="1:1">
      <c r="A960" s="329" t="str">
        <f t="shared" si="15"/>
        <v/>
      </c>
    </row>
    <row r="961" spans="1:1">
      <c r="A961" s="329" t="str">
        <f t="shared" si="15"/>
        <v/>
      </c>
    </row>
    <row r="962" spans="1:1">
      <c r="A962" s="329" t="str">
        <f t="shared" si="15"/>
        <v/>
      </c>
    </row>
    <row r="963" spans="1:1">
      <c r="A963" s="329" t="str">
        <f t="shared" si="15"/>
        <v/>
      </c>
    </row>
    <row r="964" spans="1:1">
      <c r="A964" s="329" t="str">
        <f t="shared" si="15"/>
        <v/>
      </c>
    </row>
    <row r="965" spans="1:1">
      <c r="A965" s="329" t="str">
        <f t="shared" si="15"/>
        <v/>
      </c>
    </row>
    <row r="966" spans="1:1">
      <c r="A966" s="329" t="str">
        <f t="shared" si="15"/>
        <v/>
      </c>
    </row>
    <row r="967" spans="1:1">
      <c r="A967" s="329" t="str">
        <f t="shared" si="15"/>
        <v/>
      </c>
    </row>
    <row r="968" spans="1:1">
      <c r="A968" s="329" t="str">
        <f t="shared" si="15"/>
        <v/>
      </c>
    </row>
    <row r="969" spans="1:1">
      <c r="A969" s="329" t="str">
        <f t="shared" si="15"/>
        <v/>
      </c>
    </row>
    <row r="970" spans="1:1">
      <c r="A970" s="329" t="str">
        <f t="shared" si="15"/>
        <v/>
      </c>
    </row>
    <row r="971" spans="1:1">
      <c r="A971" s="329" t="str">
        <f t="shared" si="15"/>
        <v/>
      </c>
    </row>
    <row r="972" spans="1:1">
      <c r="A972" s="329" t="str">
        <f t="shared" si="15"/>
        <v/>
      </c>
    </row>
    <row r="973" spans="1:1">
      <c r="A973" s="329" t="str">
        <f t="shared" si="15"/>
        <v/>
      </c>
    </row>
    <row r="974" spans="1:1">
      <c r="A974" s="329" t="str">
        <f t="shared" si="15"/>
        <v/>
      </c>
    </row>
    <row r="975" spans="1:1">
      <c r="A975" s="329" t="str">
        <f t="shared" si="15"/>
        <v/>
      </c>
    </row>
    <row r="976" spans="1:1">
      <c r="A976" s="329" t="str">
        <f t="shared" si="15"/>
        <v/>
      </c>
    </row>
    <row r="977" spans="1:1">
      <c r="A977" s="329" t="str">
        <f t="shared" si="15"/>
        <v/>
      </c>
    </row>
    <row r="978" spans="1:1">
      <c r="A978" s="329" t="str">
        <f t="shared" si="15"/>
        <v/>
      </c>
    </row>
    <row r="979" spans="1:1">
      <c r="A979" s="329" t="str">
        <f t="shared" si="15"/>
        <v/>
      </c>
    </row>
    <row r="980" spans="1:1">
      <c r="A980" s="329" t="str">
        <f t="shared" si="15"/>
        <v/>
      </c>
    </row>
    <row r="981" spans="1:1">
      <c r="A981" s="329" t="str">
        <f t="shared" si="15"/>
        <v/>
      </c>
    </row>
    <row r="982" spans="1:1">
      <c r="A982" s="329" t="str">
        <f t="shared" si="15"/>
        <v/>
      </c>
    </row>
    <row r="983" spans="1:1">
      <c r="A983" s="329" t="str">
        <f t="shared" si="15"/>
        <v/>
      </c>
    </row>
    <row r="984" spans="1:1">
      <c r="A984" s="329" t="str">
        <f t="shared" si="15"/>
        <v/>
      </c>
    </row>
    <row r="985" spans="1:1">
      <c r="A985" s="329" t="str">
        <f t="shared" si="15"/>
        <v/>
      </c>
    </row>
    <row r="986" spans="1:1">
      <c r="A986" s="329" t="str">
        <f t="shared" si="15"/>
        <v/>
      </c>
    </row>
    <row r="987" spans="1:1">
      <c r="A987" s="329" t="str">
        <f t="shared" si="15"/>
        <v/>
      </c>
    </row>
    <row r="988" spans="1:1">
      <c r="A988" s="329" t="str">
        <f t="shared" si="15"/>
        <v/>
      </c>
    </row>
    <row r="989" spans="1:1">
      <c r="A989" s="329" t="str">
        <f t="shared" si="15"/>
        <v/>
      </c>
    </row>
    <row r="990" spans="1:1">
      <c r="A990" s="329" t="str">
        <f t="shared" si="15"/>
        <v/>
      </c>
    </row>
    <row r="991" spans="1:1">
      <c r="A991" s="329" t="str">
        <f t="shared" si="15"/>
        <v/>
      </c>
    </row>
    <row r="992" spans="1:1">
      <c r="A992" s="329" t="str">
        <f t="shared" ref="A992:A1055" si="16">IF(B992="","",A991+1)</f>
        <v/>
      </c>
    </row>
    <row r="993" spans="1:1">
      <c r="A993" s="329" t="str">
        <f t="shared" si="16"/>
        <v/>
      </c>
    </row>
    <row r="994" spans="1:1">
      <c r="A994" s="329" t="str">
        <f t="shared" si="16"/>
        <v/>
      </c>
    </row>
    <row r="995" spans="1:1">
      <c r="A995" s="329" t="str">
        <f t="shared" si="16"/>
        <v/>
      </c>
    </row>
    <row r="996" spans="1:1">
      <c r="A996" s="329" t="str">
        <f t="shared" si="16"/>
        <v/>
      </c>
    </row>
    <row r="997" spans="1:1">
      <c r="A997" s="329" t="str">
        <f t="shared" si="16"/>
        <v/>
      </c>
    </row>
    <row r="998" spans="1:1">
      <c r="A998" s="329" t="str">
        <f t="shared" si="16"/>
        <v/>
      </c>
    </row>
    <row r="999" spans="1:1">
      <c r="A999" s="329" t="str">
        <f t="shared" si="16"/>
        <v/>
      </c>
    </row>
    <row r="1000" spans="1:1">
      <c r="A1000" s="329" t="str">
        <f t="shared" si="16"/>
        <v/>
      </c>
    </row>
    <row r="1001" spans="1:1">
      <c r="A1001" s="329" t="str">
        <f t="shared" si="16"/>
        <v/>
      </c>
    </row>
    <row r="1002" spans="1:1">
      <c r="A1002" s="329" t="str">
        <f t="shared" si="16"/>
        <v/>
      </c>
    </row>
    <row r="1003" spans="1:1">
      <c r="A1003" s="329" t="str">
        <f t="shared" si="16"/>
        <v/>
      </c>
    </row>
    <row r="1004" spans="1:1">
      <c r="A1004" s="329" t="str">
        <f t="shared" si="16"/>
        <v/>
      </c>
    </row>
    <row r="1005" spans="1:1">
      <c r="A1005" s="329" t="str">
        <f t="shared" si="16"/>
        <v/>
      </c>
    </row>
    <row r="1006" spans="1:1">
      <c r="A1006" s="329" t="str">
        <f t="shared" si="16"/>
        <v/>
      </c>
    </row>
    <row r="1007" spans="1:1">
      <c r="A1007" s="329" t="str">
        <f t="shared" si="16"/>
        <v/>
      </c>
    </row>
    <row r="1008" spans="1:1">
      <c r="A1008" s="329" t="str">
        <f t="shared" si="16"/>
        <v/>
      </c>
    </row>
    <row r="1009" spans="1:1">
      <c r="A1009" s="329" t="str">
        <f t="shared" si="16"/>
        <v/>
      </c>
    </row>
    <row r="1010" spans="1:1">
      <c r="A1010" s="329" t="str">
        <f t="shared" si="16"/>
        <v/>
      </c>
    </row>
    <row r="1011" spans="1:1">
      <c r="A1011" s="329" t="str">
        <f t="shared" si="16"/>
        <v/>
      </c>
    </row>
    <row r="1012" spans="1:1">
      <c r="A1012" s="329" t="str">
        <f t="shared" si="16"/>
        <v/>
      </c>
    </row>
    <row r="1013" spans="1:1">
      <c r="A1013" s="329" t="str">
        <f t="shared" si="16"/>
        <v/>
      </c>
    </row>
    <row r="1014" spans="1:1">
      <c r="A1014" s="329" t="str">
        <f t="shared" si="16"/>
        <v/>
      </c>
    </row>
    <row r="1015" spans="1:1">
      <c r="A1015" s="329" t="str">
        <f t="shared" si="16"/>
        <v/>
      </c>
    </row>
    <row r="1016" spans="1:1">
      <c r="A1016" s="329" t="str">
        <f t="shared" si="16"/>
        <v/>
      </c>
    </row>
    <row r="1017" spans="1:1">
      <c r="A1017" s="329" t="str">
        <f t="shared" si="16"/>
        <v/>
      </c>
    </row>
    <row r="1018" spans="1:1">
      <c r="A1018" s="329" t="str">
        <f t="shared" si="16"/>
        <v/>
      </c>
    </row>
    <row r="1019" spans="1:1">
      <c r="A1019" s="329" t="str">
        <f t="shared" si="16"/>
        <v/>
      </c>
    </row>
    <row r="1020" spans="1:1">
      <c r="A1020" s="329" t="str">
        <f t="shared" si="16"/>
        <v/>
      </c>
    </row>
    <row r="1021" spans="1:1">
      <c r="A1021" s="329" t="str">
        <f t="shared" si="16"/>
        <v/>
      </c>
    </row>
    <row r="1022" spans="1:1">
      <c r="A1022" s="329" t="str">
        <f t="shared" si="16"/>
        <v/>
      </c>
    </row>
    <row r="1023" spans="1:1">
      <c r="A1023" s="329" t="str">
        <f t="shared" si="16"/>
        <v/>
      </c>
    </row>
    <row r="1024" spans="1:1">
      <c r="A1024" s="329" t="str">
        <f t="shared" si="16"/>
        <v/>
      </c>
    </row>
    <row r="1025" spans="1:1">
      <c r="A1025" s="329" t="str">
        <f t="shared" si="16"/>
        <v/>
      </c>
    </row>
    <row r="1026" spans="1:1">
      <c r="A1026" s="329" t="str">
        <f t="shared" si="16"/>
        <v/>
      </c>
    </row>
    <row r="1027" spans="1:1">
      <c r="A1027" s="329" t="str">
        <f t="shared" si="16"/>
        <v/>
      </c>
    </row>
    <row r="1028" spans="1:1">
      <c r="A1028" s="329" t="str">
        <f t="shared" si="16"/>
        <v/>
      </c>
    </row>
    <row r="1029" spans="1:1">
      <c r="A1029" s="329" t="str">
        <f t="shared" si="16"/>
        <v/>
      </c>
    </row>
    <row r="1030" spans="1:1">
      <c r="A1030" s="329" t="str">
        <f t="shared" si="16"/>
        <v/>
      </c>
    </row>
    <row r="1031" spans="1:1">
      <c r="A1031" s="329" t="str">
        <f t="shared" si="16"/>
        <v/>
      </c>
    </row>
    <row r="1032" spans="1:1">
      <c r="A1032" s="329" t="str">
        <f t="shared" si="16"/>
        <v/>
      </c>
    </row>
    <row r="1033" spans="1:1">
      <c r="A1033" s="329" t="str">
        <f t="shared" si="16"/>
        <v/>
      </c>
    </row>
    <row r="1034" spans="1:1">
      <c r="A1034" s="329" t="str">
        <f t="shared" si="16"/>
        <v/>
      </c>
    </row>
    <row r="1035" spans="1:1">
      <c r="A1035" s="329" t="str">
        <f t="shared" si="16"/>
        <v/>
      </c>
    </row>
    <row r="1036" spans="1:1">
      <c r="A1036" s="329" t="str">
        <f t="shared" si="16"/>
        <v/>
      </c>
    </row>
    <row r="1037" spans="1:1">
      <c r="A1037" s="329" t="str">
        <f t="shared" si="16"/>
        <v/>
      </c>
    </row>
    <row r="1038" spans="1:1">
      <c r="A1038" s="329" t="str">
        <f t="shared" si="16"/>
        <v/>
      </c>
    </row>
    <row r="1039" spans="1:1">
      <c r="A1039" s="329" t="str">
        <f t="shared" si="16"/>
        <v/>
      </c>
    </row>
    <row r="1040" spans="1:1">
      <c r="A1040" s="329" t="str">
        <f t="shared" si="16"/>
        <v/>
      </c>
    </row>
    <row r="1041" spans="1:1">
      <c r="A1041" s="329" t="str">
        <f t="shared" si="16"/>
        <v/>
      </c>
    </row>
    <row r="1042" spans="1:1">
      <c r="A1042" s="329" t="str">
        <f t="shared" si="16"/>
        <v/>
      </c>
    </row>
    <row r="1043" spans="1:1">
      <c r="A1043" s="329" t="str">
        <f t="shared" si="16"/>
        <v/>
      </c>
    </row>
    <row r="1044" spans="1:1">
      <c r="A1044" s="329" t="str">
        <f t="shared" si="16"/>
        <v/>
      </c>
    </row>
    <row r="1045" spans="1:1">
      <c r="A1045" s="329" t="str">
        <f t="shared" si="16"/>
        <v/>
      </c>
    </row>
    <row r="1046" spans="1:1">
      <c r="A1046" s="329" t="str">
        <f t="shared" si="16"/>
        <v/>
      </c>
    </row>
    <row r="1047" spans="1:1">
      <c r="A1047" s="329" t="str">
        <f t="shared" si="16"/>
        <v/>
      </c>
    </row>
    <row r="1048" spans="1:1">
      <c r="A1048" s="329" t="str">
        <f t="shared" si="16"/>
        <v/>
      </c>
    </row>
    <row r="1049" spans="1:1">
      <c r="A1049" s="329" t="str">
        <f t="shared" si="16"/>
        <v/>
      </c>
    </row>
    <row r="1050" spans="1:1">
      <c r="A1050" s="329" t="str">
        <f t="shared" si="16"/>
        <v/>
      </c>
    </row>
    <row r="1051" spans="1:1">
      <c r="A1051" s="329" t="str">
        <f t="shared" si="16"/>
        <v/>
      </c>
    </row>
    <row r="1052" spans="1:1">
      <c r="A1052" s="329" t="str">
        <f t="shared" si="16"/>
        <v/>
      </c>
    </row>
    <row r="1053" spans="1:1">
      <c r="A1053" s="329" t="str">
        <f t="shared" si="16"/>
        <v/>
      </c>
    </row>
    <row r="1054" spans="1:1">
      <c r="A1054" s="329" t="str">
        <f t="shared" si="16"/>
        <v/>
      </c>
    </row>
    <row r="1055" spans="1:1">
      <c r="A1055" s="329" t="str">
        <f t="shared" si="16"/>
        <v/>
      </c>
    </row>
    <row r="1056" spans="1:1">
      <c r="A1056" s="329" t="str">
        <f t="shared" ref="A1056:A1074" si="17">IF(B1056="","",A1055+1)</f>
        <v/>
      </c>
    </row>
    <row r="1057" spans="1:1">
      <c r="A1057" s="329" t="str">
        <f t="shared" si="17"/>
        <v/>
      </c>
    </row>
    <row r="1058" spans="1:1">
      <c r="A1058" s="329" t="str">
        <f t="shared" si="17"/>
        <v/>
      </c>
    </row>
    <row r="1059" spans="1:1">
      <c r="A1059" s="329" t="str">
        <f t="shared" si="17"/>
        <v/>
      </c>
    </row>
    <row r="1060" spans="1:1">
      <c r="A1060" s="329" t="str">
        <f t="shared" si="17"/>
        <v/>
      </c>
    </row>
    <row r="1061" spans="1:1">
      <c r="A1061" s="329" t="str">
        <f t="shared" si="17"/>
        <v/>
      </c>
    </row>
    <row r="1062" spans="1:1">
      <c r="A1062" s="329" t="str">
        <f t="shared" si="17"/>
        <v/>
      </c>
    </row>
    <row r="1063" spans="1:1">
      <c r="A1063" s="329" t="str">
        <f t="shared" si="17"/>
        <v/>
      </c>
    </row>
    <row r="1064" spans="1:1">
      <c r="A1064" s="329" t="str">
        <f t="shared" si="17"/>
        <v/>
      </c>
    </row>
    <row r="1065" spans="1:1">
      <c r="A1065" s="329" t="str">
        <f t="shared" si="17"/>
        <v/>
      </c>
    </row>
    <row r="1066" spans="1:1">
      <c r="A1066" s="329" t="str">
        <f t="shared" si="17"/>
        <v/>
      </c>
    </row>
    <row r="1067" spans="1:1">
      <c r="A1067" s="329" t="str">
        <f t="shared" si="17"/>
        <v/>
      </c>
    </row>
    <row r="1068" spans="1:1">
      <c r="A1068" s="329" t="str">
        <f t="shared" si="17"/>
        <v/>
      </c>
    </row>
    <row r="1069" spans="1:1">
      <c r="A1069" s="329" t="str">
        <f t="shared" si="17"/>
        <v/>
      </c>
    </row>
    <row r="1070" spans="1:1">
      <c r="A1070" s="329" t="str">
        <f t="shared" si="17"/>
        <v/>
      </c>
    </row>
    <row r="1071" spans="1:1">
      <c r="A1071" s="329" t="str">
        <f t="shared" si="17"/>
        <v/>
      </c>
    </row>
    <row r="1072" spans="1:1">
      <c r="A1072" s="329" t="str">
        <f t="shared" si="17"/>
        <v/>
      </c>
    </row>
    <row r="1073" spans="1:1">
      <c r="A1073" s="329" t="str">
        <f t="shared" si="17"/>
        <v/>
      </c>
    </row>
    <row r="1074" spans="1:1">
      <c r="A1074" s="329" t="str">
        <f t="shared" si="17"/>
        <v/>
      </c>
    </row>
    <row r="1075" spans="1:1">
      <c r="A1075" s="329" t="str">
        <f>IF(B1075="","",A1074+1)</f>
        <v/>
      </c>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3D2CE-AA31-44CE-8CBA-A06A8862B8F9}">
  <sheetPr codeName="ConsolLists">
    <tabColor theme="7" tint="0.79998168889431442"/>
  </sheetPr>
  <dimension ref="A1:I1070"/>
  <sheetViews>
    <sheetView showGridLines="0" showRowColHeaders="0" workbookViewId="0">
      <pane ySplit="1" topLeftCell="A2" activePane="bottomLeft" state="frozen"/>
      <selection pane="bottomLeft"/>
    </sheetView>
  </sheetViews>
  <sheetFormatPr defaultColWidth="8.88671875" defaultRowHeight="15.6"/>
  <cols>
    <col min="1" max="1" width="8.88671875" style="329"/>
    <col min="2" max="2" width="13.33203125" style="329" bestFit="1" customWidth="1"/>
    <col min="3" max="3" width="18.6640625" style="152" bestFit="1" customWidth="1"/>
    <col min="4" max="4" width="42.6640625" style="329" bestFit="1" customWidth="1"/>
    <col min="5" max="5" width="32.33203125" style="194" bestFit="1" customWidth="1"/>
    <col min="6" max="6" width="14.44140625" style="191" bestFit="1" customWidth="1"/>
    <col min="7" max="16384" width="8.88671875" style="329"/>
  </cols>
  <sheetData>
    <row r="1" spans="1:9">
      <c r="A1" s="338" t="s">
        <v>1345</v>
      </c>
      <c r="B1" s="134" t="s">
        <v>171</v>
      </c>
      <c r="C1" s="189" t="s">
        <v>1593</v>
      </c>
      <c r="D1" s="134" t="s">
        <v>532</v>
      </c>
      <c r="E1" s="194" t="s">
        <v>533</v>
      </c>
      <c r="F1" s="189" t="s">
        <v>0</v>
      </c>
      <c r="I1" s="190"/>
    </row>
    <row r="2" spans="1:9" customFormat="1" hidden="1">
      <c r="A2" s="338">
        <v>0</v>
      </c>
      <c r="B2" s="338" t="s">
        <v>534</v>
      </c>
      <c r="C2" s="193">
        <v>12020398</v>
      </c>
      <c r="D2" s="338" t="s">
        <v>535</v>
      </c>
      <c r="E2" s="194" t="s">
        <v>536</v>
      </c>
      <c r="F2" s="144" t="s">
        <v>3</v>
      </c>
    </row>
    <row r="3" spans="1:9" customFormat="1" hidden="1">
      <c r="A3" s="338">
        <f>A2+1</f>
        <v>1</v>
      </c>
      <c r="B3" s="338" t="s">
        <v>534</v>
      </c>
      <c r="C3" s="193">
        <v>12030596</v>
      </c>
      <c r="D3" s="338" t="s">
        <v>537</v>
      </c>
      <c r="E3" s="194" t="s">
        <v>536</v>
      </c>
      <c r="F3" s="144" t="s">
        <v>3</v>
      </c>
    </row>
    <row r="4" spans="1:9" customFormat="1" hidden="1">
      <c r="A4" s="338">
        <f t="shared" ref="A4:A67" si="0">A3+1</f>
        <v>2</v>
      </c>
      <c r="B4" s="338" t="s">
        <v>534</v>
      </c>
      <c r="C4" s="193">
        <v>12026018</v>
      </c>
      <c r="D4" s="338" t="s">
        <v>538</v>
      </c>
      <c r="E4" s="194" t="s">
        <v>539</v>
      </c>
      <c r="F4" s="144" t="s">
        <v>3</v>
      </c>
    </row>
    <row r="5" spans="1:9" customFormat="1" hidden="1">
      <c r="A5" s="338">
        <f t="shared" si="0"/>
        <v>3</v>
      </c>
      <c r="B5" s="338" t="s">
        <v>534</v>
      </c>
      <c r="C5" s="193">
        <v>12026019</v>
      </c>
      <c r="D5" s="338" t="s">
        <v>540</v>
      </c>
      <c r="E5" s="194" t="s">
        <v>541</v>
      </c>
      <c r="F5" s="144" t="s">
        <v>3</v>
      </c>
    </row>
    <row r="6" spans="1:9" customFormat="1" hidden="1">
      <c r="A6" s="338">
        <f t="shared" si="0"/>
        <v>4</v>
      </c>
      <c r="B6" s="338" t="s">
        <v>534</v>
      </c>
      <c r="C6" s="193">
        <v>12033239</v>
      </c>
      <c r="D6" s="338" t="s">
        <v>542</v>
      </c>
      <c r="E6" s="194" t="s">
        <v>541</v>
      </c>
      <c r="F6" s="144" t="s">
        <v>3</v>
      </c>
    </row>
    <row r="7" spans="1:9" customFormat="1" hidden="1">
      <c r="A7" s="338">
        <f t="shared" si="0"/>
        <v>5</v>
      </c>
      <c r="B7" s="338" t="s">
        <v>534</v>
      </c>
      <c r="C7" s="193">
        <v>12057809</v>
      </c>
      <c r="D7" s="338" t="s">
        <v>543</v>
      </c>
      <c r="E7" s="194" t="s">
        <v>541</v>
      </c>
      <c r="F7" s="144" t="s">
        <v>3</v>
      </c>
    </row>
    <row r="8" spans="1:9" customFormat="1" hidden="1">
      <c r="A8" s="338">
        <f t="shared" si="0"/>
        <v>6</v>
      </c>
      <c r="B8" s="338" t="s">
        <v>534</v>
      </c>
      <c r="C8" s="193">
        <v>12057810</v>
      </c>
      <c r="D8" s="338" t="s">
        <v>544</v>
      </c>
      <c r="E8" s="194" t="s">
        <v>541</v>
      </c>
      <c r="F8" s="144" t="s">
        <v>3</v>
      </c>
    </row>
    <row r="9" spans="1:9" customFormat="1" hidden="1">
      <c r="A9" s="338">
        <f t="shared" si="0"/>
        <v>7</v>
      </c>
      <c r="B9" s="338" t="s">
        <v>534</v>
      </c>
      <c r="C9" s="193">
        <v>12057811</v>
      </c>
      <c r="D9" s="338" t="s">
        <v>545</v>
      </c>
      <c r="E9" s="194" t="s">
        <v>541</v>
      </c>
      <c r="F9" s="144" t="s">
        <v>3</v>
      </c>
    </row>
    <row r="10" spans="1:9" customFormat="1" hidden="1">
      <c r="A10" s="338">
        <f t="shared" si="0"/>
        <v>8</v>
      </c>
      <c r="B10" s="338" t="s">
        <v>534</v>
      </c>
      <c r="C10" s="193">
        <v>12057812</v>
      </c>
      <c r="D10" s="338" t="s">
        <v>546</v>
      </c>
      <c r="E10" s="194" t="s">
        <v>541</v>
      </c>
      <c r="F10" s="144" t="s">
        <v>3</v>
      </c>
    </row>
    <row r="11" spans="1:9" customFormat="1" hidden="1">
      <c r="A11" s="338">
        <f t="shared" si="0"/>
        <v>9</v>
      </c>
      <c r="B11" s="338" t="s">
        <v>534</v>
      </c>
      <c r="C11" s="193">
        <v>12057813</v>
      </c>
      <c r="D11" s="338" t="s">
        <v>547</v>
      </c>
      <c r="E11" s="194" t="s">
        <v>541</v>
      </c>
      <c r="F11" s="144" t="s">
        <v>3</v>
      </c>
    </row>
    <row r="12" spans="1:9" customFormat="1" hidden="1">
      <c r="A12" s="338">
        <f t="shared" si="0"/>
        <v>10</v>
      </c>
      <c r="B12" s="338" t="s">
        <v>534</v>
      </c>
      <c r="C12" s="193">
        <v>12057814</v>
      </c>
      <c r="D12" s="338" t="s">
        <v>548</v>
      </c>
      <c r="E12" s="194" t="s">
        <v>541</v>
      </c>
      <c r="F12" s="144" t="s">
        <v>3</v>
      </c>
    </row>
    <row r="13" spans="1:9" customFormat="1" hidden="1">
      <c r="A13" s="338">
        <f t="shared" si="0"/>
        <v>11</v>
      </c>
      <c r="B13" s="338" t="s">
        <v>534</v>
      </c>
      <c r="C13" s="193">
        <v>12057815</v>
      </c>
      <c r="D13" s="338" t="s">
        <v>549</v>
      </c>
      <c r="E13" s="194" t="s">
        <v>541</v>
      </c>
      <c r="F13" s="144" t="s">
        <v>3</v>
      </c>
    </row>
    <row r="14" spans="1:9" customFormat="1" hidden="1">
      <c r="A14" s="338">
        <f t="shared" si="0"/>
        <v>12</v>
      </c>
      <c r="B14" s="338" t="s">
        <v>534</v>
      </c>
      <c r="C14" s="193">
        <v>12057816</v>
      </c>
      <c r="D14" s="338" t="s">
        <v>550</v>
      </c>
      <c r="E14" s="194" t="s">
        <v>541</v>
      </c>
      <c r="F14" s="144" t="s">
        <v>3</v>
      </c>
    </row>
    <row r="15" spans="1:9" customFormat="1" hidden="1">
      <c r="A15" s="338">
        <f t="shared" si="0"/>
        <v>13</v>
      </c>
      <c r="B15" s="338" t="s">
        <v>534</v>
      </c>
      <c r="C15" s="193">
        <v>12057817</v>
      </c>
      <c r="D15" s="338" t="s">
        <v>551</v>
      </c>
      <c r="E15" s="194" t="s">
        <v>541</v>
      </c>
      <c r="F15" s="144" t="s">
        <v>3</v>
      </c>
    </row>
    <row r="16" spans="1:9" customFormat="1" hidden="1">
      <c r="A16" s="338">
        <f t="shared" si="0"/>
        <v>14</v>
      </c>
      <c r="B16" s="338" t="s">
        <v>534</v>
      </c>
      <c r="C16" s="193">
        <v>12057818</v>
      </c>
      <c r="D16" s="338" t="s">
        <v>552</v>
      </c>
      <c r="E16" s="194" t="s">
        <v>541</v>
      </c>
      <c r="F16" s="144" t="s">
        <v>3</v>
      </c>
    </row>
    <row r="17" spans="1:6" customFormat="1" hidden="1">
      <c r="A17" s="338">
        <f t="shared" si="0"/>
        <v>15</v>
      </c>
      <c r="B17" s="338" t="s">
        <v>534</v>
      </c>
      <c r="C17" s="193">
        <v>12057819</v>
      </c>
      <c r="D17" s="338" t="s">
        <v>553</v>
      </c>
      <c r="E17" s="194" t="s">
        <v>541</v>
      </c>
      <c r="F17" s="144" t="s">
        <v>3</v>
      </c>
    </row>
    <row r="18" spans="1:6" customFormat="1" hidden="1">
      <c r="A18" s="338">
        <f t="shared" si="0"/>
        <v>16</v>
      </c>
      <c r="B18" s="338" t="s">
        <v>534</v>
      </c>
      <c r="C18" s="193">
        <v>12057820</v>
      </c>
      <c r="D18" s="338" t="s">
        <v>554</v>
      </c>
      <c r="E18" s="194" t="s">
        <v>541</v>
      </c>
      <c r="F18" s="144" t="s">
        <v>3</v>
      </c>
    </row>
    <row r="19" spans="1:6" customFormat="1" hidden="1">
      <c r="A19" s="338">
        <f t="shared" si="0"/>
        <v>17</v>
      </c>
      <c r="B19" s="338" t="s">
        <v>534</v>
      </c>
      <c r="C19" s="193">
        <v>12057821</v>
      </c>
      <c r="D19" s="338" t="s">
        <v>555</v>
      </c>
      <c r="E19" s="194" t="s">
        <v>541</v>
      </c>
      <c r="F19" s="144" t="s">
        <v>3</v>
      </c>
    </row>
    <row r="20" spans="1:6" customFormat="1" hidden="1">
      <c r="A20" s="338">
        <f t="shared" si="0"/>
        <v>18</v>
      </c>
      <c r="B20" s="338" t="s">
        <v>534</v>
      </c>
      <c r="C20" s="193">
        <v>12057822</v>
      </c>
      <c r="D20" s="338" t="s">
        <v>556</v>
      </c>
      <c r="E20" s="194" t="s">
        <v>541</v>
      </c>
      <c r="F20" s="144" t="s">
        <v>3</v>
      </c>
    </row>
    <row r="21" spans="1:6" customFormat="1" hidden="1">
      <c r="A21" s="338">
        <f t="shared" si="0"/>
        <v>19</v>
      </c>
      <c r="B21" s="338" t="s">
        <v>534</v>
      </c>
      <c r="C21" s="193">
        <v>12057823</v>
      </c>
      <c r="D21" s="338" t="s">
        <v>557</v>
      </c>
      <c r="E21" s="194" t="s">
        <v>541</v>
      </c>
      <c r="F21" s="144" t="s">
        <v>3</v>
      </c>
    </row>
    <row r="22" spans="1:6" customFormat="1" hidden="1">
      <c r="A22" s="338">
        <f t="shared" si="0"/>
        <v>20</v>
      </c>
      <c r="B22" s="338" t="s">
        <v>534</v>
      </c>
      <c r="C22" s="193">
        <v>12057824</v>
      </c>
      <c r="D22" s="338" t="s">
        <v>558</v>
      </c>
      <c r="E22" s="194" t="s">
        <v>541</v>
      </c>
      <c r="F22" s="144" t="s">
        <v>3</v>
      </c>
    </row>
    <row r="23" spans="1:6" customFormat="1" hidden="1">
      <c r="A23" s="338">
        <f t="shared" si="0"/>
        <v>21</v>
      </c>
      <c r="B23" s="338" t="s">
        <v>534</v>
      </c>
      <c r="C23" s="193">
        <v>12057825</v>
      </c>
      <c r="D23" s="338" t="s">
        <v>559</v>
      </c>
      <c r="E23" s="194" t="s">
        <v>541</v>
      </c>
      <c r="F23" s="144" t="s">
        <v>3</v>
      </c>
    </row>
    <row r="24" spans="1:6" customFormat="1" hidden="1">
      <c r="A24" s="338">
        <f t="shared" si="0"/>
        <v>22</v>
      </c>
      <c r="B24" s="338" t="s">
        <v>534</v>
      </c>
      <c r="C24" s="193">
        <v>12057826</v>
      </c>
      <c r="D24" s="338" t="s">
        <v>560</v>
      </c>
      <c r="E24" s="194" t="s">
        <v>541</v>
      </c>
      <c r="F24" s="144" t="s">
        <v>3</v>
      </c>
    </row>
    <row r="25" spans="1:6" customFormat="1" hidden="1">
      <c r="A25" s="338">
        <f t="shared" si="0"/>
        <v>23</v>
      </c>
      <c r="B25" s="338" t="s">
        <v>534</v>
      </c>
      <c r="C25" s="193">
        <v>12057827</v>
      </c>
      <c r="D25" s="338" t="s">
        <v>561</v>
      </c>
      <c r="E25" s="194" t="s">
        <v>541</v>
      </c>
      <c r="F25" s="144" t="s">
        <v>3</v>
      </c>
    </row>
    <row r="26" spans="1:6" customFormat="1" hidden="1">
      <c r="A26" s="338">
        <f t="shared" si="0"/>
        <v>24</v>
      </c>
      <c r="B26" s="338" t="s">
        <v>534</v>
      </c>
      <c r="C26" s="193">
        <v>12057828</v>
      </c>
      <c r="D26" s="338" t="s">
        <v>562</v>
      </c>
      <c r="E26" s="194" t="s">
        <v>541</v>
      </c>
      <c r="F26" s="144" t="s">
        <v>3</v>
      </c>
    </row>
    <row r="27" spans="1:6" customFormat="1" hidden="1">
      <c r="A27" s="338">
        <f t="shared" si="0"/>
        <v>25</v>
      </c>
      <c r="B27" s="338" t="s">
        <v>534</v>
      </c>
      <c r="C27" s="193">
        <v>12057829</v>
      </c>
      <c r="D27" s="338" t="s">
        <v>563</v>
      </c>
      <c r="E27" s="194" t="s">
        <v>541</v>
      </c>
      <c r="F27" s="144" t="s">
        <v>3</v>
      </c>
    </row>
    <row r="28" spans="1:6" customFormat="1" hidden="1">
      <c r="A28" s="338">
        <f t="shared" si="0"/>
        <v>26</v>
      </c>
      <c r="B28" s="338" t="s">
        <v>534</v>
      </c>
      <c r="C28" s="193">
        <v>12057830</v>
      </c>
      <c r="D28" s="338" t="s">
        <v>564</v>
      </c>
      <c r="E28" s="194" t="s">
        <v>541</v>
      </c>
      <c r="F28" s="144" t="s">
        <v>3</v>
      </c>
    </row>
    <row r="29" spans="1:6" customFormat="1" hidden="1">
      <c r="A29" s="338">
        <f t="shared" si="0"/>
        <v>27</v>
      </c>
      <c r="B29" s="338" t="s">
        <v>534</v>
      </c>
      <c r="C29" s="193">
        <v>12057831</v>
      </c>
      <c r="D29" s="338" t="s">
        <v>565</v>
      </c>
      <c r="E29" s="194" t="s">
        <v>541</v>
      </c>
      <c r="F29" s="144" t="s">
        <v>3</v>
      </c>
    </row>
    <row r="30" spans="1:6" customFormat="1" hidden="1">
      <c r="A30" s="338">
        <f t="shared" si="0"/>
        <v>28</v>
      </c>
      <c r="B30" s="338" t="s">
        <v>534</v>
      </c>
      <c r="C30" s="193">
        <v>12057832</v>
      </c>
      <c r="D30" s="338" t="s">
        <v>566</v>
      </c>
      <c r="E30" s="194" t="s">
        <v>541</v>
      </c>
      <c r="F30" s="144" t="s">
        <v>3</v>
      </c>
    </row>
    <row r="31" spans="1:6" customFormat="1" hidden="1">
      <c r="A31" s="338">
        <f t="shared" si="0"/>
        <v>29</v>
      </c>
      <c r="B31" s="338" t="s">
        <v>534</v>
      </c>
      <c r="C31" s="193">
        <v>12057833</v>
      </c>
      <c r="D31" s="338" t="s">
        <v>567</v>
      </c>
      <c r="E31" s="194" t="s">
        <v>541</v>
      </c>
      <c r="F31" s="144" t="s">
        <v>3</v>
      </c>
    </row>
    <row r="32" spans="1:6" customFormat="1" hidden="1">
      <c r="A32" s="338">
        <f t="shared" si="0"/>
        <v>30</v>
      </c>
      <c r="B32" s="338" t="s">
        <v>534</v>
      </c>
      <c r="C32" s="193">
        <v>12057834</v>
      </c>
      <c r="D32" s="338" t="s">
        <v>568</v>
      </c>
      <c r="E32" s="194" t="s">
        <v>541</v>
      </c>
      <c r="F32" s="144" t="s">
        <v>3</v>
      </c>
    </row>
    <row r="33" spans="1:6" customFormat="1" hidden="1">
      <c r="A33" s="338">
        <f t="shared" si="0"/>
        <v>31</v>
      </c>
      <c r="B33" s="338" t="s">
        <v>534</v>
      </c>
      <c r="C33" s="193">
        <v>12057835</v>
      </c>
      <c r="D33" s="338" t="s">
        <v>569</v>
      </c>
      <c r="E33" s="194" t="s">
        <v>541</v>
      </c>
      <c r="F33" s="144" t="s">
        <v>3</v>
      </c>
    </row>
    <row r="34" spans="1:6" customFormat="1" hidden="1">
      <c r="A34" s="338">
        <f t="shared" si="0"/>
        <v>32</v>
      </c>
      <c r="B34" s="338" t="s">
        <v>534</v>
      </c>
      <c r="C34" s="193">
        <v>12057836</v>
      </c>
      <c r="D34" s="338" t="s">
        <v>570</v>
      </c>
      <c r="E34" s="194" t="s">
        <v>541</v>
      </c>
      <c r="F34" s="144" t="s">
        <v>3</v>
      </c>
    </row>
    <row r="35" spans="1:6" customFormat="1" hidden="1">
      <c r="A35" s="338">
        <f t="shared" si="0"/>
        <v>33</v>
      </c>
      <c r="B35" s="338" t="s">
        <v>534</v>
      </c>
      <c r="C35" s="193">
        <v>12057837</v>
      </c>
      <c r="D35" s="338" t="s">
        <v>571</v>
      </c>
      <c r="E35" s="194" t="s">
        <v>541</v>
      </c>
      <c r="F35" s="144" t="s">
        <v>3</v>
      </c>
    </row>
    <row r="36" spans="1:6" customFormat="1" hidden="1">
      <c r="A36" s="338">
        <f t="shared" si="0"/>
        <v>34</v>
      </c>
      <c r="B36" s="338" t="s">
        <v>534</v>
      </c>
      <c r="C36" s="193">
        <v>12057838</v>
      </c>
      <c r="D36" s="338" t="s">
        <v>572</v>
      </c>
      <c r="E36" s="194" t="s">
        <v>541</v>
      </c>
      <c r="F36" s="144" t="s">
        <v>3</v>
      </c>
    </row>
    <row r="37" spans="1:6" customFormat="1" hidden="1">
      <c r="A37" s="338">
        <f t="shared" si="0"/>
        <v>35</v>
      </c>
      <c r="B37" s="338" t="s">
        <v>534</v>
      </c>
      <c r="C37" s="193">
        <v>12057839</v>
      </c>
      <c r="D37" s="338" t="s">
        <v>573</v>
      </c>
      <c r="E37" s="194" t="s">
        <v>541</v>
      </c>
      <c r="F37" s="144" t="s">
        <v>3</v>
      </c>
    </row>
    <row r="38" spans="1:6" customFormat="1" hidden="1">
      <c r="A38" s="338">
        <f t="shared" si="0"/>
        <v>36</v>
      </c>
      <c r="B38" s="338" t="s">
        <v>534</v>
      </c>
      <c r="C38" s="193">
        <v>12057840</v>
      </c>
      <c r="D38" s="338" t="s">
        <v>574</v>
      </c>
      <c r="E38" s="194" t="s">
        <v>541</v>
      </c>
      <c r="F38" s="144" t="s">
        <v>3</v>
      </c>
    </row>
    <row r="39" spans="1:6" customFormat="1" hidden="1">
      <c r="A39" s="338">
        <f t="shared" si="0"/>
        <v>37</v>
      </c>
      <c r="B39" s="338" t="s">
        <v>534</v>
      </c>
      <c r="C39" s="193">
        <v>12057841</v>
      </c>
      <c r="D39" s="338" t="s">
        <v>575</v>
      </c>
      <c r="E39" s="194" t="s">
        <v>541</v>
      </c>
      <c r="F39" s="144" t="s">
        <v>3</v>
      </c>
    </row>
    <row r="40" spans="1:6" customFormat="1" hidden="1">
      <c r="A40" s="338">
        <f t="shared" si="0"/>
        <v>38</v>
      </c>
      <c r="B40" s="338" t="s">
        <v>534</v>
      </c>
      <c r="C40" s="193">
        <v>12057842</v>
      </c>
      <c r="D40" s="338" t="s">
        <v>576</v>
      </c>
      <c r="E40" s="194" t="s">
        <v>541</v>
      </c>
      <c r="F40" s="144" t="s">
        <v>3</v>
      </c>
    </row>
    <row r="41" spans="1:6" customFormat="1" hidden="1">
      <c r="A41" s="338">
        <f t="shared" si="0"/>
        <v>39</v>
      </c>
      <c r="B41" s="338" t="s">
        <v>534</v>
      </c>
      <c r="C41" s="193">
        <v>12057843</v>
      </c>
      <c r="D41" s="338" t="s">
        <v>577</v>
      </c>
      <c r="E41" s="194" t="s">
        <v>541</v>
      </c>
      <c r="F41" s="144" t="s">
        <v>3</v>
      </c>
    </row>
    <row r="42" spans="1:6" customFormat="1" hidden="1">
      <c r="A42" s="338">
        <f t="shared" si="0"/>
        <v>40</v>
      </c>
      <c r="B42" s="338" t="s">
        <v>534</v>
      </c>
      <c r="C42" s="193">
        <v>12057844</v>
      </c>
      <c r="D42" s="338" t="s">
        <v>578</v>
      </c>
      <c r="E42" s="194" t="s">
        <v>541</v>
      </c>
      <c r="F42" s="144" t="s">
        <v>3</v>
      </c>
    </row>
    <row r="43" spans="1:6" customFormat="1" hidden="1">
      <c r="A43" s="338">
        <f t="shared" si="0"/>
        <v>41</v>
      </c>
      <c r="B43" s="338" t="s">
        <v>534</v>
      </c>
      <c r="C43" s="193">
        <v>12057845</v>
      </c>
      <c r="D43" s="338" t="s">
        <v>579</v>
      </c>
      <c r="E43" s="194" t="s">
        <v>541</v>
      </c>
      <c r="F43" s="144" t="s">
        <v>3</v>
      </c>
    </row>
    <row r="44" spans="1:6" customFormat="1" hidden="1">
      <c r="A44" s="338">
        <f t="shared" si="0"/>
        <v>42</v>
      </c>
      <c r="B44" s="338" t="s">
        <v>534</v>
      </c>
      <c r="C44" s="193">
        <v>12057846</v>
      </c>
      <c r="D44" s="338" t="s">
        <v>580</v>
      </c>
      <c r="E44" s="194" t="s">
        <v>541</v>
      </c>
      <c r="F44" s="144" t="s">
        <v>3</v>
      </c>
    </row>
    <row r="45" spans="1:6" customFormat="1" hidden="1">
      <c r="A45" s="338">
        <f t="shared" si="0"/>
        <v>43</v>
      </c>
      <c r="B45" s="338" t="s">
        <v>534</v>
      </c>
      <c r="C45" s="193">
        <v>12057847</v>
      </c>
      <c r="D45" s="338" t="s">
        <v>581</v>
      </c>
      <c r="E45" s="194" t="s">
        <v>541</v>
      </c>
      <c r="F45" s="144" t="s">
        <v>3</v>
      </c>
    </row>
    <row r="46" spans="1:6" customFormat="1" hidden="1">
      <c r="A46" s="338">
        <f t="shared" si="0"/>
        <v>44</v>
      </c>
      <c r="B46" s="338" t="s">
        <v>534</v>
      </c>
      <c r="C46" s="193">
        <v>12057848</v>
      </c>
      <c r="D46" s="338" t="s">
        <v>582</v>
      </c>
      <c r="E46" s="194" t="s">
        <v>541</v>
      </c>
      <c r="F46" s="144" t="s">
        <v>3</v>
      </c>
    </row>
    <row r="47" spans="1:6" customFormat="1" hidden="1">
      <c r="A47" s="338">
        <f t="shared" si="0"/>
        <v>45</v>
      </c>
      <c r="B47" s="338" t="s">
        <v>534</v>
      </c>
      <c r="C47" s="193">
        <v>12057849</v>
      </c>
      <c r="D47" s="338" t="s">
        <v>583</v>
      </c>
      <c r="E47" s="194" t="s">
        <v>541</v>
      </c>
      <c r="F47" s="144" t="s">
        <v>3</v>
      </c>
    </row>
    <row r="48" spans="1:6" customFormat="1" hidden="1">
      <c r="A48" s="338">
        <f t="shared" si="0"/>
        <v>46</v>
      </c>
      <c r="B48" s="338" t="s">
        <v>534</v>
      </c>
      <c r="C48" s="193">
        <v>12057850</v>
      </c>
      <c r="D48" s="338" t="s">
        <v>584</v>
      </c>
      <c r="E48" s="194" t="s">
        <v>541</v>
      </c>
      <c r="F48" s="144" t="s">
        <v>3</v>
      </c>
    </row>
    <row r="49" spans="1:6" customFormat="1" hidden="1">
      <c r="A49" s="338">
        <f t="shared" si="0"/>
        <v>47</v>
      </c>
      <c r="B49" s="338" t="s">
        <v>534</v>
      </c>
      <c r="C49" s="193">
        <v>12057851</v>
      </c>
      <c r="D49" s="338" t="s">
        <v>585</v>
      </c>
      <c r="E49" s="194" t="s">
        <v>541</v>
      </c>
      <c r="F49" s="144" t="s">
        <v>3</v>
      </c>
    </row>
    <row r="50" spans="1:6" customFormat="1" hidden="1">
      <c r="A50" s="338">
        <f t="shared" si="0"/>
        <v>48</v>
      </c>
      <c r="B50" s="338" t="s">
        <v>534</v>
      </c>
      <c r="C50" s="193">
        <v>12057852</v>
      </c>
      <c r="D50" s="338" t="s">
        <v>586</v>
      </c>
      <c r="E50" s="194" t="s">
        <v>541</v>
      </c>
      <c r="F50" s="144" t="s">
        <v>3</v>
      </c>
    </row>
    <row r="51" spans="1:6" customFormat="1" hidden="1">
      <c r="A51" s="338">
        <f t="shared" si="0"/>
        <v>49</v>
      </c>
      <c r="B51" s="338" t="s">
        <v>534</v>
      </c>
      <c r="C51" s="193">
        <v>12057853</v>
      </c>
      <c r="D51" s="338" t="s">
        <v>587</v>
      </c>
      <c r="E51" s="194" t="s">
        <v>541</v>
      </c>
      <c r="F51" s="144" t="s">
        <v>3</v>
      </c>
    </row>
    <row r="52" spans="1:6" customFormat="1" hidden="1">
      <c r="A52" s="338">
        <f t="shared" si="0"/>
        <v>50</v>
      </c>
      <c r="B52" s="338" t="s">
        <v>534</v>
      </c>
      <c r="C52" s="193">
        <v>12057854</v>
      </c>
      <c r="D52" s="338" t="s">
        <v>588</v>
      </c>
      <c r="E52" s="194" t="s">
        <v>541</v>
      </c>
      <c r="F52" s="144" t="s">
        <v>3</v>
      </c>
    </row>
    <row r="53" spans="1:6" customFormat="1" hidden="1">
      <c r="A53" s="338">
        <f t="shared" si="0"/>
        <v>51</v>
      </c>
      <c r="B53" s="338" t="s">
        <v>534</v>
      </c>
      <c r="C53" s="193">
        <v>12057855</v>
      </c>
      <c r="D53" s="338" t="s">
        <v>589</v>
      </c>
      <c r="E53" s="194" t="s">
        <v>541</v>
      </c>
      <c r="F53" s="144" t="s">
        <v>3</v>
      </c>
    </row>
    <row r="54" spans="1:6" customFormat="1" hidden="1">
      <c r="A54" s="338">
        <f t="shared" si="0"/>
        <v>52</v>
      </c>
      <c r="B54" s="338" t="s">
        <v>534</v>
      </c>
      <c r="C54" s="193">
        <v>12057856</v>
      </c>
      <c r="D54" s="338" t="s">
        <v>590</v>
      </c>
      <c r="E54" s="194" t="s">
        <v>541</v>
      </c>
      <c r="F54" s="144" t="s">
        <v>3</v>
      </c>
    </row>
    <row r="55" spans="1:6" customFormat="1" hidden="1">
      <c r="A55" s="338">
        <f t="shared" si="0"/>
        <v>53</v>
      </c>
      <c r="B55" s="338" t="s">
        <v>534</v>
      </c>
      <c r="C55" s="193">
        <v>12057857</v>
      </c>
      <c r="D55" s="338" t="s">
        <v>591</v>
      </c>
      <c r="E55" s="194" t="s">
        <v>541</v>
      </c>
      <c r="F55" s="144" t="s">
        <v>3</v>
      </c>
    </row>
    <row r="56" spans="1:6" customFormat="1" hidden="1">
      <c r="A56" s="338">
        <f t="shared" si="0"/>
        <v>54</v>
      </c>
      <c r="B56" s="338" t="s">
        <v>534</v>
      </c>
      <c r="C56" s="193">
        <v>12057858</v>
      </c>
      <c r="D56" s="338" t="s">
        <v>592</v>
      </c>
      <c r="E56" s="194" t="s">
        <v>541</v>
      </c>
      <c r="F56" s="144" t="s">
        <v>3</v>
      </c>
    </row>
    <row r="57" spans="1:6" customFormat="1" hidden="1">
      <c r="A57" s="338">
        <f t="shared" si="0"/>
        <v>55</v>
      </c>
      <c r="B57" s="338" t="s">
        <v>534</v>
      </c>
      <c r="C57" s="193">
        <v>12057859</v>
      </c>
      <c r="D57" s="338" t="s">
        <v>593</v>
      </c>
      <c r="E57" s="194" t="s">
        <v>541</v>
      </c>
      <c r="F57" s="144" t="s">
        <v>3</v>
      </c>
    </row>
    <row r="58" spans="1:6" customFormat="1" hidden="1">
      <c r="A58" s="338">
        <f t="shared" si="0"/>
        <v>56</v>
      </c>
      <c r="B58" s="338" t="s">
        <v>534</v>
      </c>
      <c r="C58" s="193">
        <v>12057860</v>
      </c>
      <c r="D58" s="338" t="s">
        <v>594</v>
      </c>
      <c r="E58" s="194" t="s">
        <v>541</v>
      </c>
      <c r="F58" s="144" t="s">
        <v>3</v>
      </c>
    </row>
    <row r="59" spans="1:6" customFormat="1" hidden="1">
      <c r="A59" s="338">
        <f t="shared" si="0"/>
        <v>57</v>
      </c>
      <c r="B59" s="338" t="s">
        <v>534</v>
      </c>
      <c r="C59" s="193">
        <v>12057861</v>
      </c>
      <c r="D59" s="338" t="s">
        <v>595</v>
      </c>
      <c r="E59" s="194" t="s">
        <v>541</v>
      </c>
      <c r="F59" s="144" t="s">
        <v>3</v>
      </c>
    </row>
    <row r="60" spans="1:6" customFormat="1" hidden="1">
      <c r="A60" s="338">
        <f t="shared" si="0"/>
        <v>58</v>
      </c>
      <c r="B60" s="338" t="s">
        <v>534</v>
      </c>
      <c r="C60" s="193">
        <v>12057862</v>
      </c>
      <c r="D60" s="338" t="s">
        <v>596</v>
      </c>
      <c r="E60" s="194" t="s">
        <v>541</v>
      </c>
      <c r="F60" s="144" t="s">
        <v>3</v>
      </c>
    </row>
    <row r="61" spans="1:6" customFormat="1" hidden="1">
      <c r="A61" s="338">
        <f t="shared" si="0"/>
        <v>59</v>
      </c>
      <c r="B61" s="338" t="s">
        <v>534</v>
      </c>
      <c r="C61" s="193">
        <v>12057863</v>
      </c>
      <c r="D61" s="338" t="s">
        <v>597</v>
      </c>
      <c r="E61" s="194" t="s">
        <v>541</v>
      </c>
      <c r="F61" s="144" t="s">
        <v>3</v>
      </c>
    </row>
    <row r="62" spans="1:6" customFormat="1" hidden="1">
      <c r="A62" s="338">
        <f t="shared" si="0"/>
        <v>60</v>
      </c>
      <c r="B62" s="338" t="s">
        <v>534</v>
      </c>
      <c r="C62" s="193">
        <v>12057864</v>
      </c>
      <c r="D62" s="338" t="s">
        <v>598</v>
      </c>
      <c r="E62" s="194" t="s">
        <v>541</v>
      </c>
      <c r="F62" s="144" t="s">
        <v>3</v>
      </c>
    </row>
    <row r="63" spans="1:6" customFormat="1" hidden="1">
      <c r="A63" s="338">
        <f t="shared" si="0"/>
        <v>61</v>
      </c>
      <c r="B63" s="338" t="s">
        <v>534</v>
      </c>
      <c r="C63" s="193">
        <v>12057865</v>
      </c>
      <c r="D63" s="338" t="s">
        <v>599</v>
      </c>
      <c r="E63" s="194" t="s">
        <v>541</v>
      </c>
      <c r="F63" s="144" t="s">
        <v>3</v>
      </c>
    </row>
    <row r="64" spans="1:6" customFormat="1" hidden="1">
      <c r="A64" s="338">
        <f t="shared" si="0"/>
        <v>62</v>
      </c>
      <c r="B64" s="338" t="s">
        <v>534</v>
      </c>
      <c r="C64" s="193">
        <v>12057866</v>
      </c>
      <c r="D64" s="338" t="s">
        <v>600</v>
      </c>
      <c r="E64" s="194" t="s">
        <v>541</v>
      </c>
      <c r="F64" s="144" t="s">
        <v>3</v>
      </c>
    </row>
    <row r="65" spans="1:6" customFormat="1" hidden="1">
      <c r="A65" s="338">
        <f t="shared" si="0"/>
        <v>63</v>
      </c>
      <c r="B65" s="338" t="s">
        <v>534</v>
      </c>
      <c r="C65" s="193">
        <v>12057867</v>
      </c>
      <c r="D65" s="338" t="s">
        <v>601</v>
      </c>
      <c r="E65" s="194" t="s">
        <v>541</v>
      </c>
      <c r="F65" s="144" t="s">
        <v>3</v>
      </c>
    </row>
    <row r="66" spans="1:6" customFormat="1" hidden="1">
      <c r="A66" s="338">
        <f t="shared" si="0"/>
        <v>64</v>
      </c>
      <c r="B66" s="338" t="s">
        <v>534</v>
      </c>
      <c r="C66" s="193">
        <v>12057868</v>
      </c>
      <c r="D66" s="338" t="s">
        <v>602</v>
      </c>
      <c r="E66" s="194" t="s">
        <v>541</v>
      </c>
      <c r="F66" s="144" t="s">
        <v>3</v>
      </c>
    </row>
    <row r="67" spans="1:6" customFormat="1" hidden="1">
      <c r="A67" s="338">
        <f t="shared" si="0"/>
        <v>65</v>
      </c>
      <c r="B67" s="338" t="s">
        <v>534</v>
      </c>
      <c r="C67" s="193">
        <v>12057869</v>
      </c>
      <c r="D67" s="338" t="s">
        <v>603</v>
      </c>
      <c r="E67" s="194" t="s">
        <v>541</v>
      </c>
      <c r="F67" s="144" t="s">
        <v>3</v>
      </c>
    </row>
    <row r="68" spans="1:6" customFormat="1" hidden="1">
      <c r="A68" s="338">
        <f t="shared" ref="A68:A131" si="1">A67+1</f>
        <v>66</v>
      </c>
      <c r="B68" s="338" t="s">
        <v>534</v>
      </c>
      <c r="C68" s="193">
        <v>12057870</v>
      </c>
      <c r="D68" s="338" t="s">
        <v>604</v>
      </c>
      <c r="E68" s="194" t="s">
        <v>541</v>
      </c>
      <c r="F68" s="144" t="s">
        <v>3</v>
      </c>
    </row>
    <row r="69" spans="1:6" customFormat="1" hidden="1">
      <c r="A69" s="338">
        <f t="shared" si="1"/>
        <v>67</v>
      </c>
      <c r="B69" s="338" t="s">
        <v>534</v>
      </c>
      <c r="C69" s="193">
        <v>12057871</v>
      </c>
      <c r="D69" s="338" t="s">
        <v>605</v>
      </c>
      <c r="E69" s="194" t="s">
        <v>541</v>
      </c>
      <c r="F69" s="144" t="s">
        <v>3</v>
      </c>
    </row>
    <row r="70" spans="1:6" customFormat="1" hidden="1">
      <c r="A70" s="338">
        <f t="shared" si="1"/>
        <v>68</v>
      </c>
      <c r="B70" s="338" t="s">
        <v>534</v>
      </c>
      <c r="C70" s="193">
        <v>12057872</v>
      </c>
      <c r="D70" s="338" t="s">
        <v>606</v>
      </c>
      <c r="E70" s="194" t="s">
        <v>541</v>
      </c>
      <c r="F70" s="144" t="s">
        <v>3</v>
      </c>
    </row>
    <row r="71" spans="1:6" customFormat="1" hidden="1">
      <c r="A71" s="338">
        <f t="shared" si="1"/>
        <v>69</v>
      </c>
      <c r="B71" s="338" t="s">
        <v>534</v>
      </c>
      <c r="C71" s="193">
        <v>12057873</v>
      </c>
      <c r="D71" s="338" t="s">
        <v>607</v>
      </c>
      <c r="E71" s="194" t="s">
        <v>541</v>
      </c>
      <c r="F71" s="144" t="s">
        <v>3</v>
      </c>
    </row>
    <row r="72" spans="1:6" customFormat="1" hidden="1">
      <c r="A72" s="338">
        <f t="shared" si="1"/>
        <v>70</v>
      </c>
      <c r="B72" s="338" t="s">
        <v>534</v>
      </c>
      <c r="C72" s="193">
        <v>12057874</v>
      </c>
      <c r="D72" s="338" t="s">
        <v>608</v>
      </c>
      <c r="E72" s="194" t="s">
        <v>541</v>
      </c>
      <c r="F72" s="144" t="s">
        <v>3</v>
      </c>
    </row>
    <row r="73" spans="1:6" customFormat="1" hidden="1">
      <c r="A73" s="338">
        <f t="shared" si="1"/>
        <v>71</v>
      </c>
      <c r="B73" s="338" t="s">
        <v>534</v>
      </c>
      <c r="C73" s="193">
        <v>12057875</v>
      </c>
      <c r="D73" s="338" t="s">
        <v>609</v>
      </c>
      <c r="E73" s="194" t="s">
        <v>541</v>
      </c>
      <c r="F73" s="144" t="s">
        <v>3</v>
      </c>
    </row>
    <row r="74" spans="1:6" customFormat="1" hidden="1">
      <c r="A74" s="338">
        <f t="shared" si="1"/>
        <v>72</v>
      </c>
      <c r="B74" s="338" t="s">
        <v>534</v>
      </c>
      <c r="C74" s="193">
        <v>12057876</v>
      </c>
      <c r="D74" s="338" t="s">
        <v>610</v>
      </c>
      <c r="E74" s="194" t="s">
        <v>541</v>
      </c>
      <c r="F74" s="144" t="s">
        <v>3</v>
      </c>
    </row>
    <row r="75" spans="1:6" customFormat="1" hidden="1">
      <c r="A75" s="338">
        <f t="shared" si="1"/>
        <v>73</v>
      </c>
      <c r="B75" s="338" t="s">
        <v>534</v>
      </c>
      <c r="C75" s="193">
        <v>12057877</v>
      </c>
      <c r="D75" s="338" t="s">
        <v>611</v>
      </c>
      <c r="E75" s="194" t="s">
        <v>541</v>
      </c>
      <c r="F75" s="144" t="s">
        <v>3</v>
      </c>
    </row>
    <row r="76" spans="1:6" customFormat="1" hidden="1">
      <c r="A76" s="338">
        <f t="shared" si="1"/>
        <v>74</v>
      </c>
      <c r="B76" s="338" t="s">
        <v>534</v>
      </c>
      <c r="C76" s="193">
        <v>12057878</v>
      </c>
      <c r="D76" s="338" t="s">
        <v>612</v>
      </c>
      <c r="E76" s="194" t="s">
        <v>541</v>
      </c>
      <c r="F76" s="144" t="s">
        <v>3</v>
      </c>
    </row>
    <row r="77" spans="1:6" customFormat="1" hidden="1">
      <c r="A77" s="338">
        <f t="shared" si="1"/>
        <v>75</v>
      </c>
      <c r="B77" s="338" t="s">
        <v>534</v>
      </c>
      <c r="C77" s="193">
        <v>12057879</v>
      </c>
      <c r="D77" s="338" t="s">
        <v>613</v>
      </c>
      <c r="E77" s="194" t="s">
        <v>541</v>
      </c>
      <c r="F77" s="144" t="s">
        <v>3</v>
      </c>
    </row>
    <row r="78" spans="1:6" customFormat="1" hidden="1">
      <c r="A78" s="338">
        <f t="shared" si="1"/>
        <v>76</v>
      </c>
      <c r="B78" s="338" t="s">
        <v>534</v>
      </c>
      <c r="C78" s="193">
        <v>12057880</v>
      </c>
      <c r="D78" s="338" t="s">
        <v>614</v>
      </c>
      <c r="E78" s="194" t="s">
        <v>541</v>
      </c>
      <c r="F78" s="144" t="s">
        <v>3</v>
      </c>
    </row>
    <row r="79" spans="1:6" customFormat="1" hidden="1">
      <c r="A79" s="338">
        <f t="shared" si="1"/>
        <v>77</v>
      </c>
      <c r="B79" s="338" t="s">
        <v>534</v>
      </c>
      <c r="C79" s="193">
        <v>12057881</v>
      </c>
      <c r="D79" s="338" t="s">
        <v>615</v>
      </c>
      <c r="E79" s="194" t="s">
        <v>541</v>
      </c>
      <c r="F79" s="144" t="s">
        <v>3</v>
      </c>
    </row>
    <row r="80" spans="1:6" customFormat="1" hidden="1">
      <c r="A80" s="338">
        <f t="shared" si="1"/>
        <v>78</v>
      </c>
      <c r="B80" s="338" t="s">
        <v>534</v>
      </c>
      <c r="C80" s="193">
        <v>12057882</v>
      </c>
      <c r="D80" s="338" t="s">
        <v>616</v>
      </c>
      <c r="E80" s="194" t="s">
        <v>541</v>
      </c>
      <c r="F80" s="144" t="s">
        <v>3</v>
      </c>
    </row>
    <row r="81" spans="1:6" customFormat="1" hidden="1">
      <c r="A81" s="338">
        <f t="shared" si="1"/>
        <v>79</v>
      </c>
      <c r="B81" s="338" t="s">
        <v>534</v>
      </c>
      <c r="C81" s="193">
        <v>12057883</v>
      </c>
      <c r="D81" s="338" t="s">
        <v>617</v>
      </c>
      <c r="E81" s="194" t="s">
        <v>541</v>
      </c>
      <c r="F81" s="144" t="s">
        <v>3</v>
      </c>
    </row>
    <row r="82" spans="1:6" customFormat="1" hidden="1">
      <c r="A82" s="338">
        <f t="shared" si="1"/>
        <v>80</v>
      </c>
      <c r="B82" s="338" t="s">
        <v>534</v>
      </c>
      <c r="C82" s="193">
        <v>12057884</v>
      </c>
      <c r="D82" s="338" t="s">
        <v>618</v>
      </c>
      <c r="E82" s="194" t="s">
        <v>541</v>
      </c>
      <c r="F82" s="144" t="s">
        <v>3</v>
      </c>
    </row>
    <row r="83" spans="1:6" customFormat="1" hidden="1">
      <c r="A83" s="338">
        <f t="shared" si="1"/>
        <v>81</v>
      </c>
      <c r="B83" s="338" t="s">
        <v>534</v>
      </c>
      <c r="C83" s="193">
        <v>12057885</v>
      </c>
      <c r="D83" s="338" t="s">
        <v>619</v>
      </c>
      <c r="E83" s="194" t="s">
        <v>541</v>
      </c>
      <c r="F83" s="144" t="s">
        <v>3</v>
      </c>
    </row>
    <row r="84" spans="1:6" customFormat="1" hidden="1">
      <c r="A84" s="338">
        <f t="shared" si="1"/>
        <v>82</v>
      </c>
      <c r="B84" s="338" t="s">
        <v>534</v>
      </c>
      <c r="C84" s="193">
        <v>12057886</v>
      </c>
      <c r="D84" s="338" t="s">
        <v>620</v>
      </c>
      <c r="E84" s="194" t="s">
        <v>541</v>
      </c>
      <c r="F84" s="144" t="s">
        <v>3</v>
      </c>
    </row>
    <row r="85" spans="1:6" customFormat="1" hidden="1">
      <c r="A85" s="338">
        <f t="shared" si="1"/>
        <v>83</v>
      </c>
      <c r="B85" s="338" t="s">
        <v>534</v>
      </c>
      <c r="C85" s="193">
        <v>12057887</v>
      </c>
      <c r="D85" s="338" t="s">
        <v>621</v>
      </c>
      <c r="E85" s="194" t="s">
        <v>541</v>
      </c>
      <c r="F85" s="144" t="s">
        <v>3</v>
      </c>
    </row>
    <row r="86" spans="1:6" customFormat="1" hidden="1">
      <c r="A86" s="338">
        <f t="shared" si="1"/>
        <v>84</v>
      </c>
      <c r="B86" s="338" t="s">
        <v>534</v>
      </c>
      <c r="C86" s="193">
        <v>12057888</v>
      </c>
      <c r="D86" s="338" t="s">
        <v>622</v>
      </c>
      <c r="E86" s="194" t="s">
        <v>541</v>
      </c>
      <c r="F86" s="144" t="s">
        <v>3</v>
      </c>
    </row>
    <row r="87" spans="1:6" customFormat="1" hidden="1">
      <c r="A87" s="338">
        <f t="shared" si="1"/>
        <v>85</v>
      </c>
      <c r="B87" s="338" t="s">
        <v>534</v>
      </c>
      <c r="C87" s="193">
        <v>12057889</v>
      </c>
      <c r="D87" s="338" t="s">
        <v>623</v>
      </c>
      <c r="E87" s="194" t="s">
        <v>541</v>
      </c>
      <c r="F87" s="144" t="s">
        <v>3</v>
      </c>
    </row>
    <row r="88" spans="1:6" customFormat="1" hidden="1">
      <c r="A88" s="338">
        <f t="shared" si="1"/>
        <v>86</v>
      </c>
      <c r="B88" s="338" t="s">
        <v>534</v>
      </c>
      <c r="C88" s="193">
        <v>12057890</v>
      </c>
      <c r="D88" s="338" t="s">
        <v>624</v>
      </c>
      <c r="E88" s="194" t="s">
        <v>541</v>
      </c>
      <c r="F88" s="144" t="s">
        <v>3</v>
      </c>
    </row>
    <row r="89" spans="1:6" customFormat="1" hidden="1">
      <c r="A89" s="338">
        <f t="shared" si="1"/>
        <v>87</v>
      </c>
      <c r="B89" s="338" t="s">
        <v>534</v>
      </c>
      <c r="C89" s="193">
        <v>12057891</v>
      </c>
      <c r="D89" s="338" t="s">
        <v>625</v>
      </c>
      <c r="E89" s="194" t="s">
        <v>541</v>
      </c>
      <c r="F89" s="144" t="s">
        <v>3</v>
      </c>
    </row>
    <row r="90" spans="1:6" customFormat="1" hidden="1">
      <c r="A90" s="338">
        <f t="shared" si="1"/>
        <v>88</v>
      </c>
      <c r="B90" s="338" t="s">
        <v>534</v>
      </c>
      <c r="C90" s="193">
        <v>12057892</v>
      </c>
      <c r="D90" s="338" t="s">
        <v>626</v>
      </c>
      <c r="E90" s="194" t="s">
        <v>541</v>
      </c>
      <c r="F90" s="144" t="s">
        <v>3</v>
      </c>
    </row>
    <row r="91" spans="1:6" customFormat="1" hidden="1">
      <c r="A91" s="338">
        <f t="shared" si="1"/>
        <v>89</v>
      </c>
      <c r="B91" s="338" t="s">
        <v>534</v>
      </c>
      <c r="C91" s="193">
        <v>12057893</v>
      </c>
      <c r="D91" s="338" t="s">
        <v>627</v>
      </c>
      <c r="E91" s="194" t="s">
        <v>541</v>
      </c>
      <c r="F91" s="144" t="s">
        <v>3</v>
      </c>
    </row>
    <row r="92" spans="1:6" customFormat="1" hidden="1">
      <c r="A92" s="338">
        <f t="shared" si="1"/>
        <v>90</v>
      </c>
      <c r="B92" s="338" t="s">
        <v>534</v>
      </c>
      <c r="C92" s="193">
        <v>12057894</v>
      </c>
      <c r="D92" s="338" t="s">
        <v>628</v>
      </c>
      <c r="E92" s="194" t="s">
        <v>541</v>
      </c>
      <c r="F92" s="144" t="s">
        <v>3</v>
      </c>
    </row>
    <row r="93" spans="1:6" customFormat="1" hidden="1">
      <c r="A93" s="338">
        <f t="shared" si="1"/>
        <v>91</v>
      </c>
      <c r="B93" s="338" t="s">
        <v>534</v>
      </c>
      <c r="C93" s="193">
        <v>12057895</v>
      </c>
      <c r="D93" s="338" t="s">
        <v>629</v>
      </c>
      <c r="E93" s="194" t="s">
        <v>541</v>
      </c>
      <c r="F93" s="144" t="s">
        <v>3</v>
      </c>
    </row>
    <row r="94" spans="1:6" customFormat="1" hidden="1">
      <c r="A94" s="338">
        <f t="shared" si="1"/>
        <v>92</v>
      </c>
      <c r="B94" s="338" t="s">
        <v>534</v>
      </c>
      <c r="C94" s="193">
        <v>12057896</v>
      </c>
      <c r="D94" s="338" t="s">
        <v>630</v>
      </c>
      <c r="E94" s="194" t="s">
        <v>541</v>
      </c>
      <c r="F94" s="144" t="s">
        <v>3</v>
      </c>
    </row>
    <row r="95" spans="1:6" customFormat="1" hidden="1">
      <c r="A95" s="338">
        <f t="shared" si="1"/>
        <v>93</v>
      </c>
      <c r="B95" s="338" t="s">
        <v>534</v>
      </c>
      <c r="C95" s="193">
        <v>12057897</v>
      </c>
      <c r="D95" s="338" t="s">
        <v>631</v>
      </c>
      <c r="E95" s="194" t="s">
        <v>541</v>
      </c>
      <c r="F95" s="144" t="s">
        <v>3</v>
      </c>
    </row>
    <row r="96" spans="1:6" customFormat="1" hidden="1">
      <c r="A96" s="338">
        <f t="shared" si="1"/>
        <v>94</v>
      </c>
      <c r="B96" s="338" t="s">
        <v>534</v>
      </c>
      <c r="C96" s="193">
        <v>12057898</v>
      </c>
      <c r="D96" s="338" t="s">
        <v>632</v>
      </c>
      <c r="E96" s="194" t="s">
        <v>541</v>
      </c>
      <c r="F96" s="144" t="s">
        <v>3</v>
      </c>
    </row>
    <row r="97" spans="1:6" customFormat="1" hidden="1">
      <c r="A97" s="338">
        <f t="shared" si="1"/>
        <v>95</v>
      </c>
      <c r="B97" s="338" t="s">
        <v>534</v>
      </c>
      <c r="C97" s="193">
        <v>12057899</v>
      </c>
      <c r="D97" s="338" t="s">
        <v>633</v>
      </c>
      <c r="E97" s="194" t="s">
        <v>541</v>
      </c>
      <c r="F97" s="144" t="s">
        <v>3</v>
      </c>
    </row>
    <row r="98" spans="1:6" customFormat="1" hidden="1">
      <c r="A98" s="338">
        <f t="shared" si="1"/>
        <v>96</v>
      </c>
      <c r="B98" s="338" t="s">
        <v>534</v>
      </c>
      <c r="C98" s="193">
        <v>12057900</v>
      </c>
      <c r="D98" s="338" t="s">
        <v>634</v>
      </c>
      <c r="E98" s="194" t="s">
        <v>541</v>
      </c>
      <c r="F98" s="144" t="s">
        <v>3</v>
      </c>
    </row>
    <row r="99" spans="1:6" customFormat="1" hidden="1">
      <c r="A99" s="338">
        <f t="shared" si="1"/>
        <v>97</v>
      </c>
      <c r="B99" s="338" t="s">
        <v>534</v>
      </c>
      <c r="C99" s="193">
        <v>12057901</v>
      </c>
      <c r="D99" s="338" t="s">
        <v>635</v>
      </c>
      <c r="E99" s="194" t="s">
        <v>541</v>
      </c>
      <c r="F99" s="144" t="s">
        <v>3</v>
      </c>
    </row>
    <row r="100" spans="1:6" customFormat="1" hidden="1">
      <c r="A100" s="338">
        <f t="shared" si="1"/>
        <v>98</v>
      </c>
      <c r="B100" s="338" t="s">
        <v>534</v>
      </c>
      <c r="C100" s="193">
        <v>12057902</v>
      </c>
      <c r="D100" s="338" t="s">
        <v>636</v>
      </c>
      <c r="E100" s="194" t="s">
        <v>541</v>
      </c>
      <c r="F100" s="144" t="s">
        <v>3</v>
      </c>
    </row>
    <row r="101" spans="1:6" customFormat="1" hidden="1">
      <c r="A101" s="338">
        <f t="shared" si="1"/>
        <v>99</v>
      </c>
      <c r="B101" s="338" t="s">
        <v>534</v>
      </c>
      <c r="C101" s="193">
        <v>12057903</v>
      </c>
      <c r="D101" s="338" t="s">
        <v>637</v>
      </c>
      <c r="E101" s="194" t="s">
        <v>541</v>
      </c>
      <c r="F101" s="144" t="s">
        <v>3</v>
      </c>
    </row>
    <row r="102" spans="1:6" customFormat="1" hidden="1">
      <c r="A102" s="338">
        <f t="shared" si="1"/>
        <v>100</v>
      </c>
      <c r="B102" s="338" t="s">
        <v>534</v>
      </c>
      <c r="C102" s="193">
        <v>12057904</v>
      </c>
      <c r="D102" s="338" t="s">
        <v>638</v>
      </c>
      <c r="E102" s="194" t="s">
        <v>541</v>
      </c>
      <c r="F102" s="144" t="s">
        <v>3</v>
      </c>
    </row>
    <row r="103" spans="1:6" customFormat="1" hidden="1">
      <c r="A103" s="338">
        <f t="shared" si="1"/>
        <v>101</v>
      </c>
      <c r="B103" s="338" t="s">
        <v>534</v>
      </c>
      <c r="C103" s="193">
        <v>12057905</v>
      </c>
      <c r="D103" s="338" t="s">
        <v>639</v>
      </c>
      <c r="E103" s="194" t="s">
        <v>541</v>
      </c>
      <c r="F103" s="144" t="s">
        <v>3</v>
      </c>
    </row>
    <row r="104" spans="1:6" customFormat="1" hidden="1">
      <c r="A104" s="338">
        <f t="shared" si="1"/>
        <v>102</v>
      </c>
      <c r="B104" s="338" t="s">
        <v>534</v>
      </c>
      <c r="C104" s="193">
        <v>12057906</v>
      </c>
      <c r="D104" s="338" t="s">
        <v>640</v>
      </c>
      <c r="E104" s="194" t="s">
        <v>541</v>
      </c>
      <c r="F104" s="144" t="s">
        <v>3</v>
      </c>
    </row>
    <row r="105" spans="1:6" customFormat="1" hidden="1">
      <c r="A105" s="338">
        <f t="shared" si="1"/>
        <v>103</v>
      </c>
      <c r="B105" s="338" t="s">
        <v>534</v>
      </c>
      <c r="C105" s="193">
        <v>12057907</v>
      </c>
      <c r="D105" s="338" t="s">
        <v>641</v>
      </c>
      <c r="E105" s="194" t="s">
        <v>541</v>
      </c>
      <c r="F105" s="144" t="s">
        <v>3</v>
      </c>
    </row>
    <row r="106" spans="1:6" customFormat="1" hidden="1">
      <c r="A106" s="338">
        <f t="shared" si="1"/>
        <v>104</v>
      </c>
      <c r="B106" s="338" t="s">
        <v>534</v>
      </c>
      <c r="C106" s="193">
        <v>12058105</v>
      </c>
      <c r="D106" s="338" t="s">
        <v>642</v>
      </c>
      <c r="E106" s="194" t="s">
        <v>541</v>
      </c>
      <c r="F106" s="144" t="s">
        <v>3</v>
      </c>
    </row>
    <row r="107" spans="1:6" customFormat="1" hidden="1">
      <c r="A107" s="338">
        <f t="shared" si="1"/>
        <v>105</v>
      </c>
      <c r="B107" s="338" t="s">
        <v>534</v>
      </c>
      <c r="C107" s="193">
        <v>12016932</v>
      </c>
      <c r="D107" s="338" t="s">
        <v>643</v>
      </c>
      <c r="E107" s="194" t="s">
        <v>644</v>
      </c>
      <c r="F107" s="144" t="s">
        <v>3</v>
      </c>
    </row>
    <row r="108" spans="1:6" customFormat="1" hidden="1">
      <c r="A108" s="338">
        <f t="shared" si="1"/>
        <v>106</v>
      </c>
      <c r="B108" s="338" t="s">
        <v>645</v>
      </c>
      <c r="C108" s="193">
        <v>12000014</v>
      </c>
      <c r="D108" s="338" t="s">
        <v>646</v>
      </c>
      <c r="E108" s="194" t="s">
        <v>647</v>
      </c>
      <c r="F108" s="144" t="s">
        <v>3</v>
      </c>
    </row>
    <row r="109" spans="1:6" customFormat="1" hidden="1">
      <c r="A109" s="338">
        <f t="shared" si="1"/>
        <v>107</v>
      </c>
      <c r="B109" s="338" t="s">
        <v>645</v>
      </c>
      <c r="C109" s="193">
        <v>12000201</v>
      </c>
      <c r="D109" s="338" t="s">
        <v>648</v>
      </c>
      <c r="E109" s="194" t="s">
        <v>647</v>
      </c>
      <c r="F109" s="144" t="s">
        <v>3</v>
      </c>
    </row>
    <row r="110" spans="1:6" customFormat="1" hidden="1">
      <c r="A110" s="338">
        <f t="shared" si="1"/>
        <v>108</v>
      </c>
      <c r="B110" s="338" t="s">
        <v>645</v>
      </c>
      <c r="C110" s="193">
        <v>12001026</v>
      </c>
      <c r="D110" s="338" t="s">
        <v>649</v>
      </c>
      <c r="E110" s="194" t="s">
        <v>647</v>
      </c>
      <c r="F110" s="144" t="s">
        <v>3</v>
      </c>
    </row>
    <row r="111" spans="1:6" customFormat="1" hidden="1">
      <c r="A111" s="338">
        <f t="shared" si="1"/>
        <v>109</v>
      </c>
      <c r="B111" s="338" t="s">
        <v>645</v>
      </c>
      <c r="C111" s="193">
        <v>12072113</v>
      </c>
      <c r="D111" s="338" t="s">
        <v>650</v>
      </c>
      <c r="E111" s="194" t="s">
        <v>647</v>
      </c>
      <c r="F111" s="144" t="s">
        <v>3</v>
      </c>
    </row>
    <row r="112" spans="1:6" customFormat="1" hidden="1">
      <c r="A112" s="338">
        <f t="shared" si="1"/>
        <v>110</v>
      </c>
      <c r="B112" s="338" t="s">
        <v>645</v>
      </c>
      <c r="C112" s="193">
        <v>12072169</v>
      </c>
      <c r="D112" s="338" t="s">
        <v>651</v>
      </c>
      <c r="E112" s="194" t="s">
        <v>647</v>
      </c>
      <c r="F112" s="144" t="s">
        <v>3</v>
      </c>
    </row>
    <row r="113" spans="1:6" customFormat="1" hidden="1">
      <c r="A113" s="338">
        <f t="shared" si="1"/>
        <v>111</v>
      </c>
      <c r="B113" s="338" t="s">
        <v>645</v>
      </c>
      <c r="C113" s="193">
        <v>12073524</v>
      </c>
      <c r="D113" s="338" t="s">
        <v>652</v>
      </c>
      <c r="E113" s="194" t="s">
        <v>647</v>
      </c>
      <c r="F113" s="144" t="s">
        <v>3</v>
      </c>
    </row>
    <row r="114" spans="1:6" customFormat="1" hidden="1">
      <c r="A114" s="338">
        <f t="shared" si="1"/>
        <v>112</v>
      </c>
      <c r="B114" s="338" t="s">
        <v>645</v>
      </c>
      <c r="C114" s="193">
        <v>12093331</v>
      </c>
      <c r="D114" s="338" t="s">
        <v>653</v>
      </c>
      <c r="E114" s="194" t="s">
        <v>647</v>
      </c>
      <c r="F114" s="144" t="s">
        <v>3</v>
      </c>
    </row>
    <row r="115" spans="1:6" customFormat="1" hidden="1">
      <c r="A115" s="338">
        <f t="shared" si="1"/>
        <v>113</v>
      </c>
      <c r="B115" s="338" t="s">
        <v>645</v>
      </c>
      <c r="C115" s="193">
        <v>12066094</v>
      </c>
      <c r="D115" s="338" t="s">
        <v>654</v>
      </c>
      <c r="E115" s="194" t="s">
        <v>655</v>
      </c>
      <c r="F115" s="144" t="s">
        <v>3</v>
      </c>
    </row>
    <row r="116" spans="1:6" customFormat="1" hidden="1">
      <c r="A116" s="338">
        <f t="shared" si="1"/>
        <v>114</v>
      </c>
      <c r="B116" s="338" t="s">
        <v>645</v>
      </c>
      <c r="C116" s="193">
        <v>12012150</v>
      </c>
      <c r="D116" s="338" t="s">
        <v>656</v>
      </c>
      <c r="E116" s="194" t="s">
        <v>657</v>
      </c>
      <c r="F116" s="144" t="s">
        <v>3</v>
      </c>
    </row>
    <row r="117" spans="1:6" customFormat="1" hidden="1">
      <c r="A117" s="338">
        <f t="shared" si="1"/>
        <v>115</v>
      </c>
      <c r="B117" s="338" t="s">
        <v>645</v>
      </c>
      <c r="C117" s="193">
        <v>12013810</v>
      </c>
      <c r="D117" s="338" t="s">
        <v>658</v>
      </c>
      <c r="E117" s="194" t="s">
        <v>657</v>
      </c>
      <c r="F117" s="144" t="s">
        <v>3</v>
      </c>
    </row>
    <row r="118" spans="1:6" customFormat="1" hidden="1">
      <c r="A118" s="338">
        <f t="shared" si="1"/>
        <v>116</v>
      </c>
      <c r="B118" s="338" t="s">
        <v>645</v>
      </c>
      <c r="C118" s="193">
        <v>12016882</v>
      </c>
      <c r="D118" s="338" t="s">
        <v>659</v>
      </c>
      <c r="E118" s="194" t="s">
        <v>657</v>
      </c>
      <c r="F118" s="144" t="s">
        <v>3</v>
      </c>
    </row>
    <row r="119" spans="1:6" customFormat="1" hidden="1">
      <c r="A119" s="338">
        <f t="shared" si="1"/>
        <v>117</v>
      </c>
      <c r="B119" s="338" t="s">
        <v>645</v>
      </c>
      <c r="C119" s="193">
        <v>12022385</v>
      </c>
      <c r="D119" s="338" t="s">
        <v>660</v>
      </c>
      <c r="E119" s="194" t="s">
        <v>657</v>
      </c>
      <c r="F119" s="144" t="s">
        <v>3</v>
      </c>
    </row>
    <row r="120" spans="1:6" customFormat="1" hidden="1">
      <c r="A120" s="338">
        <f t="shared" si="1"/>
        <v>118</v>
      </c>
      <c r="B120" s="338" t="s">
        <v>645</v>
      </c>
      <c r="C120" s="193">
        <v>12045656</v>
      </c>
      <c r="D120" s="338" t="s">
        <v>661</v>
      </c>
      <c r="E120" s="194" t="s">
        <v>657</v>
      </c>
      <c r="F120" s="144" t="s">
        <v>3</v>
      </c>
    </row>
    <row r="121" spans="1:6" customFormat="1" hidden="1">
      <c r="A121" s="338">
        <f t="shared" si="1"/>
        <v>119</v>
      </c>
      <c r="B121" s="338" t="s">
        <v>645</v>
      </c>
      <c r="C121" s="193">
        <v>13459484</v>
      </c>
      <c r="D121" s="338" t="s">
        <v>662</v>
      </c>
      <c r="E121" s="194" t="s">
        <v>657</v>
      </c>
      <c r="F121" s="144" t="s">
        <v>3</v>
      </c>
    </row>
    <row r="122" spans="1:6" customFormat="1" hidden="1">
      <c r="A122" s="338">
        <f t="shared" si="1"/>
        <v>120</v>
      </c>
      <c r="B122" s="338" t="s">
        <v>645</v>
      </c>
      <c r="C122" s="193">
        <v>12000545</v>
      </c>
      <c r="D122" s="338" t="s">
        <v>663</v>
      </c>
      <c r="E122" s="194" t="s">
        <v>664</v>
      </c>
      <c r="F122" s="144" t="s">
        <v>3</v>
      </c>
    </row>
    <row r="123" spans="1:6" customFormat="1" hidden="1">
      <c r="A123" s="338">
        <f t="shared" si="1"/>
        <v>121</v>
      </c>
      <c r="B123" s="338" t="s">
        <v>645</v>
      </c>
      <c r="C123" s="193">
        <v>12013809</v>
      </c>
      <c r="D123" s="338" t="s">
        <v>665</v>
      </c>
      <c r="E123" s="194" t="s">
        <v>664</v>
      </c>
      <c r="F123" s="144" t="s">
        <v>3</v>
      </c>
    </row>
    <row r="124" spans="1:6" customFormat="1" hidden="1">
      <c r="A124" s="338">
        <f t="shared" si="1"/>
        <v>122</v>
      </c>
      <c r="B124" s="338" t="s">
        <v>645</v>
      </c>
      <c r="C124" s="193">
        <v>12016524</v>
      </c>
      <c r="D124" s="338" t="s">
        <v>666</v>
      </c>
      <c r="E124" s="194" t="s">
        <v>664</v>
      </c>
      <c r="F124" s="144" t="s">
        <v>3</v>
      </c>
    </row>
    <row r="125" spans="1:6" customFormat="1" hidden="1">
      <c r="A125" s="338">
        <f t="shared" si="1"/>
        <v>123</v>
      </c>
      <c r="B125" s="338" t="s">
        <v>645</v>
      </c>
      <c r="C125" s="193">
        <v>12016570</v>
      </c>
      <c r="D125" s="338" t="s">
        <v>667</v>
      </c>
      <c r="E125" s="194" t="s">
        <v>664</v>
      </c>
      <c r="F125" s="144" t="s">
        <v>3</v>
      </c>
    </row>
    <row r="126" spans="1:6" customFormat="1" hidden="1">
      <c r="A126" s="338">
        <f t="shared" si="1"/>
        <v>124</v>
      </c>
      <c r="B126" s="338" t="s">
        <v>645</v>
      </c>
      <c r="C126" s="193">
        <v>12016671</v>
      </c>
      <c r="D126" s="338" t="s">
        <v>1675</v>
      </c>
      <c r="E126" s="194" t="s">
        <v>664</v>
      </c>
      <c r="F126" s="144" t="s">
        <v>3</v>
      </c>
    </row>
    <row r="127" spans="1:6" customFormat="1" hidden="1">
      <c r="A127" s="338">
        <f t="shared" si="1"/>
        <v>125</v>
      </c>
      <c r="B127" s="338" t="s">
        <v>645</v>
      </c>
      <c r="C127" s="193">
        <v>12018583</v>
      </c>
      <c r="D127" s="338" t="s">
        <v>668</v>
      </c>
      <c r="E127" s="194" t="s">
        <v>664</v>
      </c>
      <c r="F127" s="144" t="s">
        <v>3</v>
      </c>
    </row>
    <row r="128" spans="1:6" customFormat="1" hidden="1">
      <c r="A128" s="338">
        <f t="shared" si="1"/>
        <v>126</v>
      </c>
      <c r="B128" s="338" t="s">
        <v>645</v>
      </c>
      <c r="C128" s="193">
        <v>12020396</v>
      </c>
      <c r="D128" s="338" t="s">
        <v>669</v>
      </c>
      <c r="E128" s="194" t="s">
        <v>664</v>
      </c>
      <c r="F128" s="144" t="s">
        <v>3</v>
      </c>
    </row>
    <row r="129" spans="1:6" customFormat="1" hidden="1">
      <c r="A129" s="338">
        <f t="shared" si="1"/>
        <v>127</v>
      </c>
      <c r="B129" s="338" t="s">
        <v>645</v>
      </c>
      <c r="C129" s="193">
        <v>12024783</v>
      </c>
      <c r="D129" s="338" t="s">
        <v>670</v>
      </c>
      <c r="E129" s="194" t="s">
        <v>664</v>
      </c>
      <c r="F129" s="144" t="s">
        <v>3</v>
      </c>
    </row>
    <row r="130" spans="1:6" customFormat="1" hidden="1">
      <c r="A130" s="338">
        <f t="shared" si="1"/>
        <v>128</v>
      </c>
      <c r="B130" s="338" t="s">
        <v>645</v>
      </c>
      <c r="C130" s="193">
        <v>12024786</v>
      </c>
      <c r="D130" s="338" t="s">
        <v>671</v>
      </c>
      <c r="E130" s="194" t="s">
        <v>664</v>
      </c>
      <c r="F130" s="144" t="s">
        <v>3</v>
      </c>
    </row>
    <row r="131" spans="1:6" customFormat="1" hidden="1">
      <c r="A131" s="338">
        <f t="shared" si="1"/>
        <v>129</v>
      </c>
      <c r="B131" s="338" t="s">
        <v>645</v>
      </c>
      <c r="C131" s="193">
        <v>12024787</v>
      </c>
      <c r="D131" s="338" t="s">
        <v>672</v>
      </c>
      <c r="E131" s="194" t="s">
        <v>664</v>
      </c>
      <c r="F131" s="144" t="s">
        <v>3</v>
      </c>
    </row>
    <row r="132" spans="1:6" customFormat="1" hidden="1">
      <c r="A132" s="338">
        <f t="shared" ref="A132:A195" si="2">A131+1</f>
        <v>130</v>
      </c>
      <c r="B132" s="338" t="s">
        <v>645</v>
      </c>
      <c r="C132" s="193">
        <v>12024793</v>
      </c>
      <c r="D132" s="338" t="s">
        <v>673</v>
      </c>
      <c r="E132" s="194" t="s">
        <v>664</v>
      </c>
      <c r="F132" s="144" t="s">
        <v>3</v>
      </c>
    </row>
    <row r="133" spans="1:6" customFormat="1" hidden="1">
      <c r="A133" s="338">
        <f t="shared" si="2"/>
        <v>131</v>
      </c>
      <c r="B133" s="338" t="s">
        <v>645</v>
      </c>
      <c r="C133" s="193">
        <v>12024795</v>
      </c>
      <c r="D133" s="338" t="s">
        <v>674</v>
      </c>
      <c r="E133" s="194" t="s">
        <v>664</v>
      </c>
      <c r="F133" s="144" t="s">
        <v>3</v>
      </c>
    </row>
    <row r="134" spans="1:6" customFormat="1" hidden="1">
      <c r="A134" s="338">
        <f t="shared" si="2"/>
        <v>132</v>
      </c>
      <c r="B134" s="338" t="s">
        <v>645</v>
      </c>
      <c r="C134" s="193">
        <v>12024797</v>
      </c>
      <c r="D134" s="338" t="s">
        <v>675</v>
      </c>
      <c r="E134" s="194" t="s">
        <v>664</v>
      </c>
      <c r="F134" s="144" t="s">
        <v>3</v>
      </c>
    </row>
    <row r="135" spans="1:6" customFormat="1" hidden="1">
      <c r="A135" s="338">
        <f t="shared" si="2"/>
        <v>133</v>
      </c>
      <c r="B135" s="338" t="s">
        <v>645</v>
      </c>
      <c r="C135" s="193">
        <v>12024809</v>
      </c>
      <c r="D135" s="338" t="s">
        <v>676</v>
      </c>
      <c r="E135" s="194" t="s">
        <v>664</v>
      </c>
      <c r="F135" s="144" t="s">
        <v>3</v>
      </c>
    </row>
    <row r="136" spans="1:6" customFormat="1" hidden="1">
      <c r="A136" s="338">
        <f t="shared" si="2"/>
        <v>134</v>
      </c>
      <c r="B136" s="338" t="s">
        <v>645</v>
      </c>
      <c r="C136" s="193">
        <v>12024828</v>
      </c>
      <c r="D136" s="338" t="s">
        <v>677</v>
      </c>
      <c r="E136" s="194" t="s">
        <v>664</v>
      </c>
      <c r="F136" s="144" t="s">
        <v>3</v>
      </c>
    </row>
    <row r="137" spans="1:6" customFormat="1" hidden="1">
      <c r="A137" s="338">
        <f t="shared" si="2"/>
        <v>135</v>
      </c>
      <c r="B137" s="338" t="s">
        <v>645</v>
      </c>
      <c r="C137" s="193">
        <v>12024833</v>
      </c>
      <c r="D137" s="338" t="s">
        <v>678</v>
      </c>
      <c r="E137" s="194" t="s">
        <v>664</v>
      </c>
      <c r="F137" s="144" t="s">
        <v>3</v>
      </c>
    </row>
    <row r="138" spans="1:6" customFormat="1" hidden="1">
      <c r="A138" s="338">
        <f t="shared" si="2"/>
        <v>136</v>
      </c>
      <c r="B138" s="338" t="s">
        <v>645</v>
      </c>
      <c r="C138" s="193">
        <v>12024843</v>
      </c>
      <c r="D138" s="191" t="s">
        <v>679</v>
      </c>
      <c r="E138" s="194" t="s">
        <v>664</v>
      </c>
      <c r="F138" s="144" t="s">
        <v>3</v>
      </c>
    </row>
    <row r="139" spans="1:6" customFormat="1" hidden="1">
      <c r="A139" s="338">
        <f t="shared" si="2"/>
        <v>137</v>
      </c>
      <c r="B139" s="338" t="s">
        <v>645</v>
      </c>
      <c r="C139" s="193">
        <v>12024844</v>
      </c>
      <c r="D139" s="338" t="s">
        <v>680</v>
      </c>
      <c r="E139" s="194" t="s">
        <v>664</v>
      </c>
      <c r="F139" s="144" t="s">
        <v>3</v>
      </c>
    </row>
    <row r="140" spans="1:6" customFormat="1" hidden="1">
      <c r="A140" s="338">
        <f t="shared" si="2"/>
        <v>138</v>
      </c>
      <c r="B140" s="338" t="s">
        <v>645</v>
      </c>
      <c r="C140" s="193">
        <v>12024851</v>
      </c>
      <c r="D140" s="191" t="s">
        <v>681</v>
      </c>
      <c r="E140" s="194" t="s">
        <v>664</v>
      </c>
      <c r="F140" s="144" t="s">
        <v>3</v>
      </c>
    </row>
    <row r="141" spans="1:6" customFormat="1" hidden="1">
      <c r="A141" s="338">
        <f t="shared" si="2"/>
        <v>139</v>
      </c>
      <c r="B141" s="338" t="s">
        <v>645</v>
      </c>
      <c r="C141" s="193">
        <v>12029440</v>
      </c>
      <c r="D141" s="338" t="s">
        <v>682</v>
      </c>
      <c r="E141" s="194" t="s">
        <v>664</v>
      </c>
      <c r="F141" s="144" t="s">
        <v>3</v>
      </c>
    </row>
    <row r="142" spans="1:6" customFormat="1" hidden="1">
      <c r="A142" s="338">
        <f t="shared" si="2"/>
        <v>140</v>
      </c>
      <c r="B142" s="338" t="s">
        <v>645</v>
      </c>
      <c r="C142" s="193">
        <v>12030135</v>
      </c>
      <c r="D142" s="338" t="s">
        <v>683</v>
      </c>
      <c r="E142" s="194" t="s">
        <v>664</v>
      </c>
      <c r="F142" s="144" t="s">
        <v>3</v>
      </c>
    </row>
    <row r="143" spans="1:6" customFormat="1" hidden="1">
      <c r="A143" s="338">
        <f t="shared" si="2"/>
        <v>141</v>
      </c>
      <c r="B143" s="338" t="s">
        <v>645</v>
      </c>
      <c r="C143" s="193">
        <v>12031620</v>
      </c>
      <c r="D143" s="338" t="s">
        <v>684</v>
      </c>
      <c r="E143" s="194" t="s">
        <v>664</v>
      </c>
      <c r="F143" s="144" t="s">
        <v>3</v>
      </c>
    </row>
    <row r="144" spans="1:6" customFormat="1" hidden="1">
      <c r="A144" s="338">
        <f t="shared" si="2"/>
        <v>142</v>
      </c>
      <c r="B144" s="338" t="s">
        <v>645</v>
      </c>
      <c r="C144" s="193">
        <v>12031645</v>
      </c>
      <c r="D144" s="338" t="s">
        <v>685</v>
      </c>
      <c r="E144" s="194" t="s">
        <v>664</v>
      </c>
      <c r="F144" s="144" t="s">
        <v>3</v>
      </c>
    </row>
    <row r="145" spans="1:6" customFormat="1" hidden="1">
      <c r="A145" s="338">
        <f t="shared" si="2"/>
        <v>143</v>
      </c>
      <c r="B145" s="338" t="s">
        <v>645</v>
      </c>
      <c r="C145" s="193">
        <v>12031649</v>
      </c>
      <c r="D145" s="338" t="s">
        <v>686</v>
      </c>
      <c r="E145" s="194" t="s">
        <v>664</v>
      </c>
      <c r="F145" s="144" t="s">
        <v>3</v>
      </c>
    </row>
    <row r="146" spans="1:6" customFormat="1" hidden="1">
      <c r="A146" s="338">
        <f t="shared" si="2"/>
        <v>144</v>
      </c>
      <c r="B146" s="338" t="s">
        <v>645</v>
      </c>
      <c r="C146" s="193">
        <v>12062510</v>
      </c>
      <c r="D146" s="338" t="s">
        <v>687</v>
      </c>
      <c r="E146" s="194" t="s">
        <v>664</v>
      </c>
      <c r="F146" s="144" t="s">
        <v>3</v>
      </c>
    </row>
    <row r="147" spans="1:6" customFormat="1" hidden="1">
      <c r="A147" s="338">
        <f t="shared" si="2"/>
        <v>145</v>
      </c>
      <c r="B147" s="338" t="s">
        <v>645</v>
      </c>
      <c r="C147" s="193">
        <v>12062512</v>
      </c>
      <c r="D147" s="338" t="s">
        <v>688</v>
      </c>
      <c r="E147" s="194" t="s">
        <v>664</v>
      </c>
      <c r="F147" s="144" t="s">
        <v>3</v>
      </c>
    </row>
    <row r="148" spans="1:6" customFormat="1" hidden="1">
      <c r="A148" s="338">
        <f t="shared" si="2"/>
        <v>146</v>
      </c>
      <c r="B148" s="338" t="s">
        <v>645</v>
      </c>
      <c r="C148" s="193">
        <v>12062513</v>
      </c>
      <c r="D148" s="338" t="s">
        <v>689</v>
      </c>
      <c r="E148" s="194" t="s">
        <v>664</v>
      </c>
      <c r="F148" s="144" t="s">
        <v>3</v>
      </c>
    </row>
    <row r="149" spans="1:6" customFormat="1" hidden="1">
      <c r="A149" s="338">
        <f t="shared" si="2"/>
        <v>147</v>
      </c>
      <c r="B149" s="338" t="s">
        <v>645</v>
      </c>
      <c r="C149" s="193">
        <v>12062515</v>
      </c>
      <c r="D149" s="338" t="s">
        <v>690</v>
      </c>
      <c r="E149" s="194" t="s">
        <v>664</v>
      </c>
      <c r="F149" s="144" t="s">
        <v>3</v>
      </c>
    </row>
    <row r="150" spans="1:6" customFormat="1" hidden="1">
      <c r="A150" s="338">
        <f t="shared" si="2"/>
        <v>148</v>
      </c>
      <c r="B150" s="338" t="s">
        <v>645</v>
      </c>
      <c r="C150" s="193">
        <v>13401634</v>
      </c>
      <c r="D150" s="338" t="s">
        <v>1201</v>
      </c>
      <c r="E150" s="194" t="s">
        <v>664</v>
      </c>
      <c r="F150" s="144" t="s">
        <v>3</v>
      </c>
    </row>
    <row r="151" spans="1:6" customFormat="1" hidden="1">
      <c r="A151" s="338">
        <f t="shared" si="2"/>
        <v>149</v>
      </c>
      <c r="B151" s="338" t="s">
        <v>645</v>
      </c>
      <c r="C151" s="193">
        <v>13479204</v>
      </c>
      <c r="D151" s="338" t="s">
        <v>691</v>
      </c>
      <c r="E151" s="194" t="s">
        <v>664</v>
      </c>
      <c r="F151" s="144" t="s">
        <v>3</v>
      </c>
    </row>
    <row r="152" spans="1:6" customFormat="1" hidden="1">
      <c r="A152" s="338">
        <f t="shared" si="2"/>
        <v>150</v>
      </c>
      <c r="B152" s="338" t="s">
        <v>645</v>
      </c>
      <c r="C152" s="193">
        <v>13481079</v>
      </c>
      <c r="D152" s="338" t="s">
        <v>692</v>
      </c>
      <c r="E152" s="194" t="s">
        <v>664</v>
      </c>
      <c r="F152" s="144" t="s">
        <v>3</v>
      </c>
    </row>
    <row r="153" spans="1:6" customFormat="1" hidden="1">
      <c r="A153" s="338">
        <f t="shared" si="2"/>
        <v>151</v>
      </c>
      <c r="B153" s="338" t="s">
        <v>645</v>
      </c>
      <c r="C153" s="193">
        <v>17800139</v>
      </c>
      <c r="D153" s="338" t="s">
        <v>693</v>
      </c>
      <c r="E153" s="194" t="s">
        <v>664</v>
      </c>
      <c r="F153" s="144" t="s">
        <v>3</v>
      </c>
    </row>
    <row r="154" spans="1:6" s="196" customFormat="1" hidden="1">
      <c r="A154" s="338">
        <f t="shared" si="2"/>
        <v>152</v>
      </c>
      <c r="B154" s="338" t="s">
        <v>645</v>
      </c>
      <c r="C154" s="193">
        <v>17866075</v>
      </c>
      <c r="D154" s="338" t="s">
        <v>694</v>
      </c>
      <c r="E154" s="194" t="s">
        <v>664</v>
      </c>
      <c r="F154" s="144" t="s">
        <v>3</v>
      </c>
    </row>
    <row r="155" spans="1:6" s="196" customFormat="1" hidden="1">
      <c r="A155" s="338">
        <f t="shared" si="2"/>
        <v>153</v>
      </c>
      <c r="B155" s="338" t="s">
        <v>645</v>
      </c>
      <c r="C155" s="193">
        <v>12022322</v>
      </c>
      <c r="D155" s="439" t="s">
        <v>695</v>
      </c>
      <c r="E155" s="194" t="s">
        <v>696</v>
      </c>
      <c r="F155" s="144" t="s">
        <v>3</v>
      </c>
    </row>
    <row r="156" spans="1:6" s="196" customFormat="1" hidden="1">
      <c r="A156" s="338">
        <f>A155+1</f>
        <v>154</v>
      </c>
      <c r="B156" s="338" t="s">
        <v>697</v>
      </c>
      <c r="C156" s="193">
        <v>12010675</v>
      </c>
      <c r="D156" s="191" t="s">
        <v>698</v>
      </c>
      <c r="E156" s="194" t="s">
        <v>699</v>
      </c>
      <c r="F156" s="144" t="s">
        <v>3</v>
      </c>
    </row>
    <row r="157" spans="1:6" s="196" customFormat="1" hidden="1">
      <c r="A157" s="338">
        <f t="shared" si="2"/>
        <v>155</v>
      </c>
      <c r="B157" s="338" t="s">
        <v>697</v>
      </c>
      <c r="C157" s="193">
        <v>12019481</v>
      </c>
      <c r="D157" s="191" t="s">
        <v>1371</v>
      </c>
      <c r="E157" s="194" t="s">
        <v>700</v>
      </c>
      <c r="F157" s="144" t="s">
        <v>701</v>
      </c>
    </row>
    <row r="158" spans="1:6" s="196" customFormat="1" hidden="1">
      <c r="A158" s="338">
        <f t="shared" si="2"/>
        <v>156</v>
      </c>
      <c r="B158" s="338" t="s">
        <v>697</v>
      </c>
      <c r="C158" s="193">
        <v>12020244</v>
      </c>
      <c r="D158" s="191" t="s">
        <v>702</v>
      </c>
      <c r="E158" s="194" t="s">
        <v>703</v>
      </c>
      <c r="F158" s="144" t="s">
        <v>701</v>
      </c>
    </row>
    <row r="159" spans="1:6" s="196" customFormat="1" hidden="1">
      <c r="A159" s="338">
        <f t="shared" si="2"/>
        <v>157</v>
      </c>
      <c r="B159" s="338" t="s">
        <v>697</v>
      </c>
      <c r="C159" s="193">
        <v>13404064</v>
      </c>
      <c r="D159" s="439" t="s">
        <v>1673</v>
      </c>
      <c r="E159" s="194" t="s">
        <v>1674</v>
      </c>
      <c r="F159" s="144" t="s">
        <v>3</v>
      </c>
    </row>
    <row r="160" spans="1:6" s="196" customFormat="1" hidden="1">
      <c r="A160" s="338">
        <f t="shared" si="2"/>
        <v>158</v>
      </c>
      <c r="B160" s="338" t="s">
        <v>697</v>
      </c>
      <c r="C160" s="193">
        <v>12016579</v>
      </c>
      <c r="D160" s="191" t="s">
        <v>704</v>
      </c>
      <c r="E160" s="194" t="s">
        <v>705</v>
      </c>
      <c r="F160" s="144" t="s">
        <v>3</v>
      </c>
    </row>
    <row r="161" spans="1:6" s="196" customFormat="1" hidden="1">
      <c r="A161" s="338">
        <f t="shared" si="2"/>
        <v>159</v>
      </c>
      <c r="B161" s="338" t="s">
        <v>697</v>
      </c>
      <c r="C161" s="193">
        <v>12016648</v>
      </c>
      <c r="D161" s="191" t="s">
        <v>706</v>
      </c>
      <c r="E161" s="194" t="s">
        <v>707</v>
      </c>
      <c r="F161" s="144" t="s">
        <v>3</v>
      </c>
    </row>
    <row r="162" spans="1:6" s="196" customFormat="1" hidden="1">
      <c r="A162" s="338">
        <f t="shared" si="2"/>
        <v>160</v>
      </c>
      <c r="B162" s="338" t="s">
        <v>697</v>
      </c>
      <c r="C162" s="193">
        <v>12010476</v>
      </c>
      <c r="D162" s="191" t="s">
        <v>708</v>
      </c>
      <c r="E162" s="194" t="s">
        <v>709</v>
      </c>
      <c r="F162" s="144" t="s">
        <v>3</v>
      </c>
    </row>
    <row r="163" spans="1:6" s="196" customFormat="1" hidden="1">
      <c r="A163" s="338">
        <f t="shared" si="2"/>
        <v>161</v>
      </c>
      <c r="B163" s="338" t="s">
        <v>697</v>
      </c>
      <c r="C163" s="193">
        <v>12017973</v>
      </c>
      <c r="D163" s="191" t="s">
        <v>710</v>
      </c>
      <c r="E163" s="194" t="s">
        <v>711</v>
      </c>
      <c r="F163" s="144" t="s">
        <v>3</v>
      </c>
    </row>
    <row r="164" spans="1:6" s="196" customFormat="1" hidden="1">
      <c r="A164" s="338">
        <f t="shared" si="2"/>
        <v>162</v>
      </c>
      <c r="B164" s="338" t="s">
        <v>697</v>
      </c>
      <c r="C164" s="193">
        <v>12061258</v>
      </c>
      <c r="D164" s="191" t="s">
        <v>712</v>
      </c>
      <c r="E164" s="194" t="s">
        <v>713</v>
      </c>
      <c r="F164" s="144" t="s">
        <v>3</v>
      </c>
    </row>
    <row r="165" spans="1:6" s="196" customFormat="1" hidden="1">
      <c r="A165" s="338">
        <f t="shared" si="2"/>
        <v>163</v>
      </c>
      <c r="B165" s="338" t="s">
        <v>697</v>
      </c>
      <c r="C165" s="193">
        <v>12001808</v>
      </c>
      <c r="D165" s="191" t="s">
        <v>1447</v>
      </c>
      <c r="E165" s="194" t="s">
        <v>714</v>
      </c>
      <c r="F165" s="144" t="s">
        <v>3</v>
      </c>
    </row>
    <row r="166" spans="1:6" s="196" customFormat="1" hidden="1">
      <c r="A166" s="338">
        <f t="shared" si="2"/>
        <v>164</v>
      </c>
      <c r="B166" s="338" t="s">
        <v>697</v>
      </c>
      <c r="C166" s="193">
        <v>12061257</v>
      </c>
      <c r="D166" s="191" t="s">
        <v>715</v>
      </c>
      <c r="E166" s="194" t="s">
        <v>716</v>
      </c>
      <c r="F166" s="144" t="s">
        <v>3</v>
      </c>
    </row>
    <row r="167" spans="1:6" s="196" customFormat="1" hidden="1">
      <c r="A167" s="338">
        <f t="shared" si="2"/>
        <v>165</v>
      </c>
      <c r="B167" s="338" t="s">
        <v>697</v>
      </c>
      <c r="C167" s="193">
        <v>12016858</v>
      </c>
      <c r="D167" s="191" t="s">
        <v>717</v>
      </c>
      <c r="E167" s="194" t="s">
        <v>718</v>
      </c>
      <c r="F167" s="144" t="s">
        <v>3</v>
      </c>
    </row>
    <row r="168" spans="1:6" s="196" customFormat="1" hidden="1">
      <c r="A168" s="338">
        <f t="shared" si="2"/>
        <v>166</v>
      </c>
      <c r="B168" s="338" t="s">
        <v>697</v>
      </c>
      <c r="C168" s="193">
        <v>12028619</v>
      </c>
      <c r="D168" s="191" t="s">
        <v>719</v>
      </c>
      <c r="E168" s="194" t="s">
        <v>720</v>
      </c>
      <c r="F168" s="144" t="s">
        <v>701</v>
      </c>
    </row>
    <row r="169" spans="1:6" s="196" customFormat="1" hidden="1">
      <c r="A169" s="338">
        <f t="shared" si="2"/>
        <v>167</v>
      </c>
      <c r="B169" s="338" t="s">
        <v>697</v>
      </c>
      <c r="C169" s="193">
        <v>12020250</v>
      </c>
      <c r="D169" s="191" t="s">
        <v>721</v>
      </c>
      <c r="E169" s="194" t="s">
        <v>722</v>
      </c>
      <c r="F169" s="144" t="s">
        <v>701</v>
      </c>
    </row>
    <row r="170" spans="1:6" s="196" customFormat="1" hidden="1">
      <c r="A170" s="338">
        <f t="shared" si="2"/>
        <v>168</v>
      </c>
      <c r="B170" s="338" t="s">
        <v>697</v>
      </c>
      <c r="C170" s="193">
        <v>12016565</v>
      </c>
      <c r="D170" s="191" t="s">
        <v>723</v>
      </c>
      <c r="E170" s="194" t="s">
        <v>724</v>
      </c>
      <c r="F170" s="144" t="s">
        <v>3</v>
      </c>
    </row>
    <row r="171" spans="1:6" s="196" customFormat="1" hidden="1">
      <c r="A171" s="338">
        <f t="shared" si="2"/>
        <v>169</v>
      </c>
      <c r="B171" s="338" t="s">
        <v>697</v>
      </c>
      <c r="C171" s="193">
        <v>12016931</v>
      </c>
      <c r="D171" s="191" t="s">
        <v>725</v>
      </c>
      <c r="E171" s="194" t="s">
        <v>726</v>
      </c>
      <c r="F171" s="144" t="s">
        <v>3</v>
      </c>
    </row>
    <row r="172" spans="1:6" s="196" customFormat="1" hidden="1">
      <c r="A172" s="338">
        <f t="shared" si="2"/>
        <v>170</v>
      </c>
      <c r="B172" s="338" t="s">
        <v>697</v>
      </c>
      <c r="C172" s="193">
        <v>12001363</v>
      </c>
      <c r="D172" s="191" t="s">
        <v>727</v>
      </c>
      <c r="E172" s="194" t="s">
        <v>728</v>
      </c>
      <c r="F172" s="144" t="s">
        <v>3</v>
      </c>
    </row>
    <row r="173" spans="1:6" s="196" customFormat="1" hidden="1">
      <c r="A173" s="338">
        <f t="shared" si="2"/>
        <v>171</v>
      </c>
      <c r="B173" s="338" t="s">
        <v>697</v>
      </c>
      <c r="C173" s="193">
        <v>12000984</v>
      </c>
      <c r="D173" s="191" t="s">
        <v>729</v>
      </c>
      <c r="E173" s="194" t="s">
        <v>730</v>
      </c>
      <c r="F173" s="144" t="s">
        <v>3</v>
      </c>
    </row>
    <row r="174" spans="1:6" s="196" customFormat="1" hidden="1">
      <c r="A174" s="338">
        <f t="shared" si="2"/>
        <v>172</v>
      </c>
      <c r="B174" s="338" t="s">
        <v>697</v>
      </c>
      <c r="C174" s="193">
        <v>12020378</v>
      </c>
      <c r="D174" s="191" t="s">
        <v>731</v>
      </c>
      <c r="E174" s="194" t="s">
        <v>732</v>
      </c>
      <c r="F174" s="144" t="s">
        <v>3</v>
      </c>
    </row>
    <row r="175" spans="1:6" hidden="1">
      <c r="A175" s="338">
        <f t="shared" si="2"/>
        <v>173</v>
      </c>
      <c r="B175" s="338" t="s">
        <v>697</v>
      </c>
      <c r="C175" s="193">
        <v>12026391</v>
      </c>
      <c r="D175" s="191" t="s">
        <v>733</v>
      </c>
      <c r="E175" s="194" t="s">
        <v>734</v>
      </c>
      <c r="F175" s="144" t="s">
        <v>701</v>
      </c>
    </row>
    <row r="176" spans="1:6" customFormat="1" hidden="1">
      <c r="A176" s="338">
        <f t="shared" si="2"/>
        <v>174</v>
      </c>
      <c r="B176" s="338" t="s">
        <v>697</v>
      </c>
      <c r="C176" s="193">
        <v>12026382</v>
      </c>
      <c r="D176" s="191" t="s">
        <v>735</v>
      </c>
      <c r="E176" s="194" t="s">
        <v>736</v>
      </c>
      <c r="F176" s="144" t="s">
        <v>701</v>
      </c>
    </row>
    <row r="177" spans="1:6" customFormat="1" hidden="1">
      <c r="A177" s="338">
        <f t="shared" si="2"/>
        <v>175</v>
      </c>
      <c r="B177" s="338" t="s">
        <v>697</v>
      </c>
      <c r="C177" s="193">
        <v>12016081</v>
      </c>
      <c r="D177" s="191" t="s">
        <v>737</v>
      </c>
      <c r="E177" s="194" t="s">
        <v>738</v>
      </c>
      <c r="F177" s="144" t="s">
        <v>3</v>
      </c>
    </row>
    <row r="178" spans="1:6" customFormat="1" hidden="1">
      <c r="A178" s="338">
        <f t="shared" si="2"/>
        <v>176</v>
      </c>
      <c r="B178" s="338" t="s">
        <v>739</v>
      </c>
      <c r="C178" s="193">
        <v>12056081</v>
      </c>
      <c r="D178" s="191" t="s">
        <v>740</v>
      </c>
      <c r="E178" s="194" t="s">
        <v>739</v>
      </c>
      <c r="F178" s="144" t="s">
        <v>3</v>
      </c>
    </row>
    <row r="179" spans="1:6" customFormat="1" hidden="1">
      <c r="A179" s="338">
        <f t="shared" si="2"/>
        <v>177</v>
      </c>
      <c r="B179" s="338" t="s">
        <v>741</v>
      </c>
      <c r="C179" s="193">
        <v>12031661</v>
      </c>
      <c r="D179" s="191" t="s">
        <v>742</v>
      </c>
      <c r="E179" s="194" t="s">
        <v>743</v>
      </c>
      <c r="F179" s="144" t="s">
        <v>3</v>
      </c>
    </row>
    <row r="180" spans="1:6" customFormat="1" hidden="1">
      <c r="A180" s="338">
        <f t="shared" si="2"/>
        <v>178</v>
      </c>
      <c r="B180" s="338" t="s">
        <v>741</v>
      </c>
      <c r="C180" s="193">
        <v>12031650</v>
      </c>
      <c r="D180" s="191" t="s">
        <v>744</v>
      </c>
      <c r="E180" s="194" t="s">
        <v>745</v>
      </c>
      <c r="F180" s="144" t="s">
        <v>3</v>
      </c>
    </row>
    <row r="181" spans="1:6" customFormat="1" hidden="1">
      <c r="A181" s="338">
        <f t="shared" si="2"/>
        <v>179</v>
      </c>
      <c r="B181" s="338" t="s">
        <v>741</v>
      </c>
      <c r="C181" s="193">
        <v>12031667</v>
      </c>
      <c r="D181" s="191" t="s">
        <v>746</v>
      </c>
      <c r="E181" s="194" t="s">
        <v>747</v>
      </c>
      <c r="F181" s="144" t="s">
        <v>3</v>
      </c>
    </row>
    <row r="182" spans="1:6" customFormat="1" hidden="1">
      <c r="A182" s="338">
        <f t="shared" si="2"/>
        <v>180</v>
      </c>
      <c r="B182" s="338" t="s">
        <v>741</v>
      </c>
      <c r="C182" s="193">
        <v>13015222</v>
      </c>
      <c r="D182" s="191" t="s">
        <v>748</v>
      </c>
      <c r="E182" s="194" t="s">
        <v>747</v>
      </c>
      <c r="F182" s="144" t="s">
        <v>3</v>
      </c>
    </row>
    <row r="183" spans="1:6" customFormat="1" hidden="1">
      <c r="A183" s="338">
        <f t="shared" si="2"/>
        <v>181</v>
      </c>
      <c r="B183" s="338" t="s">
        <v>741</v>
      </c>
      <c r="C183" s="193">
        <v>12001333</v>
      </c>
      <c r="D183" s="191" t="s">
        <v>749</v>
      </c>
      <c r="E183" s="194" t="s">
        <v>750</v>
      </c>
      <c r="F183" s="144" t="s">
        <v>3</v>
      </c>
    </row>
    <row r="184" spans="1:6" customFormat="1" hidden="1">
      <c r="A184" s="338">
        <f t="shared" si="2"/>
        <v>182</v>
      </c>
      <c r="B184" s="338" t="s">
        <v>741</v>
      </c>
      <c r="C184" s="193">
        <v>12026645</v>
      </c>
      <c r="D184" s="191" t="s">
        <v>751</v>
      </c>
      <c r="E184" s="194" t="s">
        <v>752</v>
      </c>
      <c r="F184" s="144" t="s">
        <v>3</v>
      </c>
    </row>
    <row r="185" spans="1:6" customFormat="1" hidden="1">
      <c r="A185" s="338">
        <f t="shared" si="2"/>
        <v>183</v>
      </c>
      <c r="B185" s="338" t="s">
        <v>741</v>
      </c>
      <c r="C185" s="193">
        <v>12027581</v>
      </c>
      <c r="D185" s="191" t="s">
        <v>753</v>
      </c>
      <c r="E185" s="194" t="s">
        <v>754</v>
      </c>
      <c r="F185" s="144" t="s">
        <v>3</v>
      </c>
    </row>
    <row r="186" spans="1:6" customFormat="1" hidden="1">
      <c r="A186" s="338">
        <f t="shared" si="2"/>
        <v>184</v>
      </c>
      <c r="B186" s="338" t="s">
        <v>741</v>
      </c>
      <c r="C186" s="193">
        <v>12021486</v>
      </c>
      <c r="D186" s="191" t="s">
        <v>755</v>
      </c>
      <c r="E186" s="194" t="s">
        <v>756</v>
      </c>
      <c r="F186" s="144" t="s">
        <v>3</v>
      </c>
    </row>
    <row r="187" spans="1:6" customFormat="1" hidden="1">
      <c r="A187" s="338">
        <f t="shared" si="2"/>
        <v>185</v>
      </c>
      <c r="B187" s="338" t="s">
        <v>741</v>
      </c>
      <c r="C187" s="193">
        <v>12021487</v>
      </c>
      <c r="D187" s="191" t="s">
        <v>757</v>
      </c>
      <c r="E187" s="194" t="s">
        <v>758</v>
      </c>
      <c r="F187" s="144" t="s">
        <v>3</v>
      </c>
    </row>
    <row r="188" spans="1:6" customFormat="1" hidden="1">
      <c r="A188" s="338">
        <f t="shared" si="2"/>
        <v>186</v>
      </c>
      <c r="B188" s="338" t="s">
        <v>741</v>
      </c>
      <c r="C188" s="193">
        <v>13000800</v>
      </c>
      <c r="D188" s="191" t="s">
        <v>759</v>
      </c>
      <c r="E188" s="194" t="s">
        <v>758</v>
      </c>
      <c r="F188" s="144" t="s">
        <v>3</v>
      </c>
    </row>
    <row r="189" spans="1:6" customFormat="1" hidden="1">
      <c r="A189" s="338">
        <f t="shared" si="2"/>
        <v>187</v>
      </c>
      <c r="B189" s="338" t="s">
        <v>741</v>
      </c>
      <c r="C189" s="193">
        <v>13134094</v>
      </c>
      <c r="D189" s="191" t="s">
        <v>760</v>
      </c>
      <c r="E189" s="194" t="s">
        <v>758</v>
      </c>
      <c r="F189" s="144" t="s">
        <v>3</v>
      </c>
    </row>
    <row r="190" spans="1:6" customFormat="1" hidden="1">
      <c r="A190" s="338">
        <f t="shared" si="2"/>
        <v>188</v>
      </c>
      <c r="B190" s="338" t="s">
        <v>741</v>
      </c>
      <c r="C190" s="193">
        <v>12017286</v>
      </c>
      <c r="D190" s="191" t="s">
        <v>761</v>
      </c>
      <c r="E190" s="194" t="s">
        <v>762</v>
      </c>
      <c r="F190" s="144" t="s">
        <v>3</v>
      </c>
    </row>
    <row r="191" spans="1:6" customFormat="1" hidden="1">
      <c r="A191" s="338">
        <f t="shared" si="2"/>
        <v>189</v>
      </c>
      <c r="B191" s="338" t="s">
        <v>741</v>
      </c>
      <c r="C191" s="193">
        <v>12031626</v>
      </c>
      <c r="D191" s="191" t="s">
        <v>763</v>
      </c>
      <c r="E191" s="194" t="s">
        <v>764</v>
      </c>
      <c r="F191" s="144" t="s">
        <v>3</v>
      </c>
    </row>
    <row r="192" spans="1:6" customFormat="1" hidden="1">
      <c r="A192" s="338">
        <f t="shared" si="2"/>
        <v>190</v>
      </c>
      <c r="B192" s="338" t="s">
        <v>741</v>
      </c>
      <c r="C192" s="193">
        <v>12001205</v>
      </c>
      <c r="D192" s="191" t="s">
        <v>765</v>
      </c>
      <c r="E192" s="194" t="s">
        <v>766</v>
      </c>
      <c r="F192" s="144" t="s">
        <v>3</v>
      </c>
    </row>
    <row r="193" spans="1:6" customFormat="1" hidden="1">
      <c r="A193" s="338">
        <f t="shared" si="2"/>
        <v>191</v>
      </c>
      <c r="B193" s="338" t="s">
        <v>741</v>
      </c>
      <c r="C193" s="193">
        <v>12031673</v>
      </c>
      <c r="D193" s="191" t="s">
        <v>767</v>
      </c>
      <c r="E193" s="194" t="s">
        <v>768</v>
      </c>
      <c r="F193" s="144" t="s">
        <v>3</v>
      </c>
    </row>
    <row r="194" spans="1:6" customFormat="1" hidden="1">
      <c r="A194" s="338">
        <f t="shared" si="2"/>
        <v>192</v>
      </c>
      <c r="B194" s="338" t="s">
        <v>741</v>
      </c>
      <c r="C194" s="193">
        <v>12034199</v>
      </c>
      <c r="D194" s="191" t="s">
        <v>769</v>
      </c>
      <c r="E194" s="194" t="s">
        <v>770</v>
      </c>
      <c r="F194" s="144" t="s">
        <v>3</v>
      </c>
    </row>
    <row r="195" spans="1:6" customFormat="1" hidden="1">
      <c r="A195" s="338">
        <f t="shared" si="2"/>
        <v>193</v>
      </c>
      <c r="B195" s="338" t="s">
        <v>741</v>
      </c>
      <c r="C195" s="193">
        <v>12016578</v>
      </c>
      <c r="D195" s="191" t="s">
        <v>771</v>
      </c>
      <c r="E195" s="194" t="s">
        <v>772</v>
      </c>
      <c r="F195" s="144" t="s">
        <v>3</v>
      </c>
    </row>
    <row r="196" spans="1:6" customFormat="1" hidden="1">
      <c r="A196" s="338">
        <f t="shared" ref="A196:A259" si="3">A195+1</f>
        <v>194</v>
      </c>
      <c r="B196" s="338" t="s">
        <v>741</v>
      </c>
      <c r="C196" s="193">
        <v>12010324</v>
      </c>
      <c r="D196" s="191" t="s">
        <v>773</v>
      </c>
      <c r="E196" s="194" t="s">
        <v>774</v>
      </c>
      <c r="F196" s="144" t="s">
        <v>3</v>
      </c>
    </row>
    <row r="197" spans="1:6" customFormat="1" hidden="1">
      <c r="A197" s="338">
        <f t="shared" si="3"/>
        <v>195</v>
      </c>
      <c r="B197" s="338" t="s">
        <v>741</v>
      </c>
      <c r="C197" s="193">
        <v>12016577</v>
      </c>
      <c r="D197" s="191" t="s">
        <v>775</v>
      </c>
      <c r="E197" s="194" t="s">
        <v>776</v>
      </c>
      <c r="F197" s="144" t="s">
        <v>3</v>
      </c>
    </row>
    <row r="198" spans="1:6" customFormat="1" hidden="1">
      <c r="A198" s="338">
        <f t="shared" si="3"/>
        <v>196</v>
      </c>
      <c r="B198" s="338" t="s">
        <v>741</v>
      </c>
      <c r="C198" s="193">
        <v>12011695</v>
      </c>
      <c r="D198" s="191" t="s">
        <v>777</v>
      </c>
      <c r="E198" s="194" t="s">
        <v>778</v>
      </c>
      <c r="F198" s="144" t="s">
        <v>3</v>
      </c>
    </row>
    <row r="199" spans="1:6" customFormat="1" hidden="1">
      <c r="A199" s="338">
        <f t="shared" si="3"/>
        <v>197</v>
      </c>
      <c r="B199" s="338" t="s">
        <v>741</v>
      </c>
      <c r="C199" s="193">
        <v>12012149</v>
      </c>
      <c r="D199" s="191" t="s">
        <v>779</v>
      </c>
      <c r="E199" s="194" t="s">
        <v>780</v>
      </c>
      <c r="F199" s="144" t="s">
        <v>3</v>
      </c>
    </row>
    <row r="200" spans="1:6" customFormat="1" hidden="1">
      <c r="A200" s="338">
        <f t="shared" si="3"/>
        <v>198</v>
      </c>
      <c r="B200" s="338" t="s">
        <v>741</v>
      </c>
      <c r="C200" s="193">
        <v>12031622</v>
      </c>
      <c r="D200" s="191" t="s">
        <v>781</v>
      </c>
      <c r="E200" s="194" t="s">
        <v>782</v>
      </c>
      <c r="F200" s="144" t="s">
        <v>3</v>
      </c>
    </row>
    <row r="201" spans="1:6" customFormat="1" hidden="1">
      <c r="A201" s="338">
        <f t="shared" si="3"/>
        <v>199</v>
      </c>
      <c r="B201" s="338" t="s">
        <v>741</v>
      </c>
      <c r="C201" s="193">
        <v>12031635</v>
      </c>
      <c r="D201" s="191" t="s">
        <v>783</v>
      </c>
      <c r="E201" s="194" t="s">
        <v>784</v>
      </c>
      <c r="F201" s="144" t="s">
        <v>3</v>
      </c>
    </row>
    <row r="202" spans="1:6" customFormat="1" hidden="1">
      <c r="A202" s="338">
        <f t="shared" si="3"/>
        <v>200</v>
      </c>
      <c r="B202" s="338" t="s">
        <v>741</v>
      </c>
      <c r="C202" s="193">
        <v>13100079</v>
      </c>
      <c r="D202" s="191" t="s">
        <v>785</v>
      </c>
      <c r="E202" s="194" t="s">
        <v>784</v>
      </c>
      <c r="F202" s="144" t="s">
        <v>3</v>
      </c>
    </row>
    <row r="203" spans="1:6" customFormat="1" hidden="1">
      <c r="A203" s="338">
        <f t="shared" si="3"/>
        <v>201</v>
      </c>
      <c r="B203" s="338" t="s">
        <v>741</v>
      </c>
      <c r="C203" s="193">
        <v>17800104</v>
      </c>
      <c r="D203" s="191" t="s">
        <v>786</v>
      </c>
      <c r="E203" s="194" t="s">
        <v>787</v>
      </c>
      <c r="F203" s="144" t="s">
        <v>3</v>
      </c>
    </row>
    <row r="204" spans="1:6" customFormat="1" hidden="1">
      <c r="A204" s="338">
        <f t="shared" si="3"/>
        <v>202</v>
      </c>
      <c r="B204" s="338" t="s">
        <v>741</v>
      </c>
      <c r="C204" s="193">
        <v>17800126</v>
      </c>
      <c r="D204" s="191" t="s">
        <v>788</v>
      </c>
      <c r="E204" s="194" t="s">
        <v>789</v>
      </c>
      <c r="F204" s="144" t="s">
        <v>3</v>
      </c>
    </row>
    <row r="205" spans="1:6" customFormat="1" hidden="1">
      <c r="A205" s="338">
        <f t="shared" si="3"/>
        <v>203</v>
      </c>
      <c r="B205" s="338" t="s">
        <v>741</v>
      </c>
      <c r="C205" s="193">
        <v>12001012</v>
      </c>
      <c r="D205" s="191" t="s">
        <v>790</v>
      </c>
      <c r="E205" s="194" t="s">
        <v>791</v>
      </c>
      <c r="F205" s="144" t="s">
        <v>3</v>
      </c>
    </row>
    <row r="206" spans="1:6" customFormat="1" hidden="1">
      <c r="A206" s="338">
        <f t="shared" si="3"/>
        <v>204</v>
      </c>
      <c r="B206" s="338" t="s">
        <v>741</v>
      </c>
      <c r="C206" s="193">
        <v>12031639</v>
      </c>
      <c r="D206" s="191" t="s">
        <v>792</v>
      </c>
      <c r="E206" s="194" t="s">
        <v>793</v>
      </c>
      <c r="F206" s="144" t="s">
        <v>3</v>
      </c>
    </row>
    <row r="207" spans="1:6" customFormat="1" hidden="1">
      <c r="A207" s="338">
        <f t="shared" si="3"/>
        <v>205</v>
      </c>
      <c r="B207" s="338" t="s">
        <v>741</v>
      </c>
      <c r="C207" s="193">
        <v>12031631</v>
      </c>
      <c r="D207" s="191" t="s">
        <v>794</v>
      </c>
      <c r="E207" s="194" t="s">
        <v>795</v>
      </c>
      <c r="F207" s="144" t="s">
        <v>3</v>
      </c>
    </row>
    <row r="208" spans="1:6" customFormat="1" hidden="1">
      <c r="A208" s="338">
        <f t="shared" si="3"/>
        <v>206</v>
      </c>
      <c r="B208" s="338" t="s">
        <v>741</v>
      </c>
      <c r="C208" s="193">
        <v>12000962</v>
      </c>
      <c r="D208" s="191" t="s">
        <v>796</v>
      </c>
      <c r="E208" s="194" t="s">
        <v>797</v>
      </c>
      <c r="F208" s="144" t="s">
        <v>3</v>
      </c>
    </row>
    <row r="209" spans="1:6" customFormat="1" hidden="1">
      <c r="A209" s="338">
        <f t="shared" si="3"/>
        <v>207</v>
      </c>
      <c r="B209" s="338" t="s">
        <v>741</v>
      </c>
      <c r="C209" s="193">
        <v>12031646</v>
      </c>
      <c r="D209" s="191" t="s">
        <v>798</v>
      </c>
      <c r="E209" s="194" t="s">
        <v>799</v>
      </c>
      <c r="F209" s="144" t="s">
        <v>3</v>
      </c>
    </row>
    <row r="210" spans="1:6" customFormat="1" hidden="1">
      <c r="A210" s="338">
        <f t="shared" si="3"/>
        <v>208</v>
      </c>
      <c r="B210" s="338" t="s">
        <v>741</v>
      </c>
      <c r="C210" s="193">
        <v>12800076</v>
      </c>
      <c r="D210" s="191" t="s">
        <v>800</v>
      </c>
      <c r="E210" s="194" t="s">
        <v>801</v>
      </c>
      <c r="F210" s="144" t="s">
        <v>3</v>
      </c>
    </row>
    <row r="211" spans="1:6" customFormat="1" hidden="1">
      <c r="A211" s="338">
        <f t="shared" si="3"/>
        <v>209</v>
      </c>
      <c r="B211" s="338" t="s">
        <v>741</v>
      </c>
      <c r="C211" s="193">
        <v>12000977</v>
      </c>
      <c r="D211" s="191" t="s">
        <v>802</v>
      </c>
      <c r="E211" s="194" t="s">
        <v>803</v>
      </c>
      <c r="F211" s="144" t="s">
        <v>3</v>
      </c>
    </row>
    <row r="212" spans="1:6" customFormat="1" hidden="1">
      <c r="A212" s="338">
        <f t="shared" si="3"/>
        <v>210</v>
      </c>
      <c r="B212" s="338" t="s">
        <v>741</v>
      </c>
      <c r="C212" s="193">
        <v>13403174</v>
      </c>
      <c r="D212" s="191" t="s">
        <v>804</v>
      </c>
      <c r="E212" s="194" t="s">
        <v>805</v>
      </c>
      <c r="F212" s="144" t="s">
        <v>3</v>
      </c>
    </row>
    <row r="213" spans="1:6" customFormat="1">
      <c r="A213" s="338">
        <f t="shared" si="3"/>
        <v>211</v>
      </c>
      <c r="B213" s="338" t="s">
        <v>806</v>
      </c>
      <c r="C213" s="193">
        <v>12010512</v>
      </c>
      <c r="D213" s="338" t="s">
        <v>807</v>
      </c>
      <c r="E213" s="194" t="s">
        <v>808</v>
      </c>
      <c r="F213" s="144" t="s">
        <v>3</v>
      </c>
    </row>
    <row r="214" spans="1:6" customFormat="1">
      <c r="A214" s="338">
        <f t="shared" si="3"/>
        <v>212</v>
      </c>
      <c r="B214" s="338" t="s">
        <v>806</v>
      </c>
      <c r="C214" s="193">
        <v>12010513</v>
      </c>
      <c r="D214" s="338" t="s">
        <v>809</v>
      </c>
      <c r="E214" s="194" t="s">
        <v>808</v>
      </c>
      <c r="F214" s="144" t="s">
        <v>3</v>
      </c>
    </row>
    <row r="215" spans="1:6" customFormat="1">
      <c r="A215" s="338">
        <f t="shared" si="3"/>
        <v>213</v>
      </c>
      <c r="B215" s="338" t="s">
        <v>806</v>
      </c>
      <c r="C215" s="193">
        <v>12012397</v>
      </c>
      <c r="D215" s="439" t="s">
        <v>810</v>
      </c>
      <c r="E215" s="194" t="s">
        <v>808</v>
      </c>
      <c r="F215" s="144" t="s">
        <v>3</v>
      </c>
    </row>
    <row r="216" spans="1:6" customFormat="1">
      <c r="A216" s="338">
        <f t="shared" si="3"/>
        <v>214</v>
      </c>
      <c r="B216" s="338" t="s">
        <v>806</v>
      </c>
      <c r="C216" s="193">
        <v>12014660</v>
      </c>
      <c r="D216" s="191" t="s">
        <v>811</v>
      </c>
      <c r="E216" s="194" t="s">
        <v>808</v>
      </c>
      <c r="F216" s="144" t="s">
        <v>3</v>
      </c>
    </row>
    <row r="217" spans="1:6" customFormat="1" hidden="1">
      <c r="A217" s="338">
        <f t="shared" si="3"/>
        <v>215</v>
      </c>
      <c r="B217" s="338" t="s">
        <v>812</v>
      </c>
      <c r="C217" s="193">
        <v>11010542</v>
      </c>
      <c r="D217" s="191" t="s">
        <v>813</v>
      </c>
      <c r="E217" s="194" t="s">
        <v>812</v>
      </c>
      <c r="F217" s="144" t="s">
        <v>3</v>
      </c>
    </row>
    <row r="218" spans="1:6" customFormat="1" hidden="1">
      <c r="A218" s="338">
        <f t="shared" si="3"/>
        <v>216</v>
      </c>
      <c r="B218" s="338" t="s">
        <v>812</v>
      </c>
      <c r="C218" s="193">
        <v>12001361</v>
      </c>
      <c r="D218" s="439" t="s">
        <v>814</v>
      </c>
      <c r="E218" s="194" t="s">
        <v>812</v>
      </c>
      <c r="F218" s="144" t="s">
        <v>3</v>
      </c>
    </row>
    <row r="219" spans="1:6" customFormat="1" hidden="1">
      <c r="A219" s="338">
        <f t="shared" si="3"/>
        <v>217</v>
      </c>
      <c r="B219" s="338" t="s">
        <v>812</v>
      </c>
      <c r="C219" s="193">
        <v>12010516</v>
      </c>
      <c r="D219" s="191" t="s">
        <v>815</v>
      </c>
      <c r="E219" s="194" t="s">
        <v>812</v>
      </c>
      <c r="F219" s="144" t="s">
        <v>3</v>
      </c>
    </row>
    <row r="220" spans="1:6" customFormat="1" hidden="1">
      <c r="A220" s="338">
        <f t="shared" si="3"/>
        <v>218</v>
      </c>
      <c r="B220" s="338" t="s">
        <v>812</v>
      </c>
      <c r="C220" s="193">
        <v>12028443</v>
      </c>
      <c r="D220" s="338" t="s">
        <v>1372</v>
      </c>
      <c r="E220" s="194" t="s">
        <v>812</v>
      </c>
      <c r="F220" s="144" t="s">
        <v>3</v>
      </c>
    </row>
    <row r="221" spans="1:6" customFormat="1" hidden="1">
      <c r="A221" s="338">
        <f t="shared" si="3"/>
        <v>219</v>
      </c>
      <c r="B221" s="338" t="s">
        <v>812</v>
      </c>
      <c r="C221" s="193">
        <v>12028643</v>
      </c>
      <c r="D221" s="439" t="s">
        <v>816</v>
      </c>
      <c r="E221" s="194" t="s">
        <v>812</v>
      </c>
      <c r="F221" s="144" t="s">
        <v>3</v>
      </c>
    </row>
    <row r="222" spans="1:6" s="327" customFormat="1" hidden="1">
      <c r="A222" s="338">
        <f t="shared" si="3"/>
        <v>220</v>
      </c>
      <c r="B222" s="338" t="s">
        <v>812</v>
      </c>
      <c r="C222" s="193">
        <v>12030331</v>
      </c>
      <c r="D222" s="191" t="s">
        <v>817</v>
      </c>
      <c r="E222" s="194" t="s">
        <v>812</v>
      </c>
      <c r="F222" s="144" t="s">
        <v>3</v>
      </c>
    </row>
    <row r="223" spans="1:6" s="327" customFormat="1" hidden="1">
      <c r="A223" s="338">
        <f t="shared" si="3"/>
        <v>221</v>
      </c>
      <c r="B223" s="338" t="s">
        <v>812</v>
      </c>
      <c r="C223" s="193">
        <v>12054410</v>
      </c>
      <c r="D223" s="338" t="s">
        <v>818</v>
      </c>
      <c r="E223" s="194" t="s">
        <v>812</v>
      </c>
      <c r="F223" s="144" t="s">
        <v>3</v>
      </c>
    </row>
    <row r="224" spans="1:6" s="327" customFormat="1" hidden="1">
      <c r="A224" s="338">
        <f t="shared" si="3"/>
        <v>222</v>
      </c>
      <c r="B224" s="338" t="s">
        <v>812</v>
      </c>
      <c r="C224" s="193">
        <v>17202941</v>
      </c>
      <c r="D224" s="439" t="s">
        <v>819</v>
      </c>
      <c r="E224" s="194" t="s">
        <v>812</v>
      </c>
      <c r="F224" s="144" t="s">
        <v>3</v>
      </c>
    </row>
    <row r="225" spans="1:6" s="327" customFormat="1" hidden="1">
      <c r="A225" s="338">
        <f t="shared" si="3"/>
        <v>223</v>
      </c>
      <c r="B225" s="338" t="s">
        <v>175</v>
      </c>
      <c r="C225" s="193">
        <v>12000016</v>
      </c>
      <c r="D225" s="191" t="s">
        <v>64</v>
      </c>
      <c r="E225" s="188" t="s">
        <v>65</v>
      </c>
      <c r="F225" s="144" t="s">
        <v>3</v>
      </c>
    </row>
    <row r="226" spans="1:6" s="327" customFormat="1" hidden="1">
      <c r="A226" s="338">
        <f t="shared" si="3"/>
        <v>224</v>
      </c>
      <c r="B226" s="338" t="s">
        <v>175</v>
      </c>
      <c r="C226" s="193">
        <v>12027282</v>
      </c>
      <c r="D226" s="191" t="s">
        <v>81</v>
      </c>
      <c r="E226" s="188" t="s">
        <v>65</v>
      </c>
      <c r="F226" s="144" t="s">
        <v>3</v>
      </c>
    </row>
    <row r="227" spans="1:6" s="327" customFormat="1" hidden="1">
      <c r="A227" s="338">
        <f t="shared" si="3"/>
        <v>225</v>
      </c>
      <c r="B227" s="338" t="s">
        <v>175</v>
      </c>
      <c r="C227" s="193">
        <v>12031651</v>
      </c>
      <c r="D227" s="191" t="s">
        <v>82</v>
      </c>
      <c r="E227" s="188" t="s">
        <v>65</v>
      </c>
      <c r="F227" s="144" t="s">
        <v>3</v>
      </c>
    </row>
    <row r="228" spans="1:6" s="327" customFormat="1" hidden="1">
      <c r="A228" s="338">
        <f t="shared" si="3"/>
        <v>226</v>
      </c>
      <c r="B228" s="338" t="s">
        <v>175</v>
      </c>
      <c r="C228" s="193">
        <v>12086362</v>
      </c>
      <c r="D228" s="191" t="s">
        <v>83</v>
      </c>
      <c r="E228" s="188" t="s">
        <v>65</v>
      </c>
      <c r="F228" s="144" t="s">
        <v>3</v>
      </c>
    </row>
    <row r="229" spans="1:6" s="327" customFormat="1" hidden="1">
      <c r="A229" s="338">
        <f t="shared" si="3"/>
        <v>227</v>
      </c>
      <c r="B229" s="338" t="s">
        <v>175</v>
      </c>
      <c r="C229" s="193">
        <v>12060718</v>
      </c>
      <c r="D229" s="338" t="s">
        <v>84</v>
      </c>
      <c r="E229" s="188" t="s">
        <v>74</v>
      </c>
      <c r="F229" s="144" t="s">
        <v>3</v>
      </c>
    </row>
    <row r="230" spans="1:6" s="327" customFormat="1" hidden="1">
      <c r="A230" s="338">
        <f t="shared" si="3"/>
        <v>228</v>
      </c>
      <c r="B230" s="338" t="s">
        <v>175</v>
      </c>
      <c r="C230" s="193">
        <v>12086898</v>
      </c>
      <c r="D230" s="439" t="s">
        <v>85</v>
      </c>
      <c r="E230" s="188" t="s">
        <v>74</v>
      </c>
      <c r="F230" s="144" t="s">
        <v>3</v>
      </c>
    </row>
    <row r="231" spans="1:6" s="327" customFormat="1" hidden="1">
      <c r="A231" s="338">
        <f t="shared" si="3"/>
        <v>229</v>
      </c>
      <c r="B231" s="338" t="s">
        <v>175</v>
      </c>
      <c r="C231" s="193">
        <v>12020098</v>
      </c>
      <c r="D231" s="191" t="s">
        <v>18</v>
      </c>
      <c r="E231" s="188" t="s">
        <v>19</v>
      </c>
      <c r="F231" s="144" t="s">
        <v>3</v>
      </c>
    </row>
    <row r="232" spans="1:6" s="327" customFormat="1" hidden="1">
      <c r="A232" s="338">
        <f t="shared" si="3"/>
        <v>230</v>
      </c>
      <c r="B232" s="338" t="s">
        <v>175</v>
      </c>
      <c r="C232" s="193">
        <v>12024214</v>
      </c>
      <c r="D232" s="439" t="s">
        <v>820</v>
      </c>
      <c r="E232" s="188" t="s">
        <v>19</v>
      </c>
      <c r="F232" s="144" t="s">
        <v>3</v>
      </c>
    </row>
    <row r="233" spans="1:6" s="327" customFormat="1" hidden="1">
      <c r="A233" s="338">
        <f t="shared" si="3"/>
        <v>231</v>
      </c>
      <c r="B233" s="338" t="s">
        <v>175</v>
      </c>
      <c r="C233" s="193">
        <v>12015453</v>
      </c>
      <c r="D233" s="191" t="s">
        <v>32</v>
      </c>
      <c r="E233" s="188" t="s">
        <v>33</v>
      </c>
      <c r="F233" s="144" t="s">
        <v>3</v>
      </c>
    </row>
    <row r="234" spans="1:6" s="327" customFormat="1" hidden="1">
      <c r="A234" s="338">
        <f t="shared" si="3"/>
        <v>232</v>
      </c>
      <c r="B234" s="338" t="s">
        <v>175</v>
      </c>
      <c r="C234" s="193">
        <v>12022391</v>
      </c>
      <c r="D234" s="191" t="s">
        <v>36</v>
      </c>
      <c r="E234" s="188" t="s">
        <v>37</v>
      </c>
      <c r="F234" s="144" t="s">
        <v>3</v>
      </c>
    </row>
    <row r="235" spans="1:6" s="327" customFormat="1" hidden="1">
      <c r="A235" s="338">
        <f t="shared" si="3"/>
        <v>233</v>
      </c>
      <c r="B235" s="338" t="s">
        <v>175</v>
      </c>
      <c r="C235" s="193">
        <v>12030457</v>
      </c>
      <c r="D235" s="191" t="s">
        <v>1373</v>
      </c>
      <c r="E235" s="188" t="s">
        <v>75</v>
      </c>
      <c r="F235" s="144" t="s">
        <v>3</v>
      </c>
    </row>
    <row r="236" spans="1:6" s="327" customFormat="1" hidden="1">
      <c r="A236" s="338">
        <f t="shared" si="3"/>
        <v>234</v>
      </c>
      <c r="B236" s="338" t="s">
        <v>175</v>
      </c>
      <c r="C236" s="193">
        <v>12001557</v>
      </c>
      <c r="D236" s="439" t="s">
        <v>1413</v>
      </c>
      <c r="E236" s="188" t="s">
        <v>5</v>
      </c>
      <c r="F236" s="144" t="s">
        <v>3</v>
      </c>
    </row>
    <row r="237" spans="1:6" s="327" customFormat="1" hidden="1">
      <c r="A237" s="338">
        <f t="shared" si="3"/>
        <v>235</v>
      </c>
      <c r="B237" s="338" t="s">
        <v>175</v>
      </c>
      <c r="C237" s="193">
        <v>12012402</v>
      </c>
      <c r="D237" s="191" t="s">
        <v>4</v>
      </c>
      <c r="E237" s="188" t="s">
        <v>5</v>
      </c>
      <c r="F237" s="144" t="s">
        <v>3</v>
      </c>
    </row>
    <row r="238" spans="1:6" s="327" customFormat="1" hidden="1">
      <c r="A238" s="338">
        <f t="shared" si="3"/>
        <v>236</v>
      </c>
      <c r="B238" s="338" t="s">
        <v>175</v>
      </c>
      <c r="C238" s="193">
        <v>12031666</v>
      </c>
      <c r="D238" s="191" t="s">
        <v>86</v>
      </c>
      <c r="E238" s="188" t="s">
        <v>5</v>
      </c>
      <c r="F238" s="144" t="s">
        <v>3</v>
      </c>
    </row>
    <row r="239" spans="1:6" s="327" customFormat="1" hidden="1">
      <c r="A239" s="338">
        <f t="shared" si="3"/>
        <v>237</v>
      </c>
      <c r="B239" s="338" t="s">
        <v>175</v>
      </c>
      <c r="C239" s="193">
        <v>12000355</v>
      </c>
      <c r="D239" s="338" t="s">
        <v>10</v>
      </c>
      <c r="E239" s="188" t="s">
        <v>11</v>
      </c>
      <c r="F239" s="144" t="s">
        <v>3</v>
      </c>
    </row>
    <row r="240" spans="1:6" s="327" customFormat="1" hidden="1">
      <c r="A240" s="338">
        <f t="shared" si="3"/>
        <v>238</v>
      </c>
      <c r="B240" s="338" t="s">
        <v>175</v>
      </c>
      <c r="C240" s="193">
        <v>12011344</v>
      </c>
      <c r="D240" s="338" t="s">
        <v>16</v>
      </c>
      <c r="E240" s="188" t="s">
        <v>11</v>
      </c>
      <c r="F240" s="144" t="s">
        <v>3</v>
      </c>
    </row>
    <row r="241" spans="1:6" s="327" customFormat="1" hidden="1">
      <c r="A241" s="338">
        <f t="shared" si="3"/>
        <v>239</v>
      </c>
      <c r="B241" s="338" t="s">
        <v>175</v>
      </c>
      <c r="C241" s="193">
        <v>12012148</v>
      </c>
      <c r="D241" s="338" t="s">
        <v>87</v>
      </c>
      <c r="E241" s="188" t="s">
        <v>11</v>
      </c>
      <c r="F241" s="144" t="s">
        <v>3</v>
      </c>
    </row>
    <row r="242" spans="1:6" s="327" customFormat="1" hidden="1">
      <c r="A242" s="338">
        <f t="shared" si="3"/>
        <v>240</v>
      </c>
      <c r="B242" s="338" t="s">
        <v>175</v>
      </c>
      <c r="C242" s="193">
        <v>12013376</v>
      </c>
      <c r="D242" s="338" t="s">
        <v>821</v>
      </c>
      <c r="E242" s="188" t="s">
        <v>11</v>
      </c>
      <c r="F242" s="144" t="s">
        <v>3</v>
      </c>
    </row>
    <row r="243" spans="1:6" s="327" customFormat="1" hidden="1">
      <c r="A243" s="338">
        <f t="shared" si="3"/>
        <v>241</v>
      </c>
      <c r="B243" s="338" t="s">
        <v>175</v>
      </c>
      <c r="C243" s="193">
        <v>12014027</v>
      </c>
      <c r="D243" s="338" t="s">
        <v>13</v>
      </c>
      <c r="E243" s="188" t="s">
        <v>11</v>
      </c>
      <c r="F243" s="144" t="s">
        <v>3</v>
      </c>
    </row>
    <row r="244" spans="1:6" s="327" customFormat="1" hidden="1">
      <c r="A244" s="338">
        <f t="shared" si="3"/>
        <v>242</v>
      </c>
      <c r="B244" s="338" t="s">
        <v>175</v>
      </c>
      <c r="C244" s="193">
        <v>12015461</v>
      </c>
      <c r="D244" s="338" t="s">
        <v>20</v>
      </c>
      <c r="E244" s="188" t="s">
        <v>11</v>
      </c>
      <c r="F244" s="144" t="s">
        <v>3</v>
      </c>
    </row>
    <row r="245" spans="1:6" s="327" customFormat="1" hidden="1">
      <c r="A245" s="338">
        <f t="shared" si="3"/>
        <v>243</v>
      </c>
      <c r="B245" s="338" t="s">
        <v>175</v>
      </c>
      <c r="C245" s="193">
        <v>12015774</v>
      </c>
      <c r="D245" s="338" t="s">
        <v>27</v>
      </c>
      <c r="E245" s="188" t="s">
        <v>11</v>
      </c>
      <c r="F245" s="144" t="s">
        <v>3</v>
      </c>
    </row>
    <row r="246" spans="1:6" s="327" customFormat="1" hidden="1">
      <c r="A246" s="338">
        <f t="shared" si="3"/>
        <v>244</v>
      </c>
      <c r="B246" s="338" t="s">
        <v>175</v>
      </c>
      <c r="C246" s="193">
        <v>12017103</v>
      </c>
      <c r="D246" s="338" t="s">
        <v>23</v>
      </c>
      <c r="E246" s="188" t="s">
        <v>11</v>
      </c>
      <c r="F246" s="144" t="s">
        <v>3</v>
      </c>
    </row>
    <row r="247" spans="1:6" s="327" customFormat="1" hidden="1">
      <c r="A247" s="338">
        <f t="shared" si="3"/>
        <v>245</v>
      </c>
      <c r="B247" s="338" t="s">
        <v>175</v>
      </c>
      <c r="C247" s="193">
        <v>12017991</v>
      </c>
      <c r="D247" s="338" t="s">
        <v>12</v>
      </c>
      <c r="E247" s="188" t="s">
        <v>11</v>
      </c>
      <c r="F247" s="144" t="s">
        <v>3</v>
      </c>
    </row>
    <row r="248" spans="1:6" s="327" customFormat="1" hidden="1">
      <c r="A248" s="338">
        <f t="shared" si="3"/>
        <v>246</v>
      </c>
      <c r="B248" s="338" t="s">
        <v>175</v>
      </c>
      <c r="C248" s="193">
        <v>12018472</v>
      </c>
      <c r="D248" s="338" t="s">
        <v>51</v>
      </c>
      <c r="E248" s="188" t="s">
        <v>11</v>
      </c>
      <c r="F248" s="144" t="s">
        <v>3</v>
      </c>
    </row>
    <row r="249" spans="1:6" s="327" customFormat="1" hidden="1">
      <c r="A249" s="338">
        <f t="shared" si="3"/>
        <v>247</v>
      </c>
      <c r="B249" s="338" t="s">
        <v>175</v>
      </c>
      <c r="C249" s="193">
        <v>12021454</v>
      </c>
      <c r="D249" s="338" t="s">
        <v>822</v>
      </c>
      <c r="E249" s="188" t="s">
        <v>11</v>
      </c>
      <c r="F249" s="144" t="s">
        <v>3</v>
      </c>
    </row>
    <row r="250" spans="1:6" s="327" customFormat="1" hidden="1">
      <c r="A250" s="338">
        <f t="shared" si="3"/>
        <v>248</v>
      </c>
      <c r="B250" s="338" t="s">
        <v>175</v>
      </c>
      <c r="C250" s="193">
        <v>12023633</v>
      </c>
      <c r="D250" s="338" t="s">
        <v>88</v>
      </c>
      <c r="E250" s="188" t="s">
        <v>11</v>
      </c>
      <c r="F250" s="144" t="s">
        <v>3</v>
      </c>
    </row>
    <row r="251" spans="1:6" s="327" customFormat="1" hidden="1">
      <c r="A251" s="338">
        <f t="shared" si="3"/>
        <v>249</v>
      </c>
      <c r="B251" s="338" t="s">
        <v>175</v>
      </c>
      <c r="C251" s="193">
        <v>12024013</v>
      </c>
      <c r="D251" s="338" t="s">
        <v>1374</v>
      </c>
      <c r="E251" s="188" t="s">
        <v>11</v>
      </c>
      <c r="F251" s="144" t="s">
        <v>3</v>
      </c>
    </row>
    <row r="252" spans="1:6" s="327" customFormat="1" hidden="1">
      <c r="A252" s="338">
        <f t="shared" si="3"/>
        <v>250</v>
      </c>
      <c r="B252" s="338" t="s">
        <v>175</v>
      </c>
      <c r="C252" s="193">
        <v>12024188</v>
      </c>
      <c r="D252" s="338" t="s">
        <v>89</v>
      </c>
      <c r="E252" s="188" t="s">
        <v>11</v>
      </c>
      <c r="F252" s="144" t="s">
        <v>3</v>
      </c>
    </row>
    <row r="253" spans="1:6" s="327" customFormat="1" hidden="1">
      <c r="A253" s="338">
        <f t="shared" si="3"/>
        <v>251</v>
      </c>
      <c r="B253" s="338" t="s">
        <v>175</v>
      </c>
      <c r="C253" s="193">
        <v>12027600</v>
      </c>
      <c r="D253" s="338" t="s">
        <v>90</v>
      </c>
      <c r="E253" s="188" t="s">
        <v>11</v>
      </c>
      <c r="F253" s="144" t="s">
        <v>3</v>
      </c>
    </row>
    <row r="254" spans="1:6" s="327" customFormat="1" hidden="1">
      <c r="A254" s="338">
        <f t="shared" si="3"/>
        <v>252</v>
      </c>
      <c r="B254" s="338" t="s">
        <v>175</v>
      </c>
      <c r="C254" s="193">
        <v>12063609</v>
      </c>
      <c r="D254" s="338" t="s">
        <v>823</v>
      </c>
      <c r="E254" s="188" t="s">
        <v>11</v>
      </c>
      <c r="F254" s="144" t="s">
        <v>3</v>
      </c>
    </row>
    <row r="255" spans="1:6" s="327" customFormat="1" hidden="1">
      <c r="A255" s="338">
        <f t="shared" si="3"/>
        <v>253</v>
      </c>
      <c r="B255" s="338" t="s">
        <v>175</v>
      </c>
      <c r="C255" s="193">
        <v>12086364</v>
      </c>
      <c r="D255" s="338" t="s">
        <v>824</v>
      </c>
      <c r="E255" s="188" t="s">
        <v>11</v>
      </c>
      <c r="F255" s="144" t="s">
        <v>3</v>
      </c>
    </row>
    <row r="256" spans="1:6" s="327" customFormat="1" hidden="1">
      <c r="A256" s="338">
        <f t="shared" si="3"/>
        <v>254</v>
      </c>
      <c r="B256" s="338" t="s">
        <v>175</v>
      </c>
      <c r="C256" s="193">
        <v>12001373</v>
      </c>
      <c r="D256" s="338" t="s">
        <v>67</v>
      </c>
      <c r="E256" s="188" t="s">
        <v>68</v>
      </c>
      <c r="F256" s="144" t="s">
        <v>3</v>
      </c>
    </row>
    <row r="257" spans="1:6" s="327" customFormat="1" hidden="1">
      <c r="A257" s="338">
        <f t="shared" si="3"/>
        <v>255</v>
      </c>
      <c r="B257" s="338" t="s">
        <v>175</v>
      </c>
      <c r="C257" s="193">
        <v>12028225</v>
      </c>
      <c r="D257" s="439" t="s">
        <v>92</v>
      </c>
      <c r="E257" s="188" t="s">
        <v>77</v>
      </c>
      <c r="F257" s="144" t="s">
        <v>3</v>
      </c>
    </row>
    <row r="258" spans="1:6" s="327" customFormat="1" hidden="1">
      <c r="A258" s="338">
        <f t="shared" si="3"/>
        <v>256</v>
      </c>
      <c r="B258" s="338" t="s">
        <v>175</v>
      </c>
      <c r="C258" s="193">
        <v>12031662</v>
      </c>
      <c r="D258" s="191" t="s">
        <v>91</v>
      </c>
      <c r="E258" s="188" t="s">
        <v>76</v>
      </c>
      <c r="F258" s="144" t="s">
        <v>3</v>
      </c>
    </row>
    <row r="259" spans="1:6" s="327" customFormat="1" hidden="1">
      <c r="A259" s="338">
        <f t="shared" si="3"/>
        <v>257</v>
      </c>
      <c r="B259" s="338" t="s">
        <v>175</v>
      </c>
      <c r="C259" s="193">
        <v>12014182</v>
      </c>
      <c r="D259" s="191" t="s">
        <v>30</v>
      </c>
      <c r="E259" s="188" t="s">
        <v>31</v>
      </c>
      <c r="F259" s="144" t="s">
        <v>3</v>
      </c>
    </row>
    <row r="260" spans="1:6" s="327" customFormat="1" hidden="1">
      <c r="A260" s="338">
        <f t="shared" ref="A260:A323" si="4">A259+1</f>
        <v>258</v>
      </c>
      <c r="B260" s="338" t="s">
        <v>175</v>
      </c>
      <c r="C260" s="193">
        <v>12020830</v>
      </c>
      <c r="D260" s="191" t="s">
        <v>46</v>
      </c>
      <c r="E260" s="188" t="s">
        <v>47</v>
      </c>
      <c r="F260" s="144" t="s">
        <v>3</v>
      </c>
    </row>
    <row r="261" spans="1:6" s="327" customFormat="1" hidden="1">
      <c r="A261" s="338">
        <f t="shared" si="4"/>
        <v>259</v>
      </c>
      <c r="B261" s="338" t="s">
        <v>175</v>
      </c>
      <c r="C261" s="193">
        <v>12053296</v>
      </c>
      <c r="D261" s="191" t="s">
        <v>1445</v>
      </c>
      <c r="E261" s="188" t="s">
        <v>47</v>
      </c>
      <c r="F261" s="144" t="s">
        <v>3</v>
      </c>
    </row>
    <row r="262" spans="1:6" s="327" customFormat="1" hidden="1">
      <c r="A262" s="338">
        <f t="shared" si="4"/>
        <v>260</v>
      </c>
      <c r="B262" s="338" t="s">
        <v>175</v>
      </c>
      <c r="C262" s="193">
        <v>12086896</v>
      </c>
      <c r="D262" s="191" t="s">
        <v>1446</v>
      </c>
      <c r="E262" s="188" t="s">
        <v>47</v>
      </c>
      <c r="F262" s="144" t="s">
        <v>3</v>
      </c>
    </row>
    <row r="263" spans="1:6" s="327" customFormat="1" hidden="1">
      <c r="A263" s="338">
        <f t="shared" si="4"/>
        <v>261</v>
      </c>
      <c r="B263" s="338" t="s">
        <v>175</v>
      </c>
      <c r="C263" s="193">
        <v>12001643</v>
      </c>
      <c r="D263" s="191" t="s">
        <v>48</v>
      </c>
      <c r="E263" s="188" t="s">
        <v>7</v>
      </c>
      <c r="F263" s="144" t="s">
        <v>3</v>
      </c>
    </row>
    <row r="264" spans="1:6" s="327" customFormat="1" hidden="1">
      <c r="A264" s="338">
        <f t="shared" si="4"/>
        <v>262</v>
      </c>
      <c r="B264" s="338" t="s">
        <v>175</v>
      </c>
      <c r="C264" s="193">
        <v>12021495</v>
      </c>
      <c r="D264" s="191" t="s">
        <v>6</v>
      </c>
      <c r="E264" s="188" t="s">
        <v>7</v>
      </c>
      <c r="F264" s="144" t="s">
        <v>3</v>
      </c>
    </row>
    <row r="265" spans="1:6" s="327" customFormat="1" hidden="1">
      <c r="A265" s="338">
        <f t="shared" si="4"/>
        <v>263</v>
      </c>
      <c r="B265" s="338" t="s">
        <v>175</v>
      </c>
      <c r="C265" s="193">
        <v>12010647</v>
      </c>
      <c r="D265" s="191" t="s">
        <v>44</v>
      </c>
      <c r="E265" s="188" t="s">
        <v>41</v>
      </c>
      <c r="F265" s="144" t="s">
        <v>3</v>
      </c>
    </row>
    <row r="266" spans="1:6" s="327" customFormat="1" hidden="1">
      <c r="A266" s="338">
        <f t="shared" si="4"/>
        <v>264</v>
      </c>
      <c r="B266" s="338" t="s">
        <v>175</v>
      </c>
      <c r="C266" s="193">
        <v>12021453</v>
      </c>
      <c r="D266" s="191" t="s">
        <v>40</v>
      </c>
      <c r="E266" s="188" t="s">
        <v>41</v>
      </c>
      <c r="F266" s="144" t="s">
        <v>3</v>
      </c>
    </row>
    <row r="267" spans="1:6" s="327" customFormat="1" hidden="1">
      <c r="A267" s="338">
        <f t="shared" si="4"/>
        <v>265</v>
      </c>
      <c r="B267" s="338" t="s">
        <v>175</v>
      </c>
      <c r="C267" s="193">
        <v>12023696</v>
      </c>
      <c r="D267" s="191" t="s">
        <v>1375</v>
      </c>
      <c r="E267" s="188" t="s">
        <v>41</v>
      </c>
      <c r="F267" s="144" t="s">
        <v>3</v>
      </c>
    </row>
    <row r="268" spans="1:6" s="327" customFormat="1" hidden="1">
      <c r="A268" s="338">
        <f t="shared" si="4"/>
        <v>266</v>
      </c>
      <c r="B268" s="338" t="s">
        <v>175</v>
      </c>
      <c r="C268" s="193">
        <v>12028595</v>
      </c>
      <c r="D268" s="191" t="s">
        <v>1376</v>
      </c>
      <c r="E268" s="188" t="s">
        <v>41</v>
      </c>
      <c r="F268" s="144" t="s">
        <v>3</v>
      </c>
    </row>
    <row r="269" spans="1:6" s="327" customFormat="1" hidden="1">
      <c r="A269" s="338">
        <f t="shared" si="4"/>
        <v>267</v>
      </c>
      <c r="B269" s="338" t="s">
        <v>175</v>
      </c>
      <c r="C269" s="193">
        <v>12000583</v>
      </c>
      <c r="D269" s="338" t="s">
        <v>17</v>
      </c>
      <c r="E269" s="188" t="s">
        <v>9</v>
      </c>
      <c r="F269" s="144" t="s">
        <v>3</v>
      </c>
    </row>
    <row r="270" spans="1:6" s="327" customFormat="1" hidden="1">
      <c r="A270" s="338">
        <f t="shared" si="4"/>
        <v>268</v>
      </c>
      <c r="B270" s="338" t="s">
        <v>175</v>
      </c>
      <c r="C270" s="193">
        <v>12001289</v>
      </c>
      <c r="D270" s="338" t="s">
        <v>26</v>
      </c>
      <c r="E270" s="188" t="s">
        <v>9</v>
      </c>
      <c r="F270" s="144" t="s">
        <v>3</v>
      </c>
    </row>
    <row r="271" spans="1:6" s="327" customFormat="1" hidden="1">
      <c r="A271" s="338">
        <f t="shared" si="4"/>
        <v>269</v>
      </c>
      <c r="B271" s="338" t="s">
        <v>175</v>
      </c>
      <c r="C271" s="193">
        <v>12001290</v>
      </c>
      <c r="D271" s="338" t="s">
        <v>8</v>
      </c>
      <c r="E271" s="188" t="s">
        <v>9</v>
      </c>
      <c r="F271" s="144" t="s">
        <v>3</v>
      </c>
    </row>
    <row r="272" spans="1:6" s="327" customFormat="1" hidden="1">
      <c r="A272" s="338">
        <f t="shared" si="4"/>
        <v>270</v>
      </c>
      <c r="B272" s="338" t="s">
        <v>175</v>
      </c>
      <c r="C272" s="193">
        <v>12011504</v>
      </c>
      <c r="D272" s="338" t="s">
        <v>825</v>
      </c>
      <c r="E272" s="188" t="s">
        <v>9</v>
      </c>
      <c r="F272" s="144" t="s">
        <v>3</v>
      </c>
    </row>
    <row r="273" spans="1:6" s="327" customFormat="1" hidden="1">
      <c r="A273" s="338">
        <f t="shared" si="4"/>
        <v>271</v>
      </c>
      <c r="B273" s="338" t="s">
        <v>175</v>
      </c>
      <c r="C273" s="193">
        <v>12012147</v>
      </c>
      <c r="D273" s="338" t="s">
        <v>826</v>
      </c>
      <c r="E273" s="188" t="s">
        <v>9</v>
      </c>
      <c r="F273" s="144" t="s">
        <v>3</v>
      </c>
    </row>
    <row r="274" spans="1:6" s="327" customFormat="1" hidden="1">
      <c r="A274" s="338">
        <f t="shared" si="4"/>
        <v>272</v>
      </c>
      <c r="B274" s="338" t="s">
        <v>175</v>
      </c>
      <c r="C274" s="193">
        <v>12021496</v>
      </c>
      <c r="D274" s="338" t="s">
        <v>15</v>
      </c>
      <c r="E274" s="188" t="s">
        <v>9</v>
      </c>
      <c r="F274" s="144" t="s">
        <v>3</v>
      </c>
    </row>
    <row r="275" spans="1:6" s="327" customFormat="1" hidden="1">
      <c r="A275" s="338">
        <f t="shared" si="4"/>
        <v>273</v>
      </c>
      <c r="B275" s="338" t="s">
        <v>175</v>
      </c>
      <c r="C275" s="193">
        <v>12025353</v>
      </c>
      <c r="D275" s="338" t="s">
        <v>93</v>
      </c>
      <c r="E275" s="188" t="s">
        <v>9</v>
      </c>
      <c r="F275" s="144" t="s">
        <v>3</v>
      </c>
    </row>
    <row r="276" spans="1:6" s="327" customFormat="1" hidden="1">
      <c r="A276" s="338">
        <f t="shared" si="4"/>
        <v>274</v>
      </c>
      <c r="B276" s="338" t="s">
        <v>175</v>
      </c>
      <c r="C276" s="193">
        <v>12046856</v>
      </c>
      <c r="D276" s="338" t="s">
        <v>827</v>
      </c>
      <c r="E276" s="188" t="s">
        <v>9</v>
      </c>
      <c r="F276" s="144" t="s">
        <v>3</v>
      </c>
    </row>
    <row r="277" spans="1:6" s="327" customFormat="1" hidden="1">
      <c r="A277" s="338">
        <f t="shared" si="4"/>
        <v>275</v>
      </c>
      <c r="B277" s="338" t="s">
        <v>175</v>
      </c>
      <c r="C277" s="193">
        <v>12046857</v>
      </c>
      <c r="D277" s="338" t="s">
        <v>828</v>
      </c>
      <c r="E277" s="188" t="s">
        <v>9</v>
      </c>
      <c r="F277" s="144" t="s">
        <v>3</v>
      </c>
    </row>
    <row r="278" spans="1:6" s="327" customFormat="1" hidden="1">
      <c r="A278" s="338">
        <f t="shared" si="4"/>
        <v>276</v>
      </c>
      <c r="B278" s="338" t="s">
        <v>175</v>
      </c>
      <c r="C278" s="193">
        <v>12080880</v>
      </c>
      <c r="D278" s="338" t="s">
        <v>94</v>
      </c>
      <c r="E278" s="188" t="s">
        <v>9</v>
      </c>
      <c r="F278" s="144" t="s">
        <v>3</v>
      </c>
    </row>
    <row r="279" spans="1:6" s="327" customFormat="1" hidden="1">
      <c r="A279" s="338">
        <f t="shared" si="4"/>
        <v>277</v>
      </c>
      <c r="B279" s="338" t="s">
        <v>175</v>
      </c>
      <c r="C279" s="193">
        <v>12086361</v>
      </c>
      <c r="D279" s="439" t="s">
        <v>829</v>
      </c>
      <c r="E279" s="188" t="s">
        <v>9</v>
      </c>
      <c r="F279" s="144" t="s">
        <v>3</v>
      </c>
    </row>
    <row r="280" spans="1:6" s="327" customFormat="1" hidden="1">
      <c r="A280" s="338">
        <f t="shared" si="4"/>
        <v>278</v>
      </c>
      <c r="B280" s="338" t="s">
        <v>175</v>
      </c>
      <c r="C280" s="193">
        <v>12016519</v>
      </c>
      <c r="D280" s="191" t="s">
        <v>24</v>
      </c>
      <c r="E280" s="188" t="s">
        <v>25</v>
      </c>
      <c r="F280" s="144" t="s">
        <v>3</v>
      </c>
    </row>
    <row r="281" spans="1:6" s="327" customFormat="1" hidden="1">
      <c r="A281" s="338">
        <f t="shared" si="4"/>
        <v>279</v>
      </c>
      <c r="B281" s="338" t="s">
        <v>175</v>
      </c>
      <c r="C281" s="193">
        <v>12000582</v>
      </c>
      <c r="D281" s="191" t="s">
        <v>1</v>
      </c>
      <c r="E281" s="188" t="s">
        <v>2</v>
      </c>
      <c r="F281" s="144" t="s">
        <v>3</v>
      </c>
    </row>
    <row r="282" spans="1:6" s="327" customFormat="1" hidden="1">
      <c r="A282" s="338">
        <f t="shared" si="4"/>
        <v>280</v>
      </c>
      <c r="B282" s="338" t="s">
        <v>175</v>
      </c>
      <c r="C282" s="193">
        <v>12072536</v>
      </c>
      <c r="D282" s="191" t="s">
        <v>80</v>
      </c>
      <c r="E282" s="188" t="s">
        <v>73</v>
      </c>
      <c r="F282" s="144" t="s">
        <v>72</v>
      </c>
    </row>
    <row r="283" spans="1:6" s="327" customFormat="1" hidden="1">
      <c r="A283" s="338">
        <f t="shared" si="4"/>
        <v>281</v>
      </c>
      <c r="B283" s="338" t="s">
        <v>175</v>
      </c>
      <c r="C283" s="193">
        <v>12022392</v>
      </c>
      <c r="D283" s="191" t="s">
        <v>14</v>
      </c>
      <c r="E283" s="188" t="s">
        <v>2</v>
      </c>
      <c r="F283" s="144" t="s">
        <v>3</v>
      </c>
    </row>
    <row r="284" spans="1:6" s="327" customFormat="1" hidden="1">
      <c r="A284" s="338">
        <f t="shared" si="4"/>
        <v>282</v>
      </c>
      <c r="B284" s="338" t="s">
        <v>175</v>
      </c>
      <c r="C284" s="193">
        <v>12020915</v>
      </c>
      <c r="D284" s="191" t="s">
        <v>21</v>
      </c>
      <c r="E284" s="188" t="s">
        <v>22</v>
      </c>
      <c r="F284" s="144" t="s">
        <v>3</v>
      </c>
    </row>
    <row r="285" spans="1:6" s="327" customFormat="1" hidden="1">
      <c r="A285" s="338">
        <f t="shared" si="4"/>
        <v>283</v>
      </c>
      <c r="B285" s="338" t="s">
        <v>175</v>
      </c>
      <c r="C285" s="193">
        <v>12086363</v>
      </c>
      <c r="D285" s="439" t="s">
        <v>95</v>
      </c>
      <c r="E285" s="188" t="s">
        <v>78</v>
      </c>
      <c r="F285" s="144" t="s">
        <v>3</v>
      </c>
    </row>
    <row r="286" spans="1:6" s="327" customFormat="1" hidden="1">
      <c r="A286" s="338">
        <f t="shared" si="4"/>
        <v>284</v>
      </c>
      <c r="B286" s="338" t="s">
        <v>175</v>
      </c>
      <c r="C286" s="193">
        <v>12000692</v>
      </c>
      <c r="D286" s="191" t="s">
        <v>69</v>
      </c>
      <c r="E286" s="188" t="s">
        <v>29</v>
      </c>
      <c r="F286" s="144" t="s">
        <v>3</v>
      </c>
    </row>
    <row r="287" spans="1:6" s="327" customFormat="1" hidden="1">
      <c r="A287" s="338">
        <f t="shared" si="4"/>
        <v>285</v>
      </c>
      <c r="B287" s="338" t="s">
        <v>175</v>
      </c>
      <c r="C287" s="193">
        <v>12014438</v>
      </c>
      <c r="D287" s="191" t="s">
        <v>96</v>
      </c>
      <c r="E287" s="188" t="s">
        <v>29</v>
      </c>
      <c r="F287" s="144" t="s">
        <v>3</v>
      </c>
    </row>
    <row r="288" spans="1:6" s="327" customFormat="1" hidden="1">
      <c r="A288" s="338">
        <f t="shared" si="4"/>
        <v>286</v>
      </c>
      <c r="B288" s="338" t="s">
        <v>175</v>
      </c>
      <c r="C288" s="193">
        <v>12014439</v>
      </c>
      <c r="D288" s="439" t="s">
        <v>28</v>
      </c>
      <c r="E288" s="188" t="s">
        <v>29</v>
      </c>
      <c r="F288" s="144" t="s">
        <v>3</v>
      </c>
    </row>
    <row r="289" spans="1:6" s="327" customFormat="1" hidden="1">
      <c r="A289" s="338">
        <f t="shared" si="4"/>
        <v>287</v>
      </c>
      <c r="B289" s="338" t="s">
        <v>175</v>
      </c>
      <c r="C289" s="193">
        <v>12025203</v>
      </c>
      <c r="D289" s="191" t="s">
        <v>97</v>
      </c>
      <c r="E289" s="188" t="s">
        <v>29</v>
      </c>
      <c r="F289" s="144" t="s">
        <v>3</v>
      </c>
    </row>
    <row r="290" spans="1:6" s="327" customFormat="1" hidden="1">
      <c r="A290" s="338">
        <f t="shared" si="4"/>
        <v>288</v>
      </c>
      <c r="B290" s="338" t="s">
        <v>175</v>
      </c>
      <c r="C290" s="193">
        <v>12051682</v>
      </c>
      <c r="D290" s="338" t="s">
        <v>1444</v>
      </c>
      <c r="E290" s="188" t="s">
        <v>79</v>
      </c>
      <c r="F290" s="144" t="s">
        <v>3</v>
      </c>
    </row>
    <row r="291" spans="1:6" s="327" customFormat="1" hidden="1">
      <c r="A291" s="338">
        <f t="shared" si="4"/>
        <v>289</v>
      </c>
      <c r="B291" s="338" t="s">
        <v>175</v>
      </c>
      <c r="C291" s="193">
        <v>12000210</v>
      </c>
      <c r="D291" s="338" t="s">
        <v>45</v>
      </c>
      <c r="E291" s="188" t="s">
        <v>39</v>
      </c>
      <c r="F291" s="144" t="s">
        <v>3</v>
      </c>
    </row>
    <row r="292" spans="1:6" s="327" customFormat="1" hidden="1">
      <c r="A292" s="338">
        <f t="shared" si="4"/>
        <v>290</v>
      </c>
      <c r="B292" s="338" t="s">
        <v>175</v>
      </c>
      <c r="C292" s="193">
        <v>12000334</v>
      </c>
      <c r="D292" s="439" t="s">
        <v>830</v>
      </c>
      <c r="E292" s="188" t="s">
        <v>39</v>
      </c>
      <c r="F292" s="144" t="s">
        <v>3</v>
      </c>
    </row>
    <row r="293" spans="1:6" s="327" customFormat="1" hidden="1">
      <c r="A293" s="338">
        <f t="shared" si="4"/>
        <v>291</v>
      </c>
      <c r="B293" s="338" t="s">
        <v>175</v>
      </c>
      <c r="C293" s="193">
        <v>12000343</v>
      </c>
      <c r="D293" s="191" t="s">
        <v>43</v>
      </c>
      <c r="E293" s="188" t="s">
        <v>39</v>
      </c>
      <c r="F293" s="144" t="s">
        <v>3</v>
      </c>
    </row>
    <row r="294" spans="1:6" s="327" customFormat="1" hidden="1">
      <c r="A294" s="338">
        <f t="shared" si="4"/>
        <v>292</v>
      </c>
      <c r="B294" s="338" t="s">
        <v>175</v>
      </c>
      <c r="C294" s="193">
        <v>12001035</v>
      </c>
      <c r="D294" s="338" t="s">
        <v>42</v>
      </c>
      <c r="E294" s="188" t="s">
        <v>39</v>
      </c>
      <c r="F294" s="144" t="s">
        <v>3</v>
      </c>
    </row>
    <row r="295" spans="1:6" s="327" customFormat="1" hidden="1">
      <c r="A295" s="338">
        <f t="shared" si="4"/>
        <v>293</v>
      </c>
      <c r="B295" s="338" t="s">
        <v>175</v>
      </c>
      <c r="C295" s="193">
        <v>12001036</v>
      </c>
      <c r="D295" s="338" t="s">
        <v>1377</v>
      </c>
      <c r="E295" s="188" t="s">
        <v>39</v>
      </c>
      <c r="F295" s="144" t="s">
        <v>3</v>
      </c>
    </row>
    <row r="296" spans="1:6" s="327" customFormat="1" hidden="1">
      <c r="A296" s="338">
        <f t="shared" si="4"/>
        <v>294</v>
      </c>
      <c r="B296" s="338" t="s">
        <v>175</v>
      </c>
      <c r="C296" s="193">
        <v>12001037</v>
      </c>
      <c r="D296" s="338" t="s">
        <v>60</v>
      </c>
      <c r="E296" s="188" t="s">
        <v>39</v>
      </c>
      <c r="F296" s="144" t="s">
        <v>3</v>
      </c>
    </row>
    <row r="297" spans="1:6" s="327" customFormat="1" hidden="1">
      <c r="A297" s="338">
        <f t="shared" si="4"/>
        <v>295</v>
      </c>
      <c r="B297" s="338" t="s">
        <v>175</v>
      </c>
      <c r="C297" s="193">
        <v>12001038</v>
      </c>
      <c r="D297" s="338" t="s">
        <v>56</v>
      </c>
      <c r="E297" s="188" t="s">
        <v>39</v>
      </c>
      <c r="F297" s="144" t="s">
        <v>3</v>
      </c>
    </row>
    <row r="298" spans="1:6" s="327" customFormat="1" hidden="1">
      <c r="A298" s="338">
        <f t="shared" si="4"/>
        <v>296</v>
      </c>
      <c r="B298" s="338" t="s">
        <v>175</v>
      </c>
      <c r="C298" s="193">
        <v>12001039</v>
      </c>
      <c r="D298" s="338" t="s">
        <v>55</v>
      </c>
      <c r="E298" s="188" t="s">
        <v>39</v>
      </c>
      <c r="F298" s="144" t="s">
        <v>3</v>
      </c>
    </row>
    <row r="299" spans="1:6" s="327" customFormat="1" hidden="1">
      <c r="A299" s="338">
        <f t="shared" si="4"/>
        <v>297</v>
      </c>
      <c r="B299" s="338" t="s">
        <v>175</v>
      </c>
      <c r="C299" s="193">
        <v>12001040</v>
      </c>
      <c r="D299" s="338" t="s">
        <v>66</v>
      </c>
      <c r="E299" s="188" t="s">
        <v>39</v>
      </c>
      <c r="F299" s="144" t="s">
        <v>3</v>
      </c>
    </row>
    <row r="300" spans="1:6" s="327" customFormat="1" hidden="1">
      <c r="A300" s="338">
        <f t="shared" si="4"/>
        <v>298</v>
      </c>
      <c r="B300" s="338" t="s">
        <v>175</v>
      </c>
      <c r="C300" s="193">
        <v>12001041</v>
      </c>
      <c r="D300" s="338" t="s">
        <v>831</v>
      </c>
      <c r="E300" s="188" t="s">
        <v>39</v>
      </c>
      <c r="F300" s="144" t="s">
        <v>3</v>
      </c>
    </row>
    <row r="301" spans="1:6" s="327" customFormat="1" hidden="1">
      <c r="A301" s="338">
        <f t="shared" si="4"/>
        <v>299</v>
      </c>
      <c r="B301" s="338" t="s">
        <v>175</v>
      </c>
      <c r="C301" s="193">
        <v>12001042</v>
      </c>
      <c r="D301" s="338" t="s">
        <v>70</v>
      </c>
      <c r="E301" s="188" t="s">
        <v>39</v>
      </c>
      <c r="F301" s="144" t="s">
        <v>3</v>
      </c>
    </row>
    <row r="302" spans="1:6" s="327" customFormat="1" hidden="1">
      <c r="A302" s="338">
        <f t="shared" si="4"/>
        <v>300</v>
      </c>
      <c r="B302" s="338" t="s">
        <v>175</v>
      </c>
      <c r="C302" s="193">
        <v>12001043</v>
      </c>
      <c r="D302" s="338" t="s">
        <v>50</v>
      </c>
      <c r="E302" s="188" t="s">
        <v>39</v>
      </c>
      <c r="F302" s="144" t="s">
        <v>3</v>
      </c>
    </row>
    <row r="303" spans="1:6" s="327" customFormat="1" hidden="1">
      <c r="A303" s="338">
        <f t="shared" si="4"/>
        <v>301</v>
      </c>
      <c r="B303" s="338" t="s">
        <v>175</v>
      </c>
      <c r="C303" s="193">
        <v>12001044</v>
      </c>
      <c r="D303" s="338" t="s">
        <v>54</v>
      </c>
      <c r="E303" s="188" t="s">
        <v>39</v>
      </c>
      <c r="F303" s="144" t="s">
        <v>3</v>
      </c>
    </row>
    <row r="304" spans="1:6" s="327" customFormat="1" hidden="1">
      <c r="A304" s="338">
        <f t="shared" si="4"/>
        <v>302</v>
      </c>
      <c r="B304" s="338" t="s">
        <v>175</v>
      </c>
      <c r="C304" s="193">
        <v>12001045</v>
      </c>
      <c r="D304" s="338" t="s">
        <v>57</v>
      </c>
      <c r="E304" s="188" t="s">
        <v>39</v>
      </c>
      <c r="F304" s="144" t="s">
        <v>3</v>
      </c>
    </row>
    <row r="305" spans="1:6" s="327" customFormat="1" hidden="1">
      <c r="A305" s="338">
        <f t="shared" si="4"/>
        <v>303</v>
      </c>
      <c r="B305" s="338" t="s">
        <v>175</v>
      </c>
      <c r="C305" s="193">
        <v>12001046</v>
      </c>
      <c r="D305" s="338" t="s">
        <v>1378</v>
      </c>
      <c r="E305" s="188" t="s">
        <v>39</v>
      </c>
      <c r="F305" s="144" t="s">
        <v>3</v>
      </c>
    </row>
    <row r="306" spans="1:6" s="327" customFormat="1" hidden="1">
      <c r="A306" s="338">
        <f t="shared" si="4"/>
        <v>304</v>
      </c>
      <c r="B306" s="338" t="s">
        <v>175</v>
      </c>
      <c r="C306" s="193">
        <v>12001047</v>
      </c>
      <c r="D306" s="338" t="s">
        <v>1379</v>
      </c>
      <c r="E306" s="188" t="s">
        <v>39</v>
      </c>
      <c r="F306" s="144" t="s">
        <v>3</v>
      </c>
    </row>
    <row r="307" spans="1:6" s="327" customFormat="1" hidden="1">
      <c r="A307" s="338">
        <f t="shared" si="4"/>
        <v>305</v>
      </c>
      <c r="B307" s="338" t="s">
        <v>175</v>
      </c>
      <c r="C307" s="193">
        <v>12001048</v>
      </c>
      <c r="D307" s="338" t="s">
        <v>1380</v>
      </c>
      <c r="E307" s="188" t="s">
        <v>39</v>
      </c>
      <c r="F307" s="144" t="s">
        <v>3</v>
      </c>
    </row>
    <row r="308" spans="1:6" s="327" customFormat="1" hidden="1">
      <c r="A308" s="338">
        <f t="shared" si="4"/>
        <v>306</v>
      </c>
      <c r="B308" s="338" t="s">
        <v>175</v>
      </c>
      <c r="C308" s="193">
        <v>12001049</v>
      </c>
      <c r="D308" s="338" t="s">
        <v>1381</v>
      </c>
      <c r="E308" s="188" t="s">
        <v>39</v>
      </c>
      <c r="F308" s="144" t="s">
        <v>3</v>
      </c>
    </row>
    <row r="309" spans="1:6" s="327" customFormat="1" hidden="1">
      <c r="A309" s="338">
        <f t="shared" si="4"/>
        <v>307</v>
      </c>
      <c r="B309" s="338" t="s">
        <v>175</v>
      </c>
      <c r="C309" s="193">
        <v>12001050</v>
      </c>
      <c r="D309" s="338" t="s">
        <v>1382</v>
      </c>
      <c r="E309" s="188" t="s">
        <v>39</v>
      </c>
      <c r="F309" s="144" t="s">
        <v>3</v>
      </c>
    </row>
    <row r="310" spans="1:6" s="327" customFormat="1" hidden="1">
      <c r="A310" s="338">
        <f t="shared" si="4"/>
        <v>308</v>
      </c>
      <c r="B310" s="338" t="s">
        <v>175</v>
      </c>
      <c r="C310" s="193">
        <v>12001051</v>
      </c>
      <c r="D310" s="338" t="s">
        <v>1383</v>
      </c>
      <c r="E310" s="188" t="s">
        <v>39</v>
      </c>
      <c r="F310" s="144" t="s">
        <v>3</v>
      </c>
    </row>
    <row r="311" spans="1:6" s="327" customFormat="1" hidden="1">
      <c r="A311" s="338">
        <f t="shared" si="4"/>
        <v>309</v>
      </c>
      <c r="B311" s="338" t="s">
        <v>175</v>
      </c>
      <c r="C311" s="193">
        <v>12001052</v>
      </c>
      <c r="D311" s="338" t="s">
        <v>63</v>
      </c>
      <c r="E311" s="188" t="s">
        <v>39</v>
      </c>
      <c r="F311" s="144" t="s">
        <v>3</v>
      </c>
    </row>
    <row r="312" spans="1:6" s="327" customFormat="1" hidden="1">
      <c r="A312" s="338">
        <f t="shared" si="4"/>
        <v>310</v>
      </c>
      <c r="B312" s="338" t="s">
        <v>175</v>
      </c>
      <c r="C312" s="193">
        <v>12001053</v>
      </c>
      <c r="D312" s="338" t="s">
        <v>1384</v>
      </c>
      <c r="E312" s="188" t="s">
        <v>39</v>
      </c>
      <c r="F312" s="144" t="s">
        <v>3</v>
      </c>
    </row>
    <row r="313" spans="1:6" s="327" customFormat="1" hidden="1">
      <c r="A313" s="338">
        <f t="shared" si="4"/>
        <v>311</v>
      </c>
      <c r="B313" s="338" t="s">
        <v>175</v>
      </c>
      <c r="C313" s="193">
        <v>12001054</v>
      </c>
      <c r="D313" s="338" t="s">
        <v>1385</v>
      </c>
      <c r="E313" s="188" t="s">
        <v>39</v>
      </c>
      <c r="F313" s="144" t="s">
        <v>3</v>
      </c>
    </row>
    <row r="314" spans="1:6" s="327" customFormat="1" hidden="1">
      <c r="A314" s="338">
        <f t="shared" si="4"/>
        <v>312</v>
      </c>
      <c r="B314" s="338" t="s">
        <v>175</v>
      </c>
      <c r="C314" s="193">
        <v>12001055</v>
      </c>
      <c r="D314" s="338" t="s">
        <v>61</v>
      </c>
      <c r="E314" s="188" t="s">
        <v>39</v>
      </c>
      <c r="F314" s="144" t="s">
        <v>3</v>
      </c>
    </row>
    <row r="315" spans="1:6" s="327" customFormat="1" hidden="1">
      <c r="A315" s="338">
        <f t="shared" si="4"/>
        <v>313</v>
      </c>
      <c r="B315" s="338" t="s">
        <v>175</v>
      </c>
      <c r="C315" s="193">
        <v>12001056</v>
      </c>
      <c r="D315" s="338" t="s">
        <v>1386</v>
      </c>
      <c r="E315" s="188" t="s">
        <v>39</v>
      </c>
      <c r="F315" s="144" t="s">
        <v>3</v>
      </c>
    </row>
    <row r="316" spans="1:6" s="327" customFormat="1" hidden="1">
      <c r="A316" s="338">
        <f t="shared" si="4"/>
        <v>314</v>
      </c>
      <c r="B316" s="338" t="s">
        <v>175</v>
      </c>
      <c r="C316" s="193">
        <v>12001057</v>
      </c>
      <c r="D316" s="338" t="s">
        <v>1387</v>
      </c>
      <c r="E316" s="188" t="s">
        <v>39</v>
      </c>
      <c r="F316" s="144" t="s">
        <v>3</v>
      </c>
    </row>
    <row r="317" spans="1:6" s="327" customFormat="1" hidden="1">
      <c r="A317" s="338">
        <f t="shared" si="4"/>
        <v>315</v>
      </c>
      <c r="B317" s="338" t="s">
        <v>175</v>
      </c>
      <c r="C317" s="193">
        <v>12001058</v>
      </c>
      <c r="D317" s="338" t="s">
        <v>62</v>
      </c>
      <c r="E317" s="188" t="s">
        <v>39</v>
      </c>
      <c r="F317" s="144" t="s">
        <v>3</v>
      </c>
    </row>
    <row r="318" spans="1:6" s="327" customFormat="1" hidden="1">
      <c r="A318" s="338">
        <f t="shared" si="4"/>
        <v>316</v>
      </c>
      <c r="B318" s="338" t="s">
        <v>175</v>
      </c>
      <c r="C318" s="193">
        <v>12001059</v>
      </c>
      <c r="D318" s="338" t="s">
        <v>1388</v>
      </c>
      <c r="E318" s="188" t="s">
        <v>39</v>
      </c>
      <c r="F318" s="144" t="s">
        <v>3</v>
      </c>
    </row>
    <row r="319" spans="1:6" s="327" customFormat="1" hidden="1">
      <c r="A319" s="338">
        <f t="shared" si="4"/>
        <v>317</v>
      </c>
      <c r="B319" s="338" t="s">
        <v>175</v>
      </c>
      <c r="C319" s="193">
        <v>12001060</v>
      </c>
      <c r="D319" s="338" t="s">
        <v>832</v>
      </c>
      <c r="E319" s="188" t="s">
        <v>39</v>
      </c>
      <c r="F319" s="144" t="s">
        <v>3</v>
      </c>
    </row>
    <row r="320" spans="1:6" s="327" customFormat="1" hidden="1">
      <c r="A320" s="338">
        <f t="shared" si="4"/>
        <v>318</v>
      </c>
      <c r="B320" s="338" t="s">
        <v>175</v>
      </c>
      <c r="C320" s="193">
        <v>12001061</v>
      </c>
      <c r="D320" s="338" t="s">
        <v>59</v>
      </c>
      <c r="E320" s="188" t="s">
        <v>39</v>
      </c>
      <c r="F320" s="144" t="s">
        <v>3</v>
      </c>
    </row>
    <row r="321" spans="1:6" s="327" customFormat="1" hidden="1">
      <c r="A321" s="338">
        <f t="shared" si="4"/>
        <v>319</v>
      </c>
      <c r="B321" s="338" t="s">
        <v>175</v>
      </c>
      <c r="C321" s="193">
        <v>12001062</v>
      </c>
      <c r="D321" s="338" t="s">
        <v>58</v>
      </c>
      <c r="E321" s="188" t="s">
        <v>39</v>
      </c>
      <c r="F321" s="144" t="s">
        <v>3</v>
      </c>
    </row>
    <row r="322" spans="1:6" s="327" customFormat="1" hidden="1">
      <c r="A322" s="338">
        <f t="shared" si="4"/>
        <v>320</v>
      </c>
      <c r="B322" s="338" t="s">
        <v>175</v>
      </c>
      <c r="C322" s="193">
        <v>12001063</v>
      </c>
      <c r="D322" s="338" t="s">
        <v>49</v>
      </c>
      <c r="E322" s="188" t="s">
        <v>39</v>
      </c>
      <c r="F322" s="144" t="s">
        <v>3</v>
      </c>
    </row>
    <row r="323" spans="1:6" s="327" customFormat="1" hidden="1">
      <c r="A323" s="338">
        <f t="shared" si="4"/>
        <v>321</v>
      </c>
      <c r="B323" s="338" t="s">
        <v>175</v>
      </c>
      <c r="C323" s="193">
        <v>12001064</v>
      </c>
      <c r="D323" s="338" t="s">
        <v>1389</v>
      </c>
      <c r="E323" s="188" t="s">
        <v>39</v>
      </c>
      <c r="F323" s="144" t="s">
        <v>3</v>
      </c>
    </row>
    <row r="324" spans="1:6" s="327" customFormat="1" hidden="1">
      <c r="A324" s="338">
        <f t="shared" ref="A324:A387" si="5">A323+1</f>
        <v>322</v>
      </c>
      <c r="B324" s="338" t="s">
        <v>175</v>
      </c>
      <c r="C324" s="193">
        <v>12001065</v>
      </c>
      <c r="D324" s="338" t="s">
        <v>1390</v>
      </c>
      <c r="E324" s="188" t="s">
        <v>39</v>
      </c>
      <c r="F324" s="144" t="s">
        <v>3</v>
      </c>
    </row>
    <row r="325" spans="1:6" s="327" customFormat="1" hidden="1">
      <c r="A325" s="338">
        <f t="shared" si="5"/>
        <v>323</v>
      </c>
      <c r="B325" s="338" t="s">
        <v>175</v>
      </c>
      <c r="C325" s="193">
        <v>12001066</v>
      </c>
      <c r="D325" s="338" t="s">
        <v>1391</v>
      </c>
      <c r="E325" s="188" t="s">
        <v>39</v>
      </c>
      <c r="F325" s="144" t="s">
        <v>3</v>
      </c>
    </row>
    <row r="326" spans="1:6" s="327" customFormat="1" hidden="1">
      <c r="A326" s="338">
        <f t="shared" si="5"/>
        <v>324</v>
      </c>
      <c r="B326" s="338" t="s">
        <v>175</v>
      </c>
      <c r="C326" s="193">
        <v>12001067</v>
      </c>
      <c r="D326" s="338" t="s">
        <v>1392</v>
      </c>
      <c r="E326" s="188" t="s">
        <v>39</v>
      </c>
      <c r="F326" s="144" t="s">
        <v>3</v>
      </c>
    </row>
    <row r="327" spans="1:6" s="327" customFormat="1" hidden="1">
      <c r="A327" s="338">
        <f t="shared" si="5"/>
        <v>325</v>
      </c>
      <c r="B327" s="338" t="s">
        <v>175</v>
      </c>
      <c r="C327" s="193">
        <v>12001068</v>
      </c>
      <c r="D327" s="338" t="s">
        <v>1393</v>
      </c>
      <c r="E327" s="188" t="s">
        <v>39</v>
      </c>
      <c r="F327" s="144" t="s">
        <v>3</v>
      </c>
    </row>
    <row r="328" spans="1:6" s="327" customFormat="1" hidden="1">
      <c r="A328" s="338">
        <f t="shared" si="5"/>
        <v>326</v>
      </c>
      <c r="B328" s="338" t="s">
        <v>175</v>
      </c>
      <c r="C328" s="193">
        <v>12001069</v>
      </c>
      <c r="D328" s="338" t="s">
        <v>1394</v>
      </c>
      <c r="E328" s="188" t="s">
        <v>39</v>
      </c>
      <c r="F328" s="144" t="s">
        <v>3</v>
      </c>
    </row>
    <row r="329" spans="1:6" s="327" customFormat="1" hidden="1">
      <c r="A329" s="338">
        <f t="shared" si="5"/>
        <v>327</v>
      </c>
      <c r="B329" s="338" t="s">
        <v>175</v>
      </c>
      <c r="C329" s="193">
        <v>12001070</v>
      </c>
      <c r="D329" s="338" t="s">
        <v>1395</v>
      </c>
      <c r="E329" s="188" t="s">
        <v>39</v>
      </c>
      <c r="F329" s="144" t="s">
        <v>3</v>
      </c>
    </row>
    <row r="330" spans="1:6" s="327" customFormat="1" hidden="1">
      <c r="A330" s="338">
        <f t="shared" si="5"/>
        <v>328</v>
      </c>
      <c r="B330" s="338" t="s">
        <v>175</v>
      </c>
      <c r="C330" s="193">
        <v>12001071</v>
      </c>
      <c r="D330" s="338" t="s">
        <v>53</v>
      </c>
      <c r="E330" s="188" t="s">
        <v>39</v>
      </c>
      <c r="F330" s="144" t="s">
        <v>3</v>
      </c>
    </row>
    <row r="331" spans="1:6" s="327" customFormat="1" hidden="1">
      <c r="A331" s="338">
        <f t="shared" si="5"/>
        <v>329</v>
      </c>
      <c r="B331" s="338" t="s">
        <v>175</v>
      </c>
      <c r="C331" s="193">
        <v>12001246</v>
      </c>
      <c r="D331" s="338" t="s">
        <v>38</v>
      </c>
      <c r="E331" s="188" t="s">
        <v>39</v>
      </c>
      <c r="F331" s="144" t="s">
        <v>3</v>
      </c>
    </row>
    <row r="332" spans="1:6" s="327" customFormat="1" hidden="1">
      <c r="A332" s="338">
        <f t="shared" si="5"/>
        <v>330</v>
      </c>
      <c r="B332" s="338" t="s">
        <v>175</v>
      </c>
      <c r="C332" s="193">
        <v>12001247</v>
      </c>
      <c r="D332" s="338" t="s">
        <v>1396</v>
      </c>
      <c r="E332" s="188" t="s">
        <v>39</v>
      </c>
      <c r="F332" s="144" t="s">
        <v>3</v>
      </c>
    </row>
    <row r="333" spans="1:6" s="327" customFormat="1" hidden="1">
      <c r="A333" s="338">
        <f t="shared" si="5"/>
        <v>331</v>
      </c>
      <c r="B333" s="338" t="s">
        <v>175</v>
      </c>
      <c r="C333" s="193">
        <v>12001807</v>
      </c>
      <c r="D333" s="338" t="s">
        <v>1448</v>
      </c>
      <c r="E333" s="188" t="s">
        <v>39</v>
      </c>
      <c r="F333" s="144" t="s">
        <v>3</v>
      </c>
    </row>
    <row r="334" spans="1:6" s="327" customFormat="1" hidden="1">
      <c r="A334" s="338">
        <f t="shared" si="5"/>
        <v>332</v>
      </c>
      <c r="B334" s="338" t="s">
        <v>175</v>
      </c>
      <c r="C334" s="193">
        <v>12012804</v>
      </c>
      <c r="D334" s="338" t="s">
        <v>833</v>
      </c>
      <c r="E334" s="188" t="s">
        <v>39</v>
      </c>
      <c r="F334" s="144" t="s">
        <v>3</v>
      </c>
    </row>
    <row r="335" spans="1:6" s="327" customFormat="1" hidden="1">
      <c r="A335" s="338">
        <f t="shared" si="5"/>
        <v>333</v>
      </c>
      <c r="B335" s="338" t="s">
        <v>175</v>
      </c>
      <c r="C335" s="193">
        <v>12012805</v>
      </c>
      <c r="D335" s="338" t="s">
        <v>834</v>
      </c>
      <c r="E335" s="188" t="s">
        <v>39</v>
      </c>
      <c r="F335" s="144" t="s">
        <v>3</v>
      </c>
    </row>
    <row r="336" spans="1:6" s="327" customFormat="1" hidden="1">
      <c r="A336" s="338">
        <f t="shared" si="5"/>
        <v>334</v>
      </c>
      <c r="B336" s="338" t="s">
        <v>175</v>
      </c>
      <c r="C336" s="193">
        <v>12013793</v>
      </c>
      <c r="D336" s="338" t="s">
        <v>835</v>
      </c>
      <c r="E336" s="188" t="s">
        <v>39</v>
      </c>
      <c r="F336" s="144" t="s">
        <v>3</v>
      </c>
    </row>
    <row r="337" spans="1:6" s="327" customFormat="1" hidden="1">
      <c r="A337" s="338">
        <f t="shared" si="5"/>
        <v>335</v>
      </c>
      <c r="B337" s="338" t="s">
        <v>175</v>
      </c>
      <c r="C337" s="193">
        <v>12016930</v>
      </c>
      <c r="D337" s="338" t="s">
        <v>836</v>
      </c>
      <c r="E337" s="188" t="s">
        <v>39</v>
      </c>
      <c r="F337" s="144" t="s">
        <v>3</v>
      </c>
    </row>
    <row r="338" spans="1:6" s="327" customFormat="1" hidden="1">
      <c r="A338" s="338">
        <f t="shared" si="5"/>
        <v>336</v>
      </c>
      <c r="B338" s="338" t="s">
        <v>175</v>
      </c>
      <c r="C338" s="193">
        <v>12017990</v>
      </c>
      <c r="D338" s="338" t="s">
        <v>837</v>
      </c>
      <c r="E338" s="188" t="s">
        <v>39</v>
      </c>
      <c r="F338" s="144" t="s">
        <v>3</v>
      </c>
    </row>
    <row r="339" spans="1:6" s="327" customFormat="1" hidden="1">
      <c r="A339" s="338">
        <f t="shared" si="5"/>
        <v>337</v>
      </c>
      <c r="B339" s="338" t="s">
        <v>175</v>
      </c>
      <c r="C339" s="193">
        <v>12018474</v>
      </c>
      <c r="D339" s="338" t="s">
        <v>838</v>
      </c>
      <c r="E339" s="188" t="s">
        <v>39</v>
      </c>
      <c r="F339" s="144" t="s">
        <v>3</v>
      </c>
    </row>
    <row r="340" spans="1:6" s="327" customFormat="1" hidden="1">
      <c r="A340" s="338">
        <f t="shared" si="5"/>
        <v>338</v>
      </c>
      <c r="B340" s="338" t="s">
        <v>175</v>
      </c>
      <c r="C340" s="193">
        <v>12019168</v>
      </c>
      <c r="D340" s="439" t="s">
        <v>839</v>
      </c>
      <c r="E340" s="188" t="s">
        <v>39</v>
      </c>
      <c r="F340" s="144" t="s">
        <v>3</v>
      </c>
    </row>
    <row r="341" spans="1:6" s="327" customFormat="1" hidden="1">
      <c r="A341" s="338">
        <f t="shared" si="5"/>
        <v>339</v>
      </c>
      <c r="B341" s="338" t="s">
        <v>175</v>
      </c>
      <c r="C341" s="193">
        <v>12019402</v>
      </c>
      <c r="D341" s="191" t="s">
        <v>98</v>
      </c>
      <c r="E341" s="188" t="s">
        <v>39</v>
      </c>
      <c r="F341" s="144" t="s">
        <v>3</v>
      </c>
    </row>
    <row r="342" spans="1:6" s="327" customFormat="1" hidden="1">
      <c r="A342" s="338">
        <f t="shared" si="5"/>
        <v>340</v>
      </c>
      <c r="B342" s="338" t="s">
        <v>175</v>
      </c>
      <c r="C342" s="193">
        <v>12019856</v>
      </c>
      <c r="D342" s="338" t="s">
        <v>840</v>
      </c>
      <c r="E342" s="188" t="s">
        <v>39</v>
      </c>
      <c r="F342" s="144" t="s">
        <v>3</v>
      </c>
    </row>
    <row r="343" spans="1:6" s="327" customFormat="1" hidden="1">
      <c r="A343" s="338">
        <f t="shared" si="5"/>
        <v>341</v>
      </c>
      <c r="B343" s="338" t="s">
        <v>175</v>
      </c>
      <c r="C343" s="193">
        <v>12019857</v>
      </c>
      <c r="D343" s="338" t="s">
        <v>841</v>
      </c>
      <c r="E343" s="188" t="s">
        <v>39</v>
      </c>
      <c r="F343" s="144" t="s">
        <v>3</v>
      </c>
    </row>
    <row r="344" spans="1:6" s="327" customFormat="1" hidden="1">
      <c r="A344" s="338">
        <f t="shared" si="5"/>
        <v>342</v>
      </c>
      <c r="B344" s="338" t="s">
        <v>175</v>
      </c>
      <c r="C344" s="193">
        <v>12019858</v>
      </c>
      <c r="D344" s="338" t="s">
        <v>842</v>
      </c>
      <c r="E344" s="188" t="s">
        <v>39</v>
      </c>
      <c r="F344" s="144" t="s">
        <v>3</v>
      </c>
    </row>
    <row r="345" spans="1:6" s="327" customFormat="1" hidden="1">
      <c r="A345" s="338">
        <f t="shared" si="5"/>
        <v>343</v>
      </c>
      <c r="B345" s="338" t="s">
        <v>175</v>
      </c>
      <c r="C345" s="193">
        <v>12021456</v>
      </c>
      <c r="D345" s="338" t="s">
        <v>843</v>
      </c>
      <c r="E345" s="188" t="s">
        <v>39</v>
      </c>
      <c r="F345" s="144" t="s">
        <v>3</v>
      </c>
    </row>
    <row r="346" spans="1:6" s="327" customFormat="1" hidden="1">
      <c r="A346" s="338">
        <f t="shared" si="5"/>
        <v>344</v>
      </c>
      <c r="B346" s="338" t="s">
        <v>175</v>
      </c>
      <c r="C346" s="193">
        <v>12021488</v>
      </c>
      <c r="D346" s="338" t="s">
        <v>844</v>
      </c>
      <c r="E346" s="188" t="s">
        <v>39</v>
      </c>
      <c r="F346" s="144" t="s">
        <v>3</v>
      </c>
    </row>
    <row r="347" spans="1:6" s="327" customFormat="1" hidden="1">
      <c r="A347" s="338">
        <f t="shared" si="5"/>
        <v>345</v>
      </c>
      <c r="B347" s="338" t="s">
        <v>175</v>
      </c>
      <c r="C347" s="193">
        <v>12021489</v>
      </c>
      <c r="D347" s="338" t="s">
        <v>845</v>
      </c>
      <c r="E347" s="188" t="s">
        <v>39</v>
      </c>
      <c r="F347" s="144" t="s">
        <v>3</v>
      </c>
    </row>
    <row r="348" spans="1:6" s="327" customFormat="1" hidden="1">
      <c r="A348" s="338">
        <f t="shared" si="5"/>
        <v>346</v>
      </c>
      <c r="B348" s="338" t="s">
        <v>175</v>
      </c>
      <c r="C348" s="193">
        <v>12021490</v>
      </c>
      <c r="D348" s="338" t="s">
        <v>846</v>
      </c>
      <c r="E348" s="188" t="s">
        <v>39</v>
      </c>
      <c r="F348" s="144" t="s">
        <v>3</v>
      </c>
    </row>
    <row r="349" spans="1:6" s="327" customFormat="1" hidden="1">
      <c r="A349" s="338">
        <f t="shared" si="5"/>
        <v>347</v>
      </c>
      <c r="B349" s="338" t="s">
        <v>175</v>
      </c>
      <c r="C349" s="193">
        <v>12021491</v>
      </c>
      <c r="D349" s="338" t="s">
        <v>847</v>
      </c>
      <c r="E349" s="188" t="s">
        <v>39</v>
      </c>
      <c r="F349" s="144" t="s">
        <v>3</v>
      </c>
    </row>
    <row r="350" spans="1:6" s="327" customFormat="1" hidden="1">
      <c r="A350" s="338">
        <f t="shared" si="5"/>
        <v>348</v>
      </c>
      <c r="B350" s="338" t="s">
        <v>175</v>
      </c>
      <c r="C350" s="193">
        <v>12021492</v>
      </c>
      <c r="D350" s="338" t="s">
        <v>848</v>
      </c>
      <c r="E350" s="188" t="s">
        <v>39</v>
      </c>
      <c r="F350" s="144" t="s">
        <v>3</v>
      </c>
    </row>
    <row r="351" spans="1:6" s="327" customFormat="1" hidden="1">
      <c r="A351" s="338">
        <f t="shared" si="5"/>
        <v>349</v>
      </c>
      <c r="B351" s="338" t="s">
        <v>175</v>
      </c>
      <c r="C351" s="193">
        <v>12023324</v>
      </c>
      <c r="D351" s="338" t="s">
        <v>849</v>
      </c>
      <c r="E351" s="188" t="s">
        <v>39</v>
      </c>
      <c r="F351" s="144" t="s">
        <v>3</v>
      </c>
    </row>
    <row r="352" spans="1:6" s="327" customFormat="1" hidden="1">
      <c r="A352" s="338">
        <f t="shared" si="5"/>
        <v>350</v>
      </c>
      <c r="B352" s="338" t="s">
        <v>175</v>
      </c>
      <c r="C352" s="193">
        <v>12023325</v>
      </c>
      <c r="D352" s="338" t="s">
        <v>850</v>
      </c>
      <c r="E352" s="188" t="s">
        <v>39</v>
      </c>
      <c r="F352" s="144" t="s">
        <v>3</v>
      </c>
    </row>
    <row r="353" spans="1:6" s="327" customFormat="1" hidden="1">
      <c r="A353" s="338">
        <f t="shared" si="5"/>
        <v>351</v>
      </c>
      <c r="B353" s="338" t="s">
        <v>175</v>
      </c>
      <c r="C353" s="193">
        <v>12025821</v>
      </c>
      <c r="D353" s="338" t="s">
        <v>851</v>
      </c>
      <c r="E353" s="188" t="s">
        <v>39</v>
      </c>
      <c r="F353" s="144" t="s">
        <v>3</v>
      </c>
    </row>
    <row r="354" spans="1:6" s="327" customFormat="1" hidden="1">
      <c r="A354" s="338">
        <f t="shared" si="5"/>
        <v>352</v>
      </c>
      <c r="B354" s="338" t="s">
        <v>175</v>
      </c>
      <c r="C354" s="193">
        <v>12026727</v>
      </c>
      <c r="D354" s="338" t="s">
        <v>852</v>
      </c>
      <c r="E354" s="188" t="s">
        <v>39</v>
      </c>
      <c r="F354" s="144" t="s">
        <v>3</v>
      </c>
    </row>
    <row r="355" spans="1:6" s="327" customFormat="1" hidden="1">
      <c r="A355" s="338">
        <f t="shared" si="5"/>
        <v>353</v>
      </c>
      <c r="B355" s="338" t="s">
        <v>175</v>
      </c>
      <c r="C355" s="193">
        <v>12026728</v>
      </c>
      <c r="D355" s="338" t="s">
        <v>853</v>
      </c>
      <c r="E355" s="188" t="s">
        <v>39</v>
      </c>
      <c r="F355" s="144" t="s">
        <v>3</v>
      </c>
    </row>
    <row r="356" spans="1:6" s="327" customFormat="1" hidden="1">
      <c r="A356" s="338">
        <f t="shared" si="5"/>
        <v>354</v>
      </c>
      <c r="B356" s="338" t="s">
        <v>175</v>
      </c>
      <c r="C356" s="193">
        <v>12027401</v>
      </c>
      <c r="D356" s="338" t="s">
        <v>854</v>
      </c>
      <c r="E356" s="188" t="s">
        <v>39</v>
      </c>
      <c r="F356" s="144" t="s">
        <v>3</v>
      </c>
    </row>
    <row r="357" spans="1:6" s="327" customFormat="1" hidden="1">
      <c r="A357" s="338">
        <f t="shared" si="5"/>
        <v>355</v>
      </c>
      <c r="B357" s="338" t="s">
        <v>175</v>
      </c>
      <c r="C357" s="193">
        <v>12027402</v>
      </c>
      <c r="D357" s="338" t="s">
        <v>855</v>
      </c>
      <c r="E357" s="188" t="s">
        <v>39</v>
      </c>
      <c r="F357" s="144" t="s">
        <v>3</v>
      </c>
    </row>
    <row r="358" spans="1:6" s="327" customFormat="1" hidden="1">
      <c r="A358" s="338">
        <f t="shared" si="5"/>
        <v>356</v>
      </c>
      <c r="B358" s="338" t="s">
        <v>175</v>
      </c>
      <c r="C358" s="193">
        <v>12028405</v>
      </c>
      <c r="D358" s="338" t="s">
        <v>856</v>
      </c>
      <c r="E358" s="188" t="s">
        <v>39</v>
      </c>
      <c r="F358" s="144" t="s">
        <v>3</v>
      </c>
    </row>
    <row r="359" spans="1:6" s="327" customFormat="1" hidden="1">
      <c r="A359" s="338">
        <f t="shared" si="5"/>
        <v>357</v>
      </c>
      <c r="B359" s="338" t="s">
        <v>175</v>
      </c>
      <c r="C359" s="193">
        <v>12028406</v>
      </c>
      <c r="D359" s="338" t="s">
        <v>857</v>
      </c>
      <c r="E359" s="188" t="s">
        <v>39</v>
      </c>
      <c r="F359" s="144" t="s">
        <v>3</v>
      </c>
    </row>
    <row r="360" spans="1:6" s="327" customFormat="1" hidden="1">
      <c r="A360" s="338">
        <f t="shared" si="5"/>
        <v>358</v>
      </c>
      <c r="B360" s="338" t="s">
        <v>175</v>
      </c>
      <c r="C360" s="193">
        <v>12028407</v>
      </c>
      <c r="D360" s="338" t="s">
        <v>858</v>
      </c>
      <c r="E360" s="188" t="s">
        <v>39</v>
      </c>
      <c r="F360" s="144" t="s">
        <v>3</v>
      </c>
    </row>
    <row r="361" spans="1:6" s="327" customFormat="1" hidden="1">
      <c r="A361" s="338">
        <f t="shared" si="5"/>
        <v>359</v>
      </c>
      <c r="B361" s="338" t="s">
        <v>175</v>
      </c>
      <c r="C361" s="193">
        <v>12028415</v>
      </c>
      <c r="D361" s="338" t="s">
        <v>859</v>
      </c>
      <c r="E361" s="188" t="s">
        <v>39</v>
      </c>
      <c r="F361" s="144" t="s">
        <v>3</v>
      </c>
    </row>
    <row r="362" spans="1:6" s="327" customFormat="1" hidden="1">
      <c r="A362" s="338">
        <f t="shared" si="5"/>
        <v>360</v>
      </c>
      <c r="B362" s="338" t="s">
        <v>175</v>
      </c>
      <c r="C362" s="193">
        <v>12028416</v>
      </c>
      <c r="D362" s="338" t="s">
        <v>860</v>
      </c>
      <c r="E362" s="188" t="s">
        <v>39</v>
      </c>
      <c r="F362" s="144" t="s">
        <v>3</v>
      </c>
    </row>
    <row r="363" spans="1:6" s="327" customFormat="1" hidden="1">
      <c r="A363" s="338">
        <f t="shared" si="5"/>
        <v>361</v>
      </c>
      <c r="B363" s="338" t="s">
        <v>175</v>
      </c>
      <c r="C363" s="193">
        <v>12028667</v>
      </c>
      <c r="D363" s="338" t="s">
        <v>99</v>
      </c>
      <c r="E363" s="188" t="s">
        <v>39</v>
      </c>
      <c r="F363" s="144" t="s">
        <v>3</v>
      </c>
    </row>
    <row r="364" spans="1:6" s="327" customFormat="1" hidden="1">
      <c r="A364" s="338">
        <f t="shared" si="5"/>
        <v>362</v>
      </c>
      <c r="B364" s="338" t="s">
        <v>175</v>
      </c>
      <c r="C364" s="193">
        <v>12031133</v>
      </c>
      <c r="D364" s="338" t="s">
        <v>861</v>
      </c>
      <c r="E364" s="188" t="s">
        <v>39</v>
      </c>
      <c r="F364" s="144" t="s">
        <v>3</v>
      </c>
    </row>
    <row r="365" spans="1:6" s="327" customFormat="1" hidden="1">
      <c r="A365" s="338">
        <f t="shared" si="5"/>
        <v>363</v>
      </c>
      <c r="B365" s="338" t="s">
        <v>175</v>
      </c>
      <c r="C365" s="193">
        <v>12046081</v>
      </c>
      <c r="D365" s="338" t="s">
        <v>862</v>
      </c>
      <c r="E365" s="188" t="s">
        <v>39</v>
      </c>
      <c r="F365" s="144" t="s">
        <v>3</v>
      </c>
    </row>
    <row r="366" spans="1:6" s="327" customFormat="1" hidden="1">
      <c r="A366" s="338">
        <f t="shared" si="5"/>
        <v>364</v>
      </c>
      <c r="B366" s="338" t="s">
        <v>175</v>
      </c>
      <c r="C366" s="193">
        <v>12046854</v>
      </c>
      <c r="D366" s="338" t="s">
        <v>863</v>
      </c>
      <c r="E366" s="188" t="s">
        <v>39</v>
      </c>
      <c r="F366" s="144" t="s">
        <v>3</v>
      </c>
    </row>
    <row r="367" spans="1:6" s="327" customFormat="1" hidden="1">
      <c r="A367" s="338">
        <f t="shared" si="5"/>
        <v>365</v>
      </c>
      <c r="B367" s="338" t="s">
        <v>175</v>
      </c>
      <c r="C367" s="193">
        <v>12049745</v>
      </c>
      <c r="D367" s="439" t="s">
        <v>864</v>
      </c>
      <c r="E367" s="188" t="s">
        <v>39</v>
      </c>
      <c r="F367" s="144" t="s">
        <v>3</v>
      </c>
    </row>
    <row r="368" spans="1:6" s="327" customFormat="1" hidden="1">
      <c r="A368" s="338">
        <f t="shared" si="5"/>
        <v>366</v>
      </c>
      <c r="B368" s="338" t="s">
        <v>175</v>
      </c>
      <c r="C368" s="193">
        <v>12051681</v>
      </c>
      <c r="D368" s="191" t="s">
        <v>100</v>
      </c>
      <c r="E368" s="188" t="s">
        <v>39</v>
      </c>
      <c r="F368" s="144" t="s">
        <v>3</v>
      </c>
    </row>
    <row r="369" spans="1:6" s="327" customFormat="1" hidden="1">
      <c r="A369" s="338">
        <f t="shared" si="5"/>
        <v>367</v>
      </c>
      <c r="B369" s="338" t="s">
        <v>175</v>
      </c>
      <c r="C369" s="193">
        <v>12061158</v>
      </c>
      <c r="D369" s="338" t="s">
        <v>865</v>
      </c>
      <c r="E369" s="188" t="s">
        <v>39</v>
      </c>
      <c r="F369" s="144" t="s">
        <v>3</v>
      </c>
    </row>
    <row r="370" spans="1:6" s="327" customFormat="1" hidden="1">
      <c r="A370" s="338">
        <f t="shared" si="5"/>
        <v>368</v>
      </c>
      <c r="B370" s="338" t="s">
        <v>175</v>
      </c>
      <c r="C370" s="193">
        <v>12079856</v>
      </c>
      <c r="D370" s="338" t="s">
        <v>866</v>
      </c>
      <c r="E370" s="188" t="s">
        <v>39</v>
      </c>
      <c r="F370" s="144" t="s">
        <v>3</v>
      </c>
    </row>
    <row r="371" spans="1:6" s="327" customFormat="1" hidden="1">
      <c r="A371" s="338">
        <f t="shared" si="5"/>
        <v>369</v>
      </c>
      <c r="B371" s="338" t="s">
        <v>175</v>
      </c>
      <c r="C371" s="193">
        <v>12093325</v>
      </c>
      <c r="D371" s="338" t="s">
        <v>867</v>
      </c>
      <c r="E371" s="188" t="s">
        <v>39</v>
      </c>
      <c r="F371" s="144" t="s">
        <v>3</v>
      </c>
    </row>
    <row r="372" spans="1:6" customFormat="1" hidden="1">
      <c r="A372" s="338">
        <f t="shared" si="5"/>
        <v>370</v>
      </c>
      <c r="B372" s="338" t="s">
        <v>175</v>
      </c>
      <c r="C372" s="193">
        <v>12093326</v>
      </c>
      <c r="D372" s="338" t="s">
        <v>868</v>
      </c>
      <c r="E372" s="188" t="s">
        <v>39</v>
      </c>
      <c r="F372" s="144" t="s">
        <v>3</v>
      </c>
    </row>
    <row r="373" spans="1:6" customFormat="1" hidden="1">
      <c r="A373" s="338">
        <f t="shared" si="5"/>
        <v>371</v>
      </c>
      <c r="B373" s="338" t="s">
        <v>175</v>
      </c>
      <c r="C373" s="193">
        <v>12000759</v>
      </c>
      <c r="D373" s="439" t="s">
        <v>34</v>
      </c>
      <c r="E373" s="188" t="s">
        <v>35</v>
      </c>
      <c r="F373" s="144" t="s">
        <v>3</v>
      </c>
    </row>
    <row r="374" spans="1:6" customFormat="1" hidden="1">
      <c r="A374" s="338">
        <f t="shared" si="5"/>
        <v>372</v>
      </c>
      <c r="B374" s="338" t="s">
        <v>175</v>
      </c>
      <c r="C374" s="193">
        <v>12001033</v>
      </c>
      <c r="D374" s="191" t="s">
        <v>52</v>
      </c>
      <c r="E374" s="188" t="s">
        <v>35</v>
      </c>
      <c r="F374" s="144" t="s">
        <v>3</v>
      </c>
    </row>
    <row r="375" spans="1:6" customFormat="1" hidden="1">
      <c r="A375" s="338">
        <f t="shared" si="5"/>
        <v>373</v>
      </c>
      <c r="B375" s="338" t="s">
        <v>869</v>
      </c>
      <c r="C375" s="193">
        <v>12015764</v>
      </c>
      <c r="D375" s="439" t="s">
        <v>870</v>
      </c>
      <c r="E375" s="194" t="s">
        <v>871</v>
      </c>
      <c r="F375" s="144" t="s">
        <v>3</v>
      </c>
    </row>
    <row r="376" spans="1:6" customFormat="1" hidden="1">
      <c r="A376" s="338">
        <f t="shared" si="5"/>
        <v>374</v>
      </c>
      <c r="B376" s="338" t="s">
        <v>869</v>
      </c>
      <c r="C376" s="193">
        <v>13402277</v>
      </c>
      <c r="D376" s="191" t="s">
        <v>872</v>
      </c>
      <c r="E376" s="194" t="s">
        <v>871</v>
      </c>
      <c r="F376" s="144" t="s">
        <v>3</v>
      </c>
    </row>
    <row r="377" spans="1:6" customFormat="1" hidden="1">
      <c r="A377" s="338">
        <f t="shared" si="5"/>
        <v>375</v>
      </c>
      <c r="B377" s="338" t="s">
        <v>869</v>
      </c>
      <c r="C377" s="193">
        <v>13403226</v>
      </c>
      <c r="D377" s="191" t="s">
        <v>873</v>
      </c>
      <c r="E377" s="194" t="s">
        <v>871</v>
      </c>
      <c r="F377" s="144" t="s">
        <v>3</v>
      </c>
    </row>
    <row r="378" spans="1:6" customFormat="1" hidden="1">
      <c r="A378" s="338">
        <f t="shared" si="5"/>
        <v>376</v>
      </c>
      <c r="B378" s="338" t="s">
        <v>874</v>
      </c>
      <c r="C378" s="193">
        <v>12000585</v>
      </c>
      <c r="D378" s="338" t="s">
        <v>875</v>
      </c>
      <c r="E378" s="194" t="s">
        <v>874</v>
      </c>
      <c r="F378" s="144" t="s">
        <v>3</v>
      </c>
    </row>
    <row r="379" spans="1:6" customFormat="1" hidden="1">
      <c r="A379" s="338">
        <f t="shared" si="5"/>
        <v>377</v>
      </c>
      <c r="B379" s="338" t="s">
        <v>874</v>
      </c>
      <c r="C379" s="193">
        <v>12000586</v>
      </c>
      <c r="D379" s="338" t="s">
        <v>876</v>
      </c>
      <c r="E379" s="194" t="s">
        <v>874</v>
      </c>
      <c r="F379" s="144" t="s">
        <v>3</v>
      </c>
    </row>
    <row r="380" spans="1:6" customFormat="1" hidden="1">
      <c r="A380" s="338">
        <f t="shared" si="5"/>
        <v>378</v>
      </c>
      <c r="B380" s="338" t="s">
        <v>874</v>
      </c>
      <c r="C380" s="193">
        <v>12000587</v>
      </c>
      <c r="D380" s="338" t="s">
        <v>877</v>
      </c>
      <c r="E380" s="194" t="s">
        <v>874</v>
      </c>
      <c r="F380" s="144" t="s">
        <v>3</v>
      </c>
    </row>
    <row r="381" spans="1:6" customFormat="1" hidden="1">
      <c r="A381" s="338">
        <f t="shared" si="5"/>
        <v>379</v>
      </c>
      <c r="B381" s="338" t="s">
        <v>874</v>
      </c>
      <c r="C381" s="193">
        <v>12000588</v>
      </c>
      <c r="D381" s="338" t="s">
        <v>878</v>
      </c>
      <c r="E381" s="194" t="s">
        <v>874</v>
      </c>
      <c r="F381" s="144" t="s">
        <v>3</v>
      </c>
    </row>
    <row r="382" spans="1:6" customFormat="1" hidden="1">
      <c r="A382" s="338">
        <f t="shared" si="5"/>
        <v>380</v>
      </c>
      <c r="B382" s="338" t="s">
        <v>874</v>
      </c>
      <c r="C382" s="193">
        <v>12000589</v>
      </c>
      <c r="D382" s="338" t="s">
        <v>879</v>
      </c>
      <c r="E382" s="194" t="s">
        <v>874</v>
      </c>
      <c r="F382" s="144" t="s">
        <v>3</v>
      </c>
    </row>
    <row r="383" spans="1:6" customFormat="1" hidden="1">
      <c r="A383" s="338">
        <f t="shared" si="5"/>
        <v>381</v>
      </c>
      <c r="B383" s="338" t="s">
        <v>874</v>
      </c>
      <c r="C383" s="193">
        <v>12000590</v>
      </c>
      <c r="D383" s="338" t="s">
        <v>880</v>
      </c>
      <c r="E383" s="194" t="s">
        <v>874</v>
      </c>
      <c r="F383" s="144" t="s">
        <v>3</v>
      </c>
    </row>
    <row r="384" spans="1:6" customFormat="1" hidden="1">
      <c r="A384" s="338">
        <f t="shared" si="5"/>
        <v>382</v>
      </c>
      <c r="B384" s="338" t="s">
        <v>874</v>
      </c>
      <c r="C384" s="193">
        <v>12000591</v>
      </c>
      <c r="D384" s="338" t="s">
        <v>881</v>
      </c>
      <c r="E384" s="194" t="s">
        <v>874</v>
      </c>
      <c r="F384" s="144" t="s">
        <v>3</v>
      </c>
    </row>
    <row r="385" spans="1:6" customFormat="1" hidden="1">
      <c r="A385" s="338">
        <f t="shared" si="5"/>
        <v>383</v>
      </c>
      <c r="B385" s="338" t="s">
        <v>874</v>
      </c>
      <c r="C385" s="193">
        <v>12000593</v>
      </c>
      <c r="D385" s="338" t="s">
        <v>882</v>
      </c>
      <c r="E385" s="194" t="s">
        <v>874</v>
      </c>
      <c r="F385" s="144" t="s">
        <v>3</v>
      </c>
    </row>
    <row r="386" spans="1:6" customFormat="1" hidden="1">
      <c r="A386" s="338">
        <f t="shared" si="5"/>
        <v>384</v>
      </c>
      <c r="B386" s="338" t="s">
        <v>874</v>
      </c>
      <c r="C386" s="193">
        <v>12000594</v>
      </c>
      <c r="D386" s="338" t="s">
        <v>1449</v>
      </c>
      <c r="E386" s="194" t="s">
        <v>874</v>
      </c>
      <c r="F386" s="144" t="s">
        <v>3</v>
      </c>
    </row>
    <row r="387" spans="1:6" customFormat="1" hidden="1">
      <c r="A387" s="338">
        <f t="shared" si="5"/>
        <v>385</v>
      </c>
      <c r="B387" s="338" t="s">
        <v>874</v>
      </c>
      <c r="C387" s="193">
        <v>12000596</v>
      </c>
      <c r="D387" s="338" t="s">
        <v>1450</v>
      </c>
      <c r="E387" s="194" t="s">
        <v>874</v>
      </c>
      <c r="F387" s="144" t="s">
        <v>3</v>
      </c>
    </row>
    <row r="388" spans="1:6" customFormat="1" hidden="1">
      <c r="A388" s="338">
        <f t="shared" ref="A388:A451" si="6">A387+1</f>
        <v>386</v>
      </c>
      <c r="B388" s="338" t="s">
        <v>874</v>
      </c>
      <c r="C388" s="193">
        <v>12000597</v>
      </c>
      <c r="D388" s="338" t="s">
        <v>883</v>
      </c>
      <c r="E388" s="194" t="s">
        <v>874</v>
      </c>
      <c r="F388" s="144" t="s">
        <v>3</v>
      </c>
    </row>
    <row r="389" spans="1:6" customFormat="1" hidden="1">
      <c r="A389" s="338">
        <f t="shared" si="6"/>
        <v>387</v>
      </c>
      <c r="B389" s="338" t="s">
        <v>874</v>
      </c>
      <c r="C389" s="193">
        <v>12000600</v>
      </c>
      <c r="D389" s="338" t="s">
        <v>884</v>
      </c>
      <c r="E389" s="194" t="s">
        <v>874</v>
      </c>
      <c r="F389" s="144" t="s">
        <v>3</v>
      </c>
    </row>
    <row r="390" spans="1:6" customFormat="1" hidden="1">
      <c r="A390" s="338">
        <f t="shared" si="6"/>
        <v>388</v>
      </c>
      <c r="B390" s="338" t="s">
        <v>874</v>
      </c>
      <c r="C390" s="193">
        <v>12000601</v>
      </c>
      <c r="D390" s="338" t="s">
        <v>885</v>
      </c>
      <c r="E390" s="194" t="s">
        <v>874</v>
      </c>
      <c r="F390" s="144" t="s">
        <v>3</v>
      </c>
    </row>
    <row r="391" spans="1:6" customFormat="1" hidden="1">
      <c r="A391" s="338">
        <f t="shared" si="6"/>
        <v>389</v>
      </c>
      <c r="B391" s="338" t="s">
        <v>874</v>
      </c>
      <c r="C391" s="193">
        <v>12000605</v>
      </c>
      <c r="D391" s="338" t="s">
        <v>886</v>
      </c>
      <c r="E391" s="194" t="s">
        <v>874</v>
      </c>
      <c r="F391" s="144" t="s">
        <v>3</v>
      </c>
    </row>
    <row r="392" spans="1:6" customFormat="1" hidden="1">
      <c r="A392" s="338">
        <f t="shared" si="6"/>
        <v>390</v>
      </c>
      <c r="B392" s="338" t="s">
        <v>874</v>
      </c>
      <c r="C392" s="193">
        <v>12000607</v>
      </c>
      <c r="D392" s="338" t="s">
        <v>1451</v>
      </c>
      <c r="E392" s="194" t="s">
        <v>874</v>
      </c>
      <c r="F392" s="144" t="s">
        <v>3</v>
      </c>
    </row>
    <row r="393" spans="1:6" customFormat="1" hidden="1">
      <c r="A393" s="338">
        <f t="shared" si="6"/>
        <v>391</v>
      </c>
      <c r="B393" s="338" t="s">
        <v>874</v>
      </c>
      <c r="C393" s="193">
        <v>12000608</v>
      </c>
      <c r="D393" s="338" t="s">
        <v>887</v>
      </c>
      <c r="E393" s="194" t="s">
        <v>874</v>
      </c>
      <c r="F393" s="144" t="s">
        <v>3</v>
      </c>
    </row>
    <row r="394" spans="1:6" customFormat="1" hidden="1">
      <c r="A394" s="338">
        <f t="shared" si="6"/>
        <v>392</v>
      </c>
      <c r="B394" s="338" t="s">
        <v>874</v>
      </c>
      <c r="C394" s="193">
        <v>12000826</v>
      </c>
      <c r="D394" s="338" t="s">
        <v>888</v>
      </c>
      <c r="E394" s="194" t="s">
        <v>874</v>
      </c>
      <c r="F394" s="144" t="s">
        <v>3</v>
      </c>
    </row>
    <row r="395" spans="1:6" customFormat="1" hidden="1">
      <c r="A395" s="338">
        <f t="shared" si="6"/>
        <v>393</v>
      </c>
      <c r="B395" s="338" t="s">
        <v>874</v>
      </c>
      <c r="C395" s="193">
        <v>12000827</v>
      </c>
      <c r="D395" s="338" t="s">
        <v>889</v>
      </c>
      <c r="E395" s="194" t="s">
        <v>874</v>
      </c>
      <c r="F395" s="144" t="s">
        <v>3</v>
      </c>
    </row>
    <row r="396" spans="1:6" customFormat="1" hidden="1">
      <c r="A396" s="338">
        <f t="shared" si="6"/>
        <v>394</v>
      </c>
      <c r="B396" s="338" t="s">
        <v>874</v>
      </c>
      <c r="C396" s="193">
        <v>12000828</v>
      </c>
      <c r="D396" s="338" t="s">
        <v>890</v>
      </c>
      <c r="E396" s="194" t="s">
        <v>874</v>
      </c>
      <c r="F396" s="144" t="s">
        <v>3</v>
      </c>
    </row>
    <row r="397" spans="1:6" customFormat="1" hidden="1">
      <c r="A397" s="338">
        <f t="shared" si="6"/>
        <v>395</v>
      </c>
      <c r="B397" s="338" t="s">
        <v>874</v>
      </c>
      <c r="C397" s="193">
        <v>12000829</v>
      </c>
      <c r="D397" s="338" t="s">
        <v>1367</v>
      </c>
      <c r="E397" s="194" t="s">
        <v>874</v>
      </c>
      <c r="F397" s="144" t="s">
        <v>3</v>
      </c>
    </row>
    <row r="398" spans="1:6" customFormat="1" hidden="1">
      <c r="A398" s="338">
        <f t="shared" si="6"/>
        <v>396</v>
      </c>
      <c r="B398" s="338" t="s">
        <v>874</v>
      </c>
      <c r="C398" s="193">
        <v>12000831</v>
      </c>
      <c r="D398" s="338" t="s">
        <v>891</v>
      </c>
      <c r="E398" s="194" t="s">
        <v>874</v>
      </c>
      <c r="F398" s="144" t="s">
        <v>3</v>
      </c>
    </row>
    <row r="399" spans="1:6" customFormat="1" hidden="1">
      <c r="A399" s="338">
        <f t="shared" si="6"/>
        <v>397</v>
      </c>
      <c r="B399" s="338" t="s">
        <v>874</v>
      </c>
      <c r="C399" s="193">
        <v>12000832</v>
      </c>
      <c r="D399" s="338" t="s">
        <v>892</v>
      </c>
      <c r="E399" s="194" t="s">
        <v>874</v>
      </c>
      <c r="F399" s="144" t="s">
        <v>3</v>
      </c>
    </row>
    <row r="400" spans="1:6" customFormat="1" hidden="1">
      <c r="A400" s="338">
        <f t="shared" si="6"/>
        <v>398</v>
      </c>
      <c r="B400" s="338" t="s">
        <v>874</v>
      </c>
      <c r="C400" s="193">
        <v>12000833</v>
      </c>
      <c r="D400" s="338" t="s">
        <v>893</v>
      </c>
      <c r="E400" s="194" t="s">
        <v>874</v>
      </c>
      <c r="F400" s="144" t="s">
        <v>3</v>
      </c>
    </row>
    <row r="401" spans="1:6" customFormat="1" hidden="1">
      <c r="A401" s="338">
        <f t="shared" si="6"/>
        <v>399</v>
      </c>
      <c r="B401" s="338" t="s">
        <v>874</v>
      </c>
      <c r="C401" s="193">
        <v>12000834</v>
      </c>
      <c r="D401" s="338" t="s">
        <v>894</v>
      </c>
      <c r="E401" s="194" t="s">
        <v>874</v>
      </c>
      <c r="F401" s="144" t="s">
        <v>3</v>
      </c>
    </row>
    <row r="402" spans="1:6" customFormat="1" hidden="1">
      <c r="A402" s="338">
        <f t="shared" si="6"/>
        <v>400</v>
      </c>
      <c r="B402" s="338" t="s">
        <v>874</v>
      </c>
      <c r="C402" s="193">
        <v>12000835</v>
      </c>
      <c r="D402" s="338" t="s">
        <v>895</v>
      </c>
      <c r="E402" s="194" t="s">
        <v>874</v>
      </c>
      <c r="F402" s="144" t="s">
        <v>3</v>
      </c>
    </row>
    <row r="403" spans="1:6" customFormat="1" hidden="1">
      <c r="A403" s="338">
        <f t="shared" si="6"/>
        <v>401</v>
      </c>
      <c r="B403" s="338" t="s">
        <v>874</v>
      </c>
      <c r="C403" s="193">
        <v>12000836</v>
      </c>
      <c r="D403" s="338" t="s">
        <v>896</v>
      </c>
      <c r="E403" s="194" t="s">
        <v>874</v>
      </c>
      <c r="F403" s="144" t="s">
        <v>3</v>
      </c>
    </row>
    <row r="404" spans="1:6" customFormat="1" hidden="1">
      <c r="A404" s="338">
        <f t="shared" si="6"/>
        <v>402</v>
      </c>
      <c r="B404" s="338" t="s">
        <v>874</v>
      </c>
      <c r="C404" s="193">
        <v>12000837</v>
      </c>
      <c r="D404" s="338" t="s">
        <v>1368</v>
      </c>
      <c r="E404" s="194" t="s">
        <v>874</v>
      </c>
      <c r="F404" s="144" t="s">
        <v>3</v>
      </c>
    </row>
    <row r="405" spans="1:6" customFormat="1" hidden="1">
      <c r="A405" s="338">
        <f t="shared" si="6"/>
        <v>403</v>
      </c>
      <c r="B405" s="338" t="s">
        <v>874</v>
      </c>
      <c r="C405" s="193">
        <v>12000838</v>
      </c>
      <c r="D405" s="338" t="s">
        <v>897</v>
      </c>
      <c r="E405" s="194" t="s">
        <v>874</v>
      </c>
      <c r="F405" s="144" t="s">
        <v>3</v>
      </c>
    </row>
    <row r="406" spans="1:6" customFormat="1" hidden="1">
      <c r="A406" s="338">
        <f t="shared" si="6"/>
        <v>404</v>
      </c>
      <c r="B406" s="338" t="s">
        <v>874</v>
      </c>
      <c r="C406" s="193">
        <v>12000839</v>
      </c>
      <c r="D406" s="338" t="s">
        <v>1452</v>
      </c>
      <c r="E406" s="194" t="s">
        <v>874</v>
      </c>
      <c r="F406" s="144" t="s">
        <v>3</v>
      </c>
    </row>
    <row r="407" spans="1:6" customFormat="1" hidden="1">
      <c r="A407" s="338">
        <f t="shared" si="6"/>
        <v>405</v>
      </c>
      <c r="B407" s="338" t="s">
        <v>874</v>
      </c>
      <c r="C407" s="193">
        <v>12000840</v>
      </c>
      <c r="D407" s="338" t="s">
        <v>1453</v>
      </c>
      <c r="E407" s="194" t="s">
        <v>874</v>
      </c>
      <c r="F407" s="144" t="s">
        <v>3</v>
      </c>
    </row>
    <row r="408" spans="1:6" customFormat="1" hidden="1">
      <c r="A408" s="338">
        <f t="shared" si="6"/>
        <v>406</v>
      </c>
      <c r="B408" s="338" t="s">
        <v>874</v>
      </c>
      <c r="C408" s="193">
        <v>12000841</v>
      </c>
      <c r="D408" s="338" t="s">
        <v>1454</v>
      </c>
      <c r="E408" s="194" t="s">
        <v>874</v>
      </c>
      <c r="F408" s="144" t="s">
        <v>3</v>
      </c>
    </row>
    <row r="409" spans="1:6" customFormat="1" hidden="1">
      <c r="A409" s="338">
        <f t="shared" si="6"/>
        <v>407</v>
      </c>
      <c r="B409" s="338" t="s">
        <v>874</v>
      </c>
      <c r="C409" s="193">
        <v>12000842</v>
      </c>
      <c r="D409" s="338" t="s">
        <v>1455</v>
      </c>
      <c r="E409" s="194" t="s">
        <v>874</v>
      </c>
      <c r="F409" s="144" t="s">
        <v>3</v>
      </c>
    </row>
    <row r="410" spans="1:6" customFormat="1" hidden="1">
      <c r="A410" s="338">
        <f t="shared" si="6"/>
        <v>408</v>
      </c>
      <c r="B410" s="338" t="s">
        <v>874</v>
      </c>
      <c r="C410" s="193">
        <v>12000843</v>
      </c>
      <c r="D410" s="338" t="s">
        <v>1369</v>
      </c>
      <c r="E410" s="194" t="s">
        <v>874</v>
      </c>
      <c r="F410" s="144" t="s">
        <v>3</v>
      </c>
    </row>
    <row r="411" spans="1:6" customFormat="1" hidden="1">
      <c r="A411" s="338">
        <f t="shared" si="6"/>
        <v>409</v>
      </c>
      <c r="B411" s="338" t="s">
        <v>874</v>
      </c>
      <c r="C411" s="193">
        <v>12000844</v>
      </c>
      <c r="D411" s="338" t="s">
        <v>1456</v>
      </c>
      <c r="E411" s="194" t="s">
        <v>874</v>
      </c>
      <c r="F411" s="144" t="s">
        <v>3</v>
      </c>
    </row>
    <row r="412" spans="1:6" customFormat="1" hidden="1">
      <c r="A412" s="338">
        <f t="shared" si="6"/>
        <v>410</v>
      </c>
      <c r="B412" s="338" t="s">
        <v>874</v>
      </c>
      <c r="C412" s="193">
        <v>12000845</v>
      </c>
      <c r="D412" s="338" t="s">
        <v>1457</v>
      </c>
      <c r="E412" s="194" t="s">
        <v>874</v>
      </c>
      <c r="F412" s="144" t="s">
        <v>3</v>
      </c>
    </row>
    <row r="413" spans="1:6" customFormat="1" hidden="1">
      <c r="A413" s="338">
        <f t="shared" si="6"/>
        <v>411</v>
      </c>
      <c r="B413" s="338" t="s">
        <v>874</v>
      </c>
      <c r="C413" s="193">
        <v>12000846</v>
      </c>
      <c r="D413" s="338" t="s">
        <v>1458</v>
      </c>
      <c r="E413" s="194" t="s">
        <v>874</v>
      </c>
      <c r="F413" s="144" t="s">
        <v>3</v>
      </c>
    </row>
    <row r="414" spans="1:6" customFormat="1" hidden="1">
      <c r="A414" s="338">
        <f t="shared" si="6"/>
        <v>412</v>
      </c>
      <c r="B414" s="338" t="s">
        <v>874</v>
      </c>
      <c r="C414" s="193">
        <v>12000847</v>
      </c>
      <c r="D414" s="338" t="s">
        <v>1459</v>
      </c>
      <c r="E414" s="194" t="s">
        <v>874</v>
      </c>
      <c r="F414" s="144" t="s">
        <v>3</v>
      </c>
    </row>
    <row r="415" spans="1:6" customFormat="1" hidden="1">
      <c r="A415" s="338">
        <f t="shared" si="6"/>
        <v>413</v>
      </c>
      <c r="B415" s="338" t="s">
        <v>874</v>
      </c>
      <c r="C415" s="193">
        <v>12000848</v>
      </c>
      <c r="D415" s="338" t="s">
        <v>898</v>
      </c>
      <c r="E415" s="194" t="s">
        <v>874</v>
      </c>
      <c r="F415" s="144" t="s">
        <v>3</v>
      </c>
    </row>
    <row r="416" spans="1:6" customFormat="1" hidden="1">
      <c r="A416" s="338">
        <f t="shared" si="6"/>
        <v>414</v>
      </c>
      <c r="B416" s="338" t="s">
        <v>874</v>
      </c>
      <c r="C416" s="193">
        <v>12000849</v>
      </c>
      <c r="D416" s="338" t="s">
        <v>1460</v>
      </c>
      <c r="E416" s="194" t="s">
        <v>874</v>
      </c>
      <c r="F416" s="144" t="s">
        <v>3</v>
      </c>
    </row>
    <row r="417" spans="1:6" customFormat="1" hidden="1">
      <c r="A417" s="338">
        <f t="shared" si="6"/>
        <v>415</v>
      </c>
      <c r="B417" s="338" t="s">
        <v>874</v>
      </c>
      <c r="C417" s="193">
        <v>12000850</v>
      </c>
      <c r="D417" s="338" t="s">
        <v>1461</v>
      </c>
      <c r="E417" s="194" t="s">
        <v>874</v>
      </c>
      <c r="F417" s="144" t="s">
        <v>3</v>
      </c>
    </row>
    <row r="418" spans="1:6" customFormat="1" hidden="1">
      <c r="A418" s="338">
        <f t="shared" si="6"/>
        <v>416</v>
      </c>
      <c r="B418" s="338" t="s">
        <v>874</v>
      </c>
      <c r="C418" s="193">
        <v>12001083</v>
      </c>
      <c r="D418" s="338" t="s">
        <v>1462</v>
      </c>
      <c r="E418" s="194" t="s">
        <v>874</v>
      </c>
      <c r="F418" s="144" t="s">
        <v>3</v>
      </c>
    </row>
    <row r="419" spans="1:6" customFormat="1" hidden="1">
      <c r="A419" s="338">
        <f t="shared" si="6"/>
        <v>417</v>
      </c>
      <c r="B419" s="338" t="s">
        <v>874</v>
      </c>
      <c r="C419" s="193">
        <v>12001084</v>
      </c>
      <c r="D419" s="338" t="s">
        <v>899</v>
      </c>
      <c r="E419" s="194" t="s">
        <v>874</v>
      </c>
      <c r="F419" s="144" t="s">
        <v>3</v>
      </c>
    </row>
    <row r="420" spans="1:6" customFormat="1" hidden="1">
      <c r="A420" s="338">
        <f t="shared" si="6"/>
        <v>418</v>
      </c>
      <c r="B420" s="338" t="s">
        <v>874</v>
      </c>
      <c r="C420" s="193">
        <v>12001085</v>
      </c>
      <c r="D420" s="338" t="s">
        <v>900</v>
      </c>
      <c r="E420" s="194" t="s">
        <v>874</v>
      </c>
      <c r="F420" s="144" t="s">
        <v>3</v>
      </c>
    </row>
    <row r="421" spans="1:6" customFormat="1" hidden="1">
      <c r="A421" s="338">
        <f t="shared" si="6"/>
        <v>419</v>
      </c>
      <c r="B421" s="338" t="s">
        <v>874</v>
      </c>
      <c r="C421" s="193">
        <v>12001086</v>
      </c>
      <c r="D421" s="338" t="s">
        <v>1463</v>
      </c>
      <c r="E421" s="194" t="s">
        <v>874</v>
      </c>
      <c r="F421" s="144" t="s">
        <v>3</v>
      </c>
    </row>
    <row r="422" spans="1:6" customFormat="1" hidden="1">
      <c r="A422" s="338">
        <f t="shared" si="6"/>
        <v>420</v>
      </c>
      <c r="B422" s="338" t="s">
        <v>874</v>
      </c>
      <c r="C422" s="193">
        <v>12001087</v>
      </c>
      <c r="D422" s="338" t="s">
        <v>901</v>
      </c>
      <c r="E422" s="194" t="s">
        <v>874</v>
      </c>
      <c r="F422" s="144" t="s">
        <v>3</v>
      </c>
    </row>
    <row r="423" spans="1:6" customFormat="1" hidden="1">
      <c r="A423" s="338">
        <f t="shared" si="6"/>
        <v>421</v>
      </c>
      <c r="B423" s="338" t="s">
        <v>874</v>
      </c>
      <c r="C423" s="193">
        <v>12001088</v>
      </c>
      <c r="D423" s="338" t="s">
        <v>902</v>
      </c>
      <c r="E423" s="194" t="s">
        <v>874</v>
      </c>
      <c r="F423" s="144" t="s">
        <v>3</v>
      </c>
    </row>
    <row r="424" spans="1:6" customFormat="1" hidden="1">
      <c r="A424" s="338">
        <f t="shared" si="6"/>
        <v>422</v>
      </c>
      <c r="B424" s="338" t="s">
        <v>874</v>
      </c>
      <c r="C424" s="193">
        <v>12001089</v>
      </c>
      <c r="D424" s="338" t="s">
        <v>1464</v>
      </c>
      <c r="E424" s="194" t="s">
        <v>874</v>
      </c>
      <c r="F424" s="144" t="s">
        <v>3</v>
      </c>
    </row>
    <row r="425" spans="1:6" customFormat="1" hidden="1">
      <c r="A425" s="338">
        <f t="shared" si="6"/>
        <v>423</v>
      </c>
      <c r="B425" s="338" t="s">
        <v>874</v>
      </c>
      <c r="C425" s="193">
        <v>12001090</v>
      </c>
      <c r="D425" s="338" t="s">
        <v>1465</v>
      </c>
      <c r="E425" s="194" t="s">
        <v>874</v>
      </c>
      <c r="F425" s="144" t="s">
        <v>3</v>
      </c>
    </row>
    <row r="426" spans="1:6" customFormat="1" hidden="1">
      <c r="A426" s="338">
        <f t="shared" si="6"/>
        <v>424</v>
      </c>
      <c r="B426" s="338" t="s">
        <v>874</v>
      </c>
      <c r="C426" s="193">
        <v>12001091</v>
      </c>
      <c r="D426" s="338" t="s">
        <v>903</v>
      </c>
      <c r="E426" s="194" t="s">
        <v>874</v>
      </c>
      <c r="F426" s="144" t="s">
        <v>3</v>
      </c>
    </row>
    <row r="427" spans="1:6" customFormat="1" hidden="1">
      <c r="A427" s="338">
        <f t="shared" si="6"/>
        <v>425</v>
      </c>
      <c r="B427" s="338" t="s">
        <v>874</v>
      </c>
      <c r="C427" s="193">
        <v>12001092</v>
      </c>
      <c r="D427" s="338" t="s">
        <v>904</v>
      </c>
      <c r="E427" s="194" t="s">
        <v>874</v>
      </c>
      <c r="F427" s="144" t="s">
        <v>3</v>
      </c>
    </row>
    <row r="428" spans="1:6" customFormat="1" hidden="1">
      <c r="A428" s="338">
        <f t="shared" si="6"/>
        <v>426</v>
      </c>
      <c r="B428" s="338" t="s">
        <v>874</v>
      </c>
      <c r="C428" s="193">
        <v>12001093</v>
      </c>
      <c r="D428" s="338" t="s">
        <v>905</v>
      </c>
      <c r="E428" s="194" t="s">
        <v>874</v>
      </c>
      <c r="F428" s="144" t="s">
        <v>3</v>
      </c>
    </row>
    <row r="429" spans="1:6" customFormat="1" hidden="1">
      <c r="A429" s="338">
        <f t="shared" si="6"/>
        <v>427</v>
      </c>
      <c r="B429" s="338" t="s">
        <v>874</v>
      </c>
      <c r="C429" s="193">
        <v>12001094</v>
      </c>
      <c r="D429" s="338" t="s">
        <v>906</v>
      </c>
      <c r="E429" s="194" t="s">
        <v>874</v>
      </c>
      <c r="F429" s="144" t="s">
        <v>3</v>
      </c>
    </row>
    <row r="430" spans="1:6" customFormat="1" hidden="1">
      <c r="A430" s="338">
        <f t="shared" si="6"/>
        <v>428</v>
      </c>
      <c r="B430" s="338" t="s">
        <v>874</v>
      </c>
      <c r="C430" s="193">
        <v>12001095</v>
      </c>
      <c r="D430" s="338" t="s">
        <v>907</v>
      </c>
      <c r="E430" s="194" t="s">
        <v>874</v>
      </c>
      <c r="F430" s="144" t="s">
        <v>3</v>
      </c>
    </row>
    <row r="431" spans="1:6" customFormat="1" hidden="1">
      <c r="A431" s="338">
        <f t="shared" si="6"/>
        <v>429</v>
      </c>
      <c r="B431" s="338" t="s">
        <v>874</v>
      </c>
      <c r="C431" s="193">
        <v>12001096</v>
      </c>
      <c r="D431" s="338" t="s">
        <v>1466</v>
      </c>
      <c r="E431" s="194" t="s">
        <v>874</v>
      </c>
      <c r="F431" s="144" t="s">
        <v>3</v>
      </c>
    </row>
    <row r="432" spans="1:6" customFormat="1" hidden="1">
      <c r="A432" s="338">
        <f t="shared" si="6"/>
        <v>430</v>
      </c>
      <c r="B432" s="338" t="s">
        <v>874</v>
      </c>
      <c r="C432" s="193">
        <v>12001097</v>
      </c>
      <c r="D432" s="338" t="s">
        <v>908</v>
      </c>
      <c r="E432" s="194" t="s">
        <v>874</v>
      </c>
      <c r="F432" s="144" t="s">
        <v>3</v>
      </c>
    </row>
    <row r="433" spans="1:6" customFormat="1" hidden="1">
      <c r="A433" s="338">
        <f t="shared" si="6"/>
        <v>431</v>
      </c>
      <c r="B433" s="338" t="s">
        <v>874</v>
      </c>
      <c r="C433" s="193">
        <v>12001098</v>
      </c>
      <c r="D433" s="338" t="s">
        <v>909</v>
      </c>
      <c r="E433" s="194" t="s">
        <v>874</v>
      </c>
      <c r="F433" s="144" t="s">
        <v>3</v>
      </c>
    </row>
    <row r="434" spans="1:6" customFormat="1" hidden="1">
      <c r="A434" s="338">
        <f t="shared" si="6"/>
        <v>432</v>
      </c>
      <c r="B434" s="338" t="s">
        <v>874</v>
      </c>
      <c r="C434" s="193">
        <v>12001099</v>
      </c>
      <c r="D434" s="338" t="s">
        <v>1467</v>
      </c>
      <c r="E434" s="194" t="s">
        <v>874</v>
      </c>
      <c r="F434" s="144" t="s">
        <v>3</v>
      </c>
    </row>
    <row r="435" spans="1:6" customFormat="1" hidden="1">
      <c r="A435" s="338">
        <f t="shared" si="6"/>
        <v>433</v>
      </c>
      <c r="B435" s="338" t="s">
        <v>874</v>
      </c>
      <c r="C435" s="193">
        <v>12001100</v>
      </c>
      <c r="D435" s="338" t="s">
        <v>1468</v>
      </c>
      <c r="E435" s="194" t="s">
        <v>874</v>
      </c>
      <c r="F435" s="144" t="s">
        <v>3</v>
      </c>
    </row>
    <row r="436" spans="1:6" customFormat="1" hidden="1">
      <c r="A436" s="338">
        <f t="shared" si="6"/>
        <v>434</v>
      </c>
      <c r="B436" s="338" t="s">
        <v>874</v>
      </c>
      <c r="C436" s="193">
        <v>12001101</v>
      </c>
      <c r="D436" s="338" t="s">
        <v>910</v>
      </c>
      <c r="E436" s="194" t="s">
        <v>874</v>
      </c>
      <c r="F436" s="144" t="s">
        <v>3</v>
      </c>
    </row>
    <row r="437" spans="1:6" customFormat="1" hidden="1">
      <c r="A437" s="338">
        <f t="shared" si="6"/>
        <v>435</v>
      </c>
      <c r="B437" s="338" t="s">
        <v>874</v>
      </c>
      <c r="C437" s="193">
        <v>12001102</v>
      </c>
      <c r="D437" s="338" t="s">
        <v>1469</v>
      </c>
      <c r="E437" s="194" t="s">
        <v>874</v>
      </c>
      <c r="F437" s="144" t="s">
        <v>3</v>
      </c>
    </row>
    <row r="438" spans="1:6" customFormat="1" hidden="1">
      <c r="A438" s="338">
        <f t="shared" si="6"/>
        <v>436</v>
      </c>
      <c r="B438" s="338" t="s">
        <v>874</v>
      </c>
      <c r="C438" s="193">
        <v>12001103</v>
      </c>
      <c r="D438" s="338" t="s">
        <v>911</v>
      </c>
      <c r="E438" s="194" t="s">
        <v>874</v>
      </c>
      <c r="F438" s="144" t="s">
        <v>3</v>
      </c>
    </row>
    <row r="439" spans="1:6" customFormat="1" hidden="1">
      <c r="A439" s="338">
        <f t="shared" si="6"/>
        <v>437</v>
      </c>
      <c r="B439" s="338" t="s">
        <v>874</v>
      </c>
      <c r="C439" s="193">
        <v>12001104</v>
      </c>
      <c r="D439" s="338" t="s">
        <v>912</v>
      </c>
      <c r="E439" s="194" t="s">
        <v>874</v>
      </c>
      <c r="F439" s="144" t="s">
        <v>3</v>
      </c>
    </row>
    <row r="440" spans="1:6" customFormat="1" hidden="1">
      <c r="A440" s="338">
        <f t="shared" si="6"/>
        <v>438</v>
      </c>
      <c r="B440" s="338" t="s">
        <v>874</v>
      </c>
      <c r="C440" s="193">
        <v>12001105</v>
      </c>
      <c r="D440" s="338" t="s">
        <v>913</v>
      </c>
      <c r="E440" s="194" t="s">
        <v>874</v>
      </c>
      <c r="F440" s="144" t="s">
        <v>3</v>
      </c>
    </row>
    <row r="441" spans="1:6" customFormat="1" hidden="1">
      <c r="A441" s="338">
        <f t="shared" si="6"/>
        <v>439</v>
      </c>
      <c r="B441" s="338" t="s">
        <v>874</v>
      </c>
      <c r="C441" s="193">
        <v>12001106</v>
      </c>
      <c r="D441" s="338" t="s">
        <v>914</v>
      </c>
      <c r="E441" s="194" t="s">
        <v>874</v>
      </c>
      <c r="F441" s="144" t="s">
        <v>3</v>
      </c>
    </row>
    <row r="442" spans="1:6" customFormat="1" hidden="1">
      <c r="A442" s="338">
        <f t="shared" si="6"/>
        <v>440</v>
      </c>
      <c r="B442" s="338" t="s">
        <v>874</v>
      </c>
      <c r="C442" s="193">
        <v>12001107</v>
      </c>
      <c r="D442" s="338" t="s">
        <v>915</v>
      </c>
      <c r="E442" s="194" t="s">
        <v>874</v>
      </c>
      <c r="F442" s="144" t="s">
        <v>3</v>
      </c>
    </row>
    <row r="443" spans="1:6" customFormat="1" hidden="1">
      <c r="A443" s="338">
        <f t="shared" si="6"/>
        <v>441</v>
      </c>
      <c r="B443" s="338" t="s">
        <v>874</v>
      </c>
      <c r="C443" s="193">
        <v>12001108</v>
      </c>
      <c r="D443" s="338" t="s">
        <v>916</v>
      </c>
      <c r="E443" s="194" t="s">
        <v>874</v>
      </c>
      <c r="F443" s="144" t="s">
        <v>3</v>
      </c>
    </row>
    <row r="444" spans="1:6" customFormat="1" hidden="1">
      <c r="A444" s="338">
        <f t="shared" si="6"/>
        <v>442</v>
      </c>
      <c r="B444" s="338" t="s">
        <v>874</v>
      </c>
      <c r="C444" s="193">
        <v>12001109</v>
      </c>
      <c r="D444" s="338" t="s">
        <v>917</v>
      </c>
      <c r="E444" s="194" t="s">
        <v>874</v>
      </c>
      <c r="F444" s="144" t="s">
        <v>3</v>
      </c>
    </row>
    <row r="445" spans="1:6" customFormat="1" hidden="1">
      <c r="A445" s="338">
        <f t="shared" si="6"/>
        <v>443</v>
      </c>
      <c r="B445" s="338" t="s">
        <v>874</v>
      </c>
      <c r="C445" s="193">
        <v>12001111</v>
      </c>
      <c r="D445" s="338" t="s">
        <v>1470</v>
      </c>
      <c r="E445" s="194" t="s">
        <v>874</v>
      </c>
      <c r="F445" s="144" t="s">
        <v>3</v>
      </c>
    </row>
    <row r="446" spans="1:6" customFormat="1" hidden="1">
      <c r="A446" s="338">
        <f t="shared" si="6"/>
        <v>444</v>
      </c>
      <c r="B446" s="338" t="s">
        <v>874</v>
      </c>
      <c r="C446" s="193">
        <v>12001112</v>
      </c>
      <c r="D446" s="338" t="s">
        <v>918</v>
      </c>
      <c r="E446" s="194" t="s">
        <v>874</v>
      </c>
      <c r="F446" s="144" t="s">
        <v>3</v>
      </c>
    </row>
    <row r="447" spans="1:6" customFormat="1" hidden="1">
      <c r="A447" s="338">
        <f t="shared" si="6"/>
        <v>445</v>
      </c>
      <c r="B447" s="338" t="s">
        <v>874</v>
      </c>
      <c r="C447" s="193">
        <v>12001113</v>
      </c>
      <c r="D447" s="338" t="s">
        <v>919</v>
      </c>
      <c r="E447" s="194" t="s">
        <v>874</v>
      </c>
      <c r="F447" s="144" t="s">
        <v>3</v>
      </c>
    </row>
    <row r="448" spans="1:6" customFormat="1" hidden="1">
      <c r="A448" s="338">
        <f t="shared" si="6"/>
        <v>446</v>
      </c>
      <c r="B448" s="338" t="s">
        <v>874</v>
      </c>
      <c r="C448" s="193">
        <v>12001114</v>
      </c>
      <c r="D448" s="338" t="s">
        <v>920</v>
      </c>
      <c r="E448" s="194" t="s">
        <v>874</v>
      </c>
      <c r="F448" s="144" t="s">
        <v>3</v>
      </c>
    </row>
    <row r="449" spans="1:6" customFormat="1" hidden="1">
      <c r="A449" s="338">
        <f t="shared" si="6"/>
        <v>447</v>
      </c>
      <c r="B449" s="338" t="s">
        <v>874</v>
      </c>
      <c r="C449" s="193">
        <v>12001115</v>
      </c>
      <c r="D449" s="338" t="s">
        <v>921</v>
      </c>
      <c r="E449" s="194" t="s">
        <v>874</v>
      </c>
      <c r="F449" s="144" t="s">
        <v>3</v>
      </c>
    </row>
    <row r="450" spans="1:6" customFormat="1" hidden="1">
      <c r="A450" s="338">
        <f t="shared" si="6"/>
        <v>448</v>
      </c>
      <c r="B450" s="338" t="s">
        <v>874</v>
      </c>
      <c r="C450" s="193">
        <v>12001116</v>
      </c>
      <c r="D450" s="338" t="s">
        <v>922</v>
      </c>
      <c r="E450" s="194" t="s">
        <v>874</v>
      </c>
      <c r="F450" s="144" t="s">
        <v>3</v>
      </c>
    </row>
    <row r="451" spans="1:6" customFormat="1" hidden="1">
      <c r="A451" s="338">
        <f t="shared" si="6"/>
        <v>449</v>
      </c>
      <c r="B451" s="338" t="s">
        <v>874</v>
      </c>
      <c r="C451" s="193">
        <v>12001117</v>
      </c>
      <c r="D451" s="338" t="s">
        <v>923</v>
      </c>
      <c r="E451" s="194" t="s">
        <v>874</v>
      </c>
      <c r="F451" s="144" t="s">
        <v>3</v>
      </c>
    </row>
    <row r="452" spans="1:6" customFormat="1" hidden="1">
      <c r="A452" s="338">
        <f t="shared" ref="A452:A515" si="7">A451+1</f>
        <v>450</v>
      </c>
      <c r="B452" s="338" t="s">
        <v>874</v>
      </c>
      <c r="C452" s="193">
        <v>12001118</v>
      </c>
      <c r="D452" s="338" t="s">
        <v>924</v>
      </c>
      <c r="E452" s="194" t="s">
        <v>874</v>
      </c>
      <c r="F452" s="144" t="s">
        <v>3</v>
      </c>
    </row>
    <row r="453" spans="1:6" customFormat="1" hidden="1">
      <c r="A453" s="338">
        <f t="shared" si="7"/>
        <v>451</v>
      </c>
      <c r="B453" s="338" t="s">
        <v>874</v>
      </c>
      <c r="C453" s="193">
        <v>12001119</v>
      </c>
      <c r="D453" s="338" t="s">
        <v>925</v>
      </c>
      <c r="E453" s="194" t="s">
        <v>874</v>
      </c>
      <c r="F453" s="144" t="s">
        <v>3</v>
      </c>
    </row>
    <row r="454" spans="1:6" customFormat="1" hidden="1">
      <c r="A454" s="338">
        <f t="shared" si="7"/>
        <v>452</v>
      </c>
      <c r="B454" s="338" t="s">
        <v>874</v>
      </c>
      <c r="C454" s="193">
        <v>12001120</v>
      </c>
      <c r="D454" s="338" t="s">
        <v>926</v>
      </c>
      <c r="E454" s="194" t="s">
        <v>874</v>
      </c>
      <c r="F454" s="144" t="s">
        <v>3</v>
      </c>
    </row>
    <row r="455" spans="1:6" customFormat="1" hidden="1">
      <c r="A455" s="338">
        <f t="shared" si="7"/>
        <v>453</v>
      </c>
      <c r="B455" s="338" t="s">
        <v>874</v>
      </c>
      <c r="C455" s="193">
        <v>12001121</v>
      </c>
      <c r="D455" s="338" t="s">
        <v>927</v>
      </c>
      <c r="E455" s="194" t="s">
        <v>874</v>
      </c>
      <c r="F455" s="144" t="s">
        <v>3</v>
      </c>
    </row>
    <row r="456" spans="1:6" customFormat="1" hidden="1">
      <c r="A456" s="338">
        <f t="shared" si="7"/>
        <v>454</v>
      </c>
      <c r="B456" s="338" t="s">
        <v>874</v>
      </c>
      <c r="C456" s="193">
        <v>12001122</v>
      </c>
      <c r="D456" s="338" t="s">
        <v>928</v>
      </c>
      <c r="E456" s="194" t="s">
        <v>874</v>
      </c>
      <c r="F456" s="144" t="s">
        <v>3</v>
      </c>
    </row>
    <row r="457" spans="1:6" customFormat="1" hidden="1">
      <c r="A457" s="338">
        <f t="shared" si="7"/>
        <v>455</v>
      </c>
      <c r="B457" s="338" t="s">
        <v>874</v>
      </c>
      <c r="C457" s="193">
        <v>12001123</v>
      </c>
      <c r="D457" s="338" t="s">
        <v>929</v>
      </c>
      <c r="E457" s="194" t="s">
        <v>874</v>
      </c>
      <c r="F457" s="144" t="s">
        <v>3</v>
      </c>
    </row>
    <row r="458" spans="1:6" customFormat="1" hidden="1">
      <c r="A458" s="338">
        <f t="shared" si="7"/>
        <v>456</v>
      </c>
      <c r="B458" s="338" t="s">
        <v>874</v>
      </c>
      <c r="C458" s="193">
        <v>12001124</v>
      </c>
      <c r="D458" s="338" t="s">
        <v>930</v>
      </c>
      <c r="E458" s="194" t="s">
        <v>874</v>
      </c>
      <c r="F458" s="144" t="s">
        <v>3</v>
      </c>
    </row>
    <row r="459" spans="1:6" customFormat="1" hidden="1">
      <c r="A459" s="338">
        <f t="shared" si="7"/>
        <v>457</v>
      </c>
      <c r="B459" s="338" t="s">
        <v>874</v>
      </c>
      <c r="C459" s="193">
        <v>12001125</v>
      </c>
      <c r="D459" s="338" t="s">
        <v>931</v>
      </c>
      <c r="E459" s="194" t="s">
        <v>874</v>
      </c>
      <c r="F459" s="144" t="s">
        <v>3</v>
      </c>
    </row>
    <row r="460" spans="1:6" customFormat="1" hidden="1">
      <c r="A460" s="338">
        <f t="shared" si="7"/>
        <v>458</v>
      </c>
      <c r="B460" s="338" t="s">
        <v>874</v>
      </c>
      <c r="C460" s="193">
        <v>12001126</v>
      </c>
      <c r="D460" s="338" t="s">
        <v>932</v>
      </c>
      <c r="E460" s="194" t="s">
        <v>874</v>
      </c>
      <c r="F460" s="144" t="s">
        <v>3</v>
      </c>
    </row>
    <row r="461" spans="1:6" customFormat="1" hidden="1">
      <c r="A461" s="338">
        <f t="shared" si="7"/>
        <v>459</v>
      </c>
      <c r="B461" s="338" t="s">
        <v>874</v>
      </c>
      <c r="C461" s="193">
        <v>12001127</v>
      </c>
      <c r="D461" s="338" t="s">
        <v>1471</v>
      </c>
      <c r="E461" s="194" t="s">
        <v>874</v>
      </c>
      <c r="F461" s="144" t="s">
        <v>3</v>
      </c>
    </row>
    <row r="462" spans="1:6" customFormat="1" hidden="1">
      <c r="A462" s="338">
        <f t="shared" si="7"/>
        <v>460</v>
      </c>
      <c r="B462" s="338" t="s">
        <v>874</v>
      </c>
      <c r="C462" s="193">
        <v>12001128</v>
      </c>
      <c r="D462" s="338" t="s">
        <v>933</v>
      </c>
      <c r="E462" s="194" t="s">
        <v>874</v>
      </c>
      <c r="F462" s="144" t="s">
        <v>3</v>
      </c>
    </row>
    <row r="463" spans="1:6" customFormat="1" hidden="1">
      <c r="A463" s="338">
        <f t="shared" si="7"/>
        <v>461</v>
      </c>
      <c r="B463" s="338" t="s">
        <v>874</v>
      </c>
      <c r="C463" s="193">
        <v>12001129</v>
      </c>
      <c r="D463" s="338" t="s">
        <v>934</v>
      </c>
      <c r="E463" s="194" t="s">
        <v>874</v>
      </c>
      <c r="F463" s="144" t="s">
        <v>3</v>
      </c>
    </row>
    <row r="464" spans="1:6" customFormat="1" hidden="1">
      <c r="A464" s="338">
        <f t="shared" si="7"/>
        <v>462</v>
      </c>
      <c r="B464" s="338" t="s">
        <v>874</v>
      </c>
      <c r="C464" s="193">
        <v>12001130</v>
      </c>
      <c r="D464" s="338" t="s">
        <v>935</v>
      </c>
      <c r="E464" s="194" t="s">
        <v>874</v>
      </c>
      <c r="F464" s="144" t="s">
        <v>3</v>
      </c>
    </row>
    <row r="465" spans="1:6" customFormat="1" hidden="1">
      <c r="A465" s="338">
        <f t="shared" si="7"/>
        <v>463</v>
      </c>
      <c r="B465" s="338" t="s">
        <v>874</v>
      </c>
      <c r="C465" s="193">
        <v>12001131</v>
      </c>
      <c r="D465" s="338" t="s">
        <v>1472</v>
      </c>
      <c r="E465" s="194" t="s">
        <v>874</v>
      </c>
      <c r="F465" s="144" t="s">
        <v>3</v>
      </c>
    </row>
    <row r="466" spans="1:6" customFormat="1" hidden="1">
      <c r="A466" s="338">
        <f t="shared" si="7"/>
        <v>464</v>
      </c>
      <c r="B466" s="338" t="s">
        <v>874</v>
      </c>
      <c r="C466" s="193">
        <v>12001132</v>
      </c>
      <c r="D466" s="338" t="s">
        <v>936</v>
      </c>
      <c r="E466" s="194" t="s">
        <v>874</v>
      </c>
      <c r="F466" s="144" t="s">
        <v>3</v>
      </c>
    </row>
    <row r="467" spans="1:6" customFormat="1" hidden="1">
      <c r="A467" s="338">
        <f t="shared" si="7"/>
        <v>465</v>
      </c>
      <c r="B467" s="338" t="s">
        <v>874</v>
      </c>
      <c r="C467" s="193">
        <v>12001133</v>
      </c>
      <c r="D467" s="338" t="s">
        <v>937</v>
      </c>
      <c r="E467" s="194" t="s">
        <v>874</v>
      </c>
      <c r="F467" s="144" t="s">
        <v>3</v>
      </c>
    </row>
    <row r="468" spans="1:6" customFormat="1" hidden="1">
      <c r="A468" s="338">
        <f t="shared" si="7"/>
        <v>466</v>
      </c>
      <c r="B468" s="338" t="s">
        <v>874</v>
      </c>
      <c r="C468" s="193">
        <v>12001134</v>
      </c>
      <c r="D468" s="338" t="s">
        <v>938</v>
      </c>
      <c r="E468" s="194" t="s">
        <v>874</v>
      </c>
      <c r="F468" s="144" t="s">
        <v>3</v>
      </c>
    </row>
    <row r="469" spans="1:6" customFormat="1" hidden="1">
      <c r="A469" s="338">
        <f t="shared" si="7"/>
        <v>467</v>
      </c>
      <c r="B469" s="338" t="s">
        <v>874</v>
      </c>
      <c r="C469" s="193">
        <v>12001135</v>
      </c>
      <c r="D469" s="338" t="s">
        <v>939</v>
      </c>
      <c r="E469" s="194" t="s">
        <v>874</v>
      </c>
      <c r="F469" s="144" t="s">
        <v>3</v>
      </c>
    </row>
    <row r="470" spans="1:6" customFormat="1" hidden="1">
      <c r="A470" s="338">
        <f t="shared" si="7"/>
        <v>468</v>
      </c>
      <c r="B470" s="338" t="s">
        <v>874</v>
      </c>
      <c r="C470" s="193">
        <v>12001136</v>
      </c>
      <c r="D470" s="338" t="s">
        <v>1473</v>
      </c>
      <c r="E470" s="194" t="s">
        <v>874</v>
      </c>
      <c r="F470" s="144" t="s">
        <v>3</v>
      </c>
    </row>
    <row r="471" spans="1:6" customFormat="1" hidden="1">
      <c r="A471" s="338">
        <f t="shared" si="7"/>
        <v>469</v>
      </c>
      <c r="B471" s="338" t="s">
        <v>874</v>
      </c>
      <c r="C471" s="193">
        <v>12001137</v>
      </c>
      <c r="D471" s="338" t="s">
        <v>940</v>
      </c>
      <c r="E471" s="194" t="s">
        <v>874</v>
      </c>
      <c r="F471" s="144" t="s">
        <v>3</v>
      </c>
    </row>
    <row r="472" spans="1:6" customFormat="1" hidden="1">
      <c r="A472" s="338">
        <f t="shared" si="7"/>
        <v>470</v>
      </c>
      <c r="B472" s="338" t="s">
        <v>874</v>
      </c>
      <c r="C472" s="193">
        <v>12001138</v>
      </c>
      <c r="D472" s="338" t="s">
        <v>941</v>
      </c>
      <c r="E472" s="194" t="s">
        <v>874</v>
      </c>
      <c r="F472" s="144" t="s">
        <v>3</v>
      </c>
    </row>
    <row r="473" spans="1:6" customFormat="1" hidden="1">
      <c r="A473" s="338">
        <f t="shared" si="7"/>
        <v>471</v>
      </c>
      <c r="B473" s="338" t="s">
        <v>874</v>
      </c>
      <c r="C473" s="193">
        <v>12001139</v>
      </c>
      <c r="D473" s="338" t="s">
        <v>942</v>
      </c>
      <c r="E473" s="194" t="s">
        <v>874</v>
      </c>
      <c r="F473" s="144" t="s">
        <v>3</v>
      </c>
    </row>
    <row r="474" spans="1:6" customFormat="1" hidden="1">
      <c r="A474" s="338">
        <f t="shared" si="7"/>
        <v>472</v>
      </c>
      <c r="B474" s="338" t="s">
        <v>874</v>
      </c>
      <c r="C474" s="193">
        <v>12001140</v>
      </c>
      <c r="D474" s="338" t="s">
        <v>943</v>
      </c>
      <c r="E474" s="194" t="s">
        <v>874</v>
      </c>
      <c r="F474" s="144" t="s">
        <v>3</v>
      </c>
    </row>
    <row r="475" spans="1:6" customFormat="1" hidden="1">
      <c r="A475" s="338">
        <f t="shared" si="7"/>
        <v>473</v>
      </c>
      <c r="B475" s="338" t="s">
        <v>874</v>
      </c>
      <c r="C475" s="193">
        <v>12001141</v>
      </c>
      <c r="D475" s="338" t="s">
        <v>944</v>
      </c>
      <c r="E475" s="194" t="s">
        <v>874</v>
      </c>
      <c r="F475" s="144" t="s">
        <v>3</v>
      </c>
    </row>
    <row r="476" spans="1:6" customFormat="1" hidden="1">
      <c r="A476" s="338">
        <f t="shared" si="7"/>
        <v>474</v>
      </c>
      <c r="B476" s="338" t="s">
        <v>874</v>
      </c>
      <c r="C476" s="193">
        <v>12001142</v>
      </c>
      <c r="D476" s="338" t="s">
        <v>945</v>
      </c>
      <c r="E476" s="194" t="s">
        <v>874</v>
      </c>
      <c r="F476" s="144" t="s">
        <v>3</v>
      </c>
    </row>
    <row r="477" spans="1:6" customFormat="1" hidden="1">
      <c r="A477" s="338">
        <f t="shared" si="7"/>
        <v>475</v>
      </c>
      <c r="B477" s="338" t="s">
        <v>874</v>
      </c>
      <c r="C477" s="193">
        <v>12001143</v>
      </c>
      <c r="D477" s="338" t="s">
        <v>946</v>
      </c>
      <c r="E477" s="194" t="s">
        <v>874</v>
      </c>
      <c r="F477" s="144" t="s">
        <v>3</v>
      </c>
    </row>
    <row r="478" spans="1:6" customFormat="1" hidden="1">
      <c r="A478" s="338">
        <f t="shared" si="7"/>
        <v>476</v>
      </c>
      <c r="B478" s="338" t="s">
        <v>874</v>
      </c>
      <c r="C478" s="193">
        <v>12001144</v>
      </c>
      <c r="D478" s="338" t="s">
        <v>947</v>
      </c>
      <c r="E478" s="194" t="s">
        <v>874</v>
      </c>
      <c r="F478" s="144" t="s">
        <v>3</v>
      </c>
    </row>
    <row r="479" spans="1:6" customFormat="1" hidden="1">
      <c r="A479" s="338">
        <f t="shared" si="7"/>
        <v>477</v>
      </c>
      <c r="B479" s="338" t="s">
        <v>874</v>
      </c>
      <c r="C479" s="193">
        <v>12001145</v>
      </c>
      <c r="D479" s="338" t="s">
        <v>948</v>
      </c>
      <c r="E479" s="194" t="s">
        <v>874</v>
      </c>
      <c r="F479" s="144" t="s">
        <v>3</v>
      </c>
    </row>
    <row r="480" spans="1:6" customFormat="1" hidden="1">
      <c r="A480" s="338">
        <f t="shared" si="7"/>
        <v>478</v>
      </c>
      <c r="B480" s="338" t="s">
        <v>874</v>
      </c>
      <c r="C480" s="193">
        <v>12001146</v>
      </c>
      <c r="D480" s="338" t="s">
        <v>949</v>
      </c>
      <c r="E480" s="194" t="s">
        <v>874</v>
      </c>
      <c r="F480" s="144" t="s">
        <v>3</v>
      </c>
    </row>
    <row r="481" spans="1:6" customFormat="1" hidden="1">
      <c r="A481" s="338">
        <f t="shared" si="7"/>
        <v>479</v>
      </c>
      <c r="B481" s="338" t="s">
        <v>874</v>
      </c>
      <c r="C481" s="193">
        <v>12001147</v>
      </c>
      <c r="D481" s="338" t="s">
        <v>950</v>
      </c>
      <c r="E481" s="194" t="s">
        <v>874</v>
      </c>
      <c r="F481" s="144" t="s">
        <v>3</v>
      </c>
    </row>
    <row r="482" spans="1:6" customFormat="1" hidden="1">
      <c r="A482" s="338">
        <f t="shared" si="7"/>
        <v>480</v>
      </c>
      <c r="B482" s="338" t="s">
        <v>874</v>
      </c>
      <c r="C482" s="193">
        <v>12001148</v>
      </c>
      <c r="D482" s="338" t="s">
        <v>1474</v>
      </c>
      <c r="E482" s="194" t="s">
        <v>874</v>
      </c>
      <c r="F482" s="144" t="s">
        <v>3</v>
      </c>
    </row>
    <row r="483" spans="1:6" customFormat="1" hidden="1">
      <c r="A483" s="338">
        <f t="shared" si="7"/>
        <v>481</v>
      </c>
      <c r="B483" s="338" t="s">
        <v>874</v>
      </c>
      <c r="C483" s="193">
        <v>12001149</v>
      </c>
      <c r="D483" s="338" t="s">
        <v>951</v>
      </c>
      <c r="E483" s="194" t="s">
        <v>874</v>
      </c>
      <c r="F483" s="144" t="s">
        <v>3</v>
      </c>
    </row>
    <row r="484" spans="1:6" customFormat="1" hidden="1">
      <c r="A484" s="338">
        <f t="shared" si="7"/>
        <v>482</v>
      </c>
      <c r="B484" s="338" t="s">
        <v>874</v>
      </c>
      <c r="C484" s="193">
        <v>12001150</v>
      </c>
      <c r="D484" s="338" t="s">
        <v>952</v>
      </c>
      <c r="E484" s="194" t="s">
        <v>874</v>
      </c>
      <c r="F484" s="144" t="s">
        <v>3</v>
      </c>
    </row>
    <row r="485" spans="1:6" customFormat="1" hidden="1">
      <c r="A485" s="338">
        <f t="shared" si="7"/>
        <v>483</v>
      </c>
      <c r="B485" s="338" t="s">
        <v>874</v>
      </c>
      <c r="C485" s="193">
        <v>12001151</v>
      </c>
      <c r="D485" s="338" t="s">
        <v>1475</v>
      </c>
      <c r="E485" s="194" t="s">
        <v>874</v>
      </c>
      <c r="F485" s="144" t="s">
        <v>3</v>
      </c>
    </row>
    <row r="486" spans="1:6" customFormat="1" hidden="1">
      <c r="A486" s="338">
        <f t="shared" si="7"/>
        <v>484</v>
      </c>
      <c r="B486" s="338" t="s">
        <v>874</v>
      </c>
      <c r="C486" s="193">
        <v>12001152</v>
      </c>
      <c r="D486" s="338" t="s">
        <v>953</v>
      </c>
      <c r="E486" s="194" t="s">
        <v>874</v>
      </c>
      <c r="F486" s="144" t="s">
        <v>3</v>
      </c>
    </row>
    <row r="487" spans="1:6" customFormat="1" hidden="1">
      <c r="A487" s="338">
        <f t="shared" si="7"/>
        <v>485</v>
      </c>
      <c r="B487" s="338" t="s">
        <v>874</v>
      </c>
      <c r="C487" s="193">
        <v>12001153</v>
      </c>
      <c r="D487" s="338" t="s">
        <v>954</v>
      </c>
      <c r="E487" s="194" t="s">
        <v>874</v>
      </c>
      <c r="F487" s="144" t="s">
        <v>3</v>
      </c>
    </row>
    <row r="488" spans="1:6" customFormat="1" hidden="1">
      <c r="A488" s="338">
        <f t="shared" si="7"/>
        <v>486</v>
      </c>
      <c r="B488" s="338" t="s">
        <v>874</v>
      </c>
      <c r="C488" s="193">
        <v>12001154</v>
      </c>
      <c r="D488" s="338" t="s">
        <v>955</v>
      </c>
      <c r="E488" s="194" t="s">
        <v>874</v>
      </c>
      <c r="F488" s="144" t="s">
        <v>3</v>
      </c>
    </row>
    <row r="489" spans="1:6" customFormat="1" hidden="1">
      <c r="A489" s="338">
        <f t="shared" si="7"/>
        <v>487</v>
      </c>
      <c r="B489" s="338" t="s">
        <v>874</v>
      </c>
      <c r="C489" s="193">
        <v>12001155</v>
      </c>
      <c r="D489" s="338" t="s">
        <v>956</v>
      </c>
      <c r="E489" s="194" t="s">
        <v>874</v>
      </c>
      <c r="F489" s="144" t="s">
        <v>3</v>
      </c>
    </row>
    <row r="490" spans="1:6" customFormat="1" hidden="1">
      <c r="A490" s="338">
        <f t="shared" si="7"/>
        <v>488</v>
      </c>
      <c r="B490" s="338" t="s">
        <v>874</v>
      </c>
      <c r="C490" s="193">
        <v>12001156</v>
      </c>
      <c r="D490" s="338" t="s">
        <v>957</v>
      </c>
      <c r="E490" s="194" t="s">
        <v>874</v>
      </c>
      <c r="F490" s="144" t="s">
        <v>3</v>
      </c>
    </row>
    <row r="491" spans="1:6" customFormat="1" hidden="1">
      <c r="A491" s="338">
        <f t="shared" si="7"/>
        <v>489</v>
      </c>
      <c r="B491" s="338" t="s">
        <v>874</v>
      </c>
      <c r="C491" s="193">
        <v>12001157</v>
      </c>
      <c r="D491" s="338" t="s">
        <v>958</v>
      </c>
      <c r="E491" s="194" t="s">
        <v>874</v>
      </c>
      <c r="F491" s="144" t="s">
        <v>3</v>
      </c>
    </row>
    <row r="492" spans="1:6" customFormat="1" hidden="1">
      <c r="A492" s="338">
        <f t="shared" si="7"/>
        <v>490</v>
      </c>
      <c r="B492" s="338" t="s">
        <v>874</v>
      </c>
      <c r="C492" s="193">
        <v>12001158</v>
      </c>
      <c r="D492" s="338" t="s">
        <v>959</v>
      </c>
      <c r="E492" s="194" t="s">
        <v>874</v>
      </c>
      <c r="F492" s="144" t="s">
        <v>3</v>
      </c>
    </row>
    <row r="493" spans="1:6" customFormat="1" hidden="1">
      <c r="A493" s="338">
        <f t="shared" si="7"/>
        <v>491</v>
      </c>
      <c r="B493" s="338" t="s">
        <v>874</v>
      </c>
      <c r="C493" s="193">
        <v>12001159</v>
      </c>
      <c r="D493" s="338" t="s">
        <v>960</v>
      </c>
      <c r="E493" s="194" t="s">
        <v>874</v>
      </c>
      <c r="F493" s="144" t="s">
        <v>3</v>
      </c>
    </row>
    <row r="494" spans="1:6" customFormat="1" hidden="1">
      <c r="A494" s="338">
        <f t="shared" si="7"/>
        <v>492</v>
      </c>
      <c r="B494" s="338" t="s">
        <v>874</v>
      </c>
      <c r="C494" s="193">
        <v>12001160</v>
      </c>
      <c r="D494" s="338" t="s">
        <v>961</v>
      </c>
      <c r="E494" s="194" t="s">
        <v>874</v>
      </c>
      <c r="F494" s="144" t="s">
        <v>3</v>
      </c>
    </row>
    <row r="495" spans="1:6" customFormat="1" hidden="1">
      <c r="A495" s="338">
        <f t="shared" si="7"/>
        <v>493</v>
      </c>
      <c r="B495" s="338" t="s">
        <v>874</v>
      </c>
      <c r="C495" s="193">
        <v>12001161</v>
      </c>
      <c r="D495" s="338" t="s">
        <v>962</v>
      </c>
      <c r="E495" s="194" t="s">
        <v>874</v>
      </c>
      <c r="F495" s="144" t="s">
        <v>3</v>
      </c>
    </row>
    <row r="496" spans="1:6" customFormat="1" hidden="1">
      <c r="A496" s="338">
        <f t="shared" si="7"/>
        <v>494</v>
      </c>
      <c r="B496" s="338" t="s">
        <v>874</v>
      </c>
      <c r="C496" s="193">
        <v>12001162</v>
      </c>
      <c r="D496" s="338" t="s">
        <v>963</v>
      </c>
      <c r="E496" s="194" t="s">
        <v>874</v>
      </c>
      <c r="F496" s="144" t="s">
        <v>3</v>
      </c>
    </row>
    <row r="497" spans="1:6" customFormat="1" hidden="1">
      <c r="A497" s="338">
        <f t="shared" si="7"/>
        <v>495</v>
      </c>
      <c r="B497" s="338" t="s">
        <v>874</v>
      </c>
      <c r="C497" s="193">
        <v>12001163</v>
      </c>
      <c r="D497" s="338" t="s">
        <v>964</v>
      </c>
      <c r="E497" s="194" t="s">
        <v>874</v>
      </c>
      <c r="F497" s="144" t="s">
        <v>3</v>
      </c>
    </row>
    <row r="498" spans="1:6" customFormat="1" hidden="1">
      <c r="A498" s="338">
        <f t="shared" si="7"/>
        <v>496</v>
      </c>
      <c r="B498" s="338" t="s">
        <v>874</v>
      </c>
      <c r="C498" s="193">
        <v>12001164</v>
      </c>
      <c r="D498" s="338" t="s">
        <v>965</v>
      </c>
      <c r="E498" s="194" t="s">
        <v>874</v>
      </c>
      <c r="F498" s="144" t="s">
        <v>3</v>
      </c>
    </row>
    <row r="499" spans="1:6" customFormat="1" hidden="1">
      <c r="A499" s="338">
        <f t="shared" si="7"/>
        <v>497</v>
      </c>
      <c r="B499" s="338" t="s">
        <v>874</v>
      </c>
      <c r="C499" s="193">
        <v>12001165</v>
      </c>
      <c r="D499" s="338" t="s">
        <v>966</v>
      </c>
      <c r="E499" s="194" t="s">
        <v>874</v>
      </c>
      <c r="F499" s="144" t="s">
        <v>3</v>
      </c>
    </row>
    <row r="500" spans="1:6" customFormat="1" hidden="1">
      <c r="A500" s="338">
        <f t="shared" si="7"/>
        <v>498</v>
      </c>
      <c r="B500" s="338" t="s">
        <v>874</v>
      </c>
      <c r="C500" s="193">
        <v>12001166</v>
      </c>
      <c r="D500" s="338" t="s">
        <v>1476</v>
      </c>
      <c r="E500" s="194" t="s">
        <v>874</v>
      </c>
      <c r="F500" s="144" t="s">
        <v>3</v>
      </c>
    </row>
    <row r="501" spans="1:6" customFormat="1" hidden="1">
      <c r="A501" s="338">
        <f t="shared" si="7"/>
        <v>499</v>
      </c>
      <c r="B501" s="338" t="s">
        <v>874</v>
      </c>
      <c r="C501" s="193">
        <v>12001167</v>
      </c>
      <c r="D501" s="338" t="s">
        <v>1477</v>
      </c>
      <c r="E501" s="194" t="s">
        <v>874</v>
      </c>
      <c r="F501" s="144" t="s">
        <v>3</v>
      </c>
    </row>
    <row r="502" spans="1:6" customFormat="1" hidden="1">
      <c r="A502" s="338">
        <f t="shared" si="7"/>
        <v>500</v>
      </c>
      <c r="B502" s="338" t="s">
        <v>874</v>
      </c>
      <c r="C502" s="193">
        <v>12001168</v>
      </c>
      <c r="D502" s="338" t="s">
        <v>967</v>
      </c>
      <c r="E502" s="194" t="s">
        <v>874</v>
      </c>
      <c r="F502" s="144" t="s">
        <v>3</v>
      </c>
    </row>
    <row r="503" spans="1:6" customFormat="1" hidden="1">
      <c r="A503" s="338">
        <f t="shared" si="7"/>
        <v>501</v>
      </c>
      <c r="B503" s="338" t="s">
        <v>874</v>
      </c>
      <c r="C503" s="193">
        <v>12001169</v>
      </c>
      <c r="D503" s="338" t="s">
        <v>1478</v>
      </c>
      <c r="E503" s="194" t="s">
        <v>874</v>
      </c>
      <c r="F503" s="144" t="s">
        <v>3</v>
      </c>
    </row>
    <row r="504" spans="1:6" customFormat="1" hidden="1">
      <c r="A504" s="338">
        <f t="shared" si="7"/>
        <v>502</v>
      </c>
      <c r="B504" s="338" t="s">
        <v>874</v>
      </c>
      <c r="C504" s="193">
        <v>12001170</v>
      </c>
      <c r="D504" s="338" t="s">
        <v>1479</v>
      </c>
      <c r="E504" s="194" t="s">
        <v>874</v>
      </c>
      <c r="F504" s="144" t="s">
        <v>3</v>
      </c>
    </row>
    <row r="505" spans="1:6" customFormat="1" hidden="1">
      <c r="A505" s="338">
        <f t="shared" si="7"/>
        <v>503</v>
      </c>
      <c r="B505" s="338" t="s">
        <v>874</v>
      </c>
      <c r="C505" s="193">
        <v>12001171</v>
      </c>
      <c r="D505" s="338" t="s">
        <v>968</v>
      </c>
      <c r="E505" s="194" t="s">
        <v>874</v>
      </c>
      <c r="F505" s="144" t="s">
        <v>3</v>
      </c>
    </row>
    <row r="506" spans="1:6" customFormat="1" hidden="1">
      <c r="A506" s="338">
        <f t="shared" si="7"/>
        <v>504</v>
      </c>
      <c r="B506" s="338" t="s">
        <v>874</v>
      </c>
      <c r="C506" s="193">
        <v>12001172</v>
      </c>
      <c r="D506" s="338" t="s">
        <v>969</v>
      </c>
      <c r="E506" s="194" t="s">
        <v>874</v>
      </c>
      <c r="F506" s="144" t="s">
        <v>3</v>
      </c>
    </row>
    <row r="507" spans="1:6" customFormat="1" hidden="1">
      <c r="A507" s="338">
        <f t="shared" si="7"/>
        <v>505</v>
      </c>
      <c r="B507" s="338" t="s">
        <v>874</v>
      </c>
      <c r="C507" s="193">
        <v>12001173</v>
      </c>
      <c r="D507" s="338" t="s">
        <v>1480</v>
      </c>
      <c r="E507" s="194" t="s">
        <v>874</v>
      </c>
      <c r="F507" s="144" t="s">
        <v>3</v>
      </c>
    </row>
    <row r="508" spans="1:6" customFormat="1" hidden="1">
      <c r="A508" s="338">
        <f t="shared" si="7"/>
        <v>506</v>
      </c>
      <c r="B508" s="338" t="s">
        <v>874</v>
      </c>
      <c r="C508" s="193">
        <v>12001174</v>
      </c>
      <c r="D508" s="338" t="s">
        <v>1481</v>
      </c>
      <c r="E508" s="194" t="s">
        <v>874</v>
      </c>
      <c r="F508" s="144" t="s">
        <v>3</v>
      </c>
    </row>
    <row r="509" spans="1:6" customFormat="1" hidden="1">
      <c r="A509" s="338">
        <f t="shared" si="7"/>
        <v>507</v>
      </c>
      <c r="B509" s="338" t="s">
        <v>874</v>
      </c>
      <c r="C509" s="193">
        <v>12001175</v>
      </c>
      <c r="D509" s="338" t="s">
        <v>1482</v>
      </c>
      <c r="E509" s="194" t="s">
        <v>874</v>
      </c>
      <c r="F509" s="144" t="s">
        <v>3</v>
      </c>
    </row>
    <row r="510" spans="1:6" customFormat="1" hidden="1">
      <c r="A510" s="338">
        <f t="shared" si="7"/>
        <v>508</v>
      </c>
      <c r="B510" s="338" t="s">
        <v>874</v>
      </c>
      <c r="C510" s="193">
        <v>12001176</v>
      </c>
      <c r="D510" s="338" t="s">
        <v>1483</v>
      </c>
      <c r="E510" s="194" t="s">
        <v>874</v>
      </c>
      <c r="F510" s="144" t="s">
        <v>3</v>
      </c>
    </row>
    <row r="511" spans="1:6" customFormat="1" hidden="1">
      <c r="A511" s="338">
        <f t="shared" si="7"/>
        <v>509</v>
      </c>
      <c r="B511" s="338" t="s">
        <v>874</v>
      </c>
      <c r="C511" s="193">
        <v>12001177</v>
      </c>
      <c r="D511" s="338" t="s">
        <v>1484</v>
      </c>
      <c r="E511" s="194" t="s">
        <v>874</v>
      </c>
      <c r="F511" s="144" t="s">
        <v>3</v>
      </c>
    </row>
    <row r="512" spans="1:6" customFormat="1" hidden="1">
      <c r="A512" s="338">
        <f t="shared" si="7"/>
        <v>510</v>
      </c>
      <c r="B512" s="338" t="s">
        <v>874</v>
      </c>
      <c r="C512" s="193">
        <v>12001178</v>
      </c>
      <c r="D512" s="338" t="s">
        <v>1485</v>
      </c>
      <c r="E512" s="194" t="s">
        <v>874</v>
      </c>
      <c r="F512" s="144" t="s">
        <v>3</v>
      </c>
    </row>
    <row r="513" spans="1:6" customFormat="1" hidden="1">
      <c r="A513" s="338">
        <f t="shared" si="7"/>
        <v>511</v>
      </c>
      <c r="B513" s="338" t="s">
        <v>874</v>
      </c>
      <c r="C513" s="193">
        <v>12001179</v>
      </c>
      <c r="D513" s="338" t="s">
        <v>1486</v>
      </c>
      <c r="E513" s="194" t="s">
        <v>874</v>
      </c>
      <c r="F513" s="144" t="s">
        <v>3</v>
      </c>
    </row>
    <row r="514" spans="1:6" customFormat="1" hidden="1">
      <c r="A514" s="338">
        <f t="shared" si="7"/>
        <v>512</v>
      </c>
      <c r="B514" s="338" t="s">
        <v>874</v>
      </c>
      <c r="C514" s="193">
        <v>12001180</v>
      </c>
      <c r="D514" s="338" t="s">
        <v>970</v>
      </c>
      <c r="E514" s="194" t="s">
        <v>874</v>
      </c>
      <c r="F514" s="144" t="s">
        <v>3</v>
      </c>
    </row>
    <row r="515" spans="1:6" customFormat="1" hidden="1">
      <c r="A515" s="338">
        <f t="shared" si="7"/>
        <v>513</v>
      </c>
      <c r="B515" s="338" t="s">
        <v>874</v>
      </c>
      <c r="C515" s="193">
        <v>12001181</v>
      </c>
      <c r="D515" s="338" t="s">
        <v>971</v>
      </c>
      <c r="E515" s="194" t="s">
        <v>874</v>
      </c>
      <c r="F515" s="144" t="s">
        <v>3</v>
      </c>
    </row>
    <row r="516" spans="1:6" customFormat="1" hidden="1">
      <c r="A516" s="338">
        <f t="shared" ref="A516:A579" si="8">A515+1</f>
        <v>514</v>
      </c>
      <c r="B516" s="338" t="s">
        <v>874</v>
      </c>
      <c r="C516" s="193">
        <v>12001182</v>
      </c>
      <c r="D516" s="338" t="s">
        <v>972</v>
      </c>
      <c r="E516" s="194" t="s">
        <v>874</v>
      </c>
      <c r="F516" s="144" t="s">
        <v>3</v>
      </c>
    </row>
    <row r="517" spans="1:6" customFormat="1" hidden="1">
      <c r="A517" s="338">
        <f t="shared" si="8"/>
        <v>515</v>
      </c>
      <c r="B517" s="338" t="s">
        <v>874</v>
      </c>
      <c r="C517" s="193">
        <v>12001183</v>
      </c>
      <c r="D517" s="338" t="s">
        <v>973</v>
      </c>
      <c r="E517" s="194" t="s">
        <v>874</v>
      </c>
      <c r="F517" s="144" t="s">
        <v>3</v>
      </c>
    </row>
    <row r="518" spans="1:6" customFormat="1" hidden="1">
      <c r="A518" s="338">
        <f t="shared" si="8"/>
        <v>516</v>
      </c>
      <c r="B518" s="338" t="s">
        <v>874</v>
      </c>
      <c r="C518" s="193">
        <v>12001184</v>
      </c>
      <c r="D518" s="338" t="s">
        <v>974</v>
      </c>
      <c r="E518" s="194" t="s">
        <v>874</v>
      </c>
      <c r="F518" s="144" t="s">
        <v>3</v>
      </c>
    </row>
    <row r="519" spans="1:6" customFormat="1" hidden="1">
      <c r="A519" s="338">
        <f t="shared" si="8"/>
        <v>517</v>
      </c>
      <c r="B519" s="338" t="s">
        <v>874</v>
      </c>
      <c r="C519" s="193">
        <v>12001185</v>
      </c>
      <c r="D519" s="338" t="s">
        <v>975</v>
      </c>
      <c r="E519" s="194" t="s">
        <v>874</v>
      </c>
      <c r="F519" s="144" t="s">
        <v>3</v>
      </c>
    </row>
    <row r="520" spans="1:6" customFormat="1" hidden="1">
      <c r="A520" s="338">
        <f t="shared" si="8"/>
        <v>518</v>
      </c>
      <c r="B520" s="338" t="s">
        <v>874</v>
      </c>
      <c r="C520" s="193">
        <v>12001186</v>
      </c>
      <c r="D520" s="338" t="s">
        <v>976</v>
      </c>
      <c r="E520" s="194" t="s">
        <v>874</v>
      </c>
      <c r="F520" s="144" t="s">
        <v>3</v>
      </c>
    </row>
    <row r="521" spans="1:6" customFormat="1" hidden="1">
      <c r="A521" s="338">
        <f t="shared" si="8"/>
        <v>519</v>
      </c>
      <c r="B521" s="338" t="s">
        <v>874</v>
      </c>
      <c r="C521" s="193">
        <v>12001187</v>
      </c>
      <c r="D521" s="338" t="s">
        <v>977</v>
      </c>
      <c r="E521" s="194" t="s">
        <v>874</v>
      </c>
      <c r="F521" s="144" t="s">
        <v>3</v>
      </c>
    </row>
    <row r="522" spans="1:6" customFormat="1" hidden="1">
      <c r="A522" s="338">
        <f t="shared" si="8"/>
        <v>520</v>
      </c>
      <c r="B522" s="338" t="s">
        <v>874</v>
      </c>
      <c r="C522" s="193">
        <v>12001188</v>
      </c>
      <c r="D522" s="338" t="s">
        <v>978</v>
      </c>
      <c r="E522" s="194" t="s">
        <v>874</v>
      </c>
      <c r="F522" s="144" t="s">
        <v>3</v>
      </c>
    </row>
    <row r="523" spans="1:6" customFormat="1" hidden="1">
      <c r="A523" s="338">
        <f t="shared" si="8"/>
        <v>521</v>
      </c>
      <c r="B523" s="338" t="s">
        <v>874</v>
      </c>
      <c r="C523" s="193">
        <v>12001189</v>
      </c>
      <c r="D523" s="338" t="s">
        <v>979</v>
      </c>
      <c r="E523" s="194" t="s">
        <v>874</v>
      </c>
      <c r="F523" s="144" t="s">
        <v>3</v>
      </c>
    </row>
    <row r="524" spans="1:6" customFormat="1" hidden="1">
      <c r="A524" s="338">
        <f t="shared" si="8"/>
        <v>522</v>
      </c>
      <c r="B524" s="338" t="s">
        <v>874</v>
      </c>
      <c r="C524" s="193">
        <v>12001190</v>
      </c>
      <c r="D524" s="338" t="s">
        <v>980</v>
      </c>
      <c r="E524" s="194" t="s">
        <v>874</v>
      </c>
      <c r="F524" s="144" t="s">
        <v>3</v>
      </c>
    </row>
    <row r="525" spans="1:6" customFormat="1" hidden="1">
      <c r="A525" s="338">
        <f t="shared" si="8"/>
        <v>523</v>
      </c>
      <c r="B525" s="338" t="s">
        <v>874</v>
      </c>
      <c r="C525" s="193">
        <v>12001191</v>
      </c>
      <c r="D525" s="338" t="s">
        <v>981</v>
      </c>
      <c r="E525" s="194" t="s">
        <v>874</v>
      </c>
      <c r="F525" s="144" t="s">
        <v>3</v>
      </c>
    </row>
    <row r="526" spans="1:6" customFormat="1" hidden="1">
      <c r="A526" s="338">
        <f t="shared" si="8"/>
        <v>524</v>
      </c>
      <c r="B526" s="338" t="s">
        <v>874</v>
      </c>
      <c r="C526" s="193">
        <v>12001192</v>
      </c>
      <c r="D526" s="338" t="s">
        <v>982</v>
      </c>
      <c r="E526" s="194" t="s">
        <v>874</v>
      </c>
      <c r="F526" s="144" t="s">
        <v>3</v>
      </c>
    </row>
    <row r="527" spans="1:6" customFormat="1" hidden="1">
      <c r="A527" s="338">
        <f t="shared" si="8"/>
        <v>525</v>
      </c>
      <c r="B527" s="338" t="s">
        <v>874</v>
      </c>
      <c r="C527" s="193">
        <v>12001193</v>
      </c>
      <c r="D527" s="338" t="s">
        <v>983</v>
      </c>
      <c r="E527" s="194" t="s">
        <v>874</v>
      </c>
      <c r="F527" s="144" t="s">
        <v>3</v>
      </c>
    </row>
    <row r="528" spans="1:6" customFormat="1" hidden="1">
      <c r="A528" s="338">
        <f t="shared" si="8"/>
        <v>526</v>
      </c>
      <c r="B528" s="338" t="s">
        <v>874</v>
      </c>
      <c r="C528" s="193">
        <v>12001194</v>
      </c>
      <c r="D528" s="338" t="s">
        <v>984</v>
      </c>
      <c r="E528" s="194" t="s">
        <v>874</v>
      </c>
      <c r="F528" s="144" t="s">
        <v>3</v>
      </c>
    </row>
    <row r="529" spans="1:6" customFormat="1" hidden="1">
      <c r="A529" s="338">
        <f t="shared" si="8"/>
        <v>527</v>
      </c>
      <c r="B529" s="338" t="s">
        <v>874</v>
      </c>
      <c r="C529" s="193">
        <v>12001212</v>
      </c>
      <c r="D529" s="338" t="s">
        <v>985</v>
      </c>
      <c r="E529" s="194" t="s">
        <v>874</v>
      </c>
      <c r="F529" s="144" t="s">
        <v>3</v>
      </c>
    </row>
    <row r="530" spans="1:6" customFormat="1" hidden="1">
      <c r="A530" s="338">
        <f t="shared" si="8"/>
        <v>528</v>
      </c>
      <c r="B530" s="338" t="s">
        <v>874</v>
      </c>
      <c r="C530" s="193">
        <v>12001213</v>
      </c>
      <c r="D530" s="338" t="s">
        <v>986</v>
      </c>
      <c r="E530" s="194" t="s">
        <v>874</v>
      </c>
      <c r="F530" s="144" t="s">
        <v>3</v>
      </c>
    </row>
    <row r="531" spans="1:6" customFormat="1" hidden="1">
      <c r="A531" s="338">
        <f t="shared" si="8"/>
        <v>529</v>
      </c>
      <c r="B531" s="338" t="s">
        <v>874</v>
      </c>
      <c r="C531" s="193">
        <v>12001214</v>
      </c>
      <c r="D531" s="338" t="s">
        <v>1487</v>
      </c>
      <c r="E531" s="194" t="s">
        <v>874</v>
      </c>
      <c r="F531" s="144" t="s">
        <v>3</v>
      </c>
    </row>
    <row r="532" spans="1:6" customFormat="1" hidden="1">
      <c r="A532" s="338">
        <f t="shared" si="8"/>
        <v>530</v>
      </c>
      <c r="B532" s="338" t="s">
        <v>874</v>
      </c>
      <c r="C532" s="193">
        <v>12001215</v>
      </c>
      <c r="D532" s="338" t="s">
        <v>1488</v>
      </c>
      <c r="E532" s="194" t="s">
        <v>874</v>
      </c>
      <c r="F532" s="144" t="s">
        <v>3</v>
      </c>
    </row>
    <row r="533" spans="1:6" customFormat="1" hidden="1">
      <c r="A533" s="338">
        <f t="shared" si="8"/>
        <v>531</v>
      </c>
      <c r="B533" s="338" t="s">
        <v>874</v>
      </c>
      <c r="C533" s="193">
        <v>12001216</v>
      </c>
      <c r="D533" s="338" t="s">
        <v>987</v>
      </c>
      <c r="E533" s="194" t="s">
        <v>874</v>
      </c>
      <c r="F533" s="144" t="s">
        <v>3</v>
      </c>
    </row>
    <row r="534" spans="1:6" customFormat="1" hidden="1">
      <c r="A534" s="338">
        <f t="shared" si="8"/>
        <v>532</v>
      </c>
      <c r="B534" s="338" t="s">
        <v>874</v>
      </c>
      <c r="C534" s="193">
        <v>12001217</v>
      </c>
      <c r="D534" s="338" t="s">
        <v>988</v>
      </c>
      <c r="E534" s="194" t="s">
        <v>874</v>
      </c>
      <c r="F534" s="144" t="s">
        <v>3</v>
      </c>
    </row>
    <row r="535" spans="1:6" customFormat="1" hidden="1">
      <c r="A535" s="338">
        <f t="shared" si="8"/>
        <v>533</v>
      </c>
      <c r="B535" s="338" t="s">
        <v>874</v>
      </c>
      <c r="C535" s="193">
        <v>12001218</v>
      </c>
      <c r="D535" s="338" t="s">
        <v>989</v>
      </c>
      <c r="E535" s="194" t="s">
        <v>874</v>
      </c>
      <c r="F535" s="144" t="s">
        <v>3</v>
      </c>
    </row>
    <row r="536" spans="1:6" customFormat="1" hidden="1">
      <c r="A536" s="338">
        <f t="shared" si="8"/>
        <v>534</v>
      </c>
      <c r="B536" s="338" t="s">
        <v>874</v>
      </c>
      <c r="C536" s="193">
        <v>12001219</v>
      </c>
      <c r="D536" s="338" t="s">
        <v>990</v>
      </c>
      <c r="E536" s="194" t="s">
        <v>874</v>
      </c>
      <c r="F536" s="144" t="s">
        <v>3</v>
      </c>
    </row>
    <row r="537" spans="1:6" customFormat="1" hidden="1">
      <c r="A537" s="338">
        <f t="shared" si="8"/>
        <v>535</v>
      </c>
      <c r="B537" s="338" t="s">
        <v>874</v>
      </c>
      <c r="C537" s="193">
        <v>12001220</v>
      </c>
      <c r="D537" s="338" t="s">
        <v>991</v>
      </c>
      <c r="E537" s="194" t="s">
        <v>874</v>
      </c>
      <c r="F537" s="144" t="s">
        <v>3</v>
      </c>
    </row>
    <row r="538" spans="1:6" customFormat="1" hidden="1">
      <c r="A538" s="338">
        <f t="shared" si="8"/>
        <v>536</v>
      </c>
      <c r="B538" s="338" t="s">
        <v>874</v>
      </c>
      <c r="C538" s="193">
        <v>12001221</v>
      </c>
      <c r="D538" s="338" t="s">
        <v>992</v>
      </c>
      <c r="E538" s="194" t="s">
        <v>874</v>
      </c>
      <c r="F538" s="144" t="s">
        <v>3</v>
      </c>
    </row>
    <row r="539" spans="1:6" customFormat="1" hidden="1">
      <c r="A539" s="338">
        <f t="shared" si="8"/>
        <v>537</v>
      </c>
      <c r="B539" s="338" t="s">
        <v>874</v>
      </c>
      <c r="C539" s="193">
        <v>12001222</v>
      </c>
      <c r="D539" s="338" t="s">
        <v>993</v>
      </c>
      <c r="E539" s="194" t="s">
        <v>874</v>
      </c>
      <c r="F539" s="144" t="s">
        <v>3</v>
      </c>
    </row>
    <row r="540" spans="1:6" customFormat="1" hidden="1">
      <c r="A540" s="338">
        <f t="shared" si="8"/>
        <v>538</v>
      </c>
      <c r="B540" s="338" t="s">
        <v>874</v>
      </c>
      <c r="C540" s="193">
        <v>12001223</v>
      </c>
      <c r="D540" s="338" t="s">
        <v>1489</v>
      </c>
      <c r="E540" s="194" t="s">
        <v>874</v>
      </c>
      <c r="F540" s="144" t="s">
        <v>3</v>
      </c>
    </row>
    <row r="541" spans="1:6" customFormat="1" hidden="1">
      <c r="A541" s="338">
        <f t="shared" si="8"/>
        <v>539</v>
      </c>
      <c r="B541" s="338" t="s">
        <v>874</v>
      </c>
      <c r="C541" s="193">
        <v>12001224</v>
      </c>
      <c r="D541" s="338" t="s">
        <v>994</v>
      </c>
      <c r="E541" s="194" t="s">
        <v>874</v>
      </c>
      <c r="F541" s="144" t="s">
        <v>3</v>
      </c>
    </row>
    <row r="542" spans="1:6" customFormat="1" hidden="1">
      <c r="A542" s="338">
        <f t="shared" si="8"/>
        <v>540</v>
      </c>
      <c r="B542" s="338" t="s">
        <v>874</v>
      </c>
      <c r="C542" s="193">
        <v>12001225</v>
      </c>
      <c r="D542" s="338" t="s">
        <v>995</v>
      </c>
      <c r="E542" s="194" t="s">
        <v>874</v>
      </c>
      <c r="F542" s="144" t="s">
        <v>3</v>
      </c>
    </row>
    <row r="543" spans="1:6" customFormat="1" hidden="1">
      <c r="A543" s="338">
        <f t="shared" si="8"/>
        <v>541</v>
      </c>
      <c r="B543" s="338" t="s">
        <v>874</v>
      </c>
      <c r="C543" s="193">
        <v>12001226</v>
      </c>
      <c r="D543" s="338" t="s">
        <v>996</v>
      </c>
      <c r="E543" s="194" t="s">
        <v>874</v>
      </c>
      <c r="F543" s="144" t="s">
        <v>3</v>
      </c>
    </row>
    <row r="544" spans="1:6" customFormat="1" hidden="1">
      <c r="A544" s="338">
        <f t="shared" si="8"/>
        <v>542</v>
      </c>
      <c r="B544" s="338" t="s">
        <v>874</v>
      </c>
      <c r="C544" s="193">
        <v>12001227</v>
      </c>
      <c r="D544" s="338" t="s">
        <v>997</v>
      </c>
      <c r="E544" s="194" t="s">
        <v>874</v>
      </c>
      <c r="F544" s="144" t="s">
        <v>3</v>
      </c>
    </row>
    <row r="545" spans="1:6" customFormat="1" hidden="1">
      <c r="A545" s="338">
        <f t="shared" si="8"/>
        <v>543</v>
      </c>
      <c r="B545" s="338" t="s">
        <v>874</v>
      </c>
      <c r="C545" s="193">
        <v>12001228</v>
      </c>
      <c r="D545" s="338" t="s">
        <v>998</v>
      </c>
      <c r="E545" s="194" t="s">
        <v>874</v>
      </c>
      <c r="F545" s="144" t="s">
        <v>3</v>
      </c>
    </row>
    <row r="546" spans="1:6" customFormat="1" hidden="1">
      <c r="A546" s="338">
        <f t="shared" si="8"/>
        <v>544</v>
      </c>
      <c r="B546" s="338" t="s">
        <v>874</v>
      </c>
      <c r="C546" s="193">
        <v>12001229</v>
      </c>
      <c r="D546" s="338" t="s">
        <v>999</v>
      </c>
      <c r="E546" s="194" t="s">
        <v>874</v>
      </c>
      <c r="F546" s="144" t="s">
        <v>3</v>
      </c>
    </row>
    <row r="547" spans="1:6" customFormat="1" hidden="1">
      <c r="A547" s="338">
        <f t="shared" si="8"/>
        <v>545</v>
      </c>
      <c r="B547" s="338" t="s">
        <v>874</v>
      </c>
      <c r="C547" s="193">
        <v>12001230</v>
      </c>
      <c r="D547" s="338" t="s">
        <v>1000</v>
      </c>
      <c r="E547" s="194" t="s">
        <v>874</v>
      </c>
      <c r="F547" s="144" t="s">
        <v>3</v>
      </c>
    </row>
    <row r="548" spans="1:6" customFormat="1" hidden="1">
      <c r="A548" s="338">
        <f t="shared" si="8"/>
        <v>546</v>
      </c>
      <c r="B548" s="338" t="s">
        <v>874</v>
      </c>
      <c r="C548" s="193">
        <v>12001231</v>
      </c>
      <c r="D548" s="338" t="s">
        <v>1001</v>
      </c>
      <c r="E548" s="194" t="s">
        <v>874</v>
      </c>
      <c r="F548" s="144" t="s">
        <v>3</v>
      </c>
    </row>
    <row r="549" spans="1:6" customFormat="1" hidden="1">
      <c r="A549" s="338">
        <f t="shared" si="8"/>
        <v>547</v>
      </c>
      <c r="B549" s="338" t="s">
        <v>874</v>
      </c>
      <c r="C549" s="193">
        <v>12001232</v>
      </c>
      <c r="D549" s="338" t="s">
        <v>1002</v>
      </c>
      <c r="E549" s="194" t="s">
        <v>874</v>
      </c>
      <c r="F549" s="144" t="s">
        <v>3</v>
      </c>
    </row>
    <row r="550" spans="1:6" customFormat="1" hidden="1">
      <c r="A550" s="338">
        <f t="shared" si="8"/>
        <v>548</v>
      </c>
      <c r="B550" s="338" t="s">
        <v>874</v>
      </c>
      <c r="C550" s="193">
        <v>12001233</v>
      </c>
      <c r="D550" s="338" t="s">
        <v>1003</v>
      </c>
      <c r="E550" s="194" t="s">
        <v>874</v>
      </c>
      <c r="F550" s="144" t="s">
        <v>3</v>
      </c>
    </row>
    <row r="551" spans="1:6" customFormat="1" hidden="1">
      <c r="A551" s="338">
        <f t="shared" si="8"/>
        <v>549</v>
      </c>
      <c r="B551" s="338" t="s">
        <v>874</v>
      </c>
      <c r="C551" s="193">
        <v>12001234</v>
      </c>
      <c r="D551" s="338" t="s">
        <v>1004</v>
      </c>
      <c r="E551" s="194" t="s">
        <v>874</v>
      </c>
      <c r="F551" s="144" t="s">
        <v>3</v>
      </c>
    </row>
    <row r="552" spans="1:6" customFormat="1" hidden="1">
      <c r="A552" s="338">
        <f t="shared" si="8"/>
        <v>550</v>
      </c>
      <c r="B552" s="338" t="s">
        <v>874</v>
      </c>
      <c r="C552" s="193">
        <v>12001235</v>
      </c>
      <c r="D552" s="338" t="s">
        <v>1005</v>
      </c>
      <c r="E552" s="194" t="s">
        <v>874</v>
      </c>
      <c r="F552" s="144" t="s">
        <v>3</v>
      </c>
    </row>
    <row r="553" spans="1:6" customFormat="1" hidden="1">
      <c r="A553" s="338">
        <f t="shared" si="8"/>
        <v>551</v>
      </c>
      <c r="B553" s="338" t="s">
        <v>874</v>
      </c>
      <c r="C553" s="193">
        <v>12001236</v>
      </c>
      <c r="D553" s="338" t="s">
        <v>1006</v>
      </c>
      <c r="E553" s="194" t="s">
        <v>874</v>
      </c>
      <c r="F553" s="144" t="s">
        <v>3</v>
      </c>
    </row>
    <row r="554" spans="1:6" customFormat="1" hidden="1">
      <c r="A554" s="338">
        <f t="shared" si="8"/>
        <v>552</v>
      </c>
      <c r="B554" s="338" t="s">
        <v>874</v>
      </c>
      <c r="C554" s="193">
        <v>12001308</v>
      </c>
      <c r="D554" s="338" t="s">
        <v>1007</v>
      </c>
      <c r="E554" s="194" t="s">
        <v>874</v>
      </c>
      <c r="F554" s="144" t="s">
        <v>3</v>
      </c>
    </row>
    <row r="555" spans="1:6" customFormat="1" hidden="1">
      <c r="A555" s="338">
        <f t="shared" si="8"/>
        <v>553</v>
      </c>
      <c r="B555" s="338" t="s">
        <v>874</v>
      </c>
      <c r="C555" s="193">
        <v>12001309</v>
      </c>
      <c r="D555" s="338" t="s">
        <v>1008</v>
      </c>
      <c r="E555" s="194" t="s">
        <v>874</v>
      </c>
      <c r="F555" s="144" t="s">
        <v>3</v>
      </c>
    </row>
    <row r="556" spans="1:6" customFormat="1" hidden="1">
      <c r="A556" s="338">
        <f t="shared" si="8"/>
        <v>554</v>
      </c>
      <c r="B556" s="338" t="s">
        <v>874</v>
      </c>
      <c r="C556" s="193">
        <v>12001310</v>
      </c>
      <c r="D556" s="338" t="s">
        <v>1009</v>
      </c>
      <c r="E556" s="194" t="s">
        <v>874</v>
      </c>
      <c r="F556" s="144" t="s">
        <v>3</v>
      </c>
    </row>
    <row r="557" spans="1:6" customFormat="1" hidden="1">
      <c r="A557" s="338">
        <f t="shared" si="8"/>
        <v>555</v>
      </c>
      <c r="B557" s="338" t="s">
        <v>874</v>
      </c>
      <c r="C557" s="193">
        <v>12001311</v>
      </c>
      <c r="D557" s="338" t="s">
        <v>1010</v>
      </c>
      <c r="E557" s="194" t="s">
        <v>874</v>
      </c>
      <c r="F557" s="144" t="s">
        <v>3</v>
      </c>
    </row>
    <row r="558" spans="1:6" customFormat="1" hidden="1">
      <c r="A558" s="338">
        <f t="shared" si="8"/>
        <v>556</v>
      </c>
      <c r="B558" s="338" t="s">
        <v>874</v>
      </c>
      <c r="C558" s="193">
        <v>12001312</v>
      </c>
      <c r="D558" s="338" t="s">
        <v>1011</v>
      </c>
      <c r="E558" s="194" t="s">
        <v>874</v>
      </c>
      <c r="F558" s="144" t="s">
        <v>3</v>
      </c>
    </row>
    <row r="559" spans="1:6" customFormat="1" hidden="1">
      <c r="A559" s="338">
        <f t="shared" si="8"/>
        <v>557</v>
      </c>
      <c r="B559" s="338" t="s">
        <v>874</v>
      </c>
      <c r="C559" s="193">
        <v>12001313</v>
      </c>
      <c r="D559" s="338" t="s">
        <v>1012</v>
      </c>
      <c r="E559" s="194" t="s">
        <v>874</v>
      </c>
      <c r="F559" s="144" t="s">
        <v>3</v>
      </c>
    </row>
    <row r="560" spans="1:6" customFormat="1" hidden="1">
      <c r="A560" s="338">
        <f t="shared" si="8"/>
        <v>558</v>
      </c>
      <c r="B560" s="338" t="s">
        <v>874</v>
      </c>
      <c r="C560" s="193">
        <v>12001314</v>
      </c>
      <c r="D560" s="338" t="s">
        <v>1013</v>
      </c>
      <c r="E560" s="194" t="s">
        <v>874</v>
      </c>
      <c r="F560" s="144" t="s">
        <v>3</v>
      </c>
    </row>
    <row r="561" spans="1:6" customFormat="1" hidden="1">
      <c r="A561" s="338">
        <f t="shared" si="8"/>
        <v>559</v>
      </c>
      <c r="B561" s="338" t="s">
        <v>874</v>
      </c>
      <c r="C561" s="193">
        <v>12001315</v>
      </c>
      <c r="D561" s="338" t="s">
        <v>1014</v>
      </c>
      <c r="E561" s="194" t="s">
        <v>874</v>
      </c>
      <c r="F561" s="144" t="s">
        <v>3</v>
      </c>
    </row>
    <row r="562" spans="1:6" customFormat="1" hidden="1">
      <c r="A562" s="338">
        <f t="shared" si="8"/>
        <v>560</v>
      </c>
      <c r="B562" s="338" t="s">
        <v>874</v>
      </c>
      <c r="C562" s="193">
        <v>12001316</v>
      </c>
      <c r="D562" s="338" t="s">
        <v>1015</v>
      </c>
      <c r="E562" s="194" t="s">
        <v>874</v>
      </c>
      <c r="F562" s="144" t="s">
        <v>3</v>
      </c>
    </row>
    <row r="563" spans="1:6" customFormat="1" hidden="1">
      <c r="A563" s="338">
        <f t="shared" si="8"/>
        <v>561</v>
      </c>
      <c r="B563" s="338" t="s">
        <v>874</v>
      </c>
      <c r="C563" s="193">
        <v>12001317</v>
      </c>
      <c r="D563" s="338" t="s">
        <v>1016</v>
      </c>
      <c r="E563" s="194" t="s">
        <v>874</v>
      </c>
      <c r="F563" s="144" t="s">
        <v>3</v>
      </c>
    </row>
    <row r="564" spans="1:6" customFormat="1" hidden="1">
      <c r="A564" s="338">
        <f t="shared" si="8"/>
        <v>562</v>
      </c>
      <c r="B564" s="338" t="s">
        <v>874</v>
      </c>
      <c r="C564" s="193">
        <v>12001318</v>
      </c>
      <c r="D564" s="338" t="s">
        <v>1017</v>
      </c>
      <c r="E564" s="194" t="s">
        <v>874</v>
      </c>
      <c r="F564" s="144" t="s">
        <v>3</v>
      </c>
    </row>
    <row r="565" spans="1:6" customFormat="1" hidden="1">
      <c r="A565" s="338">
        <f t="shared" si="8"/>
        <v>563</v>
      </c>
      <c r="B565" s="338" t="s">
        <v>874</v>
      </c>
      <c r="C565" s="193">
        <v>12001319</v>
      </c>
      <c r="D565" s="338" t="s">
        <v>1018</v>
      </c>
      <c r="E565" s="194" t="s">
        <v>874</v>
      </c>
      <c r="F565" s="144" t="s">
        <v>3</v>
      </c>
    </row>
    <row r="566" spans="1:6" customFormat="1" hidden="1">
      <c r="A566" s="338">
        <f t="shared" si="8"/>
        <v>564</v>
      </c>
      <c r="B566" s="338" t="s">
        <v>874</v>
      </c>
      <c r="C566" s="193">
        <v>12001320</v>
      </c>
      <c r="D566" s="338" t="s">
        <v>1363</v>
      </c>
      <c r="E566" s="194" t="s">
        <v>874</v>
      </c>
      <c r="F566" s="144" t="s">
        <v>3</v>
      </c>
    </row>
    <row r="567" spans="1:6" customFormat="1" hidden="1">
      <c r="A567" s="338">
        <f t="shared" si="8"/>
        <v>565</v>
      </c>
      <c r="B567" s="338" t="s">
        <v>874</v>
      </c>
      <c r="C567" s="193">
        <v>12001321</v>
      </c>
      <c r="D567" s="338" t="s">
        <v>1019</v>
      </c>
      <c r="E567" s="194" t="s">
        <v>874</v>
      </c>
      <c r="F567" s="144" t="s">
        <v>3</v>
      </c>
    </row>
    <row r="568" spans="1:6" customFormat="1" hidden="1">
      <c r="A568" s="338">
        <f t="shared" si="8"/>
        <v>566</v>
      </c>
      <c r="B568" s="338" t="s">
        <v>874</v>
      </c>
      <c r="C568" s="193">
        <v>12001322</v>
      </c>
      <c r="D568" s="338" t="s">
        <v>1020</v>
      </c>
      <c r="E568" s="194" t="s">
        <v>874</v>
      </c>
      <c r="F568" s="144" t="s">
        <v>3</v>
      </c>
    </row>
    <row r="569" spans="1:6" customFormat="1" hidden="1">
      <c r="A569" s="338">
        <f t="shared" si="8"/>
        <v>567</v>
      </c>
      <c r="B569" s="338" t="s">
        <v>874</v>
      </c>
      <c r="C569" s="193">
        <v>12001323</v>
      </c>
      <c r="D569" s="338" t="s">
        <v>1021</v>
      </c>
      <c r="E569" s="194" t="s">
        <v>874</v>
      </c>
      <c r="F569" s="144" t="s">
        <v>3</v>
      </c>
    </row>
    <row r="570" spans="1:6" customFormat="1" hidden="1">
      <c r="A570" s="338">
        <f t="shared" si="8"/>
        <v>568</v>
      </c>
      <c r="B570" s="338" t="s">
        <v>874</v>
      </c>
      <c r="C570" s="193">
        <v>12001324</v>
      </c>
      <c r="D570" s="338" t="s">
        <v>1022</v>
      </c>
      <c r="E570" s="194" t="s">
        <v>874</v>
      </c>
      <c r="F570" s="144" t="s">
        <v>3</v>
      </c>
    </row>
    <row r="571" spans="1:6" customFormat="1" hidden="1">
      <c r="A571" s="338">
        <f t="shared" si="8"/>
        <v>569</v>
      </c>
      <c r="B571" s="338" t="s">
        <v>874</v>
      </c>
      <c r="C571" s="193">
        <v>12001325</v>
      </c>
      <c r="D571" s="338" t="s">
        <v>1023</v>
      </c>
      <c r="E571" s="194" t="s">
        <v>874</v>
      </c>
      <c r="F571" s="144" t="s">
        <v>3</v>
      </c>
    </row>
    <row r="572" spans="1:6" customFormat="1" hidden="1">
      <c r="A572" s="338">
        <f t="shared" si="8"/>
        <v>570</v>
      </c>
      <c r="B572" s="338" t="s">
        <v>874</v>
      </c>
      <c r="C572" s="193">
        <v>12001326</v>
      </c>
      <c r="D572" s="338" t="s">
        <v>1024</v>
      </c>
      <c r="E572" s="194" t="s">
        <v>874</v>
      </c>
      <c r="F572" s="144" t="s">
        <v>3</v>
      </c>
    </row>
    <row r="573" spans="1:6" customFormat="1" hidden="1">
      <c r="A573" s="338">
        <f t="shared" si="8"/>
        <v>571</v>
      </c>
      <c r="B573" s="338" t="s">
        <v>874</v>
      </c>
      <c r="C573" s="193">
        <v>12001327</v>
      </c>
      <c r="D573" s="338" t="s">
        <v>1025</v>
      </c>
      <c r="E573" s="194" t="s">
        <v>874</v>
      </c>
      <c r="F573" s="144" t="s">
        <v>3</v>
      </c>
    </row>
    <row r="574" spans="1:6" customFormat="1" hidden="1">
      <c r="A574" s="338">
        <f t="shared" si="8"/>
        <v>572</v>
      </c>
      <c r="B574" s="338" t="s">
        <v>874</v>
      </c>
      <c r="C574" s="193">
        <v>12001328</v>
      </c>
      <c r="D574" s="338" t="s">
        <v>1026</v>
      </c>
      <c r="E574" s="194" t="s">
        <v>874</v>
      </c>
      <c r="F574" s="144" t="s">
        <v>3</v>
      </c>
    </row>
    <row r="575" spans="1:6" customFormat="1" hidden="1">
      <c r="A575" s="338">
        <f t="shared" si="8"/>
        <v>573</v>
      </c>
      <c r="B575" s="338" t="s">
        <v>874</v>
      </c>
      <c r="C575" s="193">
        <v>12001329</v>
      </c>
      <c r="D575" s="338" t="s">
        <v>1027</v>
      </c>
      <c r="E575" s="194" t="s">
        <v>874</v>
      </c>
      <c r="F575" s="144" t="s">
        <v>3</v>
      </c>
    </row>
    <row r="576" spans="1:6" customFormat="1" hidden="1">
      <c r="A576" s="338">
        <f t="shared" si="8"/>
        <v>574</v>
      </c>
      <c r="B576" s="338" t="s">
        <v>874</v>
      </c>
      <c r="C576" s="193">
        <v>12001330</v>
      </c>
      <c r="D576" s="338" t="s">
        <v>1028</v>
      </c>
      <c r="E576" s="194" t="s">
        <v>874</v>
      </c>
      <c r="F576" s="144" t="s">
        <v>3</v>
      </c>
    </row>
    <row r="577" spans="1:6" customFormat="1" hidden="1">
      <c r="A577" s="338">
        <f t="shared" si="8"/>
        <v>575</v>
      </c>
      <c r="B577" s="338" t="s">
        <v>874</v>
      </c>
      <c r="C577" s="193">
        <v>12001331</v>
      </c>
      <c r="D577" s="338" t="s">
        <v>1029</v>
      </c>
      <c r="E577" s="194" t="s">
        <v>874</v>
      </c>
      <c r="F577" s="144" t="s">
        <v>3</v>
      </c>
    </row>
    <row r="578" spans="1:6" customFormat="1" hidden="1">
      <c r="A578" s="338">
        <f t="shared" si="8"/>
        <v>576</v>
      </c>
      <c r="B578" s="338" t="s">
        <v>874</v>
      </c>
      <c r="C578" s="193">
        <v>12001332</v>
      </c>
      <c r="D578" s="338" t="s">
        <v>1030</v>
      </c>
      <c r="E578" s="194" t="s">
        <v>874</v>
      </c>
      <c r="F578" s="144" t="s">
        <v>3</v>
      </c>
    </row>
    <row r="579" spans="1:6" customFormat="1" hidden="1">
      <c r="A579" s="338">
        <f t="shared" si="8"/>
        <v>577</v>
      </c>
      <c r="B579" s="338" t="s">
        <v>874</v>
      </c>
      <c r="C579" s="193">
        <v>12001334</v>
      </c>
      <c r="D579" s="338" t="s">
        <v>1031</v>
      </c>
      <c r="E579" s="194" t="s">
        <v>874</v>
      </c>
      <c r="F579" s="144" t="s">
        <v>3</v>
      </c>
    </row>
    <row r="580" spans="1:6" customFormat="1" hidden="1">
      <c r="A580" s="338">
        <f t="shared" ref="A580:A643" si="9">A579+1</f>
        <v>578</v>
      </c>
      <c r="B580" s="338" t="s">
        <v>874</v>
      </c>
      <c r="C580" s="193">
        <v>12001335</v>
      </c>
      <c r="D580" s="338" t="s">
        <v>1032</v>
      </c>
      <c r="E580" s="194" t="s">
        <v>874</v>
      </c>
      <c r="F580" s="144" t="s">
        <v>3</v>
      </c>
    </row>
    <row r="581" spans="1:6" customFormat="1" hidden="1">
      <c r="A581" s="338">
        <f t="shared" si="9"/>
        <v>579</v>
      </c>
      <c r="B581" s="338" t="s">
        <v>874</v>
      </c>
      <c r="C581" s="193">
        <v>12001336</v>
      </c>
      <c r="D581" s="338" t="s">
        <v>1033</v>
      </c>
      <c r="E581" s="194" t="s">
        <v>874</v>
      </c>
      <c r="F581" s="144" t="s">
        <v>3</v>
      </c>
    </row>
    <row r="582" spans="1:6" customFormat="1" hidden="1">
      <c r="A582" s="338">
        <f t="shared" si="9"/>
        <v>580</v>
      </c>
      <c r="B582" s="338" t="s">
        <v>874</v>
      </c>
      <c r="C582" s="193">
        <v>12001337</v>
      </c>
      <c r="D582" s="338" t="s">
        <v>1034</v>
      </c>
      <c r="E582" s="194" t="s">
        <v>874</v>
      </c>
      <c r="F582" s="144" t="s">
        <v>3</v>
      </c>
    </row>
    <row r="583" spans="1:6" customFormat="1" hidden="1">
      <c r="A583" s="338">
        <f t="shared" si="9"/>
        <v>581</v>
      </c>
      <c r="B583" s="338" t="s">
        <v>874</v>
      </c>
      <c r="C583" s="193">
        <v>12001338</v>
      </c>
      <c r="D583" s="338" t="s">
        <v>1035</v>
      </c>
      <c r="E583" s="194" t="s">
        <v>874</v>
      </c>
      <c r="F583" s="144" t="s">
        <v>3</v>
      </c>
    </row>
    <row r="584" spans="1:6" customFormat="1" hidden="1">
      <c r="A584" s="338">
        <f t="shared" si="9"/>
        <v>582</v>
      </c>
      <c r="B584" s="338" t="s">
        <v>874</v>
      </c>
      <c r="C584" s="193">
        <v>12001339</v>
      </c>
      <c r="D584" s="338" t="s">
        <v>1036</v>
      </c>
      <c r="E584" s="194" t="s">
        <v>874</v>
      </c>
      <c r="F584" s="144" t="s">
        <v>3</v>
      </c>
    </row>
    <row r="585" spans="1:6" customFormat="1" hidden="1">
      <c r="A585" s="338">
        <f t="shared" si="9"/>
        <v>583</v>
      </c>
      <c r="B585" s="338" t="s">
        <v>874</v>
      </c>
      <c r="C585" s="193">
        <v>12001340</v>
      </c>
      <c r="D585" s="338" t="s">
        <v>1037</v>
      </c>
      <c r="E585" s="194" t="s">
        <v>874</v>
      </c>
      <c r="F585" s="144" t="s">
        <v>3</v>
      </c>
    </row>
    <row r="586" spans="1:6" customFormat="1" hidden="1">
      <c r="A586" s="338">
        <f t="shared" si="9"/>
        <v>584</v>
      </c>
      <c r="B586" s="338" t="s">
        <v>874</v>
      </c>
      <c r="C586" s="193">
        <v>12001341</v>
      </c>
      <c r="D586" s="338" t="s">
        <v>1038</v>
      </c>
      <c r="E586" s="194" t="s">
        <v>874</v>
      </c>
      <c r="F586" s="144" t="s">
        <v>3</v>
      </c>
    </row>
    <row r="587" spans="1:6" customFormat="1" hidden="1">
      <c r="A587" s="338">
        <f t="shared" si="9"/>
        <v>585</v>
      </c>
      <c r="B587" s="338" t="s">
        <v>874</v>
      </c>
      <c r="C587" s="193">
        <v>12001342</v>
      </c>
      <c r="D587" s="338" t="s">
        <v>1039</v>
      </c>
      <c r="E587" s="194" t="s">
        <v>874</v>
      </c>
      <c r="F587" s="144" t="s">
        <v>3</v>
      </c>
    </row>
    <row r="588" spans="1:6" customFormat="1" hidden="1">
      <c r="A588" s="338">
        <f t="shared" si="9"/>
        <v>586</v>
      </c>
      <c r="B588" s="338" t="s">
        <v>874</v>
      </c>
      <c r="C588" s="193">
        <v>12001343</v>
      </c>
      <c r="D588" s="338" t="s">
        <v>1040</v>
      </c>
      <c r="E588" s="194" t="s">
        <v>874</v>
      </c>
      <c r="F588" s="144" t="s">
        <v>3</v>
      </c>
    </row>
    <row r="589" spans="1:6" customFormat="1" hidden="1">
      <c r="A589" s="338">
        <f t="shared" si="9"/>
        <v>587</v>
      </c>
      <c r="B589" s="338" t="s">
        <v>874</v>
      </c>
      <c r="C589" s="193">
        <v>12001344</v>
      </c>
      <c r="D589" s="338" t="s">
        <v>1041</v>
      </c>
      <c r="E589" s="194" t="s">
        <v>874</v>
      </c>
      <c r="F589" s="144" t="s">
        <v>3</v>
      </c>
    </row>
    <row r="590" spans="1:6" customFormat="1" hidden="1">
      <c r="A590" s="338">
        <f t="shared" si="9"/>
        <v>588</v>
      </c>
      <c r="B590" s="338" t="s">
        <v>874</v>
      </c>
      <c r="C590" s="193">
        <v>12001345</v>
      </c>
      <c r="D590" s="338" t="s">
        <v>1042</v>
      </c>
      <c r="E590" s="194" t="s">
        <v>874</v>
      </c>
      <c r="F590" s="144" t="s">
        <v>3</v>
      </c>
    </row>
    <row r="591" spans="1:6" customFormat="1" hidden="1">
      <c r="A591" s="338">
        <f t="shared" si="9"/>
        <v>589</v>
      </c>
      <c r="B591" s="338" t="s">
        <v>874</v>
      </c>
      <c r="C591" s="193">
        <v>12001346</v>
      </c>
      <c r="D591" s="338" t="s">
        <v>1043</v>
      </c>
      <c r="E591" s="194" t="s">
        <v>874</v>
      </c>
      <c r="F591" s="144" t="s">
        <v>3</v>
      </c>
    </row>
    <row r="592" spans="1:6" customFormat="1" hidden="1">
      <c r="A592" s="338">
        <f t="shared" si="9"/>
        <v>590</v>
      </c>
      <c r="B592" s="338" t="s">
        <v>874</v>
      </c>
      <c r="C592" s="193">
        <v>12001347</v>
      </c>
      <c r="D592" s="338" t="s">
        <v>1044</v>
      </c>
      <c r="E592" s="194" t="s">
        <v>874</v>
      </c>
      <c r="F592" s="144" t="s">
        <v>3</v>
      </c>
    </row>
    <row r="593" spans="1:6" customFormat="1" hidden="1">
      <c r="A593" s="338">
        <f t="shared" si="9"/>
        <v>591</v>
      </c>
      <c r="B593" s="338" t="s">
        <v>874</v>
      </c>
      <c r="C593" s="193">
        <v>12001348</v>
      </c>
      <c r="D593" s="338" t="s">
        <v>1045</v>
      </c>
      <c r="E593" s="194" t="s">
        <v>874</v>
      </c>
      <c r="F593" s="144" t="s">
        <v>3</v>
      </c>
    </row>
    <row r="594" spans="1:6" customFormat="1" hidden="1">
      <c r="A594" s="338">
        <f t="shared" si="9"/>
        <v>592</v>
      </c>
      <c r="B594" s="338" t="s">
        <v>874</v>
      </c>
      <c r="C594" s="193">
        <v>12001349</v>
      </c>
      <c r="D594" s="338" t="s">
        <v>1046</v>
      </c>
      <c r="E594" s="194" t="s">
        <v>874</v>
      </c>
      <c r="F594" s="144" t="s">
        <v>3</v>
      </c>
    </row>
    <row r="595" spans="1:6" customFormat="1" hidden="1">
      <c r="A595" s="338">
        <f t="shared" si="9"/>
        <v>593</v>
      </c>
      <c r="B595" s="338" t="s">
        <v>874</v>
      </c>
      <c r="C595" s="193">
        <v>12001350</v>
      </c>
      <c r="D595" s="338" t="s">
        <v>1047</v>
      </c>
      <c r="E595" s="194" t="s">
        <v>874</v>
      </c>
      <c r="F595" s="144" t="s">
        <v>3</v>
      </c>
    </row>
    <row r="596" spans="1:6" customFormat="1" hidden="1">
      <c r="A596" s="338">
        <f t="shared" si="9"/>
        <v>594</v>
      </c>
      <c r="B596" s="338" t="s">
        <v>874</v>
      </c>
      <c r="C596" s="193">
        <v>12001351</v>
      </c>
      <c r="D596" s="338" t="s">
        <v>1048</v>
      </c>
      <c r="E596" s="194" t="s">
        <v>874</v>
      </c>
      <c r="F596" s="144" t="s">
        <v>3</v>
      </c>
    </row>
    <row r="597" spans="1:6" customFormat="1" hidden="1">
      <c r="A597" s="338">
        <f t="shared" si="9"/>
        <v>595</v>
      </c>
      <c r="B597" s="338" t="s">
        <v>874</v>
      </c>
      <c r="C597" s="193">
        <v>12001352</v>
      </c>
      <c r="D597" s="338" t="s">
        <v>1049</v>
      </c>
      <c r="E597" s="194" t="s">
        <v>874</v>
      </c>
      <c r="F597" s="144" t="s">
        <v>3</v>
      </c>
    </row>
    <row r="598" spans="1:6" customFormat="1" hidden="1">
      <c r="A598" s="338">
        <f t="shared" si="9"/>
        <v>596</v>
      </c>
      <c r="B598" s="338" t="s">
        <v>874</v>
      </c>
      <c r="C598" s="193">
        <v>12001353</v>
      </c>
      <c r="D598" s="338" t="s">
        <v>1050</v>
      </c>
      <c r="E598" s="194" t="s">
        <v>874</v>
      </c>
      <c r="F598" s="144" t="s">
        <v>3</v>
      </c>
    </row>
    <row r="599" spans="1:6" customFormat="1" hidden="1">
      <c r="A599" s="338">
        <f t="shared" si="9"/>
        <v>597</v>
      </c>
      <c r="B599" s="338" t="s">
        <v>874</v>
      </c>
      <c r="C599" s="193">
        <v>12001354</v>
      </c>
      <c r="D599" s="338" t="s">
        <v>1051</v>
      </c>
      <c r="E599" s="194" t="s">
        <v>874</v>
      </c>
      <c r="F599" s="144" t="s">
        <v>3</v>
      </c>
    </row>
    <row r="600" spans="1:6" customFormat="1" hidden="1">
      <c r="A600" s="338">
        <f t="shared" si="9"/>
        <v>598</v>
      </c>
      <c r="B600" s="338" t="s">
        <v>874</v>
      </c>
      <c r="C600" s="193">
        <v>12001355</v>
      </c>
      <c r="D600" s="338" t="s">
        <v>1052</v>
      </c>
      <c r="E600" s="194" t="s">
        <v>874</v>
      </c>
      <c r="F600" s="144" t="s">
        <v>3</v>
      </c>
    </row>
    <row r="601" spans="1:6" customFormat="1" hidden="1">
      <c r="A601" s="338">
        <f t="shared" si="9"/>
        <v>599</v>
      </c>
      <c r="B601" s="338" t="s">
        <v>874</v>
      </c>
      <c r="C601" s="193">
        <v>12001356</v>
      </c>
      <c r="D601" s="338" t="s">
        <v>1053</v>
      </c>
      <c r="E601" s="194" t="s">
        <v>874</v>
      </c>
      <c r="F601" s="144" t="s">
        <v>3</v>
      </c>
    </row>
    <row r="602" spans="1:6" customFormat="1" hidden="1">
      <c r="A602" s="338">
        <f t="shared" si="9"/>
        <v>600</v>
      </c>
      <c r="B602" s="338" t="s">
        <v>874</v>
      </c>
      <c r="C602" s="193">
        <v>12001357</v>
      </c>
      <c r="D602" s="338" t="s">
        <v>1054</v>
      </c>
      <c r="E602" s="194" t="s">
        <v>874</v>
      </c>
      <c r="F602" s="144" t="s">
        <v>3</v>
      </c>
    </row>
    <row r="603" spans="1:6" customFormat="1" hidden="1">
      <c r="A603" s="338">
        <f t="shared" si="9"/>
        <v>601</v>
      </c>
      <c r="B603" s="338" t="s">
        <v>874</v>
      </c>
      <c r="C603" s="193">
        <v>12001358</v>
      </c>
      <c r="D603" s="338" t="s">
        <v>1055</v>
      </c>
      <c r="E603" s="194" t="s">
        <v>874</v>
      </c>
      <c r="F603" s="144" t="s">
        <v>3</v>
      </c>
    </row>
    <row r="604" spans="1:6" customFormat="1" hidden="1">
      <c r="A604" s="338">
        <f t="shared" si="9"/>
        <v>602</v>
      </c>
      <c r="B604" s="338" t="s">
        <v>874</v>
      </c>
      <c r="C604" s="193">
        <v>12001418</v>
      </c>
      <c r="D604" s="338" t="s">
        <v>1056</v>
      </c>
      <c r="E604" s="194" t="s">
        <v>874</v>
      </c>
      <c r="F604" s="144" t="s">
        <v>3</v>
      </c>
    </row>
    <row r="605" spans="1:6" customFormat="1" hidden="1">
      <c r="A605" s="338">
        <f t="shared" si="9"/>
        <v>603</v>
      </c>
      <c r="B605" s="338" t="s">
        <v>874</v>
      </c>
      <c r="C605" s="193">
        <v>12001419</v>
      </c>
      <c r="D605" s="338" t="s">
        <v>1057</v>
      </c>
      <c r="E605" s="194" t="s">
        <v>874</v>
      </c>
      <c r="F605" s="144" t="s">
        <v>3</v>
      </c>
    </row>
    <row r="606" spans="1:6" customFormat="1" hidden="1">
      <c r="A606" s="338">
        <f t="shared" si="9"/>
        <v>604</v>
      </c>
      <c r="B606" s="338" t="s">
        <v>874</v>
      </c>
      <c r="C606" s="193">
        <v>12001420</v>
      </c>
      <c r="D606" s="338" t="s">
        <v>1058</v>
      </c>
      <c r="E606" s="194" t="s">
        <v>874</v>
      </c>
      <c r="F606" s="144" t="s">
        <v>3</v>
      </c>
    </row>
    <row r="607" spans="1:6" customFormat="1" hidden="1">
      <c r="A607" s="338">
        <f t="shared" si="9"/>
        <v>605</v>
      </c>
      <c r="B607" s="338" t="s">
        <v>874</v>
      </c>
      <c r="C607" s="193">
        <v>12001421</v>
      </c>
      <c r="D607" s="338" t="s">
        <v>1059</v>
      </c>
      <c r="E607" s="194" t="s">
        <v>874</v>
      </c>
      <c r="F607" s="144" t="s">
        <v>3</v>
      </c>
    </row>
    <row r="608" spans="1:6" customFormat="1" hidden="1">
      <c r="A608" s="338">
        <f t="shared" si="9"/>
        <v>606</v>
      </c>
      <c r="B608" s="338" t="s">
        <v>874</v>
      </c>
      <c r="C608" s="193">
        <v>12001422</v>
      </c>
      <c r="D608" s="338" t="s">
        <v>1060</v>
      </c>
      <c r="E608" s="194" t="s">
        <v>874</v>
      </c>
      <c r="F608" s="144" t="s">
        <v>3</v>
      </c>
    </row>
    <row r="609" spans="1:6" customFormat="1" hidden="1">
      <c r="A609" s="338">
        <f t="shared" si="9"/>
        <v>607</v>
      </c>
      <c r="B609" s="338" t="s">
        <v>874</v>
      </c>
      <c r="C609" s="193">
        <v>12001423</v>
      </c>
      <c r="D609" s="338" t="s">
        <v>1061</v>
      </c>
      <c r="E609" s="194" t="s">
        <v>874</v>
      </c>
      <c r="F609" s="144" t="s">
        <v>3</v>
      </c>
    </row>
    <row r="610" spans="1:6" customFormat="1" hidden="1">
      <c r="A610" s="338">
        <f t="shared" si="9"/>
        <v>608</v>
      </c>
      <c r="B610" s="338" t="s">
        <v>874</v>
      </c>
      <c r="C610" s="193">
        <v>12001424</v>
      </c>
      <c r="D610" s="338" t="s">
        <v>1062</v>
      </c>
      <c r="E610" s="194" t="s">
        <v>874</v>
      </c>
      <c r="F610" s="144" t="s">
        <v>3</v>
      </c>
    </row>
    <row r="611" spans="1:6" customFormat="1" hidden="1">
      <c r="A611" s="338">
        <f t="shared" si="9"/>
        <v>609</v>
      </c>
      <c r="B611" s="338" t="s">
        <v>874</v>
      </c>
      <c r="C611" s="193">
        <v>12001425</v>
      </c>
      <c r="D611" s="338" t="s">
        <v>1063</v>
      </c>
      <c r="E611" s="194" t="s">
        <v>874</v>
      </c>
      <c r="F611" s="144" t="s">
        <v>3</v>
      </c>
    </row>
    <row r="612" spans="1:6" customFormat="1" hidden="1">
      <c r="A612" s="338">
        <f t="shared" si="9"/>
        <v>610</v>
      </c>
      <c r="B612" s="338" t="s">
        <v>874</v>
      </c>
      <c r="C612" s="193">
        <v>12001426</v>
      </c>
      <c r="D612" s="338" t="s">
        <v>1064</v>
      </c>
      <c r="E612" s="194" t="s">
        <v>874</v>
      </c>
      <c r="F612" s="144" t="s">
        <v>3</v>
      </c>
    </row>
    <row r="613" spans="1:6" customFormat="1" hidden="1">
      <c r="A613" s="338">
        <f t="shared" si="9"/>
        <v>611</v>
      </c>
      <c r="B613" s="338" t="s">
        <v>874</v>
      </c>
      <c r="C613" s="193">
        <v>12001427</v>
      </c>
      <c r="D613" s="338" t="s">
        <v>1490</v>
      </c>
      <c r="E613" s="194" t="s">
        <v>874</v>
      </c>
      <c r="F613" s="144" t="s">
        <v>3</v>
      </c>
    </row>
    <row r="614" spans="1:6" customFormat="1" hidden="1">
      <c r="A614" s="338">
        <f t="shared" si="9"/>
        <v>612</v>
      </c>
      <c r="B614" s="338" t="s">
        <v>874</v>
      </c>
      <c r="C614" s="193">
        <v>12001428</v>
      </c>
      <c r="D614" s="338" t="s">
        <v>1491</v>
      </c>
      <c r="E614" s="194" t="s">
        <v>874</v>
      </c>
      <c r="F614" s="144" t="s">
        <v>3</v>
      </c>
    </row>
    <row r="615" spans="1:6" customFormat="1" hidden="1">
      <c r="A615" s="338">
        <f t="shared" si="9"/>
        <v>613</v>
      </c>
      <c r="B615" s="338" t="s">
        <v>874</v>
      </c>
      <c r="C615" s="193">
        <v>12001429</v>
      </c>
      <c r="D615" s="338" t="s">
        <v>1492</v>
      </c>
      <c r="E615" s="194" t="s">
        <v>874</v>
      </c>
      <c r="F615" s="144" t="s">
        <v>3</v>
      </c>
    </row>
    <row r="616" spans="1:6" customFormat="1" hidden="1">
      <c r="A616" s="338">
        <f t="shared" si="9"/>
        <v>614</v>
      </c>
      <c r="B616" s="338" t="s">
        <v>874</v>
      </c>
      <c r="C616" s="193">
        <v>12001430</v>
      </c>
      <c r="D616" s="338" t="s">
        <v>1493</v>
      </c>
      <c r="E616" s="194" t="s">
        <v>874</v>
      </c>
      <c r="F616" s="144" t="s">
        <v>3</v>
      </c>
    </row>
    <row r="617" spans="1:6" customFormat="1" hidden="1">
      <c r="A617" s="338">
        <f t="shared" si="9"/>
        <v>615</v>
      </c>
      <c r="B617" s="338" t="s">
        <v>874</v>
      </c>
      <c r="C617" s="193">
        <v>12001431</v>
      </c>
      <c r="D617" s="338" t="s">
        <v>1494</v>
      </c>
      <c r="E617" s="194" t="s">
        <v>874</v>
      </c>
      <c r="F617" s="144" t="s">
        <v>3</v>
      </c>
    </row>
    <row r="618" spans="1:6" customFormat="1" hidden="1">
      <c r="A618" s="338">
        <f t="shared" si="9"/>
        <v>616</v>
      </c>
      <c r="B618" s="338" t="s">
        <v>874</v>
      </c>
      <c r="C618" s="193">
        <v>12001432</v>
      </c>
      <c r="D618" s="338" t="s">
        <v>1495</v>
      </c>
      <c r="E618" s="194" t="s">
        <v>874</v>
      </c>
      <c r="F618" s="144" t="s">
        <v>3</v>
      </c>
    </row>
    <row r="619" spans="1:6" customFormat="1" hidden="1">
      <c r="A619" s="338">
        <f t="shared" si="9"/>
        <v>617</v>
      </c>
      <c r="B619" s="338" t="s">
        <v>874</v>
      </c>
      <c r="C619" s="193">
        <v>12001433</v>
      </c>
      <c r="D619" s="338" t="s">
        <v>1496</v>
      </c>
      <c r="E619" s="194" t="s">
        <v>874</v>
      </c>
      <c r="F619" s="144" t="s">
        <v>3</v>
      </c>
    </row>
    <row r="620" spans="1:6" customFormat="1" hidden="1">
      <c r="A620" s="338">
        <f t="shared" si="9"/>
        <v>618</v>
      </c>
      <c r="B620" s="338" t="s">
        <v>874</v>
      </c>
      <c r="C620" s="193">
        <v>12001434</v>
      </c>
      <c r="D620" s="338" t="s">
        <v>1497</v>
      </c>
      <c r="E620" s="194" t="s">
        <v>874</v>
      </c>
      <c r="F620" s="144" t="s">
        <v>3</v>
      </c>
    </row>
    <row r="621" spans="1:6" customFormat="1" hidden="1">
      <c r="A621" s="338">
        <f t="shared" si="9"/>
        <v>619</v>
      </c>
      <c r="B621" s="338" t="s">
        <v>874</v>
      </c>
      <c r="C621" s="193">
        <v>12001435</v>
      </c>
      <c r="D621" s="338" t="s">
        <v>1498</v>
      </c>
      <c r="E621" s="194" t="s">
        <v>874</v>
      </c>
      <c r="F621" s="144" t="s">
        <v>3</v>
      </c>
    </row>
    <row r="622" spans="1:6" customFormat="1" hidden="1">
      <c r="A622" s="338">
        <f t="shared" si="9"/>
        <v>620</v>
      </c>
      <c r="B622" s="338" t="s">
        <v>874</v>
      </c>
      <c r="C622" s="193">
        <v>12001436</v>
      </c>
      <c r="D622" s="338" t="s">
        <v>1065</v>
      </c>
      <c r="E622" s="194" t="s">
        <v>874</v>
      </c>
      <c r="F622" s="144" t="s">
        <v>3</v>
      </c>
    </row>
    <row r="623" spans="1:6" customFormat="1" hidden="1">
      <c r="A623" s="338">
        <f t="shared" si="9"/>
        <v>621</v>
      </c>
      <c r="B623" s="338" t="s">
        <v>874</v>
      </c>
      <c r="C623" s="193">
        <v>12001437</v>
      </c>
      <c r="D623" s="338" t="s">
        <v>1499</v>
      </c>
      <c r="E623" s="194" t="s">
        <v>874</v>
      </c>
      <c r="F623" s="144" t="s">
        <v>3</v>
      </c>
    </row>
    <row r="624" spans="1:6" customFormat="1" hidden="1">
      <c r="A624" s="338">
        <f t="shared" si="9"/>
        <v>622</v>
      </c>
      <c r="B624" s="338" t="s">
        <v>874</v>
      </c>
      <c r="C624" s="193">
        <v>12001438</v>
      </c>
      <c r="D624" s="338" t="s">
        <v>1500</v>
      </c>
      <c r="E624" s="194" t="s">
        <v>874</v>
      </c>
      <c r="F624" s="144" t="s">
        <v>3</v>
      </c>
    </row>
    <row r="625" spans="1:6" customFormat="1" hidden="1">
      <c r="A625" s="338">
        <f t="shared" si="9"/>
        <v>623</v>
      </c>
      <c r="B625" s="338" t="s">
        <v>874</v>
      </c>
      <c r="C625" s="193">
        <v>12001439</v>
      </c>
      <c r="D625" s="338" t="s">
        <v>1501</v>
      </c>
      <c r="E625" s="194" t="s">
        <v>874</v>
      </c>
      <c r="F625" s="144" t="s">
        <v>3</v>
      </c>
    </row>
    <row r="626" spans="1:6" customFormat="1" hidden="1">
      <c r="A626" s="338">
        <f t="shared" si="9"/>
        <v>624</v>
      </c>
      <c r="B626" s="338" t="s">
        <v>874</v>
      </c>
      <c r="C626" s="193">
        <v>12001440</v>
      </c>
      <c r="D626" s="338" t="s">
        <v>1066</v>
      </c>
      <c r="E626" s="194" t="s">
        <v>874</v>
      </c>
      <c r="F626" s="144" t="s">
        <v>3</v>
      </c>
    </row>
    <row r="627" spans="1:6" customFormat="1" hidden="1">
      <c r="A627" s="338">
        <f t="shared" si="9"/>
        <v>625</v>
      </c>
      <c r="B627" s="338" t="s">
        <v>874</v>
      </c>
      <c r="C627" s="193">
        <v>12001441</v>
      </c>
      <c r="D627" s="338" t="s">
        <v>1502</v>
      </c>
      <c r="E627" s="194" t="s">
        <v>874</v>
      </c>
      <c r="F627" s="144" t="s">
        <v>3</v>
      </c>
    </row>
    <row r="628" spans="1:6" customFormat="1" hidden="1">
      <c r="A628" s="338">
        <f t="shared" si="9"/>
        <v>626</v>
      </c>
      <c r="B628" s="338" t="s">
        <v>874</v>
      </c>
      <c r="C628" s="193">
        <v>12001442</v>
      </c>
      <c r="D628" s="338" t="s">
        <v>1067</v>
      </c>
      <c r="E628" s="194" t="s">
        <v>874</v>
      </c>
      <c r="F628" s="144" t="s">
        <v>3</v>
      </c>
    </row>
    <row r="629" spans="1:6" customFormat="1" hidden="1">
      <c r="A629" s="338">
        <f t="shared" si="9"/>
        <v>627</v>
      </c>
      <c r="B629" s="338" t="s">
        <v>874</v>
      </c>
      <c r="C629" s="193">
        <v>12001505</v>
      </c>
      <c r="D629" s="338" t="s">
        <v>1503</v>
      </c>
      <c r="E629" s="194" t="s">
        <v>874</v>
      </c>
      <c r="F629" s="144" t="s">
        <v>3</v>
      </c>
    </row>
    <row r="630" spans="1:6" customFormat="1" hidden="1">
      <c r="A630" s="338">
        <f t="shared" si="9"/>
        <v>628</v>
      </c>
      <c r="B630" s="338" t="s">
        <v>874</v>
      </c>
      <c r="C630" s="193">
        <v>12001506</v>
      </c>
      <c r="D630" s="338" t="s">
        <v>1504</v>
      </c>
      <c r="E630" s="194" t="s">
        <v>874</v>
      </c>
      <c r="F630" s="144" t="s">
        <v>3</v>
      </c>
    </row>
    <row r="631" spans="1:6" customFormat="1" hidden="1">
      <c r="A631" s="338">
        <f t="shared" si="9"/>
        <v>629</v>
      </c>
      <c r="B631" s="338" t="s">
        <v>874</v>
      </c>
      <c r="C631" s="193">
        <v>12001507</v>
      </c>
      <c r="D631" s="338" t="s">
        <v>1505</v>
      </c>
      <c r="E631" s="194" t="s">
        <v>874</v>
      </c>
      <c r="F631" s="144" t="s">
        <v>3</v>
      </c>
    </row>
    <row r="632" spans="1:6" customFormat="1" hidden="1">
      <c r="A632" s="338">
        <f t="shared" si="9"/>
        <v>630</v>
      </c>
      <c r="B632" s="338" t="s">
        <v>874</v>
      </c>
      <c r="C632" s="193">
        <v>12001508</v>
      </c>
      <c r="D632" s="338" t="s">
        <v>1068</v>
      </c>
      <c r="E632" s="194" t="s">
        <v>874</v>
      </c>
      <c r="F632" s="144" t="s">
        <v>3</v>
      </c>
    </row>
    <row r="633" spans="1:6" customFormat="1" hidden="1">
      <c r="A633" s="338">
        <f t="shared" si="9"/>
        <v>631</v>
      </c>
      <c r="B633" s="338" t="s">
        <v>874</v>
      </c>
      <c r="C633" s="193">
        <v>12001509</v>
      </c>
      <c r="D633" s="338" t="s">
        <v>1506</v>
      </c>
      <c r="E633" s="194" t="s">
        <v>874</v>
      </c>
      <c r="F633" s="144" t="s">
        <v>3</v>
      </c>
    </row>
    <row r="634" spans="1:6" customFormat="1" hidden="1">
      <c r="A634" s="338">
        <f t="shared" si="9"/>
        <v>632</v>
      </c>
      <c r="B634" s="338" t="s">
        <v>874</v>
      </c>
      <c r="C634" s="193">
        <v>12001510</v>
      </c>
      <c r="D634" s="338" t="s">
        <v>1507</v>
      </c>
      <c r="E634" s="194" t="s">
        <v>874</v>
      </c>
      <c r="F634" s="144" t="s">
        <v>3</v>
      </c>
    </row>
    <row r="635" spans="1:6" customFormat="1" hidden="1">
      <c r="A635" s="338">
        <f t="shared" si="9"/>
        <v>633</v>
      </c>
      <c r="B635" s="338" t="s">
        <v>874</v>
      </c>
      <c r="C635" s="193">
        <v>12001511</v>
      </c>
      <c r="D635" s="338" t="s">
        <v>1508</v>
      </c>
      <c r="E635" s="194" t="s">
        <v>874</v>
      </c>
      <c r="F635" s="144" t="s">
        <v>3</v>
      </c>
    </row>
    <row r="636" spans="1:6" customFormat="1" hidden="1">
      <c r="A636" s="338">
        <f t="shared" si="9"/>
        <v>634</v>
      </c>
      <c r="B636" s="338" t="s">
        <v>874</v>
      </c>
      <c r="C636" s="193">
        <v>12001512</v>
      </c>
      <c r="D636" s="338" t="s">
        <v>1069</v>
      </c>
      <c r="E636" s="194" t="s">
        <v>874</v>
      </c>
      <c r="F636" s="144" t="s">
        <v>3</v>
      </c>
    </row>
    <row r="637" spans="1:6" customFormat="1" hidden="1">
      <c r="A637" s="338">
        <f t="shared" si="9"/>
        <v>635</v>
      </c>
      <c r="B637" s="338" t="s">
        <v>874</v>
      </c>
      <c r="C637" s="193">
        <v>12001513</v>
      </c>
      <c r="D637" s="338" t="s">
        <v>1509</v>
      </c>
      <c r="E637" s="194" t="s">
        <v>874</v>
      </c>
      <c r="F637" s="144" t="s">
        <v>3</v>
      </c>
    </row>
    <row r="638" spans="1:6" customFormat="1" hidden="1">
      <c r="A638" s="338">
        <f t="shared" si="9"/>
        <v>636</v>
      </c>
      <c r="B638" s="338" t="s">
        <v>874</v>
      </c>
      <c r="C638" s="193">
        <v>12001514</v>
      </c>
      <c r="D638" s="338" t="s">
        <v>1510</v>
      </c>
      <c r="E638" s="194" t="s">
        <v>874</v>
      </c>
      <c r="F638" s="144" t="s">
        <v>3</v>
      </c>
    </row>
    <row r="639" spans="1:6" customFormat="1" hidden="1">
      <c r="A639" s="338">
        <f t="shared" si="9"/>
        <v>637</v>
      </c>
      <c r="B639" s="338" t="s">
        <v>874</v>
      </c>
      <c r="C639" s="193">
        <v>12001515</v>
      </c>
      <c r="D639" s="338" t="s">
        <v>1511</v>
      </c>
      <c r="E639" s="194" t="s">
        <v>874</v>
      </c>
      <c r="F639" s="144" t="s">
        <v>3</v>
      </c>
    </row>
    <row r="640" spans="1:6" customFormat="1" hidden="1">
      <c r="A640" s="338">
        <f t="shared" si="9"/>
        <v>638</v>
      </c>
      <c r="B640" s="338" t="s">
        <v>874</v>
      </c>
      <c r="C640" s="193">
        <v>12001516</v>
      </c>
      <c r="D640" s="338" t="s">
        <v>1512</v>
      </c>
      <c r="E640" s="194" t="s">
        <v>874</v>
      </c>
      <c r="F640" s="144" t="s">
        <v>3</v>
      </c>
    </row>
    <row r="641" spans="1:6" customFormat="1" hidden="1">
      <c r="A641" s="338">
        <f t="shared" si="9"/>
        <v>639</v>
      </c>
      <c r="B641" s="338" t="s">
        <v>874</v>
      </c>
      <c r="C641" s="193">
        <v>12001517</v>
      </c>
      <c r="D641" s="338" t="s">
        <v>1513</v>
      </c>
      <c r="E641" s="194" t="s">
        <v>874</v>
      </c>
      <c r="F641" s="144" t="s">
        <v>3</v>
      </c>
    </row>
    <row r="642" spans="1:6" customFormat="1" hidden="1">
      <c r="A642" s="338">
        <f t="shared" si="9"/>
        <v>640</v>
      </c>
      <c r="B642" s="338" t="s">
        <v>874</v>
      </c>
      <c r="C642" s="193">
        <v>12001518</v>
      </c>
      <c r="D642" s="338" t="s">
        <v>1514</v>
      </c>
      <c r="E642" s="194" t="s">
        <v>874</v>
      </c>
      <c r="F642" s="144" t="s">
        <v>3</v>
      </c>
    </row>
    <row r="643" spans="1:6" customFormat="1" hidden="1">
      <c r="A643" s="338">
        <f t="shared" si="9"/>
        <v>641</v>
      </c>
      <c r="B643" s="338" t="s">
        <v>874</v>
      </c>
      <c r="C643" s="193">
        <v>12001519</v>
      </c>
      <c r="D643" s="338" t="s">
        <v>1515</v>
      </c>
      <c r="E643" s="194" t="s">
        <v>874</v>
      </c>
      <c r="F643" s="144" t="s">
        <v>3</v>
      </c>
    </row>
    <row r="644" spans="1:6" customFormat="1" hidden="1">
      <c r="A644" s="338">
        <f t="shared" ref="A644:A707" si="10">A643+1</f>
        <v>642</v>
      </c>
      <c r="B644" s="338" t="s">
        <v>874</v>
      </c>
      <c r="C644" s="193">
        <v>12001520</v>
      </c>
      <c r="D644" s="338" t="s">
        <v>1516</v>
      </c>
      <c r="E644" s="194" t="s">
        <v>874</v>
      </c>
      <c r="F644" s="144" t="s">
        <v>3</v>
      </c>
    </row>
    <row r="645" spans="1:6" customFormat="1" hidden="1">
      <c r="A645" s="338">
        <f t="shared" si="10"/>
        <v>643</v>
      </c>
      <c r="B645" s="338" t="s">
        <v>874</v>
      </c>
      <c r="C645" s="193">
        <v>12001521</v>
      </c>
      <c r="D645" s="338" t="s">
        <v>1517</v>
      </c>
      <c r="E645" s="194" t="s">
        <v>874</v>
      </c>
      <c r="F645" s="144" t="s">
        <v>3</v>
      </c>
    </row>
    <row r="646" spans="1:6" customFormat="1" hidden="1">
      <c r="A646" s="338">
        <f t="shared" si="10"/>
        <v>644</v>
      </c>
      <c r="B646" s="338" t="s">
        <v>874</v>
      </c>
      <c r="C646" s="193">
        <v>12001522</v>
      </c>
      <c r="D646" s="338" t="s">
        <v>1518</v>
      </c>
      <c r="E646" s="194" t="s">
        <v>874</v>
      </c>
      <c r="F646" s="144" t="s">
        <v>3</v>
      </c>
    </row>
    <row r="647" spans="1:6" customFormat="1" hidden="1">
      <c r="A647" s="338">
        <f t="shared" si="10"/>
        <v>645</v>
      </c>
      <c r="B647" s="338" t="s">
        <v>874</v>
      </c>
      <c r="C647" s="193">
        <v>12001523</v>
      </c>
      <c r="D647" s="338" t="s">
        <v>1519</v>
      </c>
      <c r="E647" s="194" t="s">
        <v>874</v>
      </c>
      <c r="F647" s="144" t="s">
        <v>3</v>
      </c>
    </row>
    <row r="648" spans="1:6" customFormat="1" hidden="1">
      <c r="A648" s="338">
        <f t="shared" si="10"/>
        <v>646</v>
      </c>
      <c r="B648" s="338" t="s">
        <v>874</v>
      </c>
      <c r="C648" s="193">
        <v>12001524</v>
      </c>
      <c r="D648" s="338" t="s">
        <v>1070</v>
      </c>
      <c r="E648" s="194" t="s">
        <v>874</v>
      </c>
      <c r="F648" s="144" t="s">
        <v>3</v>
      </c>
    </row>
    <row r="649" spans="1:6" customFormat="1" hidden="1">
      <c r="A649" s="338">
        <f t="shared" si="10"/>
        <v>647</v>
      </c>
      <c r="B649" s="338" t="s">
        <v>874</v>
      </c>
      <c r="C649" s="193">
        <v>12001525</v>
      </c>
      <c r="D649" s="338" t="s">
        <v>1071</v>
      </c>
      <c r="E649" s="194" t="s">
        <v>874</v>
      </c>
      <c r="F649" s="144" t="s">
        <v>3</v>
      </c>
    </row>
    <row r="650" spans="1:6" customFormat="1" hidden="1">
      <c r="A650" s="338">
        <f t="shared" si="10"/>
        <v>648</v>
      </c>
      <c r="B650" s="338" t="s">
        <v>874</v>
      </c>
      <c r="C650" s="193">
        <v>12001526</v>
      </c>
      <c r="D650" s="338" t="s">
        <v>1072</v>
      </c>
      <c r="E650" s="194" t="s">
        <v>874</v>
      </c>
      <c r="F650" s="144" t="s">
        <v>3</v>
      </c>
    </row>
    <row r="651" spans="1:6" customFormat="1" hidden="1">
      <c r="A651" s="338">
        <f t="shared" si="10"/>
        <v>649</v>
      </c>
      <c r="B651" s="338" t="s">
        <v>874</v>
      </c>
      <c r="C651" s="193">
        <v>12001527</v>
      </c>
      <c r="D651" s="338" t="s">
        <v>1073</v>
      </c>
      <c r="E651" s="194" t="s">
        <v>874</v>
      </c>
      <c r="F651" s="144" t="s">
        <v>3</v>
      </c>
    </row>
    <row r="652" spans="1:6" customFormat="1" hidden="1">
      <c r="A652" s="338">
        <f t="shared" si="10"/>
        <v>650</v>
      </c>
      <c r="B652" s="338" t="s">
        <v>874</v>
      </c>
      <c r="C652" s="193">
        <v>12001528</v>
      </c>
      <c r="D652" s="338" t="s">
        <v>1520</v>
      </c>
      <c r="E652" s="194" t="s">
        <v>874</v>
      </c>
      <c r="F652" s="144" t="s">
        <v>3</v>
      </c>
    </row>
    <row r="653" spans="1:6" customFormat="1" hidden="1">
      <c r="A653" s="338">
        <f t="shared" si="10"/>
        <v>651</v>
      </c>
      <c r="B653" s="338" t="s">
        <v>874</v>
      </c>
      <c r="C653" s="193">
        <v>12001529</v>
      </c>
      <c r="D653" s="338" t="s">
        <v>1521</v>
      </c>
      <c r="E653" s="194" t="s">
        <v>874</v>
      </c>
      <c r="F653" s="144" t="s">
        <v>3</v>
      </c>
    </row>
    <row r="654" spans="1:6" customFormat="1" hidden="1">
      <c r="A654" s="338">
        <f t="shared" si="10"/>
        <v>652</v>
      </c>
      <c r="B654" s="338" t="s">
        <v>874</v>
      </c>
      <c r="C654" s="193">
        <v>12001531</v>
      </c>
      <c r="D654" s="338" t="s">
        <v>1522</v>
      </c>
      <c r="E654" s="194" t="s">
        <v>874</v>
      </c>
      <c r="F654" s="144" t="s">
        <v>3</v>
      </c>
    </row>
    <row r="655" spans="1:6" customFormat="1" hidden="1">
      <c r="A655" s="338">
        <f t="shared" si="10"/>
        <v>653</v>
      </c>
      <c r="B655" s="338" t="s">
        <v>874</v>
      </c>
      <c r="C655" s="193">
        <v>12001532</v>
      </c>
      <c r="D655" s="338" t="s">
        <v>1074</v>
      </c>
      <c r="E655" s="194" t="s">
        <v>874</v>
      </c>
      <c r="F655" s="144" t="s">
        <v>3</v>
      </c>
    </row>
    <row r="656" spans="1:6" customFormat="1" hidden="1">
      <c r="A656" s="338">
        <f t="shared" si="10"/>
        <v>654</v>
      </c>
      <c r="B656" s="338" t="s">
        <v>874</v>
      </c>
      <c r="C656" s="193">
        <v>12001533</v>
      </c>
      <c r="D656" s="338" t="s">
        <v>1523</v>
      </c>
      <c r="E656" s="194" t="s">
        <v>874</v>
      </c>
      <c r="F656" s="144" t="s">
        <v>3</v>
      </c>
    </row>
    <row r="657" spans="1:6" customFormat="1" hidden="1">
      <c r="A657" s="338">
        <f t="shared" si="10"/>
        <v>655</v>
      </c>
      <c r="B657" s="338" t="s">
        <v>874</v>
      </c>
      <c r="C657" s="193">
        <v>12001534</v>
      </c>
      <c r="D657" s="338" t="s">
        <v>1524</v>
      </c>
      <c r="E657" s="194" t="s">
        <v>874</v>
      </c>
      <c r="F657" s="144" t="s">
        <v>3</v>
      </c>
    </row>
    <row r="658" spans="1:6" customFormat="1" hidden="1">
      <c r="A658" s="338">
        <f t="shared" si="10"/>
        <v>656</v>
      </c>
      <c r="B658" s="338" t="s">
        <v>874</v>
      </c>
      <c r="C658" s="193">
        <v>12001535</v>
      </c>
      <c r="D658" s="338" t="s">
        <v>1525</v>
      </c>
      <c r="E658" s="194" t="s">
        <v>874</v>
      </c>
      <c r="F658" s="144" t="s">
        <v>3</v>
      </c>
    </row>
    <row r="659" spans="1:6" customFormat="1" hidden="1">
      <c r="A659" s="338">
        <f t="shared" si="10"/>
        <v>657</v>
      </c>
      <c r="B659" s="338" t="s">
        <v>874</v>
      </c>
      <c r="C659" s="193">
        <v>12001536</v>
      </c>
      <c r="D659" s="338" t="s">
        <v>1526</v>
      </c>
      <c r="E659" s="194" t="s">
        <v>874</v>
      </c>
      <c r="F659" s="144" t="s">
        <v>3</v>
      </c>
    </row>
    <row r="660" spans="1:6" customFormat="1" hidden="1">
      <c r="A660" s="338">
        <f t="shared" si="10"/>
        <v>658</v>
      </c>
      <c r="B660" s="338" t="s">
        <v>874</v>
      </c>
      <c r="C660" s="193">
        <v>12001537</v>
      </c>
      <c r="D660" s="338" t="s">
        <v>1527</v>
      </c>
      <c r="E660" s="194" t="s">
        <v>874</v>
      </c>
      <c r="F660" s="144" t="s">
        <v>3</v>
      </c>
    </row>
    <row r="661" spans="1:6" customFormat="1" hidden="1">
      <c r="A661" s="338">
        <f t="shared" si="10"/>
        <v>659</v>
      </c>
      <c r="B661" s="338" t="s">
        <v>874</v>
      </c>
      <c r="C661" s="193">
        <v>12001538</v>
      </c>
      <c r="D661" s="338" t="s">
        <v>1528</v>
      </c>
      <c r="E661" s="194" t="s">
        <v>874</v>
      </c>
      <c r="F661" s="144" t="s">
        <v>3</v>
      </c>
    </row>
    <row r="662" spans="1:6" customFormat="1" hidden="1">
      <c r="A662" s="338">
        <f t="shared" si="10"/>
        <v>660</v>
      </c>
      <c r="B662" s="338" t="s">
        <v>874</v>
      </c>
      <c r="C662" s="193">
        <v>12001539</v>
      </c>
      <c r="D662" s="338" t="s">
        <v>1075</v>
      </c>
      <c r="E662" s="194" t="s">
        <v>874</v>
      </c>
      <c r="F662" s="144" t="s">
        <v>3</v>
      </c>
    </row>
    <row r="663" spans="1:6" customFormat="1" hidden="1">
      <c r="A663" s="338">
        <f t="shared" si="10"/>
        <v>661</v>
      </c>
      <c r="B663" s="338" t="s">
        <v>874</v>
      </c>
      <c r="C663" s="193">
        <v>12001540</v>
      </c>
      <c r="D663" s="338" t="s">
        <v>1365</v>
      </c>
      <c r="E663" s="194" t="s">
        <v>874</v>
      </c>
      <c r="F663" s="144" t="s">
        <v>3</v>
      </c>
    </row>
    <row r="664" spans="1:6" customFormat="1" hidden="1">
      <c r="A664" s="338">
        <f t="shared" si="10"/>
        <v>662</v>
      </c>
      <c r="B664" s="338" t="s">
        <v>874</v>
      </c>
      <c r="C664" s="193">
        <v>12001541</v>
      </c>
      <c r="D664" s="338" t="s">
        <v>1529</v>
      </c>
      <c r="E664" s="194" t="s">
        <v>874</v>
      </c>
      <c r="F664" s="144" t="s">
        <v>3</v>
      </c>
    </row>
    <row r="665" spans="1:6" customFormat="1" hidden="1">
      <c r="A665" s="338">
        <f t="shared" si="10"/>
        <v>663</v>
      </c>
      <c r="B665" s="338" t="s">
        <v>874</v>
      </c>
      <c r="C665" s="193">
        <v>12001542</v>
      </c>
      <c r="D665" s="338" t="s">
        <v>1530</v>
      </c>
      <c r="E665" s="194" t="s">
        <v>874</v>
      </c>
      <c r="F665" s="144" t="s">
        <v>3</v>
      </c>
    </row>
    <row r="666" spans="1:6" customFormat="1" hidden="1">
      <c r="A666" s="338">
        <f t="shared" si="10"/>
        <v>664</v>
      </c>
      <c r="B666" s="338" t="s">
        <v>874</v>
      </c>
      <c r="C666" s="193">
        <v>12001543</v>
      </c>
      <c r="D666" s="338" t="s">
        <v>1531</v>
      </c>
      <c r="E666" s="194" t="s">
        <v>874</v>
      </c>
      <c r="F666" s="144" t="s">
        <v>3</v>
      </c>
    </row>
    <row r="667" spans="1:6" customFormat="1" hidden="1">
      <c r="A667" s="338">
        <f t="shared" si="10"/>
        <v>665</v>
      </c>
      <c r="B667" s="338" t="s">
        <v>874</v>
      </c>
      <c r="C667" s="193">
        <v>12001544</v>
      </c>
      <c r="D667" s="338" t="s">
        <v>1076</v>
      </c>
      <c r="E667" s="194" t="s">
        <v>874</v>
      </c>
      <c r="F667" s="144" t="s">
        <v>3</v>
      </c>
    </row>
    <row r="668" spans="1:6" customFormat="1" hidden="1">
      <c r="A668" s="338">
        <f t="shared" si="10"/>
        <v>666</v>
      </c>
      <c r="B668" s="338" t="s">
        <v>874</v>
      </c>
      <c r="C668" s="193">
        <v>12001545</v>
      </c>
      <c r="D668" s="338" t="s">
        <v>1532</v>
      </c>
      <c r="E668" s="194" t="s">
        <v>874</v>
      </c>
      <c r="F668" s="144" t="s">
        <v>3</v>
      </c>
    </row>
    <row r="669" spans="1:6" customFormat="1" hidden="1">
      <c r="A669" s="338">
        <f t="shared" si="10"/>
        <v>667</v>
      </c>
      <c r="B669" s="338" t="s">
        <v>874</v>
      </c>
      <c r="C669" s="193">
        <v>12001546</v>
      </c>
      <c r="D669" s="338" t="s">
        <v>1077</v>
      </c>
      <c r="E669" s="194" t="s">
        <v>874</v>
      </c>
      <c r="F669" s="144" t="s">
        <v>3</v>
      </c>
    </row>
    <row r="670" spans="1:6" customFormat="1" hidden="1">
      <c r="A670" s="338">
        <f t="shared" si="10"/>
        <v>668</v>
      </c>
      <c r="B670" s="338" t="s">
        <v>874</v>
      </c>
      <c r="C670" s="193">
        <v>12001547</v>
      </c>
      <c r="D670" s="338" t="s">
        <v>1533</v>
      </c>
      <c r="E670" s="194" t="s">
        <v>874</v>
      </c>
      <c r="F670" s="144" t="s">
        <v>3</v>
      </c>
    </row>
    <row r="671" spans="1:6" customFormat="1" hidden="1">
      <c r="A671" s="338">
        <f t="shared" si="10"/>
        <v>669</v>
      </c>
      <c r="B671" s="338" t="s">
        <v>874</v>
      </c>
      <c r="C671" s="193">
        <v>12001548</v>
      </c>
      <c r="D671" s="338" t="s">
        <v>1534</v>
      </c>
      <c r="E671" s="194" t="s">
        <v>874</v>
      </c>
      <c r="F671" s="144" t="s">
        <v>3</v>
      </c>
    </row>
    <row r="672" spans="1:6" customFormat="1" hidden="1">
      <c r="A672" s="338">
        <f t="shared" si="10"/>
        <v>670</v>
      </c>
      <c r="B672" s="338" t="s">
        <v>874</v>
      </c>
      <c r="C672" s="193">
        <v>12001549</v>
      </c>
      <c r="D672" s="338" t="s">
        <v>1078</v>
      </c>
      <c r="E672" s="194" t="s">
        <v>874</v>
      </c>
      <c r="F672" s="144" t="s">
        <v>3</v>
      </c>
    </row>
    <row r="673" spans="1:6" customFormat="1" hidden="1">
      <c r="A673" s="338">
        <f t="shared" si="10"/>
        <v>671</v>
      </c>
      <c r="B673" s="338" t="s">
        <v>874</v>
      </c>
      <c r="C673" s="193">
        <v>12001550</v>
      </c>
      <c r="D673" s="338" t="s">
        <v>1535</v>
      </c>
      <c r="E673" s="194" t="s">
        <v>874</v>
      </c>
      <c r="F673" s="144" t="s">
        <v>3</v>
      </c>
    </row>
    <row r="674" spans="1:6" customFormat="1" hidden="1">
      <c r="A674" s="338">
        <f t="shared" si="10"/>
        <v>672</v>
      </c>
      <c r="B674" s="338" t="s">
        <v>874</v>
      </c>
      <c r="C674" s="193">
        <v>12001551</v>
      </c>
      <c r="D674" s="338" t="s">
        <v>1079</v>
      </c>
      <c r="E674" s="194" t="s">
        <v>874</v>
      </c>
      <c r="F674" s="144" t="s">
        <v>3</v>
      </c>
    </row>
    <row r="675" spans="1:6" customFormat="1" hidden="1">
      <c r="A675" s="338">
        <f t="shared" si="10"/>
        <v>673</v>
      </c>
      <c r="B675" s="338" t="s">
        <v>874</v>
      </c>
      <c r="C675" s="193">
        <v>12001552</v>
      </c>
      <c r="D675" s="338" t="s">
        <v>1080</v>
      </c>
      <c r="E675" s="194" t="s">
        <v>874</v>
      </c>
      <c r="F675" s="144" t="s">
        <v>3</v>
      </c>
    </row>
    <row r="676" spans="1:6" customFormat="1" hidden="1">
      <c r="A676" s="338">
        <f t="shared" si="10"/>
        <v>674</v>
      </c>
      <c r="B676" s="338" t="s">
        <v>874</v>
      </c>
      <c r="C676" s="193">
        <v>12001553</v>
      </c>
      <c r="D676" s="338" t="s">
        <v>1536</v>
      </c>
      <c r="E676" s="194" t="s">
        <v>874</v>
      </c>
      <c r="F676" s="144" t="s">
        <v>3</v>
      </c>
    </row>
    <row r="677" spans="1:6" customFormat="1" hidden="1">
      <c r="A677" s="338">
        <f t="shared" si="10"/>
        <v>675</v>
      </c>
      <c r="B677" s="338" t="s">
        <v>874</v>
      </c>
      <c r="C677" s="193">
        <v>12001554</v>
      </c>
      <c r="D677" s="338" t="s">
        <v>1537</v>
      </c>
      <c r="E677" s="194" t="s">
        <v>874</v>
      </c>
      <c r="F677" s="144" t="s">
        <v>3</v>
      </c>
    </row>
    <row r="678" spans="1:6" customFormat="1" hidden="1">
      <c r="A678" s="338">
        <f t="shared" si="10"/>
        <v>676</v>
      </c>
      <c r="B678" s="338" t="s">
        <v>874</v>
      </c>
      <c r="C678" s="193">
        <v>12001555</v>
      </c>
      <c r="D678" s="338" t="s">
        <v>1538</v>
      </c>
      <c r="E678" s="194" t="s">
        <v>874</v>
      </c>
      <c r="F678" s="144" t="s">
        <v>3</v>
      </c>
    </row>
    <row r="679" spans="1:6" customFormat="1" hidden="1">
      <c r="A679" s="338">
        <f t="shared" si="10"/>
        <v>677</v>
      </c>
      <c r="B679" s="338" t="s">
        <v>874</v>
      </c>
      <c r="C679" s="193">
        <v>12001665</v>
      </c>
      <c r="D679" s="338" t="s">
        <v>1539</v>
      </c>
      <c r="E679" s="194" t="s">
        <v>874</v>
      </c>
      <c r="F679" s="144" t="s">
        <v>3</v>
      </c>
    </row>
    <row r="680" spans="1:6" customFormat="1" hidden="1">
      <c r="A680" s="338">
        <f t="shared" si="10"/>
        <v>678</v>
      </c>
      <c r="B680" s="338" t="s">
        <v>874</v>
      </c>
      <c r="C680" s="193">
        <v>12001666</v>
      </c>
      <c r="D680" s="338" t="s">
        <v>1540</v>
      </c>
      <c r="E680" s="194" t="s">
        <v>874</v>
      </c>
      <c r="F680" s="144" t="s">
        <v>3</v>
      </c>
    </row>
    <row r="681" spans="1:6" customFormat="1" hidden="1">
      <c r="A681" s="338">
        <f t="shared" si="10"/>
        <v>679</v>
      </c>
      <c r="B681" s="338" t="s">
        <v>874</v>
      </c>
      <c r="C681" s="193">
        <v>12001667</v>
      </c>
      <c r="D681" s="338" t="s">
        <v>1081</v>
      </c>
      <c r="E681" s="194" t="s">
        <v>874</v>
      </c>
      <c r="F681" s="144" t="s">
        <v>3</v>
      </c>
    </row>
    <row r="682" spans="1:6" customFormat="1" hidden="1">
      <c r="A682" s="338">
        <f t="shared" si="10"/>
        <v>680</v>
      </c>
      <c r="B682" s="338" t="s">
        <v>874</v>
      </c>
      <c r="C682" s="193">
        <v>12001668</v>
      </c>
      <c r="D682" s="338" t="s">
        <v>1541</v>
      </c>
      <c r="E682" s="194" t="s">
        <v>874</v>
      </c>
      <c r="F682" s="144" t="s">
        <v>3</v>
      </c>
    </row>
    <row r="683" spans="1:6" customFormat="1" hidden="1">
      <c r="A683" s="338">
        <f t="shared" si="10"/>
        <v>681</v>
      </c>
      <c r="B683" s="338" t="s">
        <v>874</v>
      </c>
      <c r="C683" s="193">
        <v>12001669</v>
      </c>
      <c r="D683" s="338" t="s">
        <v>1082</v>
      </c>
      <c r="E683" s="194" t="s">
        <v>874</v>
      </c>
      <c r="F683" s="144" t="s">
        <v>3</v>
      </c>
    </row>
    <row r="684" spans="1:6" customFormat="1" hidden="1">
      <c r="A684" s="338">
        <f t="shared" si="10"/>
        <v>682</v>
      </c>
      <c r="B684" s="338" t="s">
        <v>874</v>
      </c>
      <c r="C684" s="193">
        <v>12001670</v>
      </c>
      <c r="D684" s="338" t="s">
        <v>1542</v>
      </c>
      <c r="E684" s="194" t="s">
        <v>874</v>
      </c>
      <c r="F684" s="144" t="s">
        <v>3</v>
      </c>
    </row>
    <row r="685" spans="1:6" customFormat="1" hidden="1">
      <c r="A685" s="338">
        <f t="shared" si="10"/>
        <v>683</v>
      </c>
      <c r="B685" s="338" t="s">
        <v>874</v>
      </c>
      <c r="C685" s="193">
        <v>12001671</v>
      </c>
      <c r="D685" s="338" t="s">
        <v>1543</v>
      </c>
      <c r="E685" s="194" t="s">
        <v>874</v>
      </c>
      <c r="F685" s="144" t="s">
        <v>3</v>
      </c>
    </row>
    <row r="686" spans="1:6" customFormat="1" hidden="1">
      <c r="A686" s="338">
        <f t="shared" si="10"/>
        <v>684</v>
      </c>
      <c r="B686" s="338" t="s">
        <v>874</v>
      </c>
      <c r="C686" s="193">
        <v>12001672</v>
      </c>
      <c r="D686" s="338" t="s">
        <v>1544</v>
      </c>
      <c r="E686" s="194" t="s">
        <v>874</v>
      </c>
      <c r="F686" s="144" t="s">
        <v>3</v>
      </c>
    </row>
    <row r="687" spans="1:6" customFormat="1" hidden="1">
      <c r="A687" s="338">
        <f t="shared" si="10"/>
        <v>685</v>
      </c>
      <c r="B687" s="338" t="s">
        <v>874</v>
      </c>
      <c r="C687" s="193">
        <v>12001673</v>
      </c>
      <c r="D687" s="338" t="s">
        <v>1545</v>
      </c>
      <c r="E687" s="194" t="s">
        <v>874</v>
      </c>
      <c r="F687" s="144" t="s">
        <v>3</v>
      </c>
    </row>
    <row r="688" spans="1:6" customFormat="1" hidden="1">
      <c r="A688" s="338">
        <f t="shared" si="10"/>
        <v>686</v>
      </c>
      <c r="B688" s="338" t="s">
        <v>874</v>
      </c>
      <c r="C688" s="193">
        <v>12001674</v>
      </c>
      <c r="D688" s="338" t="s">
        <v>1546</v>
      </c>
      <c r="E688" s="194" t="s">
        <v>874</v>
      </c>
      <c r="F688" s="144" t="s">
        <v>3</v>
      </c>
    </row>
    <row r="689" spans="1:6" customFormat="1" hidden="1">
      <c r="A689" s="338">
        <f t="shared" si="10"/>
        <v>687</v>
      </c>
      <c r="B689" s="338" t="s">
        <v>874</v>
      </c>
      <c r="C689" s="193">
        <v>12001675</v>
      </c>
      <c r="D689" s="338" t="s">
        <v>1547</v>
      </c>
      <c r="E689" s="194" t="s">
        <v>874</v>
      </c>
      <c r="F689" s="144" t="s">
        <v>3</v>
      </c>
    </row>
    <row r="690" spans="1:6" customFormat="1" hidden="1">
      <c r="A690" s="338">
        <f t="shared" si="10"/>
        <v>688</v>
      </c>
      <c r="B690" s="338" t="s">
        <v>874</v>
      </c>
      <c r="C690" s="193">
        <v>12001676</v>
      </c>
      <c r="D690" s="338" t="s">
        <v>1083</v>
      </c>
      <c r="E690" s="194" t="s">
        <v>874</v>
      </c>
      <c r="F690" s="144" t="s">
        <v>3</v>
      </c>
    </row>
    <row r="691" spans="1:6" customFormat="1" hidden="1">
      <c r="A691" s="338">
        <f t="shared" si="10"/>
        <v>689</v>
      </c>
      <c r="B691" s="338" t="s">
        <v>874</v>
      </c>
      <c r="C691" s="193">
        <v>12001677</v>
      </c>
      <c r="D691" s="338" t="s">
        <v>1548</v>
      </c>
      <c r="E691" s="194" t="s">
        <v>874</v>
      </c>
      <c r="F691" s="144" t="s">
        <v>3</v>
      </c>
    </row>
    <row r="692" spans="1:6" customFormat="1" hidden="1">
      <c r="A692" s="338">
        <f t="shared" si="10"/>
        <v>690</v>
      </c>
      <c r="B692" s="338" t="s">
        <v>874</v>
      </c>
      <c r="C692" s="193">
        <v>12001678</v>
      </c>
      <c r="D692" s="338" t="s">
        <v>1549</v>
      </c>
      <c r="E692" s="194" t="s">
        <v>874</v>
      </c>
      <c r="F692" s="144" t="s">
        <v>3</v>
      </c>
    </row>
    <row r="693" spans="1:6" customFormat="1" hidden="1">
      <c r="A693" s="338">
        <f t="shared" si="10"/>
        <v>691</v>
      </c>
      <c r="B693" s="338" t="s">
        <v>874</v>
      </c>
      <c r="C693" s="193">
        <v>12001678</v>
      </c>
      <c r="D693" s="338" t="s">
        <v>1084</v>
      </c>
      <c r="E693" s="194" t="s">
        <v>874</v>
      </c>
      <c r="F693" s="144" t="s">
        <v>3</v>
      </c>
    </row>
    <row r="694" spans="1:6" customFormat="1" hidden="1">
      <c r="A694" s="338">
        <f t="shared" si="10"/>
        <v>692</v>
      </c>
      <c r="B694" s="338" t="s">
        <v>874</v>
      </c>
      <c r="C694" s="193">
        <v>12001679</v>
      </c>
      <c r="D694" s="338" t="s">
        <v>1550</v>
      </c>
      <c r="E694" s="194" t="s">
        <v>874</v>
      </c>
      <c r="F694" s="144" t="s">
        <v>3</v>
      </c>
    </row>
    <row r="695" spans="1:6" customFormat="1" hidden="1">
      <c r="A695" s="338">
        <f t="shared" si="10"/>
        <v>693</v>
      </c>
      <c r="B695" s="338" t="s">
        <v>874</v>
      </c>
      <c r="C695" s="193">
        <v>12001679</v>
      </c>
      <c r="D695" s="338" t="s">
        <v>1085</v>
      </c>
      <c r="E695" s="194" t="s">
        <v>874</v>
      </c>
      <c r="F695" s="144" t="s">
        <v>3</v>
      </c>
    </row>
    <row r="696" spans="1:6" customFormat="1" hidden="1">
      <c r="A696" s="338">
        <f t="shared" si="10"/>
        <v>694</v>
      </c>
      <c r="B696" s="338" t="s">
        <v>874</v>
      </c>
      <c r="C696" s="193">
        <v>12001680</v>
      </c>
      <c r="D696" s="338" t="s">
        <v>1551</v>
      </c>
      <c r="E696" s="194" t="s">
        <v>874</v>
      </c>
      <c r="F696" s="144" t="s">
        <v>3</v>
      </c>
    </row>
    <row r="697" spans="1:6" customFormat="1" hidden="1">
      <c r="A697" s="338">
        <f t="shared" si="10"/>
        <v>695</v>
      </c>
      <c r="B697" s="338" t="s">
        <v>874</v>
      </c>
      <c r="C697" s="193">
        <v>12001680</v>
      </c>
      <c r="D697" s="338" t="s">
        <v>1086</v>
      </c>
      <c r="E697" s="194" t="s">
        <v>874</v>
      </c>
      <c r="F697" s="144" t="s">
        <v>3</v>
      </c>
    </row>
    <row r="698" spans="1:6" customFormat="1" hidden="1">
      <c r="A698" s="338">
        <f t="shared" si="10"/>
        <v>696</v>
      </c>
      <c r="B698" s="338" t="s">
        <v>874</v>
      </c>
      <c r="C698" s="193">
        <v>12001681</v>
      </c>
      <c r="D698" s="338" t="s">
        <v>1087</v>
      </c>
      <c r="E698" s="194" t="s">
        <v>874</v>
      </c>
      <c r="F698" s="144" t="s">
        <v>3</v>
      </c>
    </row>
    <row r="699" spans="1:6" customFormat="1" hidden="1">
      <c r="A699" s="338">
        <f t="shared" si="10"/>
        <v>697</v>
      </c>
      <c r="B699" s="338" t="s">
        <v>874</v>
      </c>
      <c r="C699" s="193">
        <v>12001681</v>
      </c>
      <c r="D699" s="338" t="s">
        <v>1552</v>
      </c>
      <c r="E699" s="194" t="s">
        <v>874</v>
      </c>
      <c r="F699" s="144" t="s">
        <v>3</v>
      </c>
    </row>
    <row r="700" spans="1:6" customFormat="1" hidden="1">
      <c r="A700" s="338">
        <f t="shared" si="10"/>
        <v>698</v>
      </c>
      <c r="B700" s="338" t="s">
        <v>874</v>
      </c>
      <c r="C700" s="193">
        <v>12001682</v>
      </c>
      <c r="D700" s="338" t="s">
        <v>1553</v>
      </c>
      <c r="E700" s="194" t="s">
        <v>874</v>
      </c>
      <c r="F700" s="144" t="s">
        <v>3</v>
      </c>
    </row>
    <row r="701" spans="1:6" customFormat="1" hidden="1">
      <c r="A701" s="338">
        <f t="shared" si="10"/>
        <v>699</v>
      </c>
      <c r="B701" s="338" t="s">
        <v>874</v>
      </c>
      <c r="C701" s="193">
        <v>12001682</v>
      </c>
      <c r="D701" s="338" t="s">
        <v>1088</v>
      </c>
      <c r="E701" s="194" t="s">
        <v>874</v>
      </c>
      <c r="F701" s="144" t="s">
        <v>3</v>
      </c>
    </row>
    <row r="702" spans="1:6" customFormat="1" hidden="1">
      <c r="A702" s="338">
        <f t="shared" si="10"/>
        <v>700</v>
      </c>
      <c r="B702" s="338" t="s">
        <v>874</v>
      </c>
      <c r="C702" s="193">
        <v>12001683</v>
      </c>
      <c r="D702" s="338" t="s">
        <v>1554</v>
      </c>
      <c r="E702" s="194" t="s">
        <v>874</v>
      </c>
      <c r="F702" s="144" t="s">
        <v>3</v>
      </c>
    </row>
    <row r="703" spans="1:6" customFormat="1" hidden="1">
      <c r="A703" s="338">
        <f t="shared" si="10"/>
        <v>701</v>
      </c>
      <c r="B703" s="338" t="s">
        <v>874</v>
      </c>
      <c r="C703" s="193">
        <v>12001683</v>
      </c>
      <c r="D703" s="338" t="s">
        <v>1089</v>
      </c>
      <c r="E703" s="194" t="s">
        <v>874</v>
      </c>
      <c r="F703" s="144" t="s">
        <v>3</v>
      </c>
    </row>
    <row r="704" spans="1:6" customFormat="1" hidden="1">
      <c r="A704" s="338">
        <f t="shared" si="10"/>
        <v>702</v>
      </c>
      <c r="B704" s="338" t="s">
        <v>874</v>
      </c>
      <c r="C704" s="193">
        <v>12001684</v>
      </c>
      <c r="D704" s="338" t="s">
        <v>1090</v>
      </c>
      <c r="E704" s="194" t="s">
        <v>874</v>
      </c>
      <c r="F704" s="144" t="s">
        <v>3</v>
      </c>
    </row>
    <row r="705" spans="1:6" customFormat="1" hidden="1">
      <c r="A705" s="338">
        <f t="shared" si="10"/>
        <v>703</v>
      </c>
      <c r="B705" s="338" t="s">
        <v>874</v>
      </c>
      <c r="C705" s="193">
        <v>12001684</v>
      </c>
      <c r="D705" s="338" t="s">
        <v>1091</v>
      </c>
      <c r="E705" s="194" t="s">
        <v>874</v>
      </c>
      <c r="F705" s="144" t="s">
        <v>3</v>
      </c>
    </row>
    <row r="706" spans="1:6" customFormat="1" hidden="1">
      <c r="A706" s="338">
        <f t="shared" si="10"/>
        <v>704</v>
      </c>
      <c r="B706" s="338" t="s">
        <v>874</v>
      </c>
      <c r="C706" s="193">
        <v>12001685</v>
      </c>
      <c r="D706" s="338" t="s">
        <v>1092</v>
      </c>
      <c r="E706" s="194" t="s">
        <v>874</v>
      </c>
      <c r="F706" s="144" t="s">
        <v>3</v>
      </c>
    </row>
    <row r="707" spans="1:6" customFormat="1" hidden="1">
      <c r="A707" s="338">
        <f t="shared" si="10"/>
        <v>705</v>
      </c>
      <c r="B707" s="338" t="s">
        <v>874</v>
      </c>
      <c r="C707" s="193">
        <v>12001685</v>
      </c>
      <c r="D707" s="338" t="s">
        <v>1093</v>
      </c>
      <c r="E707" s="194" t="s">
        <v>874</v>
      </c>
      <c r="F707" s="144" t="s">
        <v>3</v>
      </c>
    </row>
    <row r="708" spans="1:6" customFormat="1" hidden="1">
      <c r="A708" s="338">
        <f t="shared" ref="A708:A771" si="11">A707+1</f>
        <v>706</v>
      </c>
      <c r="B708" s="338" t="s">
        <v>874</v>
      </c>
      <c r="C708" s="193">
        <v>12001686</v>
      </c>
      <c r="D708" s="338" t="s">
        <v>1094</v>
      </c>
      <c r="E708" s="194" t="s">
        <v>874</v>
      </c>
      <c r="F708" s="144" t="s">
        <v>3</v>
      </c>
    </row>
    <row r="709" spans="1:6" customFormat="1" hidden="1">
      <c r="A709" s="338">
        <f t="shared" si="11"/>
        <v>707</v>
      </c>
      <c r="B709" s="338" t="s">
        <v>874</v>
      </c>
      <c r="C709" s="193">
        <v>12001686</v>
      </c>
      <c r="D709" s="338" t="s">
        <v>1095</v>
      </c>
      <c r="E709" s="194" t="s">
        <v>874</v>
      </c>
      <c r="F709" s="144" t="s">
        <v>3</v>
      </c>
    </row>
    <row r="710" spans="1:6" customFormat="1" hidden="1">
      <c r="A710" s="338">
        <f t="shared" si="11"/>
        <v>708</v>
      </c>
      <c r="B710" s="338" t="s">
        <v>874</v>
      </c>
      <c r="C710" s="193">
        <v>12001687</v>
      </c>
      <c r="D710" s="338" t="s">
        <v>1096</v>
      </c>
      <c r="E710" s="194" t="s">
        <v>874</v>
      </c>
      <c r="F710" s="144" t="s">
        <v>3</v>
      </c>
    </row>
    <row r="711" spans="1:6" customFormat="1" hidden="1">
      <c r="A711" s="338">
        <f t="shared" si="11"/>
        <v>709</v>
      </c>
      <c r="B711" s="338" t="s">
        <v>874</v>
      </c>
      <c r="C711" s="193">
        <v>12001687</v>
      </c>
      <c r="D711" s="338" t="s">
        <v>1097</v>
      </c>
      <c r="E711" s="194" t="s">
        <v>874</v>
      </c>
      <c r="F711" s="144" t="s">
        <v>3</v>
      </c>
    </row>
    <row r="712" spans="1:6" customFormat="1" hidden="1">
      <c r="A712" s="338">
        <f t="shared" si="11"/>
        <v>710</v>
      </c>
      <c r="B712" s="338" t="s">
        <v>874</v>
      </c>
      <c r="C712" s="193">
        <v>12001688</v>
      </c>
      <c r="D712" s="338" t="s">
        <v>1098</v>
      </c>
      <c r="E712" s="194" t="s">
        <v>874</v>
      </c>
      <c r="F712" s="144" t="s">
        <v>3</v>
      </c>
    </row>
    <row r="713" spans="1:6" customFormat="1" hidden="1">
      <c r="A713" s="338">
        <f t="shared" si="11"/>
        <v>711</v>
      </c>
      <c r="B713" s="338" t="s">
        <v>874</v>
      </c>
      <c r="C713" s="193">
        <v>12001688</v>
      </c>
      <c r="D713" s="338" t="s">
        <v>1555</v>
      </c>
      <c r="E713" s="194" t="s">
        <v>874</v>
      </c>
      <c r="F713" s="144" t="s">
        <v>3</v>
      </c>
    </row>
    <row r="714" spans="1:6" customFormat="1" hidden="1">
      <c r="A714" s="338">
        <f t="shared" si="11"/>
        <v>712</v>
      </c>
      <c r="B714" s="338" t="s">
        <v>874</v>
      </c>
      <c r="C714" s="193">
        <v>12001689</v>
      </c>
      <c r="D714" s="338" t="s">
        <v>1099</v>
      </c>
      <c r="E714" s="194" t="s">
        <v>874</v>
      </c>
      <c r="F714" s="144" t="s">
        <v>3</v>
      </c>
    </row>
    <row r="715" spans="1:6" customFormat="1" hidden="1">
      <c r="A715" s="338">
        <f t="shared" si="11"/>
        <v>713</v>
      </c>
      <c r="B715" s="338" t="s">
        <v>874</v>
      </c>
      <c r="C715" s="193">
        <v>12001689</v>
      </c>
      <c r="D715" s="338" t="s">
        <v>1100</v>
      </c>
      <c r="E715" s="194" t="s">
        <v>874</v>
      </c>
      <c r="F715" s="144" t="s">
        <v>3</v>
      </c>
    </row>
    <row r="716" spans="1:6" customFormat="1" hidden="1">
      <c r="A716" s="338">
        <f t="shared" si="11"/>
        <v>714</v>
      </c>
      <c r="B716" s="338" t="s">
        <v>874</v>
      </c>
      <c r="C716" s="193">
        <v>12001754</v>
      </c>
      <c r="D716" s="338" t="s">
        <v>1556</v>
      </c>
      <c r="E716" s="194" t="s">
        <v>874</v>
      </c>
      <c r="F716" s="144" t="s">
        <v>3</v>
      </c>
    </row>
    <row r="717" spans="1:6" customFormat="1" hidden="1">
      <c r="A717" s="338">
        <f t="shared" si="11"/>
        <v>715</v>
      </c>
      <c r="B717" s="338" t="s">
        <v>874</v>
      </c>
      <c r="C717" s="193">
        <v>12001755</v>
      </c>
      <c r="D717" s="338" t="s">
        <v>1557</v>
      </c>
      <c r="E717" s="194" t="s">
        <v>874</v>
      </c>
      <c r="F717" s="144" t="s">
        <v>3</v>
      </c>
    </row>
    <row r="718" spans="1:6" customFormat="1" hidden="1">
      <c r="A718" s="338">
        <f t="shared" si="11"/>
        <v>716</v>
      </c>
      <c r="B718" s="338" t="s">
        <v>874</v>
      </c>
      <c r="C718" s="193">
        <v>12001756</v>
      </c>
      <c r="D718" s="338" t="s">
        <v>1101</v>
      </c>
      <c r="E718" s="194" t="s">
        <v>874</v>
      </c>
      <c r="F718" s="144" t="s">
        <v>3</v>
      </c>
    </row>
    <row r="719" spans="1:6" customFormat="1" hidden="1">
      <c r="A719" s="338">
        <f t="shared" si="11"/>
        <v>717</v>
      </c>
      <c r="B719" s="338" t="s">
        <v>874</v>
      </c>
      <c r="C719" s="193">
        <v>12001757</v>
      </c>
      <c r="D719" s="338" t="s">
        <v>1102</v>
      </c>
      <c r="E719" s="194" t="s">
        <v>874</v>
      </c>
      <c r="F719" s="144" t="s">
        <v>3</v>
      </c>
    </row>
    <row r="720" spans="1:6" customFormat="1" hidden="1">
      <c r="A720" s="338">
        <f t="shared" si="11"/>
        <v>718</v>
      </c>
      <c r="B720" s="338" t="s">
        <v>874</v>
      </c>
      <c r="C720" s="193">
        <v>12001758</v>
      </c>
      <c r="D720" s="338" t="s">
        <v>1558</v>
      </c>
      <c r="E720" s="194" t="s">
        <v>874</v>
      </c>
      <c r="F720" s="144" t="s">
        <v>3</v>
      </c>
    </row>
    <row r="721" spans="1:6" customFormat="1" hidden="1">
      <c r="A721" s="338">
        <f t="shared" si="11"/>
        <v>719</v>
      </c>
      <c r="B721" s="338" t="s">
        <v>874</v>
      </c>
      <c r="C721" s="193">
        <v>12001759</v>
      </c>
      <c r="D721" s="338" t="s">
        <v>1559</v>
      </c>
      <c r="E721" s="194" t="s">
        <v>874</v>
      </c>
      <c r="F721" s="144" t="s">
        <v>3</v>
      </c>
    </row>
    <row r="722" spans="1:6" customFormat="1" hidden="1">
      <c r="A722" s="338">
        <f t="shared" si="11"/>
        <v>720</v>
      </c>
      <c r="B722" s="338" t="s">
        <v>874</v>
      </c>
      <c r="C722" s="193">
        <v>12001760</v>
      </c>
      <c r="D722" s="338" t="s">
        <v>1560</v>
      </c>
      <c r="E722" s="194" t="s">
        <v>874</v>
      </c>
      <c r="F722" s="144" t="s">
        <v>3</v>
      </c>
    </row>
    <row r="723" spans="1:6" customFormat="1" hidden="1">
      <c r="A723" s="338">
        <f t="shared" si="11"/>
        <v>721</v>
      </c>
      <c r="B723" s="338" t="s">
        <v>874</v>
      </c>
      <c r="C723" s="193">
        <v>12001761</v>
      </c>
      <c r="D723" s="338" t="s">
        <v>1561</v>
      </c>
      <c r="E723" s="194" t="s">
        <v>874</v>
      </c>
      <c r="F723" s="144" t="s">
        <v>3</v>
      </c>
    </row>
    <row r="724" spans="1:6" customFormat="1" hidden="1">
      <c r="A724" s="338">
        <f t="shared" si="11"/>
        <v>722</v>
      </c>
      <c r="B724" s="338" t="s">
        <v>874</v>
      </c>
      <c r="C724" s="193">
        <v>12001762</v>
      </c>
      <c r="D724" s="338" t="s">
        <v>1103</v>
      </c>
      <c r="E724" s="194" t="s">
        <v>874</v>
      </c>
      <c r="F724" s="144" t="s">
        <v>3</v>
      </c>
    </row>
    <row r="725" spans="1:6" customFormat="1" hidden="1">
      <c r="A725" s="338">
        <f t="shared" si="11"/>
        <v>723</v>
      </c>
      <c r="B725" s="338" t="s">
        <v>874</v>
      </c>
      <c r="C725" s="193">
        <v>12001763</v>
      </c>
      <c r="D725" s="338" t="s">
        <v>1562</v>
      </c>
      <c r="E725" s="194" t="s">
        <v>874</v>
      </c>
      <c r="F725" s="144" t="s">
        <v>3</v>
      </c>
    </row>
    <row r="726" spans="1:6" customFormat="1" hidden="1">
      <c r="A726" s="338">
        <f t="shared" si="11"/>
        <v>724</v>
      </c>
      <c r="B726" s="338" t="s">
        <v>874</v>
      </c>
      <c r="C726" s="193">
        <v>12001764</v>
      </c>
      <c r="D726" s="338" t="s">
        <v>1563</v>
      </c>
      <c r="E726" s="194" t="s">
        <v>874</v>
      </c>
      <c r="F726" s="144" t="s">
        <v>3</v>
      </c>
    </row>
    <row r="727" spans="1:6" customFormat="1" hidden="1">
      <c r="A727" s="338">
        <f t="shared" si="11"/>
        <v>725</v>
      </c>
      <c r="B727" s="338" t="s">
        <v>874</v>
      </c>
      <c r="C727" s="193">
        <v>12001765</v>
      </c>
      <c r="D727" s="338" t="s">
        <v>1104</v>
      </c>
      <c r="E727" s="194" t="s">
        <v>874</v>
      </c>
      <c r="F727" s="144" t="s">
        <v>3</v>
      </c>
    </row>
    <row r="728" spans="1:6" customFormat="1" hidden="1">
      <c r="A728" s="338">
        <f t="shared" si="11"/>
        <v>726</v>
      </c>
      <c r="B728" s="338" t="s">
        <v>874</v>
      </c>
      <c r="C728" s="193">
        <v>12001766</v>
      </c>
      <c r="D728" s="338" t="s">
        <v>1564</v>
      </c>
      <c r="E728" s="194" t="s">
        <v>874</v>
      </c>
      <c r="F728" s="144" t="s">
        <v>3</v>
      </c>
    </row>
    <row r="729" spans="1:6" customFormat="1" hidden="1">
      <c r="A729" s="338">
        <f t="shared" si="11"/>
        <v>727</v>
      </c>
      <c r="B729" s="338" t="s">
        <v>874</v>
      </c>
      <c r="C729" s="193">
        <v>12001767</v>
      </c>
      <c r="D729" s="338" t="s">
        <v>1565</v>
      </c>
      <c r="E729" s="194" t="s">
        <v>874</v>
      </c>
      <c r="F729" s="144" t="s">
        <v>3</v>
      </c>
    </row>
    <row r="730" spans="1:6" customFormat="1" hidden="1">
      <c r="A730" s="338">
        <f t="shared" si="11"/>
        <v>728</v>
      </c>
      <c r="B730" s="338" t="s">
        <v>874</v>
      </c>
      <c r="C730" s="193">
        <v>12001768</v>
      </c>
      <c r="D730" s="338" t="s">
        <v>1566</v>
      </c>
      <c r="E730" s="194" t="s">
        <v>874</v>
      </c>
      <c r="F730" s="144" t="s">
        <v>3</v>
      </c>
    </row>
    <row r="731" spans="1:6" customFormat="1" hidden="1">
      <c r="A731" s="338">
        <f t="shared" si="11"/>
        <v>729</v>
      </c>
      <c r="B731" s="338" t="s">
        <v>874</v>
      </c>
      <c r="C731" s="193">
        <v>12001769</v>
      </c>
      <c r="D731" s="338" t="s">
        <v>1567</v>
      </c>
      <c r="E731" s="194" t="s">
        <v>874</v>
      </c>
      <c r="F731" s="144" t="s">
        <v>3</v>
      </c>
    </row>
    <row r="732" spans="1:6" customFormat="1" hidden="1">
      <c r="A732" s="338">
        <f t="shared" si="11"/>
        <v>730</v>
      </c>
      <c r="B732" s="338" t="s">
        <v>874</v>
      </c>
      <c r="C732" s="193">
        <v>12001770</v>
      </c>
      <c r="D732" s="338" t="s">
        <v>1105</v>
      </c>
      <c r="E732" s="194" t="s">
        <v>874</v>
      </c>
      <c r="F732" s="144" t="s">
        <v>3</v>
      </c>
    </row>
    <row r="733" spans="1:6" customFormat="1" hidden="1">
      <c r="A733" s="338">
        <f t="shared" si="11"/>
        <v>731</v>
      </c>
      <c r="B733" s="338" t="s">
        <v>874</v>
      </c>
      <c r="C733" s="193">
        <v>12001771</v>
      </c>
      <c r="D733" s="338" t="s">
        <v>1568</v>
      </c>
      <c r="E733" s="194" t="s">
        <v>874</v>
      </c>
      <c r="F733" s="144" t="s">
        <v>3</v>
      </c>
    </row>
    <row r="734" spans="1:6" customFormat="1" hidden="1">
      <c r="A734" s="338">
        <f t="shared" si="11"/>
        <v>732</v>
      </c>
      <c r="B734" s="338" t="s">
        <v>874</v>
      </c>
      <c r="C734" s="193">
        <v>12001772</v>
      </c>
      <c r="D734" s="338" t="s">
        <v>1106</v>
      </c>
      <c r="E734" s="194" t="s">
        <v>874</v>
      </c>
      <c r="F734" s="144" t="s">
        <v>3</v>
      </c>
    </row>
    <row r="735" spans="1:6" customFormat="1" hidden="1">
      <c r="A735" s="338">
        <f t="shared" si="11"/>
        <v>733</v>
      </c>
      <c r="B735" s="338" t="s">
        <v>874</v>
      </c>
      <c r="C735" s="193">
        <v>12001773</v>
      </c>
      <c r="D735" s="338" t="s">
        <v>1107</v>
      </c>
      <c r="E735" s="194" t="s">
        <v>874</v>
      </c>
      <c r="F735" s="144" t="s">
        <v>3</v>
      </c>
    </row>
    <row r="736" spans="1:6" customFormat="1" hidden="1">
      <c r="A736" s="338">
        <f t="shared" si="11"/>
        <v>734</v>
      </c>
      <c r="B736" s="338" t="s">
        <v>874</v>
      </c>
      <c r="C736" s="193">
        <v>12001774</v>
      </c>
      <c r="D736" s="338" t="s">
        <v>1108</v>
      </c>
      <c r="E736" s="194" t="s">
        <v>874</v>
      </c>
      <c r="F736" s="144" t="s">
        <v>3</v>
      </c>
    </row>
    <row r="737" spans="1:6" customFormat="1" hidden="1">
      <c r="A737" s="338">
        <f t="shared" si="11"/>
        <v>735</v>
      </c>
      <c r="B737" s="338" t="s">
        <v>874</v>
      </c>
      <c r="C737" s="193">
        <v>12001775</v>
      </c>
      <c r="D737" s="338" t="s">
        <v>1109</v>
      </c>
      <c r="E737" s="194" t="s">
        <v>874</v>
      </c>
      <c r="F737" s="144" t="s">
        <v>3</v>
      </c>
    </row>
    <row r="738" spans="1:6" customFormat="1" hidden="1">
      <c r="A738" s="338">
        <f t="shared" si="11"/>
        <v>736</v>
      </c>
      <c r="B738" s="338" t="s">
        <v>874</v>
      </c>
      <c r="C738" s="193">
        <v>12001776</v>
      </c>
      <c r="D738" s="338" t="s">
        <v>1110</v>
      </c>
      <c r="E738" s="194" t="s">
        <v>874</v>
      </c>
      <c r="F738" s="144" t="s">
        <v>3</v>
      </c>
    </row>
    <row r="739" spans="1:6" customFormat="1" hidden="1">
      <c r="A739" s="338">
        <f t="shared" si="11"/>
        <v>737</v>
      </c>
      <c r="B739" s="338" t="s">
        <v>874</v>
      </c>
      <c r="C739" s="193">
        <v>12001777</v>
      </c>
      <c r="D739" s="338" t="s">
        <v>1111</v>
      </c>
      <c r="E739" s="194" t="s">
        <v>874</v>
      </c>
      <c r="F739" s="144" t="s">
        <v>3</v>
      </c>
    </row>
    <row r="740" spans="1:6" customFormat="1" hidden="1">
      <c r="A740" s="338">
        <f t="shared" si="11"/>
        <v>738</v>
      </c>
      <c r="B740" s="338" t="s">
        <v>874</v>
      </c>
      <c r="C740" s="193">
        <v>12001778</v>
      </c>
      <c r="D740" s="338" t="s">
        <v>1112</v>
      </c>
      <c r="E740" s="194" t="s">
        <v>874</v>
      </c>
      <c r="F740" s="144" t="s">
        <v>3</v>
      </c>
    </row>
    <row r="741" spans="1:6" customFormat="1" hidden="1">
      <c r="A741" s="338">
        <f t="shared" si="11"/>
        <v>739</v>
      </c>
      <c r="B741" s="338" t="s">
        <v>874</v>
      </c>
      <c r="C741" s="193">
        <v>12068986</v>
      </c>
      <c r="D741" s="338" t="s">
        <v>1569</v>
      </c>
      <c r="E741" s="194" t="s">
        <v>874</v>
      </c>
      <c r="F741" s="144" t="s">
        <v>3</v>
      </c>
    </row>
    <row r="742" spans="1:6" customFormat="1" hidden="1">
      <c r="A742" s="338">
        <f t="shared" si="11"/>
        <v>740</v>
      </c>
      <c r="B742" s="338" t="s">
        <v>874</v>
      </c>
      <c r="C742" s="193">
        <v>12068989</v>
      </c>
      <c r="D742" s="338" t="s">
        <v>1113</v>
      </c>
      <c r="E742" s="194" t="s">
        <v>874</v>
      </c>
      <c r="F742" s="144" t="s">
        <v>3</v>
      </c>
    </row>
    <row r="743" spans="1:6" customFormat="1" hidden="1">
      <c r="A743" s="338">
        <f t="shared" si="11"/>
        <v>741</v>
      </c>
      <c r="B743" s="338" t="s">
        <v>874</v>
      </c>
      <c r="C743" s="193">
        <v>12068990</v>
      </c>
      <c r="D743" s="338" t="s">
        <v>1114</v>
      </c>
      <c r="E743" s="194" t="s">
        <v>874</v>
      </c>
      <c r="F743" s="144" t="s">
        <v>3</v>
      </c>
    </row>
    <row r="744" spans="1:6" customFormat="1" hidden="1">
      <c r="A744" s="338">
        <f t="shared" si="11"/>
        <v>742</v>
      </c>
      <c r="B744" s="338" t="s">
        <v>874</v>
      </c>
      <c r="C744" s="193">
        <v>12068992</v>
      </c>
      <c r="D744" s="338" t="s">
        <v>1115</v>
      </c>
      <c r="E744" s="194" t="s">
        <v>874</v>
      </c>
      <c r="F744" s="144" t="s">
        <v>3</v>
      </c>
    </row>
    <row r="745" spans="1:6" customFormat="1" hidden="1">
      <c r="A745" s="338">
        <f t="shared" si="11"/>
        <v>743</v>
      </c>
      <c r="B745" s="338" t="s">
        <v>874</v>
      </c>
      <c r="C745" s="193">
        <v>12068993</v>
      </c>
      <c r="D745" s="338" t="s">
        <v>1116</v>
      </c>
      <c r="E745" s="194" t="s">
        <v>874</v>
      </c>
      <c r="F745" s="144" t="s">
        <v>3</v>
      </c>
    </row>
    <row r="746" spans="1:6" customFormat="1" hidden="1">
      <c r="A746" s="338">
        <f t="shared" si="11"/>
        <v>744</v>
      </c>
      <c r="B746" s="338" t="s">
        <v>874</v>
      </c>
      <c r="C746" s="193">
        <v>12068994</v>
      </c>
      <c r="D746" s="338" t="s">
        <v>1117</v>
      </c>
      <c r="E746" s="194" t="s">
        <v>874</v>
      </c>
      <c r="F746" s="144" t="s">
        <v>3</v>
      </c>
    </row>
    <row r="747" spans="1:6" customFormat="1" hidden="1">
      <c r="A747" s="338">
        <f t="shared" si="11"/>
        <v>745</v>
      </c>
      <c r="B747" s="338" t="s">
        <v>874</v>
      </c>
      <c r="C747" s="193">
        <v>12068995</v>
      </c>
      <c r="D747" s="338" t="s">
        <v>1118</v>
      </c>
      <c r="E747" s="194" t="s">
        <v>874</v>
      </c>
      <c r="F747" s="144" t="s">
        <v>3</v>
      </c>
    </row>
    <row r="748" spans="1:6" customFormat="1" hidden="1">
      <c r="A748" s="338">
        <f t="shared" si="11"/>
        <v>746</v>
      </c>
      <c r="B748" s="338" t="s">
        <v>874</v>
      </c>
      <c r="C748" s="193">
        <v>12068996</v>
      </c>
      <c r="D748" s="338" t="s">
        <v>1119</v>
      </c>
      <c r="E748" s="194" t="s">
        <v>874</v>
      </c>
      <c r="F748" s="144" t="s">
        <v>3</v>
      </c>
    </row>
    <row r="749" spans="1:6" customFormat="1" hidden="1">
      <c r="A749" s="338">
        <f t="shared" si="11"/>
        <v>747</v>
      </c>
      <c r="B749" s="338" t="s">
        <v>874</v>
      </c>
      <c r="C749" s="193">
        <v>12068997</v>
      </c>
      <c r="D749" s="338" t="s">
        <v>1120</v>
      </c>
      <c r="E749" s="194" t="s">
        <v>874</v>
      </c>
      <c r="F749" s="144" t="s">
        <v>3</v>
      </c>
    </row>
    <row r="750" spans="1:6" customFormat="1" hidden="1">
      <c r="A750" s="338">
        <f t="shared" si="11"/>
        <v>748</v>
      </c>
      <c r="B750" s="338" t="s">
        <v>874</v>
      </c>
      <c r="C750" s="193">
        <v>12069000</v>
      </c>
      <c r="D750" s="338" t="s">
        <v>1121</v>
      </c>
      <c r="E750" s="194" t="s">
        <v>874</v>
      </c>
      <c r="F750" s="144" t="s">
        <v>3</v>
      </c>
    </row>
    <row r="751" spans="1:6" customFormat="1" hidden="1">
      <c r="A751" s="338">
        <f t="shared" si="11"/>
        <v>749</v>
      </c>
      <c r="B751" s="338" t="s">
        <v>874</v>
      </c>
      <c r="C751" s="193">
        <v>12069001</v>
      </c>
      <c r="D751" s="338" t="s">
        <v>1122</v>
      </c>
      <c r="E751" s="194" t="s">
        <v>874</v>
      </c>
      <c r="F751" s="144" t="s">
        <v>3</v>
      </c>
    </row>
    <row r="752" spans="1:6" customFormat="1" hidden="1">
      <c r="A752" s="338">
        <f t="shared" si="11"/>
        <v>750</v>
      </c>
      <c r="B752" s="338" t="s">
        <v>874</v>
      </c>
      <c r="C752" s="193">
        <v>12069006</v>
      </c>
      <c r="D752" s="338" t="s">
        <v>1123</v>
      </c>
      <c r="E752" s="194" t="s">
        <v>874</v>
      </c>
      <c r="F752" s="144" t="s">
        <v>3</v>
      </c>
    </row>
    <row r="753" spans="1:6" customFormat="1" hidden="1">
      <c r="A753" s="338">
        <f t="shared" si="11"/>
        <v>751</v>
      </c>
      <c r="B753" s="338" t="s">
        <v>874</v>
      </c>
      <c r="C753" s="193">
        <v>12069008</v>
      </c>
      <c r="D753" s="338" t="s">
        <v>1124</v>
      </c>
      <c r="E753" s="194" t="s">
        <v>874</v>
      </c>
      <c r="F753" s="144" t="s">
        <v>3</v>
      </c>
    </row>
    <row r="754" spans="1:6" customFormat="1" hidden="1">
      <c r="A754" s="338">
        <f t="shared" si="11"/>
        <v>752</v>
      </c>
      <c r="B754" s="338" t="s">
        <v>874</v>
      </c>
      <c r="C754" s="193">
        <v>12069011</v>
      </c>
      <c r="D754" s="338" t="s">
        <v>1125</v>
      </c>
      <c r="E754" s="194" t="s">
        <v>874</v>
      </c>
      <c r="F754" s="144" t="s">
        <v>3</v>
      </c>
    </row>
    <row r="755" spans="1:6" customFormat="1" hidden="1">
      <c r="A755" s="338">
        <f t="shared" si="11"/>
        <v>753</v>
      </c>
      <c r="B755" s="338" t="s">
        <v>874</v>
      </c>
      <c r="C755" s="193">
        <v>12069012</v>
      </c>
      <c r="D755" s="338" t="s">
        <v>1126</v>
      </c>
      <c r="E755" s="194" t="s">
        <v>874</v>
      </c>
      <c r="F755" s="144" t="s">
        <v>3</v>
      </c>
    </row>
    <row r="756" spans="1:6" customFormat="1" hidden="1">
      <c r="A756" s="338">
        <f t="shared" si="11"/>
        <v>754</v>
      </c>
      <c r="B756" s="338" t="s">
        <v>874</v>
      </c>
      <c r="C756" s="193">
        <v>12069014</v>
      </c>
      <c r="D756" s="338" t="s">
        <v>1570</v>
      </c>
      <c r="E756" s="194" t="s">
        <v>874</v>
      </c>
      <c r="F756" s="144" t="s">
        <v>3</v>
      </c>
    </row>
    <row r="757" spans="1:6" customFormat="1" hidden="1">
      <c r="A757" s="338">
        <f t="shared" si="11"/>
        <v>755</v>
      </c>
      <c r="B757" s="338" t="s">
        <v>874</v>
      </c>
      <c r="C757" s="193">
        <v>12069018</v>
      </c>
      <c r="D757" s="338" t="s">
        <v>1127</v>
      </c>
      <c r="E757" s="194" t="s">
        <v>874</v>
      </c>
      <c r="F757" s="144" t="s">
        <v>3</v>
      </c>
    </row>
    <row r="758" spans="1:6" customFormat="1" hidden="1">
      <c r="A758" s="338">
        <f t="shared" si="11"/>
        <v>756</v>
      </c>
      <c r="B758" s="338" t="s">
        <v>874</v>
      </c>
      <c r="C758" s="193">
        <v>12069020</v>
      </c>
      <c r="D758" s="338" t="s">
        <v>1128</v>
      </c>
      <c r="E758" s="194" t="s">
        <v>874</v>
      </c>
      <c r="F758" s="144" t="s">
        <v>3</v>
      </c>
    </row>
    <row r="759" spans="1:6" customFormat="1" hidden="1">
      <c r="A759" s="338">
        <f t="shared" si="11"/>
        <v>757</v>
      </c>
      <c r="B759" s="338" t="s">
        <v>874</v>
      </c>
      <c r="C759" s="193">
        <v>12069022</v>
      </c>
      <c r="D759" s="338" t="s">
        <v>1129</v>
      </c>
      <c r="E759" s="194" t="s">
        <v>874</v>
      </c>
      <c r="F759" s="144" t="s">
        <v>3</v>
      </c>
    </row>
    <row r="760" spans="1:6" customFormat="1" hidden="1">
      <c r="A760" s="338">
        <f t="shared" si="11"/>
        <v>758</v>
      </c>
      <c r="B760" s="338" t="s">
        <v>874</v>
      </c>
      <c r="C760" s="193">
        <v>12069024</v>
      </c>
      <c r="D760" s="338" t="s">
        <v>1130</v>
      </c>
      <c r="E760" s="194" t="s">
        <v>874</v>
      </c>
      <c r="F760" s="144" t="s">
        <v>3</v>
      </c>
    </row>
    <row r="761" spans="1:6" customFormat="1" hidden="1">
      <c r="A761" s="338">
        <f t="shared" si="11"/>
        <v>759</v>
      </c>
      <c r="B761" s="338" t="s">
        <v>874</v>
      </c>
      <c r="C761" s="193">
        <v>12069026</v>
      </c>
      <c r="D761" s="338" t="s">
        <v>1131</v>
      </c>
      <c r="E761" s="194" t="s">
        <v>874</v>
      </c>
      <c r="F761" s="144" t="s">
        <v>3</v>
      </c>
    </row>
    <row r="762" spans="1:6" customFormat="1" hidden="1">
      <c r="A762" s="338">
        <f t="shared" si="11"/>
        <v>760</v>
      </c>
      <c r="B762" s="338" t="s">
        <v>874</v>
      </c>
      <c r="C762" s="193">
        <v>12069029</v>
      </c>
      <c r="D762" s="338" t="s">
        <v>1132</v>
      </c>
      <c r="E762" s="194" t="s">
        <v>874</v>
      </c>
      <c r="F762" s="144" t="s">
        <v>3</v>
      </c>
    </row>
    <row r="763" spans="1:6" customFormat="1" hidden="1">
      <c r="A763" s="338">
        <f t="shared" si="11"/>
        <v>761</v>
      </c>
      <c r="B763" s="338" t="s">
        <v>874</v>
      </c>
      <c r="C763" s="193">
        <v>12069032</v>
      </c>
      <c r="D763" s="338" t="s">
        <v>1571</v>
      </c>
      <c r="E763" s="194" t="s">
        <v>874</v>
      </c>
      <c r="F763" s="144" t="s">
        <v>3</v>
      </c>
    </row>
    <row r="764" spans="1:6" customFormat="1" hidden="1">
      <c r="A764" s="338">
        <f t="shared" si="11"/>
        <v>762</v>
      </c>
      <c r="B764" s="338" t="s">
        <v>874</v>
      </c>
      <c r="C764" s="193">
        <v>12069033</v>
      </c>
      <c r="D764" s="338" t="s">
        <v>1133</v>
      </c>
      <c r="E764" s="194" t="s">
        <v>874</v>
      </c>
      <c r="F764" s="144" t="s">
        <v>3</v>
      </c>
    </row>
    <row r="765" spans="1:6" customFormat="1" hidden="1">
      <c r="A765" s="338">
        <f t="shared" si="11"/>
        <v>763</v>
      </c>
      <c r="B765" s="338" t="s">
        <v>874</v>
      </c>
      <c r="C765" s="193">
        <v>12069034</v>
      </c>
      <c r="D765" s="338" t="s">
        <v>1134</v>
      </c>
      <c r="E765" s="194" t="s">
        <v>874</v>
      </c>
      <c r="F765" s="144" t="s">
        <v>3</v>
      </c>
    </row>
    <row r="766" spans="1:6" customFormat="1" hidden="1">
      <c r="A766" s="338">
        <f t="shared" si="11"/>
        <v>764</v>
      </c>
      <c r="B766" s="338" t="s">
        <v>874</v>
      </c>
      <c r="C766" s="193">
        <v>12069035</v>
      </c>
      <c r="D766" s="338" t="s">
        <v>1572</v>
      </c>
      <c r="E766" s="194" t="s">
        <v>874</v>
      </c>
      <c r="F766" s="144" t="s">
        <v>3</v>
      </c>
    </row>
    <row r="767" spans="1:6" customFormat="1" hidden="1">
      <c r="A767" s="338">
        <f t="shared" si="11"/>
        <v>765</v>
      </c>
      <c r="B767" s="338" t="s">
        <v>874</v>
      </c>
      <c r="C767" s="193">
        <v>12069037</v>
      </c>
      <c r="D767" s="338" t="s">
        <v>1135</v>
      </c>
      <c r="E767" s="194" t="s">
        <v>874</v>
      </c>
      <c r="F767" s="144" t="s">
        <v>3</v>
      </c>
    </row>
    <row r="768" spans="1:6" customFormat="1" hidden="1">
      <c r="A768" s="338">
        <f t="shared" si="11"/>
        <v>766</v>
      </c>
      <c r="B768" s="338" t="s">
        <v>874</v>
      </c>
      <c r="C768" s="193">
        <v>12069038</v>
      </c>
      <c r="D768" s="338" t="s">
        <v>1136</v>
      </c>
      <c r="E768" s="194" t="s">
        <v>874</v>
      </c>
      <c r="F768" s="144" t="s">
        <v>3</v>
      </c>
    </row>
    <row r="769" spans="1:6" customFormat="1" hidden="1">
      <c r="A769" s="338">
        <f t="shared" si="11"/>
        <v>767</v>
      </c>
      <c r="B769" s="338" t="s">
        <v>874</v>
      </c>
      <c r="C769" s="193">
        <v>12069039</v>
      </c>
      <c r="D769" s="338" t="s">
        <v>1137</v>
      </c>
      <c r="E769" s="194" t="s">
        <v>874</v>
      </c>
      <c r="F769" s="144" t="s">
        <v>3</v>
      </c>
    </row>
    <row r="770" spans="1:6" customFormat="1" hidden="1">
      <c r="A770" s="338">
        <f t="shared" si="11"/>
        <v>768</v>
      </c>
      <c r="B770" s="338" t="s">
        <v>874</v>
      </c>
      <c r="C770" s="193">
        <v>12069041</v>
      </c>
      <c r="D770" s="338" t="s">
        <v>1138</v>
      </c>
      <c r="E770" s="194" t="s">
        <v>874</v>
      </c>
      <c r="F770" s="144" t="s">
        <v>3</v>
      </c>
    </row>
    <row r="771" spans="1:6" customFormat="1" hidden="1">
      <c r="A771" s="338">
        <f t="shared" si="11"/>
        <v>769</v>
      </c>
      <c r="B771" s="338" t="s">
        <v>874</v>
      </c>
      <c r="C771" s="193">
        <v>12069042</v>
      </c>
      <c r="D771" s="338" t="s">
        <v>1573</v>
      </c>
      <c r="E771" s="194" t="s">
        <v>874</v>
      </c>
      <c r="F771" s="144" t="s">
        <v>3</v>
      </c>
    </row>
    <row r="772" spans="1:6" customFormat="1" hidden="1">
      <c r="A772" s="338">
        <f t="shared" ref="A772:A833" si="12">A771+1</f>
        <v>770</v>
      </c>
      <c r="B772" s="338" t="s">
        <v>874</v>
      </c>
      <c r="C772" s="193">
        <v>12069043</v>
      </c>
      <c r="D772" s="338" t="s">
        <v>1139</v>
      </c>
      <c r="E772" s="194" t="s">
        <v>874</v>
      </c>
      <c r="F772" s="144" t="s">
        <v>3</v>
      </c>
    </row>
    <row r="773" spans="1:6" customFormat="1" hidden="1">
      <c r="A773" s="338">
        <f t="shared" si="12"/>
        <v>771</v>
      </c>
      <c r="B773" s="338" t="s">
        <v>874</v>
      </c>
      <c r="C773" s="193">
        <v>12069045</v>
      </c>
      <c r="D773" s="338" t="s">
        <v>1140</v>
      </c>
      <c r="E773" s="194" t="s">
        <v>874</v>
      </c>
      <c r="F773" s="144" t="s">
        <v>3</v>
      </c>
    </row>
    <row r="774" spans="1:6" customFormat="1" hidden="1">
      <c r="A774" s="338">
        <f t="shared" si="12"/>
        <v>772</v>
      </c>
      <c r="B774" s="338" t="s">
        <v>874</v>
      </c>
      <c r="C774" s="193">
        <v>12069046</v>
      </c>
      <c r="D774" s="338" t="s">
        <v>1370</v>
      </c>
      <c r="E774" s="194" t="s">
        <v>874</v>
      </c>
      <c r="F774" s="144" t="s">
        <v>3</v>
      </c>
    </row>
    <row r="775" spans="1:6" customFormat="1" hidden="1">
      <c r="A775" s="338">
        <f t="shared" si="12"/>
        <v>773</v>
      </c>
      <c r="B775" s="338" t="s">
        <v>874</v>
      </c>
      <c r="C775" s="193">
        <v>12069048</v>
      </c>
      <c r="D775" s="338" t="s">
        <v>1141</v>
      </c>
      <c r="E775" s="194" t="s">
        <v>874</v>
      </c>
      <c r="F775" s="144" t="s">
        <v>3</v>
      </c>
    </row>
    <row r="776" spans="1:6" customFormat="1" hidden="1">
      <c r="A776" s="338">
        <f t="shared" si="12"/>
        <v>774</v>
      </c>
      <c r="B776" s="338" t="s">
        <v>874</v>
      </c>
      <c r="C776" s="193">
        <v>12069051</v>
      </c>
      <c r="D776" s="338" t="s">
        <v>1142</v>
      </c>
      <c r="E776" s="194" t="s">
        <v>874</v>
      </c>
      <c r="F776" s="144" t="s">
        <v>3</v>
      </c>
    </row>
    <row r="777" spans="1:6" customFormat="1" hidden="1">
      <c r="A777" s="338">
        <f t="shared" si="12"/>
        <v>775</v>
      </c>
      <c r="B777" s="338" t="s">
        <v>874</v>
      </c>
      <c r="C777" s="193">
        <v>12069053</v>
      </c>
      <c r="D777" s="338" t="s">
        <v>1574</v>
      </c>
      <c r="E777" s="194" t="s">
        <v>874</v>
      </c>
      <c r="F777" s="144" t="s">
        <v>3</v>
      </c>
    </row>
    <row r="778" spans="1:6" customFormat="1" hidden="1">
      <c r="A778" s="338">
        <f t="shared" si="12"/>
        <v>776</v>
      </c>
      <c r="B778" s="338" t="s">
        <v>874</v>
      </c>
      <c r="C778" s="193">
        <v>12069055</v>
      </c>
      <c r="D778" s="338" t="s">
        <v>1143</v>
      </c>
      <c r="E778" s="194" t="s">
        <v>874</v>
      </c>
      <c r="F778" s="144" t="s">
        <v>3</v>
      </c>
    </row>
    <row r="779" spans="1:6" customFormat="1" hidden="1">
      <c r="A779" s="338">
        <f t="shared" si="12"/>
        <v>777</v>
      </c>
      <c r="B779" s="338" t="s">
        <v>874</v>
      </c>
      <c r="C779" s="193">
        <v>12069057</v>
      </c>
      <c r="D779" s="338" t="s">
        <v>1144</v>
      </c>
      <c r="E779" s="194" t="s">
        <v>874</v>
      </c>
      <c r="F779" s="144" t="s">
        <v>3</v>
      </c>
    </row>
    <row r="780" spans="1:6" customFormat="1" hidden="1">
      <c r="A780" s="338">
        <f t="shared" si="12"/>
        <v>778</v>
      </c>
      <c r="B780" s="338" t="s">
        <v>874</v>
      </c>
      <c r="C780" s="193">
        <v>12069060</v>
      </c>
      <c r="D780" s="338" t="s">
        <v>1575</v>
      </c>
      <c r="E780" s="194" t="s">
        <v>874</v>
      </c>
      <c r="F780" s="144" t="s">
        <v>3</v>
      </c>
    </row>
    <row r="781" spans="1:6" customFormat="1" hidden="1">
      <c r="A781" s="338">
        <f t="shared" si="12"/>
        <v>779</v>
      </c>
      <c r="B781" s="338" t="s">
        <v>874</v>
      </c>
      <c r="C781" s="193">
        <v>12069061</v>
      </c>
      <c r="D781" s="338" t="s">
        <v>1576</v>
      </c>
      <c r="E781" s="194" t="s">
        <v>874</v>
      </c>
      <c r="F781" s="144" t="s">
        <v>3</v>
      </c>
    </row>
    <row r="782" spans="1:6" customFormat="1" hidden="1">
      <c r="A782" s="338">
        <f t="shared" si="12"/>
        <v>780</v>
      </c>
      <c r="B782" s="338" t="s">
        <v>874</v>
      </c>
      <c r="C782" s="193">
        <v>12069062</v>
      </c>
      <c r="D782" s="338" t="s">
        <v>1577</v>
      </c>
      <c r="E782" s="194" t="s">
        <v>874</v>
      </c>
      <c r="F782" s="144" t="s">
        <v>3</v>
      </c>
    </row>
    <row r="783" spans="1:6" customFormat="1" hidden="1">
      <c r="A783" s="338">
        <f t="shared" si="12"/>
        <v>781</v>
      </c>
      <c r="B783" s="338" t="s">
        <v>874</v>
      </c>
      <c r="C783" s="193">
        <v>12069068</v>
      </c>
      <c r="D783" s="338" t="s">
        <v>1578</v>
      </c>
      <c r="E783" s="194" t="s">
        <v>874</v>
      </c>
      <c r="F783" s="144" t="s">
        <v>3</v>
      </c>
    </row>
    <row r="784" spans="1:6" customFormat="1" hidden="1">
      <c r="A784" s="338">
        <f t="shared" si="12"/>
        <v>782</v>
      </c>
      <c r="B784" s="338" t="s">
        <v>874</v>
      </c>
      <c r="C784" s="193">
        <v>12069069</v>
      </c>
      <c r="D784" s="338" t="s">
        <v>1145</v>
      </c>
      <c r="E784" s="194" t="s">
        <v>874</v>
      </c>
      <c r="F784" s="144" t="s">
        <v>3</v>
      </c>
    </row>
    <row r="785" spans="1:9" customFormat="1" hidden="1">
      <c r="A785" s="338">
        <f t="shared" si="12"/>
        <v>783</v>
      </c>
      <c r="B785" s="338" t="s">
        <v>874</v>
      </c>
      <c r="C785" s="193">
        <v>12069071</v>
      </c>
      <c r="D785" s="338" t="s">
        <v>1579</v>
      </c>
      <c r="E785" s="194" t="s">
        <v>874</v>
      </c>
      <c r="F785" s="144" t="s">
        <v>3</v>
      </c>
    </row>
    <row r="786" spans="1:9" customFormat="1" hidden="1">
      <c r="A786" s="338">
        <f t="shared" si="12"/>
        <v>784</v>
      </c>
      <c r="B786" s="338" t="s">
        <v>874</v>
      </c>
      <c r="C786" s="193">
        <v>12069074</v>
      </c>
      <c r="D786" s="338" t="s">
        <v>1366</v>
      </c>
      <c r="E786" s="194" t="s">
        <v>874</v>
      </c>
      <c r="F786" s="144" t="s">
        <v>3</v>
      </c>
    </row>
    <row r="787" spans="1:9" customFormat="1" hidden="1">
      <c r="A787" s="338">
        <f t="shared" si="12"/>
        <v>785</v>
      </c>
      <c r="B787" s="338" t="s">
        <v>874</v>
      </c>
      <c r="C787" s="193">
        <v>12069075</v>
      </c>
      <c r="D787" s="338" t="s">
        <v>1364</v>
      </c>
      <c r="E787" s="194" t="s">
        <v>874</v>
      </c>
      <c r="F787" s="144" t="s">
        <v>3</v>
      </c>
    </row>
    <row r="788" spans="1:9" customFormat="1" hidden="1">
      <c r="A788" s="338">
        <f t="shared" si="12"/>
        <v>786</v>
      </c>
      <c r="B788" s="338" t="s">
        <v>874</v>
      </c>
      <c r="C788" s="193">
        <v>12069076</v>
      </c>
      <c r="D788" s="338" t="s">
        <v>1146</v>
      </c>
      <c r="E788" s="194" t="s">
        <v>874</v>
      </c>
      <c r="F788" s="144" t="s">
        <v>3</v>
      </c>
    </row>
    <row r="789" spans="1:9" customFormat="1" hidden="1">
      <c r="A789" s="338">
        <f t="shared" si="12"/>
        <v>787</v>
      </c>
      <c r="B789" s="338" t="s">
        <v>874</v>
      </c>
      <c r="C789" s="193">
        <v>12069078</v>
      </c>
      <c r="D789" s="338" t="s">
        <v>1580</v>
      </c>
      <c r="E789" s="194" t="s">
        <v>874</v>
      </c>
      <c r="F789" s="144" t="s">
        <v>3</v>
      </c>
    </row>
    <row r="790" spans="1:9" customFormat="1" hidden="1">
      <c r="A790" s="338">
        <f t="shared" si="12"/>
        <v>788</v>
      </c>
      <c r="B790" s="338" t="s">
        <v>874</v>
      </c>
      <c r="C790" s="193">
        <v>12069079</v>
      </c>
      <c r="D790" s="338" t="s">
        <v>1147</v>
      </c>
      <c r="E790" s="194" t="s">
        <v>874</v>
      </c>
      <c r="F790" s="144" t="s">
        <v>3</v>
      </c>
    </row>
    <row r="791" spans="1:9" customFormat="1" hidden="1">
      <c r="A791" s="338">
        <f t="shared" si="12"/>
        <v>789</v>
      </c>
      <c r="B791" s="338" t="s">
        <v>874</v>
      </c>
      <c r="C791" s="193">
        <v>12069083</v>
      </c>
      <c r="D791" s="338" t="s">
        <v>1148</v>
      </c>
      <c r="E791" s="194" t="s">
        <v>874</v>
      </c>
      <c r="F791" s="144" t="s">
        <v>3</v>
      </c>
    </row>
    <row r="792" spans="1:9" customFormat="1" hidden="1">
      <c r="A792" s="338">
        <f t="shared" si="12"/>
        <v>790</v>
      </c>
      <c r="B792" s="338" t="s">
        <v>874</v>
      </c>
      <c r="C792" s="193">
        <v>12069084</v>
      </c>
      <c r="D792" s="338" t="s">
        <v>1149</v>
      </c>
      <c r="E792" s="194" t="s">
        <v>874</v>
      </c>
      <c r="F792" s="144" t="s">
        <v>3</v>
      </c>
    </row>
    <row r="793" spans="1:9" customFormat="1" hidden="1">
      <c r="A793" s="338">
        <f t="shared" si="12"/>
        <v>791</v>
      </c>
      <c r="B793" s="338" t="s">
        <v>874</v>
      </c>
      <c r="C793" s="193">
        <v>12069085</v>
      </c>
      <c r="D793" s="338" t="s">
        <v>1150</v>
      </c>
      <c r="E793" s="194" t="s">
        <v>874</v>
      </c>
      <c r="F793" s="144" t="s">
        <v>3</v>
      </c>
      <c r="I793" s="13"/>
    </row>
    <row r="794" spans="1:9" customFormat="1" hidden="1">
      <c r="A794" s="338">
        <f t="shared" si="12"/>
        <v>792</v>
      </c>
      <c r="B794" s="338" t="s">
        <v>874</v>
      </c>
      <c r="C794" s="193">
        <v>12086989</v>
      </c>
      <c r="D794" s="338" t="s">
        <v>1581</v>
      </c>
      <c r="E794" s="194" t="s">
        <v>874</v>
      </c>
      <c r="F794" s="144" t="s">
        <v>3</v>
      </c>
    </row>
    <row r="795" spans="1:9" customFormat="1" hidden="1">
      <c r="A795" s="338">
        <f t="shared" si="12"/>
        <v>793</v>
      </c>
      <c r="B795" s="338" t="s">
        <v>1151</v>
      </c>
      <c r="C795" s="193">
        <v>12000574</v>
      </c>
      <c r="D795" s="338" t="s">
        <v>1152</v>
      </c>
      <c r="E795" s="194" t="s">
        <v>1153</v>
      </c>
      <c r="F795" s="144" t="s">
        <v>3</v>
      </c>
    </row>
    <row r="796" spans="1:9" customFormat="1" hidden="1">
      <c r="A796" s="338">
        <f t="shared" si="12"/>
        <v>794</v>
      </c>
      <c r="B796" s="338" t="s">
        <v>1151</v>
      </c>
      <c r="C796" s="193">
        <v>12001556</v>
      </c>
      <c r="D796" s="338" t="s">
        <v>1154</v>
      </c>
      <c r="E796" s="194" t="s">
        <v>1153</v>
      </c>
      <c r="F796" s="144" t="s">
        <v>3</v>
      </c>
    </row>
    <row r="797" spans="1:9" customFormat="1" hidden="1">
      <c r="A797" s="338">
        <f t="shared" si="12"/>
        <v>795</v>
      </c>
      <c r="B797" s="338" t="s">
        <v>1151</v>
      </c>
      <c r="C797" s="193">
        <v>17202914</v>
      </c>
      <c r="D797" s="338" t="s">
        <v>1156</v>
      </c>
      <c r="E797" s="194" t="s">
        <v>1153</v>
      </c>
      <c r="F797" s="144" t="s">
        <v>3</v>
      </c>
    </row>
    <row r="798" spans="1:9" customFormat="1" hidden="1">
      <c r="A798" s="448">
        <f t="shared" si="12"/>
        <v>796</v>
      </c>
      <c r="B798" s="338" t="s">
        <v>1151</v>
      </c>
      <c r="C798" s="193">
        <v>12000620</v>
      </c>
      <c r="D798" s="338" t="s">
        <v>1157</v>
      </c>
      <c r="E798" s="194" t="s">
        <v>1158</v>
      </c>
      <c r="F798" s="144" t="s">
        <v>3</v>
      </c>
    </row>
    <row r="799" spans="1:9" customFormat="1" hidden="1">
      <c r="A799" s="338">
        <f t="shared" si="12"/>
        <v>797</v>
      </c>
      <c r="B799" s="338" t="s">
        <v>1151</v>
      </c>
      <c r="C799" s="193">
        <v>12000621</v>
      </c>
      <c r="D799" s="338" t="s">
        <v>1159</v>
      </c>
      <c r="E799" s="194" t="s">
        <v>1158</v>
      </c>
      <c r="F799" s="144" t="s">
        <v>3</v>
      </c>
    </row>
    <row r="800" spans="1:9" customFormat="1" hidden="1">
      <c r="A800" s="338">
        <f t="shared" si="12"/>
        <v>798</v>
      </c>
      <c r="B800" s="338" t="s">
        <v>1151</v>
      </c>
      <c r="C800" s="193">
        <v>12000716</v>
      </c>
      <c r="D800" s="338" t="s">
        <v>1160</v>
      </c>
      <c r="E800" s="194" t="s">
        <v>1158</v>
      </c>
      <c r="F800" s="144" t="s">
        <v>3</v>
      </c>
    </row>
    <row r="801" spans="1:6" customFormat="1" hidden="1">
      <c r="A801" s="338">
        <f t="shared" si="12"/>
        <v>799</v>
      </c>
      <c r="B801" s="338" t="s">
        <v>1151</v>
      </c>
      <c r="C801" s="193">
        <v>12021718</v>
      </c>
      <c r="D801" s="338" t="s">
        <v>1161</v>
      </c>
      <c r="E801" s="194" t="s">
        <v>1158</v>
      </c>
      <c r="F801" s="144" t="s">
        <v>3</v>
      </c>
    </row>
    <row r="802" spans="1:6" customFormat="1" hidden="1">
      <c r="A802" s="338">
        <f t="shared" si="12"/>
        <v>800</v>
      </c>
      <c r="B802" s="338" t="s">
        <v>1151</v>
      </c>
      <c r="C802" s="193">
        <v>12025532</v>
      </c>
      <c r="D802" s="338" t="s">
        <v>1162</v>
      </c>
      <c r="E802" s="194" t="s">
        <v>1158</v>
      </c>
      <c r="F802" s="144" t="s">
        <v>3</v>
      </c>
    </row>
    <row r="803" spans="1:6" customFormat="1" hidden="1">
      <c r="A803" s="338">
        <f t="shared" si="12"/>
        <v>801</v>
      </c>
      <c r="B803" s="338" t="s">
        <v>1151</v>
      </c>
      <c r="C803" s="193">
        <v>12030748</v>
      </c>
      <c r="D803" s="338" t="s">
        <v>1163</v>
      </c>
      <c r="E803" s="194" t="s">
        <v>1158</v>
      </c>
      <c r="F803" s="144" t="s">
        <v>3</v>
      </c>
    </row>
    <row r="804" spans="1:6" customFormat="1" hidden="1">
      <c r="A804" s="338">
        <f t="shared" si="12"/>
        <v>802</v>
      </c>
      <c r="B804" s="338" t="s">
        <v>1151</v>
      </c>
      <c r="C804" s="193">
        <v>12035038</v>
      </c>
      <c r="D804" s="338" t="s">
        <v>1164</v>
      </c>
      <c r="E804" s="194" t="s">
        <v>1158</v>
      </c>
      <c r="F804" s="144" t="s">
        <v>3</v>
      </c>
    </row>
    <row r="805" spans="1:6" customFormat="1" hidden="1">
      <c r="A805" s="338">
        <f t="shared" si="12"/>
        <v>803</v>
      </c>
      <c r="B805" s="338" t="s">
        <v>1151</v>
      </c>
      <c r="C805" s="193">
        <v>12035039</v>
      </c>
      <c r="D805" s="338" t="s">
        <v>1165</v>
      </c>
      <c r="E805" s="194" t="s">
        <v>1158</v>
      </c>
      <c r="F805" s="144" t="s">
        <v>3</v>
      </c>
    </row>
    <row r="806" spans="1:6" customFormat="1" hidden="1">
      <c r="A806" s="338">
        <f t="shared" si="12"/>
        <v>804</v>
      </c>
      <c r="B806" s="338" t="s">
        <v>1151</v>
      </c>
      <c r="C806" s="193">
        <v>12035040</v>
      </c>
      <c r="D806" s="338" t="s">
        <v>1166</v>
      </c>
      <c r="E806" s="194" t="s">
        <v>1158</v>
      </c>
      <c r="F806" s="144" t="s">
        <v>3</v>
      </c>
    </row>
    <row r="807" spans="1:6" customFormat="1" hidden="1">
      <c r="A807" s="338">
        <f t="shared" si="12"/>
        <v>805</v>
      </c>
      <c r="B807" s="338" t="s">
        <v>1151</v>
      </c>
      <c r="C807" s="193">
        <v>12035041</v>
      </c>
      <c r="D807" s="338" t="s">
        <v>1167</v>
      </c>
      <c r="E807" s="194" t="s">
        <v>1158</v>
      </c>
      <c r="F807" s="144" t="s">
        <v>3</v>
      </c>
    </row>
    <row r="808" spans="1:6" customFormat="1" hidden="1">
      <c r="A808" s="338">
        <f t="shared" si="12"/>
        <v>806</v>
      </c>
      <c r="B808" s="338" t="s">
        <v>1151</v>
      </c>
      <c r="C808" s="193">
        <v>12035042</v>
      </c>
      <c r="D808" s="338" t="s">
        <v>1168</v>
      </c>
      <c r="E808" s="194" t="s">
        <v>1158</v>
      </c>
      <c r="F808" s="144" t="s">
        <v>3</v>
      </c>
    </row>
    <row r="809" spans="1:6" customFormat="1" hidden="1">
      <c r="A809" s="338">
        <f t="shared" si="12"/>
        <v>807</v>
      </c>
      <c r="B809" s="338" t="s">
        <v>1151</v>
      </c>
      <c r="C809" s="193">
        <v>12035043</v>
      </c>
      <c r="D809" s="338" t="s">
        <v>1169</v>
      </c>
      <c r="E809" s="194" t="s">
        <v>1158</v>
      </c>
      <c r="F809" s="144" t="s">
        <v>3</v>
      </c>
    </row>
    <row r="810" spans="1:6" customFormat="1" hidden="1">
      <c r="A810" s="338">
        <f t="shared" si="12"/>
        <v>808</v>
      </c>
      <c r="B810" s="338" t="s">
        <v>1151</v>
      </c>
      <c r="C810" s="193">
        <v>12035044</v>
      </c>
      <c r="D810" s="338" t="s">
        <v>1170</v>
      </c>
      <c r="E810" s="194" t="s">
        <v>1158</v>
      </c>
      <c r="F810" s="144" t="s">
        <v>3</v>
      </c>
    </row>
    <row r="811" spans="1:6" customFormat="1" hidden="1">
      <c r="A811" s="338">
        <f t="shared" si="12"/>
        <v>809</v>
      </c>
      <c r="B811" s="338" t="s">
        <v>1151</v>
      </c>
      <c r="C811" s="193">
        <v>12035045</v>
      </c>
      <c r="D811" s="338" t="s">
        <v>1171</v>
      </c>
      <c r="E811" s="194" t="s">
        <v>1158</v>
      </c>
      <c r="F811" s="144" t="s">
        <v>3</v>
      </c>
    </row>
    <row r="812" spans="1:6" customFormat="1" hidden="1">
      <c r="A812" s="338">
        <f t="shared" si="12"/>
        <v>810</v>
      </c>
      <c r="B812" s="338" t="s">
        <v>1151</v>
      </c>
      <c r="C812" s="193">
        <v>12035046</v>
      </c>
      <c r="D812" s="338" t="s">
        <v>1172</v>
      </c>
      <c r="E812" s="194" t="s">
        <v>1158</v>
      </c>
      <c r="F812" s="144" t="s">
        <v>3</v>
      </c>
    </row>
    <row r="813" spans="1:6" customFormat="1" hidden="1">
      <c r="A813" s="338">
        <f t="shared" si="12"/>
        <v>811</v>
      </c>
      <c r="B813" s="338" t="s">
        <v>1151</v>
      </c>
      <c r="C813" s="193">
        <v>12035047</v>
      </c>
      <c r="D813" s="338" t="s">
        <v>1173</v>
      </c>
      <c r="E813" s="194" t="s">
        <v>1158</v>
      </c>
      <c r="F813" s="144" t="s">
        <v>3</v>
      </c>
    </row>
    <row r="814" spans="1:6" customFormat="1" hidden="1">
      <c r="A814" s="338">
        <f t="shared" si="12"/>
        <v>812</v>
      </c>
      <c r="B814" s="338" t="s">
        <v>1151</v>
      </c>
      <c r="C814" s="193">
        <v>12035048</v>
      </c>
      <c r="D814" s="338" t="s">
        <v>1174</v>
      </c>
      <c r="E814" s="194" t="s">
        <v>1158</v>
      </c>
      <c r="F814" s="144" t="s">
        <v>3</v>
      </c>
    </row>
    <row r="815" spans="1:6" customFormat="1" hidden="1">
      <c r="A815" s="338">
        <f t="shared" si="12"/>
        <v>813</v>
      </c>
      <c r="B815" s="338" t="s">
        <v>1151</v>
      </c>
      <c r="C815" s="193">
        <v>12057546</v>
      </c>
      <c r="D815" s="338" t="s">
        <v>1175</v>
      </c>
      <c r="E815" s="194" t="s">
        <v>1158</v>
      </c>
      <c r="F815" s="144" t="s">
        <v>3</v>
      </c>
    </row>
    <row r="816" spans="1:6" customFormat="1" hidden="1">
      <c r="A816" s="338">
        <f t="shared" si="12"/>
        <v>814</v>
      </c>
      <c r="B816" s="338" t="s">
        <v>1151</v>
      </c>
      <c r="C816" s="193">
        <v>12057693</v>
      </c>
      <c r="D816" s="338" t="s">
        <v>1176</v>
      </c>
      <c r="E816" s="194" t="s">
        <v>1158</v>
      </c>
      <c r="F816" s="144" t="s">
        <v>3</v>
      </c>
    </row>
    <row r="817" spans="1:6" customFormat="1" hidden="1">
      <c r="A817" s="338">
        <f t="shared" si="12"/>
        <v>815</v>
      </c>
      <c r="B817" s="338" t="s">
        <v>1151</v>
      </c>
      <c r="C817" s="193">
        <v>12058864</v>
      </c>
      <c r="D817" s="338" t="s">
        <v>1177</v>
      </c>
      <c r="E817" s="194" t="s">
        <v>1158</v>
      </c>
      <c r="F817" s="144" t="s">
        <v>3</v>
      </c>
    </row>
    <row r="818" spans="1:6" customFormat="1" hidden="1">
      <c r="A818" s="338">
        <f t="shared" si="12"/>
        <v>816</v>
      </c>
      <c r="B818" s="338" t="s">
        <v>1151</v>
      </c>
      <c r="C818" s="193">
        <v>12069686</v>
      </c>
      <c r="D818" s="338" t="s">
        <v>1582</v>
      </c>
      <c r="E818" s="194" t="s">
        <v>1158</v>
      </c>
      <c r="F818" s="144" t="s">
        <v>3</v>
      </c>
    </row>
    <row r="819" spans="1:6" customFormat="1" hidden="1">
      <c r="A819" s="338">
        <f t="shared" si="12"/>
        <v>817</v>
      </c>
      <c r="B819" s="338" t="s">
        <v>1151</v>
      </c>
      <c r="C819" s="193">
        <v>12071737</v>
      </c>
      <c r="D819" s="338" t="s">
        <v>1178</v>
      </c>
      <c r="E819" s="194" t="s">
        <v>1158</v>
      </c>
      <c r="F819" s="144" t="s">
        <v>3</v>
      </c>
    </row>
    <row r="820" spans="1:6" customFormat="1" hidden="1">
      <c r="A820" s="338">
        <f t="shared" si="12"/>
        <v>818</v>
      </c>
      <c r="B820" s="338" t="s">
        <v>1151</v>
      </c>
      <c r="C820" s="193">
        <v>12074529</v>
      </c>
      <c r="D820" s="338" t="s">
        <v>1179</v>
      </c>
      <c r="E820" s="194" t="s">
        <v>1158</v>
      </c>
      <c r="F820" s="144" t="s">
        <v>3</v>
      </c>
    </row>
    <row r="821" spans="1:6" customFormat="1" hidden="1">
      <c r="A821" s="338">
        <f t="shared" si="12"/>
        <v>819</v>
      </c>
      <c r="B821" s="338" t="s">
        <v>1151</v>
      </c>
      <c r="C821" s="193">
        <v>12091074</v>
      </c>
      <c r="D821" s="338" t="s">
        <v>1180</v>
      </c>
      <c r="E821" s="194" t="s">
        <v>1158</v>
      </c>
      <c r="F821" s="144" t="s">
        <v>3</v>
      </c>
    </row>
    <row r="822" spans="1:6" customFormat="1" hidden="1">
      <c r="A822" s="338">
        <f t="shared" si="12"/>
        <v>820</v>
      </c>
      <c r="B822" s="338" t="s">
        <v>1151</v>
      </c>
      <c r="C822" s="193">
        <v>12000897</v>
      </c>
      <c r="D822" s="338" t="s">
        <v>1181</v>
      </c>
      <c r="E822" s="194" t="s">
        <v>1182</v>
      </c>
      <c r="F822" s="144" t="s">
        <v>3</v>
      </c>
    </row>
    <row r="823" spans="1:6" customFormat="1" hidden="1">
      <c r="A823" s="338">
        <f t="shared" si="12"/>
        <v>821</v>
      </c>
      <c r="B823" s="338" t="s">
        <v>1151</v>
      </c>
      <c r="C823" s="193">
        <v>12000896</v>
      </c>
      <c r="D823" s="338" t="s">
        <v>1183</v>
      </c>
      <c r="E823" s="194" t="s">
        <v>1184</v>
      </c>
      <c r="F823" s="144" t="s">
        <v>3</v>
      </c>
    </row>
    <row r="824" spans="1:6" customFormat="1" hidden="1">
      <c r="A824" s="338">
        <f t="shared" si="12"/>
        <v>822</v>
      </c>
      <c r="B824" s="338" t="s">
        <v>1151</v>
      </c>
      <c r="C824" s="193">
        <v>12000651</v>
      </c>
      <c r="D824" s="338" t="s">
        <v>1185</v>
      </c>
      <c r="E824" s="194" t="s">
        <v>1186</v>
      </c>
      <c r="F824" s="144" t="s">
        <v>3</v>
      </c>
    </row>
    <row r="825" spans="1:6" customFormat="1" hidden="1">
      <c r="A825" s="338">
        <f t="shared" si="12"/>
        <v>823</v>
      </c>
      <c r="B825" s="338" t="s">
        <v>1151</v>
      </c>
      <c r="C825" s="193">
        <v>12000652</v>
      </c>
      <c r="D825" s="338" t="s">
        <v>1187</v>
      </c>
      <c r="E825" s="194" t="s">
        <v>1186</v>
      </c>
      <c r="F825" s="144" t="s">
        <v>3</v>
      </c>
    </row>
    <row r="826" spans="1:6" customFormat="1" hidden="1">
      <c r="A826" s="338">
        <f t="shared" si="12"/>
        <v>824</v>
      </c>
      <c r="B826" s="338" t="s">
        <v>1151</v>
      </c>
      <c r="C826" s="193">
        <v>12000823</v>
      </c>
      <c r="D826" s="338" t="s">
        <v>1188</v>
      </c>
      <c r="E826" s="194" t="s">
        <v>1186</v>
      </c>
      <c r="F826" s="144" t="s">
        <v>3</v>
      </c>
    </row>
    <row r="827" spans="1:6" customFormat="1" hidden="1">
      <c r="A827" s="338">
        <f t="shared" si="12"/>
        <v>825</v>
      </c>
      <c r="B827" s="338" t="s">
        <v>1151</v>
      </c>
      <c r="C827" s="193">
        <v>12001500</v>
      </c>
      <c r="D827" s="338" t="s">
        <v>1189</v>
      </c>
      <c r="E827" s="194" t="s">
        <v>1186</v>
      </c>
      <c r="F827" s="144" t="s">
        <v>3</v>
      </c>
    </row>
    <row r="828" spans="1:6" customFormat="1" hidden="1">
      <c r="A828" s="338">
        <f t="shared" si="12"/>
        <v>826</v>
      </c>
      <c r="B828" s="338" t="s">
        <v>1151</v>
      </c>
      <c r="C828" s="193">
        <v>12016650</v>
      </c>
      <c r="D828" s="338" t="s">
        <v>1190</v>
      </c>
      <c r="E828" s="194" t="s">
        <v>1186</v>
      </c>
      <c r="F828" s="144" t="s">
        <v>3</v>
      </c>
    </row>
    <row r="829" spans="1:6" customFormat="1" hidden="1">
      <c r="A829" s="338">
        <f t="shared" si="12"/>
        <v>827</v>
      </c>
      <c r="B829" s="338" t="s">
        <v>1151</v>
      </c>
      <c r="C829" s="193">
        <v>12020401</v>
      </c>
      <c r="D829" s="338" t="s">
        <v>1191</v>
      </c>
      <c r="E829" s="194" t="s">
        <v>1186</v>
      </c>
      <c r="F829" s="144" t="s">
        <v>3</v>
      </c>
    </row>
    <row r="830" spans="1:6" customFormat="1" hidden="1">
      <c r="A830" s="338">
        <f t="shared" si="12"/>
        <v>828</v>
      </c>
      <c r="B830" s="338" t="s">
        <v>1151</v>
      </c>
      <c r="C830" s="193">
        <v>12052067</v>
      </c>
      <c r="D830" s="338" t="s">
        <v>1192</v>
      </c>
      <c r="E830" s="194" t="s">
        <v>1186</v>
      </c>
      <c r="F830" s="144" t="s">
        <v>3</v>
      </c>
    </row>
    <row r="831" spans="1:6" customFormat="1" hidden="1">
      <c r="A831" s="338">
        <f t="shared" si="12"/>
        <v>829</v>
      </c>
      <c r="B831" s="338" t="s">
        <v>1151</v>
      </c>
      <c r="C831" s="193">
        <v>12091382</v>
      </c>
      <c r="D831" s="338" t="s">
        <v>1193</v>
      </c>
      <c r="E831" s="194" t="s">
        <v>1186</v>
      </c>
      <c r="F831" s="144" t="s">
        <v>3</v>
      </c>
    </row>
    <row r="832" spans="1:6" customFormat="1" hidden="1">
      <c r="A832" s="338">
        <f t="shared" si="12"/>
        <v>830</v>
      </c>
      <c r="B832" s="338" t="s">
        <v>1151</v>
      </c>
      <c r="C832" s="193">
        <v>13432910</v>
      </c>
      <c r="D832" s="338" t="s">
        <v>1194</v>
      </c>
      <c r="E832" s="194" t="s">
        <v>1186</v>
      </c>
      <c r="F832" s="144" t="s">
        <v>3</v>
      </c>
    </row>
    <row r="833" spans="1:6" customFormat="1" hidden="1">
      <c r="A833" s="338">
        <f t="shared" si="12"/>
        <v>831</v>
      </c>
      <c r="B833" s="338" t="s">
        <v>1151</v>
      </c>
      <c r="C833" s="193">
        <v>13438294</v>
      </c>
      <c r="D833" s="338" t="s">
        <v>1195</v>
      </c>
      <c r="E833" s="194" t="s">
        <v>1186</v>
      </c>
      <c r="F833" s="144" t="s">
        <v>3</v>
      </c>
    </row>
    <row r="834" spans="1:6" customFormat="1" hidden="1">
      <c r="A834" s="338">
        <f t="shared" ref="A834:A895" si="13">A833+1</f>
        <v>832</v>
      </c>
      <c r="B834" s="338" t="s">
        <v>1151</v>
      </c>
      <c r="C834" s="193">
        <v>13446906</v>
      </c>
      <c r="D834" s="338" t="s">
        <v>1196</v>
      </c>
      <c r="E834" s="194" t="s">
        <v>1186</v>
      </c>
      <c r="F834" s="144" t="s">
        <v>3</v>
      </c>
    </row>
    <row r="835" spans="1:6" customFormat="1" hidden="1">
      <c r="A835" s="338">
        <f t="shared" si="13"/>
        <v>833</v>
      </c>
      <c r="B835" s="338" t="s">
        <v>1151</v>
      </c>
      <c r="C835" s="193">
        <v>13453650</v>
      </c>
      <c r="D835" s="338" t="s">
        <v>1583</v>
      </c>
      <c r="E835" s="194" t="s">
        <v>1186</v>
      </c>
      <c r="F835" s="144" t="s">
        <v>3</v>
      </c>
    </row>
    <row r="836" spans="1:6" customFormat="1" hidden="1">
      <c r="A836" s="338">
        <f t="shared" si="13"/>
        <v>834</v>
      </c>
      <c r="B836" s="338" t="s">
        <v>1151</v>
      </c>
      <c r="C836" s="193">
        <v>12000874</v>
      </c>
      <c r="D836" s="338" t="s">
        <v>1197</v>
      </c>
      <c r="E836" s="194" t="s">
        <v>1198</v>
      </c>
      <c r="F836" s="144" t="s">
        <v>3</v>
      </c>
    </row>
    <row r="837" spans="1:6" s="13" customFormat="1" hidden="1">
      <c r="A837" s="443">
        <f t="shared" si="13"/>
        <v>835</v>
      </c>
      <c r="B837" s="443" t="s">
        <v>1151</v>
      </c>
      <c r="C837" s="193">
        <v>12000875</v>
      </c>
      <c r="D837" s="443" t="s">
        <v>1199</v>
      </c>
      <c r="E837" s="194" t="s">
        <v>1198</v>
      </c>
      <c r="F837" s="144" t="s">
        <v>3</v>
      </c>
    </row>
    <row r="838" spans="1:6" customFormat="1" hidden="1">
      <c r="A838" s="338">
        <f>A836+1</f>
        <v>835</v>
      </c>
      <c r="B838" s="338" t="s">
        <v>1151</v>
      </c>
      <c r="C838" s="193">
        <v>12000876</v>
      </c>
      <c r="D838" s="338" t="s">
        <v>1200</v>
      </c>
      <c r="E838" s="194" t="s">
        <v>1198</v>
      </c>
      <c r="F838" s="144" t="s">
        <v>3</v>
      </c>
    </row>
    <row r="839" spans="1:6" customFormat="1" hidden="1">
      <c r="A839" s="338">
        <f t="shared" si="13"/>
        <v>836</v>
      </c>
      <c r="B839" s="338" t="s">
        <v>1151</v>
      </c>
      <c r="C839" s="193">
        <v>13401634</v>
      </c>
      <c r="D839" s="338" t="s">
        <v>1201</v>
      </c>
      <c r="E839" s="194" t="s">
        <v>1198</v>
      </c>
      <c r="F839" s="144" t="s">
        <v>3</v>
      </c>
    </row>
    <row r="840" spans="1:6" customFormat="1" hidden="1">
      <c r="A840" s="338">
        <f t="shared" si="13"/>
        <v>837</v>
      </c>
      <c r="B840" s="338" t="s">
        <v>1151</v>
      </c>
      <c r="C840" s="193">
        <v>12001034</v>
      </c>
      <c r="D840" s="338" t="s">
        <v>1202</v>
      </c>
      <c r="E840" s="194" t="s">
        <v>1203</v>
      </c>
      <c r="F840" s="144" t="s">
        <v>3</v>
      </c>
    </row>
    <row r="841" spans="1:6" customFormat="1" hidden="1">
      <c r="A841" s="338">
        <f t="shared" si="13"/>
        <v>838</v>
      </c>
      <c r="B841" s="338" t="s">
        <v>1151</v>
      </c>
      <c r="C841" s="193">
        <v>12000167</v>
      </c>
      <c r="D841" s="338" t="s">
        <v>1204</v>
      </c>
      <c r="E841" s="194" t="s">
        <v>1205</v>
      </c>
      <c r="F841" s="144" t="s">
        <v>3</v>
      </c>
    </row>
    <row r="842" spans="1:6" customFormat="1" hidden="1">
      <c r="A842" s="338">
        <f t="shared" si="13"/>
        <v>839</v>
      </c>
      <c r="B842" s="338" t="s">
        <v>1151</v>
      </c>
      <c r="C842" s="193">
        <v>12012155</v>
      </c>
      <c r="D842" s="338" t="s">
        <v>1206</v>
      </c>
      <c r="E842" s="194" t="s">
        <v>1205</v>
      </c>
      <c r="F842" s="144" t="s">
        <v>3</v>
      </c>
    </row>
    <row r="843" spans="1:6" customFormat="1" hidden="1">
      <c r="A843" s="338">
        <f t="shared" si="13"/>
        <v>840</v>
      </c>
      <c r="B843" s="338" t="s">
        <v>1151</v>
      </c>
      <c r="C843" s="193">
        <v>12015850</v>
      </c>
      <c r="D843" s="338" t="s">
        <v>1207</v>
      </c>
      <c r="E843" s="194" t="s">
        <v>1205</v>
      </c>
      <c r="F843" s="144" t="s">
        <v>3</v>
      </c>
    </row>
    <row r="844" spans="1:6" customFormat="1" hidden="1">
      <c r="A844" s="338">
        <f t="shared" si="13"/>
        <v>841</v>
      </c>
      <c r="B844" s="338" t="s">
        <v>1151</v>
      </c>
      <c r="C844" s="193">
        <v>12019440</v>
      </c>
      <c r="D844" s="338" t="s">
        <v>1208</v>
      </c>
      <c r="E844" s="194" t="s">
        <v>1205</v>
      </c>
      <c r="F844" s="144" t="s">
        <v>3</v>
      </c>
    </row>
    <row r="845" spans="1:6" customFormat="1" hidden="1">
      <c r="A845" s="338">
        <f t="shared" si="13"/>
        <v>842</v>
      </c>
      <c r="B845" s="338" t="s">
        <v>1151</v>
      </c>
      <c r="C845" s="193">
        <v>12021719</v>
      </c>
      <c r="D845" s="338" t="s">
        <v>1209</v>
      </c>
      <c r="E845" s="194" t="s">
        <v>1205</v>
      </c>
      <c r="F845" s="144" t="s">
        <v>3</v>
      </c>
    </row>
    <row r="846" spans="1:6" customFormat="1" hidden="1">
      <c r="A846" s="338">
        <f t="shared" si="13"/>
        <v>843</v>
      </c>
      <c r="B846" s="338" t="s">
        <v>1151</v>
      </c>
      <c r="C846" s="193">
        <v>12035031</v>
      </c>
      <c r="D846" s="338" t="s">
        <v>1210</v>
      </c>
      <c r="E846" s="194" t="s">
        <v>1205</v>
      </c>
      <c r="F846" s="144" t="s">
        <v>3</v>
      </c>
    </row>
    <row r="847" spans="1:6" customFormat="1" hidden="1">
      <c r="A847" s="338">
        <f t="shared" si="13"/>
        <v>844</v>
      </c>
      <c r="B847" s="338" t="s">
        <v>1151</v>
      </c>
      <c r="C847" s="193">
        <v>12035032</v>
      </c>
      <c r="D847" s="338" t="s">
        <v>1211</v>
      </c>
      <c r="E847" s="194" t="s">
        <v>1205</v>
      </c>
      <c r="F847" s="144" t="s">
        <v>3</v>
      </c>
    </row>
    <row r="848" spans="1:6" customFormat="1" hidden="1">
      <c r="A848" s="338">
        <f t="shared" si="13"/>
        <v>845</v>
      </c>
      <c r="B848" s="338" t="s">
        <v>1151</v>
      </c>
      <c r="C848" s="193">
        <v>12035033</v>
      </c>
      <c r="D848" s="338" t="s">
        <v>1212</v>
      </c>
      <c r="E848" s="194" t="s">
        <v>1205</v>
      </c>
      <c r="F848" s="144" t="s">
        <v>3</v>
      </c>
    </row>
    <row r="849" spans="1:6" customFormat="1" hidden="1">
      <c r="A849" s="338">
        <f t="shared" si="13"/>
        <v>846</v>
      </c>
      <c r="B849" s="338" t="s">
        <v>1151</v>
      </c>
      <c r="C849" s="193">
        <v>12035034</v>
      </c>
      <c r="D849" s="338" t="s">
        <v>1213</v>
      </c>
      <c r="E849" s="194" t="s">
        <v>1205</v>
      </c>
      <c r="F849" s="144" t="s">
        <v>3</v>
      </c>
    </row>
    <row r="850" spans="1:6" customFormat="1" hidden="1">
      <c r="A850" s="338">
        <f t="shared" si="13"/>
        <v>847</v>
      </c>
      <c r="B850" s="338" t="s">
        <v>1151</v>
      </c>
      <c r="C850" s="193">
        <v>12035035</v>
      </c>
      <c r="D850" s="338" t="s">
        <v>1214</v>
      </c>
      <c r="E850" s="194" t="s">
        <v>1205</v>
      </c>
      <c r="F850" s="144" t="s">
        <v>3</v>
      </c>
    </row>
    <row r="851" spans="1:6" customFormat="1" hidden="1">
      <c r="A851" s="338">
        <f t="shared" si="13"/>
        <v>848</v>
      </c>
      <c r="B851" s="338" t="s">
        <v>1151</v>
      </c>
      <c r="C851" s="193">
        <v>12035036</v>
      </c>
      <c r="D851" s="338" t="s">
        <v>1215</v>
      </c>
      <c r="E851" s="194" t="s">
        <v>1205</v>
      </c>
      <c r="F851" s="144" t="s">
        <v>3</v>
      </c>
    </row>
    <row r="852" spans="1:6" customFormat="1" hidden="1">
      <c r="A852" s="338">
        <f t="shared" si="13"/>
        <v>849</v>
      </c>
      <c r="B852" s="338" t="s">
        <v>1151</v>
      </c>
      <c r="C852" s="193">
        <v>12035037</v>
      </c>
      <c r="D852" s="338" t="s">
        <v>1216</v>
      </c>
      <c r="E852" s="194" t="s">
        <v>1205</v>
      </c>
      <c r="F852" s="144" t="s">
        <v>3</v>
      </c>
    </row>
    <row r="853" spans="1:6" customFormat="1" hidden="1">
      <c r="A853" s="338">
        <f t="shared" si="13"/>
        <v>850</v>
      </c>
      <c r="B853" s="338" t="s">
        <v>1151</v>
      </c>
      <c r="C853" s="193">
        <v>12057692</v>
      </c>
      <c r="D853" s="338" t="s">
        <v>1217</v>
      </c>
      <c r="E853" s="194" t="s">
        <v>1205</v>
      </c>
      <c r="F853" s="144" t="s">
        <v>3</v>
      </c>
    </row>
    <row r="854" spans="1:6" customFormat="1" hidden="1">
      <c r="A854" s="338">
        <f t="shared" si="13"/>
        <v>851</v>
      </c>
      <c r="B854" s="338" t="s">
        <v>1151</v>
      </c>
      <c r="C854" s="193">
        <v>12000486</v>
      </c>
      <c r="D854" s="338" t="s">
        <v>1397</v>
      </c>
      <c r="E854" s="194" t="s">
        <v>1218</v>
      </c>
      <c r="F854" s="144" t="s">
        <v>3</v>
      </c>
    </row>
    <row r="855" spans="1:6" customFormat="1" hidden="1">
      <c r="A855" s="338">
        <f t="shared" si="13"/>
        <v>852</v>
      </c>
      <c r="B855" s="338" t="s">
        <v>1151</v>
      </c>
      <c r="C855" s="193">
        <v>12000487</v>
      </c>
      <c r="D855" s="338" t="s">
        <v>1219</v>
      </c>
      <c r="E855" s="194" t="s">
        <v>1218</v>
      </c>
      <c r="F855" s="144" t="s">
        <v>3</v>
      </c>
    </row>
    <row r="856" spans="1:6" customFormat="1" hidden="1">
      <c r="A856" s="338">
        <f t="shared" si="13"/>
        <v>853</v>
      </c>
      <c r="B856" s="338" t="s">
        <v>1151</v>
      </c>
      <c r="C856" s="193">
        <v>12010045</v>
      </c>
      <c r="D856" s="338" t="s">
        <v>1220</v>
      </c>
      <c r="E856" s="194" t="s">
        <v>1218</v>
      </c>
      <c r="F856" s="144" t="s">
        <v>3</v>
      </c>
    </row>
    <row r="857" spans="1:6" customFormat="1" hidden="1">
      <c r="A857" s="338">
        <f t="shared" si="13"/>
        <v>854</v>
      </c>
      <c r="B857" s="338" t="s">
        <v>1151</v>
      </c>
      <c r="C857" s="193">
        <v>12010275</v>
      </c>
      <c r="D857" s="338" t="s">
        <v>1221</v>
      </c>
      <c r="E857" s="194" t="s">
        <v>1218</v>
      </c>
      <c r="F857" s="144" t="s">
        <v>3</v>
      </c>
    </row>
    <row r="858" spans="1:6" customFormat="1" hidden="1">
      <c r="A858" s="338">
        <f t="shared" si="13"/>
        <v>855</v>
      </c>
      <c r="B858" s="338" t="s">
        <v>1151</v>
      </c>
      <c r="C858" s="193">
        <v>12017912</v>
      </c>
      <c r="D858" s="338" t="s">
        <v>1222</v>
      </c>
      <c r="E858" s="194" t="s">
        <v>1218</v>
      </c>
      <c r="F858" s="144" t="s">
        <v>3</v>
      </c>
    </row>
    <row r="859" spans="1:6" customFormat="1" hidden="1">
      <c r="A859" s="338">
        <f t="shared" si="13"/>
        <v>856</v>
      </c>
      <c r="B859" s="338" t="s">
        <v>1151</v>
      </c>
      <c r="C859" s="193">
        <v>12022390</v>
      </c>
      <c r="D859" s="338" t="s">
        <v>1223</v>
      </c>
      <c r="E859" s="194" t="s">
        <v>1218</v>
      </c>
      <c r="F859" s="144" t="s">
        <v>3</v>
      </c>
    </row>
    <row r="860" spans="1:6" customFormat="1" hidden="1">
      <c r="A860" s="338">
        <f t="shared" si="13"/>
        <v>857</v>
      </c>
      <c r="B860" s="338" t="s">
        <v>1151</v>
      </c>
      <c r="C860" s="193">
        <v>12023336</v>
      </c>
      <c r="D860" s="338" t="s">
        <v>1224</v>
      </c>
      <c r="E860" s="194" t="s">
        <v>1218</v>
      </c>
      <c r="F860" s="144" t="s">
        <v>3</v>
      </c>
    </row>
    <row r="861" spans="1:6" customFormat="1" hidden="1">
      <c r="A861" s="338">
        <f t="shared" si="13"/>
        <v>858</v>
      </c>
      <c r="B861" s="338" t="s">
        <v>1151</v>
      </c>
      <c r="C861" s="193">
        <v>12031643</v>
      </c>
      <c r="D861" s="338" t="s">
        <v>1225</v>
      </c>
      <c r="E861" s="194" t="s">
        <v>1226</v>
      </c>
      <c r="F861" s="144" t="s">
        <v>3</v>
      </c>
    </row>
    <row r="862" spans="1:6" customFormat="1" hidden="1">
      <c r="A862" s="338">
        <f t="shared" si="13"/>
        <v>859</v>
      </c>
      <c r="B862" s="338" t="s">
        <v>1151</v>
      </c>
      <c r="C862" s="193">
        <v>12001204</v>
      </c>
      <c r="D862" s="338" t="s">
        <v>1227</v>
      </c>
      <c r="E862" s="194" t="s">
        <v>1228</v>
      </c>
      <c r="F862" s="144" t="s">
        <v>3</v>
      </c>
    </row>
    <row r="863" spans="1:6" customFormat="1" hidden="1">
      <c r="A863" s="338">
        <f t="shared" si="13"/>
        <v>860</v>
      </c>
      <c r="B863" s="338" t="s">
        <v>1151</v>
      </c>
      <c r="C863" s="193">
        <v>12014693</v>
      </c>
      <c r="D863" s="338" t="s">
        <v>1229</v>
      </c>
      <c r="E863" s="194" t="s">
        <v>1228</v>
      </c>
      <c r="F863" s="144" t="s">
        <v>3</v>
      </c>
    </row>
    <row r="864" spans="1:6" customFormat="1" hidden="1">
      <c r="A864" s="338">
        <f t="shared" si="13"/>
        <v>861</v>
      </c>
      <c r="B864" s="338" t="s">
        <v>1151</v>
      </c>
      <c r="C864" s="193">
        <v>12028972</v>
      </c>
      <c r="D864" s="338" t="s">
        <v>1230</v>
      </c>
      <c r="E864" s="194" t="s">
        <v>1228</v>
      </c>
      <c r="F864" s="144" t="s">
        <v>3</v>
      </c>
    </row>
    <row r="865" spans="1:6" customFormat="1" hidden="1">
      <c r="A865" s="338">
        <f t="shared" si="13"/>
        <v>862</v>
      </c>
      <c r="B865" s="338" t="s">
        <v>1151</v>
      </c>
      <c r="C865" s="193">
        <v>12030744</v>
      </c>
      <c r="D865" s="338" t="s">
        <v>1231</v>
      </c>
      <c r="E865" s="194" t="s">
        <v>1228</v>
      </c>
      <c r="F865" s="144" t="s">
        <v>3</v>
      </c>
    </row>
    <row r="866" spans="1:6" customFormat="1" hidden="1">
      <c r="A866" s="338">
        <f t="shared" si="13"/>
        <v>863</v>
      </c>
      <c r="B866" s="338" t="s">
        <v>1151</v>
      </c>
      <c r="C866" s="193">
        <v>12035027</v>
      </c>
      <c r="D866" s="338" t="s">
        <v>1232</v>
      </c>
      <c r="E866" s="194" t="s">
        <v>1228</v>
      </c>
      <c r="F866" s="144" t="s">
        <v>3</v>
      </c>
    </row>
    <row r="867" spans="1:6" customFormat="1" hidden="1">
      <c r="A867" s="338">
        <f t="shared" si="13"/>
        <v>864</v>
      </c>
      <c r="B867" s="338" t="s">
        <v>1151</v>
      </c>
      <c r="C867" s="193">
        <v>12035028</v>
      </c>
      <c r="D867" s="338" t="s">
        <v>1233</v>
      </c>
      <c r="E867" s="194" t="s">
        <v>1228</v>
      </c>
      <c r="F867" s="144" t="s">
        <v>3</v>
      </c>
    </row>
    <row r="868" spans="1:6" customFormat="1" hidden="1">
      <c r="A868" s="338">
        <f t="shared" si="13"/>
        <v>865</v>
      </c>
      <c r="B868" s="338" t="s">
        <v>1151</v>
      </c>
      <c r="C868" s="193">
        <v>12035029</v>
      </c>
      <c r="D868" s="338" t="s">
        <v>1584</v>
      </c>
      <c r="E868" s="194" t="s">
        <v>1228</v>
      </c>
      <c r="F868" s="144" t="s">
        <v>3</v>
      </c>
    </row>
    <row r="869" spans="1:6" customFormat="1" hidden="1">
      <c r="A869" s="338">
        <f t="shared" si="13"/>
        <v>866</v>
      </c>
      <c r="B869" s="338" t="s">
        <v>1151</v>
      </c>
      <c r="C869" s="193">
        <v>12035030</v>
      </c>
      <c r="D869" s="338" t="s">
        <v>1234</v>
      </c>
      <c r="E869" s="194" t="s">
        <v>1228</v>
      </c>
      <c r="F869" s="144" t="s">
        <v>3</v>
      </c>
    </row>
    <row r="870" spans="1:6" customFormat="1" hidden="1">
      <c r="A870" s="338">
        <f t="shared" si="13"/>
        <v>867</v>
      </c>
      <c r="B870" s="338" t="s">
        <v>1151</v>
      </c>
      <c r="C870" s="193">
        <v>12000161</v>
      </c>
      <c r="D870" s="338" t="s">
        <v>1235</v>
      </c>
      <c r="E870" s="194" t="s">
        <v>1236</v>
      </c>
      <c r="F870" s="144" t="s">
        <v>3</v>
      </c>
    </row>
    <row r="871" spans="1:6" customFormat="1" hidden="1">
      <c r="A871" s="338">
        <f t="shared" si="13"/>
        <v>868</v>
      </c>
      <c r="B871" s="338" t="s">
        <v>1151</v>
      </c>
      <c r="C871" s="193">
        <v>12041568</v>
      </c>
      <c r="D871" s="338" t="s">
        <v>1237</v>
      </c>
      <c r="E871" s="194" t="s">
        <v>1236</v>
      </c>
      <c r="F871" s="144" t="s">
        <v>3</v>
      </c>
    </row>
    <row r="872" spans="1:6" customFormat="1" hidden="1">
      <c r="A872" s="338">
        <f t="shared" si="13"/>
        <v>869</v>
      </c>
      <c r="B872" s="338" t="s">
        <v>1151</v>
      </c>
      <c r="C872" s="193">
        <v>12046905</v>
      </c>
      <c r="D872" s="338" t="s">
        <v>1238</v>
      </c>
      <c r="E872" s="194" t="s">
        <v>1236</v>
      </c>
      <c r="F872" s="144" t="s">
        <v>3</v>
      </c>
    </row>
    <row r="873" spans="1:6" customFormat="1" hidden="1">
      <c r="A873" s="338">
        <f t="shared" si="13"/>
        <v>870</v>
      </c>
      <c r="B873" s="338" t="s">
        <v>1151</v>
      </c>
      <c r="C873" s="193">
        <v>17333223</v>
      </c>
      <c r="D873" s="338" t="s">
        <v>1239</v>
      </c>
      <c r="E873" s="194" t="s">
        <v>1236</v>
      </c>
      <c r="F873" s="144" t="s">
        <v>3</v>
      </c>
    </row>
    <row r="874" spans="1:6" customFormat="1" hidden="1">
      <c r="A874" s="338">
        <f t="shared" si="13"/>
        <v>871</v>
      </c>
      <c r="B874" s="338" t="s">
        <v>1151</v>
      </c>
      <c r="C874" s="193">
        <v>12001286</v>
      </c>
      <c r="D874" s="338" t="s">
        <v>1398</v>
      </c>
      <c r="E874" s="194" t="s">
        <v>1240</v>
      </c>
      <c r="F874" s="144" t="s">
        <v>3</v>
      </c>
    </row>
    <row r="875" spans="1:6" customFormat="1" hidden="1">
      <c r="A875" s="338">
        <f t="shared" si="13"/>
        <v>872</v>
      </c>
      <c r="B875" s="338" t="s">
        <v>1151</v>
      </c>
      <c r="C875" s="193">
        <v>12021440</v>
      </c>
      <c r="D875" s="338" t="s">
        <v>1241</v>
      </c>
      <c r="E875" s="194" t="s">
        <v>1242</v>
      </c>
      <c r="F875" s="144" t="s">
        <v>3</v>
      </c>
    </row>
    <row r="876" spans="1:6" customFormat="1" hidden="1">
      <c r="A876" s="338">
        <f t="shared" si="13"/>
        <v>873</v>
      </c>
      <c r="B876" s="338" t="s">
        <v>1151</v>
      </c>
      <c r="C876" s="193">
        <v>12030742</v>
      </c>
      <c r="D876" s="338" t="s">
        <v>1243</v>
      </c>
      <c r="E876" s="194" t="s">
        <v>1244</v>
      </c>
      <c r="F876" s="144" t="s">
        <v>3</v>
      </c>
    </row>
    <row r="877" spans="1:6" customFormat="1" hidden="1">
      <c r="A877" s="338">
        <f t="shared" si="13"/>
        <v>874</v>
      </c>
      <c r="B877" s="338" t="s">
        <v>1151</v>
      </c>
      <c r="C877" s="193">
        <v>17800105</v>
      </c>
      <c r="D877" s="338" t="s">
        <v>1245</v>
      </c>
      <c r="E877" s="194" t="s">
        <v>1244</v>
      </c>
      <c r="F877" s="144" t="s">
        <v>3</v>
      </c>
    </row>
    <row r="878" spans="1:6" customFormat="1" hidden="1">
      <c r="A878" s="338">
        <f t="shared" si="13"/>
        <v>875</v>
      </c>
      <c r="B878" s="338" t="s">
        <v>1151</v>
      </c>
      <c r="C878" s="193">
        <v>12047508</v>
      </c>
      <c r="D878" s="338" t="s">
        <v>1246</v>
      </c>
      <c r="E878" s="194" t="s">
        <v>1247</v>
      </c>
      <c r="F878" s="144" t="s">
        <v>3</v>
      </c>
    </row>
    <row r="879" spans="1:6" customFormat="1" hidden="1">
      <c r="A879" s="338">
        <f t="shared" si="13"/>
        <v>876</v>
      </c>
      <c r="B879" s="338" t="s">
        <v>1151</v>
      </c>
      <c r="C879" s="193">
        <v>12014330</v>
      </c>
      <c r="D879" s="338" t="s">
        <v>1248</v>
      </c>
      <c r="E879" s="194" t="s">
        <v>1249</v>
      </c>
      <c r="F879" s="144" t="s">
        <v>3</v>
      </c>
    </row>
    <row r="880" spans="1:6" customFormat="1" hidden="1">
      <c r="A880" s="448">
        <f t="shared" si="13"/>
        <v>877</v>
      </c>
      <c r="B880" s="338" t="s">
        <v>1151</v>
      </c>
      <c r="C880" s="193">
        <v>12000188</v>
      </c>
      <c r="D880" s="338" t="s">
        <v>1250</v>
      </c>
      <c r="E880" s="194" t="s">
        <v>1251</v>
      </c>
      <c r="F880" s="144" t="s">
        <v>3</v>
      </c>
    </row>
    <row r="881" spans="1:6" customFormat="1" hidden="1">
      <c r="A881" s="338">
        <f t="shared" si="13"/>
        <v>878</v>
      </c>
      <c r="B881" s="338" t="s">
        <v>1151</v>
      </c>
      <c r="C881" s="193">
        <v>12000202</v>
      </c>
      <c r="D881" s="338" t="s">
        <v>1252</v>
      </c>
      <c r="E881" s="194" t="s">
        <v>1251</v>
      </c>
      <c r="F881" s="144" t="s">
        <v>3</v>
      </c>
    </row>
    <row r="882" spans="1:6" customFormat="1" hidden="1">
      <c r="A882" s="338">
        <f t="shared" si="13"/>
        <v>879</v>
      </c>
      <c r="B882" s="338" t="s">
        <v>1151</v>
      </c>
      <c r="C882" s="193">
        <v>12000318</v>
      </c>
      <c r="D882" s="338" t="s">
        <v>1585</v>
      </c>
      <c r="E882" s="194" t="s">
        <v>1251</v>
      </c>
      <c r="F882" s="144" t="s">
        <v>3</v>
      </c>
    </row>
    <row r="883" spans="1:6" customFormat="1" hidden="1">
      <c r="A883" s="338">
        <f t="shared" si="13"/>
        <v>880</v>
      </c>
      <c r="B883" s="338" t="s">
        <v>1151</v>
      </c>
      <c r="C883" s="193">
        <v>12000454</v>
      </c>
      <c r="D883" s="338" t="s">
        <v>1253</v>
      </c>
      <c r="E883" s="194" t="s">
        <v>1251</v>
      </c>
      <c r="F883" s="144" t="s">
        <v>3</v>
      </c>
    </row>
    <row r="884" spans="1:6" customFormat="1" hidden="1">
      <c r="A884" s="338">
        <f t="shared" si="13"/>
        <v>881</v>
      </c>
      <c r="B884" s="338" t="s">
        <v>1151</v>
      </c>
      <c r="C884" s="193">
        <v>12000469</v>
      </c>
      <c r="D884" s="338" t="s">
        <v>1254</v>
      </c>
      <c r="E884" s="194" t="s">
        <v>1251</v>
      </c>
      <c r="F884" s="144" t="s">
        <v>3</v>
      </c>
    </row>
    <row r="885" spans="1:6" customFormat="1" hidden="1">
      <c r="A885" s="338">
        <f t="shared" si="13"/>
        <v>882</v>
      </c>
      <c r="B885" s="338" t="s">
        <v>1151</v>
      </c>
      <c r="C885" s="193">
        <v>12000497</v>
      </c>
      <c r="D885" s="338" t="s">
        <v>1255</v>
      </c>
      <c r="E885" s="194" t="s">
        <v>1251</v>
      </c>
      <c r="F885" s="144" t="s">
        <v>3</v>
      </c>
    </row>
    <row r="886" spans="1:6" customFormat="1" hidden="1">
      <c r="A886" s="338">
        <f t="shared" si="13"/>
        <v>883</v>
      </c>
      <c r="B886" s="338" t="s">
        <v>1151</v>
      </c>
      <c r="C886" s="193">
        <v>12000510</v>
      </c>
      <c r="D886" s="338" t="s">
        <v>1256</v>
      </c>
      <c r="E886" s="194" t="s">
        <v>1251</v>
      </c>
      <c r="F886" s="144" t="s">
        <v>3</v>
      </c>
    </row>
    <row r="887" spans="1:6" customFormat="1" hidden="1">
      <c r="A887" s="338">
        <f t="shared" si="13"/>
        <v>884</v>
      </c>
      <c r="B887" s="338" t="s">
        <v>1151</v>
      </c>
      <c r="C887" s="193">
        <v>12000538</v>
      </c>
      <c r="D887" s="338" t="s">
        <v>1257</v>
      </c>
      <c r="E887" s="194" t="s">
        <v>1251</v>
      </c>
      <c r="F887" s="144" t="s">
        <v>3</v>
      </c>
    </row>
    <row r="888" spans="1:6" customFormat="1" hidden="1">
      <c r="A888" s="338">
        <f t="shared" si="13"/>
        <v>885</v>
      </c>
      <c r="B888" s="338" t="s">
        <v>1151</v>
      </c>
      <c r="C888" s="193">
        <v>12000736</v>
      </c>
      <c r="D888" s="338" t="s">
        <v>1258</v>
      </c>
      <c r="E888" s="194" t="s">
        <v>1251</v>
      </c>
      <c r="F888" s="144" t="s">
        <v>3</v>
      </c>
    </row>
    <row r="889" spans="1:6" customFormat="1" hidden="1">
      <c r="A889" s="338">
        <f t="shared" si="13"/>
        <v>886</v>
      </c>
      <c r="B889" s="338" t="s">
        <v>1151</v>
      </c>
      <c r="C889" s="193">
        <v>12000745</v>
      </c>
      <c r="D889" s="338" t="s">
        <v>1259</v>
      </c>
      <c r="E889" s="194" t="s">
        <v>1251</v>
      </c>
      <c r="F889" s="144" t="s">
        <v>3</v>
      </c>
    </row>
    <row r="890" spans="1:6" customFormat="1" hidden="1">
      <c r="A890" s="338">
        <f t="shared" si="13"/>
        <v>887</v>
      </c>
      <c r="B890" s="338" t="s">
        <v>1151</v>
      </c>
      <c r="C890" s="193">
        <v>12000746</v>
      </c>
      <c r="D890" s="338" t="s">
        <v>1260</v>
      </c>
      <c r="E890" s="194" t="s">
        <v>1251</v>
      </c>
      <c r="F890" s="144" t="s">
        <v>3</v>
      </c>
    </row>
    <row r="891" spans="1:6" customFormat="1" hidden="1">
      <c r="A891" s="338">
        <f t="shared" si="13"/>
        <v>888</v>
      </c>
      <c r="B891" s="338" t="s">
        <v>1151</v>
      </c>
      <c r="C891" s="193">
        <v>12000780</v>
      </c>
      <c r="D891" s="338" t="s">
        <v>1261</v>
      </c>
      <c r="E891" s="194" t="s">
        <v>1251</v>
      </c>
      <c r="F891" s="144" t="s">
        <v>3</v>
      </c>
    </row>
    <row r="892" spans="1:6" customFormat="1" hidden="1">
      <c r="A892" s="338">
        <f t="shared" si="13"/>
        <v>889</v>
      </c>
      <c r="B892" s="338" t="s">
        <v>1151</v>
      </c>
      <c r="C892" s="193">
        <v>12000851</v>
      </c>
      <c r="D892" s="338" t="s">
        <v>1262</v>
      </c>
      <c r="E892" s="194" t="s">
        <v>1251</v>
      </c>
      <c r="F892" s="144" t="s">
        <v>3</v>
      </c>
    </row>
    <row r="893" spans="1:6" customFormat="1" hidden="1">
      <c r="A893" s="338">
        <f t="shared" si="13"/>
        <v>890</v>
      </c>
      <c r="B893" s="338" t="s">
        <v>1151</v>
      </c>
      <c r="C893" s="193">
        <v>12000852</v>
      </c>
      <c r="D893" s="338" t="s">
        <v>1263</v>
      </c>
      <c r="E893" s="194" t="s">
        <v>1251</v>
      </c>
      <c r="F893" s="144" t="s">
        <v>3</v>
      </c>
    </row>
    <row r="894" spans="1:6" customFormat="1" hidden="1">
      <c r="A894" s="338">
        <f t="shared" si="13"/>
        <v>891</v>
      </c>
      <c r="B894" s="338" t="s">
        <v>1151</v>
      </c>
      <c r="C894" s="193">
        <v>12000878</v>
      </c>
      <c r="D894" s="338" t="s">
        <v>1264</v>
      </c>
      <c r="E894" s="194" t="s">
        <v>1251</v>
      </c>
      <c r="F894" s="144" t="s">
        <v>3</v>
      </c>
    </row>
    <row r="895" spans="1:6" customFormat="1" hidden="1">
      <c r="A895" s="338">
        <f t="shared" si="13"/>
        <v>892</v>
      </c>
      <c r="B895" s="338" t="s">
        <v>1151</v>
      </c>
      <c r="C895" s="193">
        <v>12000960</v>
      </c>
      <c r="D895" s="338" t="s">
        <v>1265</v>
      </c>
      <c r="E895" s="194" t="s">
        <v>1251</v>
      </c>
      <c r="F895" s="144" t="s">
        <v>3</v>
      </c>
    </row>
    <row r="896" spans="1:6" customFormat="1" hidden="1">
      <c r="A896" s="338">
        <f t="shared" ref="A896:A959" si="14">A895+1</f>
        <v>893</v>
      </c>
      <c r="B896" s="338" t="s">
        <v>1151</v>
      </c>
      <c r="C896" s="193">
        <v>12000961</v>
      </c>
      <c r="D896" s="338" t="s">
        <v>1266</v>
      </c>
      <c r="E896" s="194" t="s">
        <v>1251</v>
      </c>
      <c r="F896" s="144" t="s">
        <v>3</v>
      </c>
    </row>
    <row r="897" spans="1:6" customFormat="1" hidden="1">
      <c r="A897" s="338">
        <f t="shared" si="14"/>
        <v>894</v>
      </c>
      <c r="B897" s="338" t="s">
        <v>1151</v>
      </c>
      <c r="C897" s="193">
        <v>12000978</v>
      </c>
      <c r="D897" s="338" t="s">
        <v>1267</v>
      </c>
      <c r="E897" s="194" t="s">
        <v>1251</v>
      </c>
      <c r="F897" s="144" t="s">
        <v>3</v>
      </c>
    </row>
    <row r="898" spans="1:6" customFormat="1" hidden="1">
      <c r="A898" s="338">
        <f t="shared" si="14"/>
        <v>895</v>
      </c>
      <c r="B898" s="338" t="s">
        <v>1151</v>
      </c>
      <c r="C898" s="193">
        <v>12000979</v>
      </c>
      <c r="D898" s="338" t="s">
        <v>1268</v>
      </c>
      <c r="E898" s="194" t="s">
        <v>1251</v>
      </c>
      <c r="F898" s="144" t="s">
        <v>3</v>
      </c>
    </row>
    <row r="899" spans="1:6" customFormat="1" hidden="1">
      <c r="A899" s="338">
        <f t="shared" si="14"/>
        <v>896</v>
      </c>
      <c r="B899" s="338" t="s">
        <v>1151</v>
      </c>
      <c r="C899" s="193">
        <v>12001010</v>
      </c>
      <c r="D899" s="338" t="s">
        <v>1269</v>
      </c>
      <c r="E899" s="194" t="s">
        <v>1251</v>
      </c>
      <c r="F899" s="144" t="s">
        <v>3</v>
      </c>
    </row>
    <row r="900" spans="1:6" customFormat="1" hidden="1">
      <c r="A900" s="338">
        <f t="shared" si="14"/>
        <v>897</v>
      </c>
      <c r="B900" s="338" t="s">
        <v>1151</v>
      </c>
      <c r="C900" s="193">
        <v>12001029</v>
      </c>
      <c r="D900" s="338" t="s">
        <v>1270</v>
      </c>
      <c r="E900" s="194" t="s">
        <v>1251</v>
      </c>
      <c r="F900" s="144" t="s">
        <v>3</v>
      </c>
    </row>
    <row r="901" spans="1:6" customFormat="1" hidden="1">
      <c r="A901" s="338">
        <f t="shared" si="14"/>
        <v>898</v>
      </c>
      <c r="B901" s="338" t="s">
        <v>1151</v>
      </c>
      <c r="C901" s="193">
        <v>12001072</v>
      </c>
      <c r="D901" s="338" t="s">
        <v>1271</v>
      </c>
      <c r="E901" s="194" t="s">
        <v>1251</v>
      </c>
      <c r="F901" s="144" t="s">
        <v>3</v>
      </c>
    </row>
    <row r="902" spans="1:6" customFormat="1" hidden="1">
      <c r="A902" s="338">
        <f t="shared" si="14"/>
        <v>899</v>
      </c>
      <c r="B902" s="338" t="s">
        <v>1151</v>
      </c>
      <c r="C902" s="193">
        <v>12001074</v>
      </c>
      <c r="D902" s="338" t="s">
        <v>1272</v>
      </c>
      <c r="E902" s="194" t="s">
        <v>1251</v>
      </c>
      <c r="F902" s="144" t="s">
        <v>3</v>
      </c>
    </row>
    <row r="903" spans="1:6" customFormat="1" hidden="1">
      <c r="A903" s="338">
        <f t="shared" si="14"/>
        <v>900</v>
      </c>
      <c r="B903" s="338" t="s">
        <v>1151</v>
      </c>
      <c r="C903" s="193">
        <v>12001075</v>
      </c>
      <c r="D903" s="338" t="s">
        <v>1273</v>
      </c>
      <c r="E903" s="194" t="s">
        <v>1251</v>
      </c>
      <c r="F903" s="144" t="s">
        <v>3</v>
      </c>
    </row>
    <row r="904" spans="1:6" customFormat="1" hidden="1">
      <c r="A904" s="338">
        <f t="shared" si="14"/>
        <v>901</v>
      </c>
      <c r="B904" s="338" t="s">
        <v>1151</v>
      </c>
      <c r="C904" s="193">
        <v>12001076</v>
      </c>
      <c r="D904" s="338" t="s">
        <v>1274</v>
      </c>
      <c r="E904" s="194" t="s">
        <v>1251</v>
      </c>
      <c r="F904" s="144" t="s">
        <v>3</v>
      </c>
    </row>
    <row r="905" spans="1:6" customFormat="1" hidden="1">
      <c r="A905" s="338">
        <f t="shared" si="14"/>
        <v>902</v>
      </c>
      <c r="B905" s="338" t="s">
        <v>1151</v>
      </c>
      <c r="C905" s="193">
        <v>12001077</v>
      </c>
      <c r="D905" s="338" t="s">
        <v>1275</v>
      </c>
      <c r="E905" s="194" t="s">
        <v>1251</v>
      </c>
      <c r="F905" s="144" t="s">
        <v>3</v>
      </c>
    </row>
    <row r="906" spans="1:6" customFormat="1" hidden="1">
      <c r="A906" s="338">
        <f t="shared" si="14"/>
        <v>903</v>
      </c>
      <c r="B906" s="338" t="s">
        <v>1151</v>
      </c>
      <c r="C906" s="193">
        <v>12001078</v>
      </c>
      <c r="D906" s="338" t="s">
        <v>1276</v>
      </c>
      <c r="E906" s="194" t="s">
        <v>1251</v>
      </c>
      <c r="F906" s="144" t="s">
        <v>3</v>
      </c>
    </row>
    <row r="907" spans="1:6" customFormat="1" hidden="1">
      <c r="A907" s="338">
        <f t="shared" si="14"/>
        <v>904</v>
      </c>
      <c r="B907" s="338" t="s">
        <v>1151</v>
      </c>
      <c r="C907" s="193">
        <v>12001200</v>
      </c>
      <c r="D907" s="338" t="s">
        <v>1277</v>
      </c>
      <c r="E907" s="194" t="s">
        <v>1251</v>
      </c>
      <c r="F907" s="144" t="s">
        <v>3</v>
      </c>
    </row>
    <row r="908" spans="1:6" customFormat="1" hidden="1">
      <c r="A908" s="338">
        <f t="shared" si="14"/>
        <v>905</v>
      </c>
      <c r="B908" s="338" t="s">
        <v>1151</v>
      </c>
      <c r="C908" s="193">
        <v>12001201</v>
      </c>
      <c r="D908" s="338" t="s">
        <v>1278</v>
      </c>
      <c r="E908" s="194" t="s">
        <v>1251</v>
      </c>
      <c r="F908" s="144" t="s">
        <v>3</v>
      </c>
    </row>
    <row r="909" spans="1:6" customFormat="1" hidden="1">
      <c r="A909" s="338">
        <f t="shared" si="14"/>
        <v>906</v>
      </c>
      <c r="B909" s="338" t="s">
        <v>1151</v>
      </c>
      <c r="C909" s="193">
        <v>12001202</v>
      </c>
      <c r="D909" s="338" t="s">
        <v>1279</v>
      </c>
      <c r="E909" s="194" t="s">
        <v>1251</v>
      </c>
      <c r="F909" s="144" t="s">
        <v>3</v>
      </c>
    </row>
    <row r="910" spans="1:6" customFormat="1" hidden="1">
      <c r="A910" s="338">
        <f t="shared" si="14"/>
        <v>907</v>
      </c>
      <c r="B910" s="338" t="s">
        <v>1151</v>
      </c>
      <c r="C910" s="193">
        <v>12001210</v>
      </c>
      <c r="D910" s="338" t="s">
        <v>1399</v>
      </c>
      <c r="E910" s="194" t="s">
        <v>1251</v>
      </c>
      <c r="F910" s="144" t="s">
        <v>3</v>
      </c>
    </row>
    <row r="911" spans="1:6" customFormat="1" hidden="1">
      <c r="A911" s="338">
        <f t="shared" si="14"/>
        <v>908</v>
      </c>
      <c r="B911" s="338" t="s">
        <v>1151</v>
      </c>
      <c r="C911" s="193">
        <v>12001237</v>
      </c>
      <c r="D911" s="338" t="s">
        <v>1280</v>
      </c>
      <c r="E911" s="194" t="s">
        <v>1251</v>
      </c>
      <c r="F911" s="144" t="s">
        <v>3</v>
      </c>
    </row>
    <row r="912" spans="1:6" customFormat="1" hidden="1">
      <c r="A912" s="338">
        <f t="shared" si="14"/>
        <v>909</v>
      </c>
      <c r="B912" s="338" t="s">
        <v>1151</v>
      </c>
      <c r="C912" s="193">
        <v>12001287</v>
      </c>
      <c r="D912" s="338" t="s">
        <v>1281</v>
      </c>
      <c r="E912" s="194" t="s">
        <v>1251</v>
      </c>
      <c r="F912" s="144" t="s">
        <v>3</v>
      </c>
    </row>
    <row r="913" spans="1:6" customFormat="1" hidden="1">
      <c r="A913" s="338">
        <f t="shared" si="14"/>
        <v>910</v>
      </c>
      <c r="B913" s="338" t="s">
        <v>1151</v>
      </c>
      <c r="C913" s="193">
        <v>12001301</v>
      </c>
      <c r="D913" s="338" t="s">
        <v>1400</v>
      </c>
      <c r="E913" s="194" t="s">
        <v>1251</v>
      </c>
      <c r="F913" s="144" t="s">
        <v>3</v>
      </c>
    </row>
    <row r="914" spans="1:6" customFormat="1" hidden="1">
      <c r="A914" s="338">
        <f t="shared" si="14"/>
        <v>911</v>
      </c>
      <c r="B914" s="338" t="s">
        <v>1151</v>
      </c>
      <c r="C914" s="193">
        <v>12001302</v>
      </c>
      <c r="D914" s="338" t="s">
        <v>1282</v>
      </c>
      <c r="E914" s="194" t="s">
        <v>1251</v>
      </c>
      <c r="F914" s="144" t="s">
        <v>3</v>
      </c>
    </row>
    <row r="915" spans="1:6" customFormat="1" hidden="1">
      <c r="A915" s="338">
        <f t="shared" si="14"/>
        <v>912</v>
      </c>
      <c r="B915" s="338" t="s">
        <v>1151</v>
      </c>
      <c r="C915" s="193">
        <v>12001303</v>
      </c>
      <c r="D915" s="338" t="s">
        <v>1283</v>
      </c>
      <c r="E915" s="194" t="s">
        <v>1251</v>
      </c>
      <c r="F915" s="144" t="s">
        <v>3</v>
      </c>
    </row>
    <row r="916" spans="1:6" customFormat="1" hidden="1">
      <c r="A916" s="338">
        <f t="shared" si="14"/>
        <v>913</v>
      </c>
      <c r="B916" s="338" t="s">
        <v>1151</v>
      </c>
      <c r="C916" s="193">
        <v>12001304</v>
      </c>
      <c r="D916" s="338" t="s">
        <v>1284</v>
      </c>
      <c r="E916" s="194" t="s">
        <v>1251</v>
      </c>
      <c r="F916" s="144" t="s">
        <v>3</v>
      </c>
    </row>
    <row r="917" spans="1:6" customFormat="1" hidden="1">
      <c r="A917" s="338">
        <f t="shared" si="14"/>
        <v>914</v>
      </c>
      <c r="B917" s="338" t="s">
        <v>1151</v>
      </c>
      <c r="C917" s="193">
        <v>12001305</v>
      </c>
      <c r="D917" s="338" t="s">
        <v>1285</v>
      </c>
      <c r="E917" s="194" t="s">
        <v>1251</v>
      </c>
      <c r="F917" s="144" t="s">
        <v>3</v>
      </c>
    </row>
    <row r="918" spans="1:6" customFormat="1" hidden="1">
      <c r="A918" s="338">
        <f t="shared" si="14"/>
        <v>915</v>
      </c>
      <c r="B918" s="338" t="s">
        <v>1151</v>
      </c>
      <c r="C918" s="193">
        <v>12001494</v>
      </c>
      <c r="D918" s="338" t="s">
        <v>1286</v>
      </c>
      <c r="E918" s="194" t="s">
        <v>1251</v>
      </c>
      <c r="F918" s="144" t="s">
        <v>3</v>
      </c>
    </row>
    <row r="919" spans="1:6" customFormat="1" hidden="1">
      <c r="A919" s="338">
        <f t="shared" si="14"/>
        <v>916</v>
      </c>
      <c r="B919" s="338" t="s">
        <v>1151</v>
      </c>
      <c r="C919" s="193">
        <v>12001495</v>
      </c>
      <c r="D919" s="338" t="s">
        <v>1287</v>
      </c>
      <c r="E919" s="194" t="s">
        <v>1251</v>
      </c>
      <c r="F919" s="144" t="s">
        <v>3</v>
      </c>
    </row>
    <row r="920" spans="1:6" customFormat="1" hidden="1">
      <c r="A920" s="338">
        <f t="shared" si="14"/>
        <v>917</v>
      </c>
      <c r="B920" s="338" t="s">
        <v>1151</v>
      </c>
      <c r="C920" s="193">
        <v>12001496</v>
      </c>
      <c r="D920" s="338" t="s">
        <v>1288</v>
      </c>
      <c r="E920" s="194" t="s">
        <v>1251</v>
      </c>
      <c r="F920" s="144" t="s">
        <v>3</v>
      </c>
    </row>
    <row r="921" spans="1:6" customFormat="1" hidden="1">
      <c r="A921" s="338">
        <f t="shared" si="14"/>
        <v>918</v>
      </c>
      <c r="B921" s="338" t="s">
        <v>1151</v>
      </c>
      <c r="C921" s="193">
        <v>12001497</v>
      </c>
      <c r="D921" s="338" t="s">
        <v>1289</v>
      </c>
      <c r="E921" s="194" t="s">
        <v>1251</v>
      </c>
      <c r="F921" s="144" t="s">
        <v>3</v>
      </c>
    </row>
    <row r="922" spans="1:6" customFormat="1" hidden="1">
      <c r="A922" s="338">
        <f t="shared" si="14"/>
        <v>919</v>
      </c>
      <c r="B922" s="338" t="s">
        <v>1151</v>
      </c>
      <c r="C922" s="193">
        <v>12001569</v>
      </c>
      <c r="D922" s="338" t="s">
        <v>1401</v>
      </c>
      <c r="E922" s="194" t="s">
        <v>1251</v>
      </c>
      <c r="F922" s="144" t="s">
        <v>3</v>
      </c>
    </row>
    <row r="923" spans="1:6" customFormat="1" hidden="1">
      <c r="A923" s="338">
        <f t="shared" si="14"/>
        <v>920</v>
      </c>
      <c r="B923" s="338" t="s">
        <v>1151</v>
      </c>
      <c r="C923" s="193">
        <v>12001641</v>
      </c>
      <c r="D923" s="338" t="s">
        <v>1290</v>
      </c>
      <c r="E923" s="194" t="s">
        <v>1251</v>
      </c>
      <c r="F923" s="144" t="s">
        <v>3</v>
      </c>
    </row>
    <row r="924" spans="1:6" customFormat="1" hidden="1">
      <c r="A924" s="338">
        <f t="shared" si="14"/>
        <v>921</v>
      </c>
      <c r="B924" s="338" t="s">
        <v>1151</v>
      </c>
      <c r="C924" s="193">
        <v>12001745</v>
      </c>
      <c r="D924" s="338" t="s">
        <v>1291</v>
      </c>
      <c r="E924" s="194" t="s">
        <v>1251</v>
      </c>
      <c r="F924" s="144" t="s">
        <v>3</v>
      </c>
    </row>
    <row r="925" spans="1:6" customFormat="1" hidden="1">
      <c r="A925" s="338">
        <f t="shared" si="14"/>
        <v>922</v>
      </c>
      <c r="B925" s="338" t="s">
        <v>1151</v>
      </c>
      <c r="C925" s="193">
        <v>12020412</v>
      </c>
      <c r="D925" s="338" t="s">
        <v>1292</v>
      </c>
      <c r="E925" s="194" t="s">
        <v>1251</v>
      </c>
      <c r="F925" s="144" t="s">
        <v>3</v>
      </c>
    </row>
    <row r="926" spans="1:6" customFormat="1" hidden="1">
      <c r="A926" s="338">
        <f t="shared" si="14"/>
        <v>923</v>
      </c>
      <c r="B926" s="338" t="s">
        <v>1151</v>
      </c>
      <c r="C926" s="193">
        <v>12030132</v>
      </c>
      <c r="D926" s="338" t="s">
        <v>1293</v>
      </c>
      <c r="E926" s="194" t="s">
        <v>1251</v>
      </c>
      <c r="F926" s="144" t="s">
        <v>3</v>
      </c>
    </row>
    <row r="927" spans="1:6" customFormat="1" hidden="1">
      <c r="A927" s="338">
        <f t="shared" si="14"/>
        <v>924</v>
      </c>
      <c r="B927" s="338" t="s">
        <v>1151</v>
      </c>
      <c r="C927" s="193">
        <v>12030146</v>
      </c>
      <c r="D927" s="338" t="s">
        <v>1294</v>
      </c>
      <c r="E927" s="194" t="s">
        <v>1251</v>
      </c>
      <c r="F927" s="144" t="s">
        <v>3</v>
      </c>
    </row>
    <row r="928" spans="1:6" customFormat="1" hidden="1">
      <c r="A928" s="338">
        <f t="shared" si="14"/>
        <v>925</v>
      </c>
      <c r="B928" s="338" t="s">
        <v>1151</v>
      </c>
      <c r="C928" s="193">
        <v>12031665</v>
      </c>
      <c r="D928" s="338" t="s">
        <v>1295</v>
      </c>
      <c r="E928" s="194" t="s">
        <v>1251</v>
      </c>
      <c r="F928" s="144" t="s">
        <v>3</v>
      </c>
    </row>
    <row r="929" spans="1:6" customFormat="1" hidden="1">
      <c r="A929" s="338">
        <f t="shared" si="14"/>
        <v>926</v>
      </c>
      <c r="B929" s="338" t="s">
        <v>1151</v>
      </c>
      <c r="C929" s="193">
        <v>12046970</v>
      </c>
      <c r="D929" s="338" t="s">
        <v>1296</v>
      </c>
      <c r="E929" s="194" t="s">
        <v>1251</v>
      </c>
      <c r="F929" s="144" t="s">
        <v>3</v>
      </c>
    </row>
    <row r="930" spans="1:6" customFormat="1" hidden="1">
      <c r="A930" s="338">
        <f t="shared" si="14"/>
        <v>927</v>
      </c>
      <c r="B930" s="338" t="s">
        <v>1151</v>
      </c>
      <c r="C930" s="193">
        <v>12052201</v>
      </c>
      <c r="D930" s="338" t="s">
        <v>1297</v>
      </c>
      <c r="E930" s="194" t="s">
        <v>1251</v>
      </c>
      <c r="F930" s="144" t="s">
        <v>3</v>
      </c>
    </row>
    <row r="931" spans="1:6" customFormat="1" hidden="1">
      <c r="A931" s="338">
        <f t="shared" si="14"/>
        <v>928</v>
      </c>
      <c r="B931" s="338" t="s">
        <v>1151</v>
      </c>
      <c r="C931" s="193">
        <v>12058418</v>
      </c>
      <c r="D931" s="338" t="s">
        <v>1298</v>
      </c>
      <c r="E931" s="194" t="s">
        <v>1251</v>
      </c>
      <c r="F931" s="144" t="s">
        <v>3</v>
      </c>
    </row>
    <row r="932" spans="1:6" customFormat="1" hidden="1">
      <c r="A932" s="338">
        <f t="shared" si="14"/>
        <v>929</v>
      </c>
      <c r="B932" s="338" t="s">
        <v>1151</v>
      </c>
      <c r="C932" s="193">
        <v>12061490</v>
      </c>
      <c r="D932" s="338" t="s">
        <v>1299</v>
      </c>
      <c r="E932" s="194" t="s">
        <v>1251</v>
      </c>
      <c r="F932" s="144" t="s">
        <v>3</v>
      </c>
    </row>
    <row r="933" spans="1:6" customFormat="1" hidden="1">
      <c r="A933" s="338">
        <f t="shared" si="14"/>
        <v>930</v>
      </c>
      <c r="B933" s="338" t="s">
        <v>1151</v>
      </c>
      <c r="C933" s="193">
        <v>12061491</v>
      </c>
      <c r="D933" s="338" t="s">
        <v>1300</v>
      </c>
      <c r="E933" s="194" t="s">
        <v>1251</v>
      </c>
      <c r="F933" s="144" t="s">
        <v>3</v>
      </c>
    </row>
    <row r="934" spans="1:6" customFormat="1" hidden="1">
      <c r="A934" s="338">
        <f t="shared" si="14"/>
        <v>931</v>
      </c>
      <c r="B934" s="338" t="s">
        <v>1151</v>
      </c>
      <c r="C934" s="193">
        <v>12063249</v>
      </c>
      <c r="D934" s="338" t="s">
        <v>1301</v>
      </c>
      <c r="E934" s="194" t="s">
        <v>1251</v>
      </c>
      <c r="F934" s="144" t="s">
        <v>3</v>
      </c>
    </row>
    <row r="935" spans="1:6" customFormat="1" hidden="1">
      <c r="A935" s="338">
        <f t="shared" si="14"/>
        <v>932</v>
      </c>
      <c r="B935" s="338" t="s">
        <v>1151</v>
      </c>
      <c r="C935" s="193">
        <v>12064804</v>
      </c>
      <c r="D935" s="338" t="s">
        <v>1302</v>
      </c>
      <c r="E935" s="194" t="s">
        <v>1251</v>
      </c>
      <c r="F935" s="144" t="s">
        <v>3</v>
      </c>
    </row>
    <row r="936" spans="1:6" customFormat="1" hidden="1">
      <c r="A936" s="338">
        <f t="shared" si="14"/>
        <v>933</v>
      </c>
      <c r="B936" s="338" t="s">
        <v>1151</v>
      </c>
      <c r="C936" s="193">
        <v>12064888</v>
      </c>
      <c r="D936" s="338" t="s">
        <v>1303</v>
      </c>
      <c r="E936" s="194" t="s">
        <v>1251</v>
      </c>
      <c r="F936" s="144" t="s">
        <v>3</v>
      </c>
    </row>
    <row r="937" spans="1:6" customFormat="1" hidden="1">
      <c r="A937" s="338">
        <f t="shared" si="14"/>
        <v>934</v>
      </c>
      <c r="B937" s="338" t="s">
        <v>1151</v>
      </c>
      <c r="C937" s="193">
        <v>12065324</v>
      </c>
      <c r="D937" s="338" t="s">
        <v>1304</v>
      </c>
      <c r="E937" s="194" t="s">
        <v>1251</v>
      </c>
      <c r="F937" s="144" t="s">
        <v>3</v>
      </c>
    </row>
    <row r="938" spans="1:6" customFormat="1" hidden="1">
      <c r="A938" s="338">
        <f t="shared" si="14"/>
        <v>935</v>
      </c>
      <c r="B938" s="338" t="s">
        <v>1151</v>
      </c>
      <c r="C938" s="193">
        <v>12068871</v>
      </c>
      <c r="D938" s="338" t="s">
        <v>1305</v>
      </c>
      <c r="E938" s="194" t="s">
        <v>1251</v>
      </c>
      <c r="F938" s="144" t="s">
        <v>3</v>
      </c>
    </row>
    <row r="939" spans="1:6" customFormat="1" hidden="1">
      <c r="A939" s="338">
        <f t="shared" si="14"/>
        <v>936</v>
      </c>
      <c r="B939" s="338" t="s">
        <v>1151</v>
      </c>
      <c r="C939" s="193">
        <v>12069287</v>
      </c>
      <c r="D939" s="338" t="s">
        <v>1306</v>
      </c>
      <c r="E939" s="194" t="s">
        <v>1251</v>
      </c>
      <c r="F939" s="144" t="s">
        <v>3</v>
      </c>
    </row>
    <row r="940" spans="1:6" customFormat="1" hidden="1">
      <c r="A940" s="338">
        <f t="shared" si="14"/>
        <v>937</v>
      </c>
      <c r="B940" s="338" t="s">
        <v>1151</v>
      </c>
      <c r="C940" s="193">
        <v>12074873</v>
      </c>
      <c r="D940" s="338" t="s">
        <v>1402</v>
      </c>
      <c r="E940" s="194" t="s">
        <v>1251</v>
      </c>
      <c r="F940" s="144" t="s">
        <v>3</v>
      </c>
    </row>
    <row r="941" spans="1:6" customFormat="1" hidden="1">
      <c r="A941" s="338">
        <f t="shared" si="14"/>
        <v>938</v>
      </c>
      <c r="B941" s="338" t="s">
        <v>1151</v>
      </c>
      <c r="C941" s="193">
        <v>12075855</v>
      </c>
      <c r="D941" s="338" t="s">
        <v>1307</v>
      </c>
      <c r="E941" s="194" t="s">
        <v>1251</v>
      </c>
      <c r="F941" s="144" t="s">
        <v>3</v>
      </c>
    </row>
    <row r="942" spans="1:6" customFormat="1" hidden="1">
      <c r="A942" s="338">
        <f t="shared" si="14"/>
        <v>939</v>
      </c>
      <c r="B942" s="338" t="s">
        <v>1151</v>
      </c>
      <c r="C942" s="193">
        <v>12085202</v>
      </c>
      <c r="D942" s="338" t="s">
        <v>1308</v>
      </c>
      <c r="E942" s="194" t="s">
        <v>1251</v>
      </c>
      <c r="F942" s="144" t="s">
        <v>3</v>
      </c>
    </row>
    <row r="943" spans="1:6" customFormat="1" hidden="1">
      <c r="A943" s="338">
        <f t="shared" si="14"/>
        <v>940</v>
      </c>
      <c r="B943" s="338" t="s">
        <v>1151</v>
      </c>
      <c r="C943" s="193">
        <v>17202937</v>
      </c>
      <c r="D943" s="338" t="s">
        <v>1309</v>
      </c>
      <c r="E943" s="194" t="s">
        <v>1251</v>
      </c>
      <c r="F943" s="144" t="s">
        <v>3</v>
      </c>
    </row>
    <row r="944" spans="1:6" customFormat="1" hidden="1">
      <c r="A944" s="338">
        <f t="shared" si="14"/>
        <v>941</v>
      </c>
      <c r="B944" s="338" t="s">
        <v>1151</v>
      </c>
      <c r="C944" s="193">
        <v>17811213</v>
      </c>
      <c r="D944" s="338" t="s">
        <v>1310</v>
      </c>
      <c r="E944" s="194" t="s">
        <v>1251</v>
      </c>
      <c r="F944" s="144" t="s">
        <v>3</v>
      </c>
    </row>
    <row r="945" spans="1:6" customFormat="1" hidden="1">
      <c r="A945" s="338">
        <f t="shared" si="14"/>
        <v>942</v>
      </c>
      <c r="B945" s="338" t="s">
        <v>1151</v>
      </c>
      <c r="C945" s="193">
        <v>17831599</v>
      </c>
      <c r="D945" s="338" t="s">
        <v>1311</v>
      </c>
      <c r="E945" s="194" t="s">
        <v>1251</v>
      </c>
      <c r="F945" s="144" t="s">
        <v>3</v>
      </c>
    </row>
    <row r="946" spans="1:6" customFormat="1" hidden="1">
      <c r="A946" s="338">
        <f t="shared" si="14"/>
        <v>943</v>
      </c>
      <c r="B946" s="338" t="s">
        <v>1151</v>
      </c>
      <c r="C946" s="193">
        <v>17831603</v>
      </c>
      <c r="D946" s="338" t="s">
        <v>1312</v>
      </c>
      <c r="E946" s="194" t="s">
        <v>1251</v>
      </c>
      <c r="F946" s="144" t="s">
        <v>3</v>
      </c>
    </row>
    <row r="947" spans="1:6" customFormat="1" hidden="1">
      <c r="A947" s="338">
        <f t="shared" si="14"/>
        <v>944</v>
      </c>
      <c r="B947" s="338" t="s">
        <v>1151</v>
      </c>
      <c r="C947" s="193">
        <v>17831652</v>
      </c>
      <c r="D947" s="338" t="s">
        <v>1313</v>
      </c>
      <c r="E947" s="194" t="s">
        <v>1251</v>
      </c>
      <c r="F947" s="144" t="s">
        <v>3</v>
      </c>
    </row>
    <row r="948" spans="1:6" customFormat="1" hidden="1">
      <c r="A948" s="338">
        <f t="shared" si="14"/>
        <v>945</v>
      </c>
      <c r="B948" s="338" t="s">
        <v>1151</v>
      </c>
      <c r="C948" s="193">
        <v>17831658</v>
      </c>
      <c r="D948" s="338" t="s">
        <v>1314</v>
      </c>
      <c r="E948" s="194" t="s">
        <v>1251</v>
      </c>
      <c r="F948" s="144" t="s">
        <v>3</v>
      </c>
    </row>
    <row r="949" spans="1:6" customFormat="1" hidden="1">
      <c r="A949" s="338">
        <f t="shared" si="14"/>
        <v>946</v>
      </c>
      <c r="B949" s="338" t="s">
        <v>1151</v>
      </c>
      <c r="C949" s="193">
        <v>17831670</v>
      </c>
      <c r="D949" s="338" t="s">
        <v>1315</v>
      </c>
      <c r="E949" s="194" t="s">
        <v>1251</v>
      </c>
      <c r="F949" s="144" t="s">
        <v>3</v>
      </c>
    </row>
    <row r="950" spans="1:6" customFormat="1" hidden="1">
      <c r="A950" s="338">
        <f t="shared" si="14"/>
        <v>947</v>
      </c>
      <c r="B950" s="338" t="s">
        <v>1151</v>
      </c>
      <c r="C950" s="193">
        <v>12024213</v>
      </c>
      <c r="D950" s="338" t="s">
        <v>1316</v>
      </c>
      <c r="E950" s="194" t="s">
        <v>1317</v>
      </c>
      <c r="F950" s="144" t="s">
        <v>3</v>
      </c>
    </row>
    <row r="951" spans="1:6" customFormat="1" hidden="1">
      <c r="A951" s="338">
        <f t="shared" si="14"/>
        <v>948</v>
      </c>
      <c r="B951" s="338" t="s">
        <v>1151</v>
      </c>
      <c r="C951" s="193">
        <v>12017680</v>
      </c>
      <c r="D951" s="338" t="s">
        <v>1318</v>
      </c>
      <c r="E951" s="194" t="s">
        <v>1319</v>
      </c>
      <c r="F951" s="144" t="s">
        <v>3</v>
      </c>
    </row>
    <row r="952" spans="1:6" customFormat="1" hidden="1">
      <c r="A952" s="338">
        <f t="shared" si="14"/>
        <v>949</v>
      </c>
      <c r="B952" s="338" t="s">
        <v>1151</v>
      </c>
      <c r="C952" s="193">
        <v>12001639</v>
      </c>
      <c r="D952" s="338" t="s">
        <v>1320</v>
      </c>
      <c r="E952" s="194" t="s">
        <v>1321</v>
      </c>
      <c r="F952" s="144" t="s">
        <v>3</v>
      </c>
    </row>
    <row r="953" spans="1:6" customFormat="1" hidden="1">
      <c r="A953" s="338">
        <f t="shared" si="14"/>
        <v>950</v>
      </c>
      <c r="B953" s="338" t="s">
        <v>1151</v>
      </c>
      <c r="C953" s="193">
        <v>12016080</v>
      </c>
      <c r="D953" s="338" t="s">
        <v>1155</v>
      </c>
      <c r="E953" s="194" t="s">
        <v>1403</v>
      </c>
      <c r="F953" s="144" t="s">
        <v>3</v>
      </c>
    </row>
    <row r="954" spans="1:6" customFormat="1" hidden="1">
      <c r="A954" s="338">
        <f t="shared" si="14"/>
        <v>951</v>
      </c>
      <c r="B954" s="338" t="s">
        <v>1322</v>
      </c>
      <c r="C954" s="193">
        <v>12000945</v>
      </c>
      <c r="D954" s="338" t="s">
        <v>1323</v>
      </c>
      <c r="E954" s="194" t="s">
        <v>1324</v>
      </c>
      <c r="F954" s="144" t="s">
        <v>3</v>
      </c>
    </row>
    <row r="955" spans="1:6" customFormat="1" hidden="1">
      <c r="A955" s="338">
        <f t="shared" si="14"/>
        <v>952</v>
      </c>
      <c r="B955" s="338" t="s">
        <v>1322</v>
      </c>
      <c r="C955" s="193">
        <v>12000946</v>
      </c>
      <c r="D955" s="338" t="s">
        <v>1325</v>
      </c>
      <c r="E955" s="194" t="s">
        <v>1324</v>
      </c>
      <c r="F955" s="144" t="s">
        <v>3</v>
      </c>
    </row>
    <row r="956" spans="1:6" customFormat="1" hidden="1">
      <c r="A956" s="338">
        <f t="shared" si="14"/>
        <v>953</v>
      </c>
      <c r="B956" s="338" t="s">
        <v>1322</v>
      </c>
      <c r="C956" s="193">
        <v>12000947</v>
      </c>
      <c r="D956" s="338" t="s">
        <v>1326</v>
      </c>
      <c r="E956" s="194" t="s">
        <v>1324</v>
      </c>
      <c r="F956" s="144" t="s">
        <v>3</v>
      </c>
    </row>
    <row r="957" spans="1:6" customFormat="1" hidden="1">
      <c r="A957" s="338">
        <f t="shared" si="14"/>
        <v>954</v>
      </c>
      <c r="B957" s="338" t="s">
        <v>1322</v>
      </c>
      <c r="C957" s="193">
        <v>12000948</v>
      </c>
      <c r="D957" s="338" t="s">
        <v>1327</v>
      </c>
      <c r="E957" s="194" t="s">
        <v>1324</v>
      </c>
      <c r="F957" s="144" t="s">
        <v>3</v>
      </c>
    </row>
    <row r="958" spans="1:6" customFormat="1" hidden="1">
      <c r="A958" s="338">
        <f t="shared" si="14"/>
        <v>955</v>
      </c>
      <c r="B958" s="338" t="s">
        <v>1322</v>
      </c>
      <c r="C958" s="193">
        <v>12000949</v>
      </c>
      <c r="D958" s="338" t="s">
        <v>1328</v>
      </c>
      <c r="E958" s="194" t="s">
        <v>1324</v>
      </c>
      <c r="F958" s="144" t="s">
        <v>3</v>
      </c>
    </row>
    <row r="959" spans="1:6" customFormat="1" hidden="1">
      <c r="A959" s="338">
        <f t="shared" si="14"/>
        <v>956</v>
      </c>
      <c r="B959" s="338" t="s">
        <v>1322</v>
      </c>
      <c r="C959" s="193">
        <v>12000950</v>
      </c>
      <c r="D959" s="338" t="s">
        <v>1329</v>
      </c>
      <c r="E959" s="194" t="s">
        <v>1324</v>
      </c>
      <c r="F959" s="144" t="s">
        <v>3</v>
      </c>
    </row>
    <row r="960" spans="1:6" customFormat="1" hidden="1">
      <c r="A960" s="338">
        <f t="shared" ref="A960:A972" si="15">A959+1</f>
        <v>957</v>
      </c>
      <c r="B960" s="338" t="s">
        <v>1322</v>
      </c>
      <c r="C960" s="193">
        <v>12000951</v>
      </c>
      <c r="D960" s="338" t="s">
        <v>1330</v>
      </c>
      <c r="E960" s="194" t="s">
        <v>1324</v>
      </c>
      <c r="F960" s="144" t="s">
        <v>3</v>
      </c>
    </row>
    <row r="961" spans="1:6" customFormat="1" hidden="1">
      <c r="A961" s="338">
        <f t="shared" si="15"/>
        <v>958</v>
      </c>
      <c r="B961" s="338" t="s">
        <v>1322</v>
      </c>
      <c r="C961" s="193">
        <v>12000952</v>
      </c>
      <c r="D961" s="338" t="s">
        <v>1331</v>
      </c>
      <c r="E961" s="194" t="s">
        <v>1324</v>
      </c>
      <c r="F961" s="144" t="s">
        <v>3</v>
      </c>
    </row>
    <row r="962" spans="1:6" customFormat="1" hidden="1">
      <c r="A962" s="338">
        <f t="shared" si="15"/>
        <v>959</v>
      </c>
      <c r="B962" s="338" t="s">
        <v>1322</v>
      </c>
      <c r="C962" s="193">
        <v>12000953</v>
      </c>
      <c r="D962" s="338" t="s">
        <v>1332</v>
      </c>
      <c r="E962" s="194" t="s">
        <v>1324</v>
      </c>
      <c r="F962" s="144" t="s">
        <v>3</v>
      </c>
    </row>
    <row r="963" spans="1:6" customFormat="1" hidden="1">
      <c r="A963" s="338">
        <f t="shared" si="15"/>
        <v>960</v>
      </c>
      <c r="B963" s="338" t="s">
        <v>1322</v>
      </c>
      <c r="C963" s="193">
        <v>12000954</v>
      </c>
      <c r="D963" s="338" t="s">
        <v>1333</v>
      </c>
      <c r="E963" s="194" t="s">
        <v>1324</v>
      </c>
      <c r="F963" s="144" t="s">
        <v>3</v>
      </c>
    </row>
    <row r="964" spans="1:6" customFormat="1" hidden="1">
      <c r="A964" s="338">
        <f t="shared" si="15"/>
        <v>961</v>
      </c>
      <c r="B964" s="338" t="s">
        <v>1322</v>
      </c>
      <c r="C964" s="193">
        <v>12000955</v>
      </c>
      <c r="D964" s="338" t="s">
        <v>1334</v>
      </c>
      <c r="E964" s="194" t="s">
        <v>1324</v>
      </c>
      <c r="F964" s="144" t="s">
        <v>3</v>
      </c>
    </row>
    <row r="965" spans="1:6" customFormat="1" hidden="1">
      <c r="A965" s="338">
        <f t="shared" si="15"/>
        <v>962</v>
      </c>
      <c r="B965" s="338" t="s">
        <v>1322</v>
      </c>
      <c r="C965" s="193">
        <v>12000956</v>
      </c>
      <c r="D965" s="338" t="s">
        <v>1335</v>
      </c>
      <c r="E965" s="194" t="s">
        <v>1324</v>
      </c>
      <c r="F965" s="144" t="s">
        <v>3</v>
      </c>
    </row>
    <row r="966" spans="1:6" customFormat="1" hidden="1">
      <c r="A966" s="338">
        <f t="shared" si="15"/>
        <v>963</v>
      </c>
      <c r="B966" s="338" t="s">
        <v>1322</v>
      </c>
      <c r="C966" s="193">
        <v>12000957</v>
      </c>
      <c r="D966" s="338" t="s">
        <v>1336</v>
      </c>
      <c r="E966" s="194" t="s">
        <v>1324</v>
      </c>
      <c r="F966" s="144" t="s">
        <v>3</v>
      </c>
    </row>
    <row r="967" spans="1:6" customFormat="1" hidden="1">
      <c r="A967" s="338">
        <f t="shared" si="15"/>
        <v>964</v>
      </c>
      <c r="B967" s="338" t="s">
        <v>1322</v>
      </c>
      <c r="C967" s="193">
        <v>12000958</v>
      </c>
      <c r="D967" s="338" t="s">
        <v>1337</v>
      </c>
      <c r="E967" s="194" t="s">
        <v>1324</v>
      </c>
      <c r="F967" s="144" t="s">
        <v>3</v>
      </c>
    </row>
    <row r="968" spans="1:6" customFormat="1" hidden="1">
      <c r="A968" s="338">
        <f t="shared" si="15"/>
        <v>965</v>
      </c>
      <c r="B968" s="338" t="s">
        <v>1322</v>
      </c>
      <c r="C968" s="193">
        <v>12000959</v>
      </c>
      <c r="D968" s="338" t="s">
        <v>1338</v>
      </c>
      <c r="E968" s="194" t="s">
        <v>1324</v>
      </c>
      <c r="F968" s="144" t="s">
        <v>3</v>
      </c>
    </row>
    <row r="969" spans="1:6" customFormat="1" hidden="1">
      <c r="A969" s="338">
        <f t="shared" si="15"/>
        <v>966</v>
      </c>
      <c r="B969" s="338" t="s">
        <v>1322</v>
      </c>
      <c r="C969" s="193">
        <v>12001362</v>
      </c>
      <c r="D969" s="338" t="s">
        <v>1339</v>
      </c>
      <c r="E969" s="194" t="s">
        <v>1324</v>
      </c>
      <c r="F969" s="144" t="s">
        <v>3</v>
      </c>
    </row>
    <row r="970" spans="1:6" customFormat="1" hidden="1">
      <c r="A970" s="338">
        <f t="shared" si="15"/>
        <v>967</v>
      </c>
      <c r="B970" s="338" t="s">
        <v>1322</v>
      </c>
      <c r="C970" s="193">
        <v>12057163</v>
      </c>
      <c r="D970" s="338" t="s">
        <v>1361</v>
      </c>
      <c r="E970" s="194" t="s">
        <v>1324</v>
      </c>
      <c r="F970" s="144" t="s">
        <v>3</v>
      </c>
    </row>
    <row r="971" spans="1:6" customFormat="1" hidden="1">
      <c r="A971" s="338">
        <f t="shared" si="15"/>
        <v>968</v>
      </c>
      <c r="B971" s="338" t="s">
        <v>1322</v>
      </c>
      <c r="C971" s="193">
        <v>12000482</v>
      </c>
      <c r="D971" s="338" t="s">
        <v>1586</v>
      </c>
      <c r="E971" s="194" t="s">
        <v>1340</v>
      </c>
      <c r="F971" s="144" t="s">
        <v>3</v>
      </c>
    </row>
    <row r="972" spans="1:6" customFormat="1" hidden="1">
      <c r="A972" s="338">
        <f t="shared" si="15"/>
        <v>969</v>
      </c>
      <c r="B972" s="338" t="s">
        <v>1322</v>
      </c>
      <c r="C972" s="193">
        <v>12000482</v>
      </c>
      <c r="D972" s="338" t="s">
        <v>1587</v>
      </c>
      <c r="E972" s="194" t="s">
        <v>1340</v>
      </c>
      <c r="F972" s="144" t="s">
        <v>3</v>
      </c>
    </row>
    <row r="973" spans="1:6" customFormat="1" hidden="1">
      <c r="A973" s="338">
        <f>IF(B973="","",A972+1)</f>
        <v>970</v>
      </c>
      <c r="B973" s="338" t="s">
        <v>1322</v>
      </c>
      <c r="C973" s="193">
        <v>12067207</v>
      </c>
      <c r="D973" s="338" t="s">
        <v>1341</v>
      </c>
      <c r="E973" s="194" t="s">
        <v>1340</v>
      </c>
      <c r="F973" s="144" t="s">
        <v>3</v>
      </c>
    </row>
    <row r="974" spans="1:6" hidden="1">
      <c r="A974" s="338">
        <f>IF(B974="","",A973+1)</f>
        <v>971</v>
      </c>
      <c r="B974" s="338" t="s">
        <v>1322</v>
      </c>
      <c r="C974" s="193">
        <v>12022564</v>
      </c>
      <c r="D974" s="338" t="s">
        <v>1342</v>
      </c>
      <c r="E974" s="194" t="s">
        <v>1343</v>
      </c>
      <c r="F974" s="144" t="s">
        <v>3</v>
      </c>
    </row>
    <row r="975" spans="1:6" hidden="1">
      <c r="A975" s="338">
        <f t="shared" ref="A975:A1037" si="16">IF(B975="","",A974+1)</f>
        <v>972</v>
      </c>
      <c r="B975" s="338" t="s">
        <v>1322</v>
      </c>
      <c r="C975" s="193">
        <v>12066028</v>
      </c>
      <c r="D975" s="338" t="s">
        <v>1344</v>
      </c>
      <c r="E975" s="194" t="s">
        <v>1343</v>
      </c>
      <c r="F975" s="144" t="s">
        <v>3</v>
      </c>
    </row>
    <row r="976" spans="1:6">
      <c r="A976" s="338" t="str">
        <f>IF(B976="","",#REF!+1)</f>
        <v/>
      </c>
    </row>
    <row r="977" spans="1:1">
      <c r="A977" s="338" t="str">
        <f t="shared" si="16"/>
        <v/>
      </c>
    </row>
    <row r="978" spans="1:1">
      <c r="A978" s="338" t="str">
        <f t="shared" si="16"/>
        <v/>
      </c>
    </row>
    <row r="979" spans="1:1">
      <c r="A979" s="338" t="str">
        <f t="shared" si="16"/>
        <v/>
      </c>
    </row>
    <row r="980" spans="1:1">
      <c r="A980" s="338" t="str">
        <f t="shared" si="16"/>
        <v/>
      </c>
    </row>
    <row r="981" spans="1:1">
      <c r="A981" s="338" t="str">
        <f t="shared" si="16"/>
        <v/>
      </c>
    </row>
    <row r="982" spans="1:1">
      <c r="A982" s="338" t="str">
        <f t="shared" si="16"/>
        <v/>
      </c>
    </row>
    <row r="983" spans="1:1">
      <c r="A983" s="338" t="str">
        <f t="shared" si="16"/>
        <v/>
      </c>
    </row>
    <row r="984" spans="1:1">
      <c r="A984" s="338" t="str">
        <f t="shared" si="16"/>
        <v/>
      </c>
    </row>
    <row r="985" spans="1:1">
      <c r="A985" s="338" t="str">
        <f t="shared" si="16"/>
        <v/>
      </c>
    </row>
    <row r="986" spans="1:1">
      <c r="A986" s="338" t="str">
        <f t="shared" si="16"/>
        <v/>
      </c>
    </row>
    <row r="987" spans="1:1">
      <c r="A987" s="338" t="str">
        <f t="shared" si="16"/>
        <v/>
      </c>
    </row>
    <row r="988" spans="1:1">
      <c r="A988" s="338" t="str">
        <f t="shared" si="16"/>
        <v/>
      </c>
    </row>
    <row r="989" spans="1:1">
      <c r="A989" s="338" t="str">
        <f t="shared" si="16"/>
        <v/>
      </c>
    </row>
    <row r="990" spans="1:1">
      <c r="A990" s="338" t="str">
        <f t="shared" si="16"/>
        <v/>
      </c>
    </row>
    <row r="991" spans="1:1">
      <c r="A991" s="338" t="str">
        <f t="shared" si="16"/>
        <v/>
      </c>
    </row>
    <row r="992" spans="1:1">
      <c r="A992" s="338" t="str">
        <f t="shared" si="16"/>
        <v/>
      </c>
    </row>
    <row r="993" spans="1:1">
      <c r="A993" s="338" t="str">
        <f t="shared" si="16"/>
        <v/>
      </c>
    </row>
    <row r="994" spans="1:1">
      <c r="A994" s="338" t="str">
        <f t="shared" si="16"/>
        <v/>
      </c>
    </row>
    <row r="995" spans="1:1">
      <c r="A995" s="338" t="str">
        <f t="shared" si="16"/>
        <v/>
      </c>
    </row>
    <row r="996" spans="1:1">
      <c r="A996" s="338" t="str">
        <f t="shared" si="16"/>
        <v/>
      </c>
    </row>
    <row r="997" spans="1:1">
      <c r="A997" s="338" t="str">
        <f t="shared" si="16"/>
        <v/>
      </c>
    </row>
    <row r="998" spans="1:1">
      <c r="A998" s="338" t="str">
        <f t="shared" si="16"/>
        <v/>
      </c>
    </row>
    <row r="999" spans="1:1">
      <c r="A999" s="338" t="str">
        <f t="shared" si="16"/>
        <v/>
      </c>
    </row>
    <row r="1000" spans="1:1">
      <c r="A1000" s="338" t="str">
        <f t="shared" si="16"/>
        <v/>
      </c>
    </row>
    <row r="1001" spans="1:1">
      <c r="A1001" s="338" t="str">
        <f t="shared" si="16"/>
        <v/>
      </c>
    </row>
    <row r="1002" spans="1:1">
      <c r="A1002" s="338" t="str">
        <f t="shared" si="16"/>
        <v/>
      </c>
    </row>
    <row r="1003" spans="1:1">
      <c r="A1003" s="338" t="str">
        <f t="shared" si="16"/>
        <v/>
      </c>
    </row>
    <row r="1004" spans="1:1">
      <c r="A1004" s="338" t="str">
        <f t="shared" si="16"/>
        <v/>
      </c>
    </row>
    <row r="1005" spans="1:1">
      <c r="A1005" s="338" t="str">
        <f t="shared" si="16"/>
        <v/>
      </c>
    </row>
    <row r="1006" spans="1:1">
      <c r="A1006" s="338" t="str">
        <f t="shared" si="16"/>
        <v/>
      </c>
    </row>
    <row r="1007" spans="1:1">
      <c r="A1007" s="338" t="str">
        <f t="shared" si="16"/>
        <v/>
      </c>
    </row>
    <row r="1008" spans="1:1">
      <c r="A1008" s="338" t="str">
        <f t="shared" si="16"/>
        <v/>
      </c>
    </row>
    <row r="1009" spans="1:1">
      <c r="A1009" s="338" t="str">
        <f t="shared" si="16"/>
        <v/>
      </c>
    </row>
    <row r="1010" spans="1:1">
      <c r="A1010" s="338" t="str">
        <f t="shared" si="16"/>
        <v/>
      </c>
    </row>
    <row r="1011" spans="1:1">
      <c r="A1011" s="338" t="str">
        <f t="shared" si="16"/>
        <v/>
      </c>
    </row>
    <row r="1012" spans="1:1">
      <c r="A1012" s="338" t="str">
        <f t="shared" si="16"/>
        <v/>
      </c>
    </row>
    <row r="1013" spans="1:1">
      <c r="A1013" s="338" t="str">
        <f t="shared" si="16"/>
        <v/>
      </c>
    </row>
    <row r="1014" spans="1:1">
      <c r="A1014" s="338" t="str">
        <f t="shared" si="16"/>
        <v/>
      </c>
    </row>
    <row r="1015" spans="1:1">
      <c r="A1015" s="338" t="str">
        <f t="shared" si="16"/>
        <v/>
      </c>
    </row>
    <row r="1016" spans="1:1">
      <c r="A1016" s="338" t="str">
        <f t="shared" si="16"/>
        <v/>
      </c>
    </row>
    <row r="1017" spans="1:1">
      <c r="A1017" s="338" t="str">
        <f t="shared" si="16"/>
        <v/>
      </c>
    </row>
    <row r="1018" spans="1:1">
      <c r="A1018" s="338" t="str">
        <f t="shared" si="16"/>
        <v/>
      </c>
    </row>
    <row r="1019" spans="1:1">
      <c r="A1019" s="338" t="str">
        <f t="shared" si="16"/>
        <v/>
      </c>
    </row>
    <row r="1020" spans="1:1">
      <c r="A1020" s="338" t="str">
        <f t="shared" si="16"/>
        <v/>
      </c>
    </row>
    <row r="1021" spans="1:1">
      <c r="A1021" s="338" t="str">
        <f t="shared" si="16"/>
        <v/>
      </c>
    </row>
    <row r="1022" spans="1:1">
      <c r="A1022" s="338" t="str">
        <f t="shared" si="16"/>
        <v/>
      </c>
    </row>
    <row r="1023" spans="1:1">
      <c r="A1023" s="338" t="str">
        <f t="shared" si="16"/>
        <v/>
      </c>
    </row>
    <row r="1024" spans="1:1">
      <c r="A1024" s="338" t="str">
        <f t="shared" si="16"/>
        <v/>
      </c>
    </row>
    <row r="1025" spans="1:1">
      <c r="A1025" s="338" t="str">
        <f t="shared" si="16"/>
        <v/>
      </c>
    </row>
    <row r="1026" spans="1:1">
      <c r="A1026" s="338" t="str">
        <f t="shared" si="16"/>
        <v/>
      </c>
    </row>
    <row r="1027" spans="1:1">
      <c r="A1027" s="338" t="str">
        <f t="shared" si="16"/>
        <v/>
      </c>
    </row>
    <row r="1028" spans="1:1">
      <c r="A1028" s="338" t="str">
        <f t="shared" si="16"/>
        <v/>
      </c>
    </row>
    <row r="1029" spans="1:1">
      <c r="A1029" s="338" t="str">
        <f t="shared" si="16"/>
        <v/>
      </c>
    </row>
    <row r="1030" spans="1:1">
      <c r="A1030" s="338" t="str">
        <f t="shared" si="16"/>
        <v/>
      </c>
    </row>
    <row r="1031" spans="1:1">
      <c r="A1031" s="338" t="str">
        <f t="shared" si="16"/>
        <v/>
      </c>
    </row>
    <row r="1032" spans="1:1">
      <c r="A1032" s="338" t="str">
        <f t="shared" si="16"/>
        <v/>
      </c>
    </row>
    <row r="1033" spans="1:1">
      <c r="A1033" s="338" t="str">
        <f t="shared" si="16"/>
        <v/>
      </c>
    </row>
    <row r="1034" spans="1:1">
      <c r="A1034" s="338" t="str">
        <f t="shared" si="16"/>
        <v/>
      </c>
    </row>
    <row r="1035" spans="1:1">
      <c r="A1035" s="338" t="str">
        <f t="shared" si="16"/>
        <v/>
      </c>
    </row>
    <row r="1036" spans="1:1">
      <c r="A1036" s="338" t="str">
        <f t="shared" si="16"/>
        <v/>
      </c>
    </row>
    <row r="1037" spans="1:1">
      <c r="A1037" s="338" t="str">
        <f t="shared" si="16"/>
        <v/>
      </c>
    </row>
    <row r="1038" spans="1:1">
      <c r="A1038" s="338" t="str">
        <f t="shared" ref="A1038:A1070" si="17">IF(B1038="","",A1037+1)</f>
        <v/>
      </c>
    </row>
    <row r="1039" spans="1:1">
      <c r="A1039" s="338" t="str">
        <f t="shared" si="17"/>
        <v/>
      </c>
    </row>
    <row r="1040" spans="1:1">
      <c r="A1040" s="338" t="str">
        <f t="shared" si="17"/>
        <v/>
      </c>
    </row>
    <row r="1041" spans="1:1">
      <c r="A1041" s="338" t="str">
        <f t="shared" si="17"/>
        <v/>
      </c>
    </row>
    <row r="1042" spans="1:1">
      <c r="A1042" s="338" t="str">
        <f t="shared" si="17"/>
        <v/>
      </c>
    </row>
    <row r="1043" spans="1:1">
      <c r="A1043" s="338" t="str">
        <f t="shared" si="17"/>
        <v/>
      </c>
    </row>
    <row r="1044" spans="1:1">
      <c r="A1044" s="338" t="str">
        <f t="shared" si="17"/>
        <v/>
      </c>
    </row>
    <row r="1045" spans="1:1">
      <c r="A1045" s="338" t="str">
        <f t="shared" si="17"/>
        <v/>
      </c>
    </row>
    <row r="1046" spans="1:1">
      <c r="A1046" s="338" t="str">
        <f t="shared" si="17"/>
        <v/>
      </c>
    </row>
    <row r="1047" spans="1:1">
      <c r="A1047" s="338" t="str">
        <f t="shared" si="17"/>
        <v/>
      </c>
    </row>
    <row r="1048" spans="1:1">
      <c r="A1048" s="338" t="str">
        <f t="shared" si="17"/>
        <v/>
      </c>
    </row>
    <row r="1049" spans="1:1">
      <c r="A1049" s="338" t="str">
        <f t="shared" si="17"/>
        <v/>
      </c>
    </row>
    <row r="1050" spans="1:1">
      <c r="A1050" s="338" t="str">
        <f t="shared" si="17"/>
        <v/>
      </c>
    </row>
    <row r="1051" spans="1:1">
      <c r="A1051" s="338" t="str">
        <f t="shared" si="17"/>
        <v/>
      </c>
    </row>
    <row r="1052" spans="1:1">
      <c r="A1052" s="338" t="str">
        <f t="shared" si="17"/>
        <v/>
      </c>
    </row>
    <row r="1053" spans="1:1">
      <c r="A1053" s="338" t="str">
        <f t="shared" si="17"/>
        <v/>
      </c>
    </row>
    <row r="1054" spans="1:1">
      <c r="A1054" s="338" t="str">
        <f t="shared" si="17"/>
        <v/>
      </c>
    </row>
    <row r="1055" spans="1:1">
      <c r="A1055" s="338" t="str">
        <f t="shared" si="17"/>
        <v/>
      </c>
    </row>
    <row r="1056" spans="1:1">
      <c r="A1056" s="338" t="str">
        <f t="shared" si="17"/>
        <v/>
      </c>
    </row>
    <row r="1057" spans="1:1">
      <c r="A1057" s="338" t="str">
        <f t="shared" si="17"/>
        <v/>
      </c>
    </row>
    <row r="1058" spans="1:1">
      <c r="A1058" s="338" t="str">
        <f t="shared" si="17"/>
        <v/>
      </c>
    </row>
    <row r="1059" spans="1:1">
      <c r="A1059" s="338" t="str">
        <f t="shared" si="17"/>
        <v/>
      </c>
    </row>
    <row r="1060" spans="1:1">
      <c r="A1060" s="338" t="str">
        <f t="shared" si="17"/>
        <v/>
      </c>
    </row>
    <row r="1061" spans="1:1">
      <c r="A1061" s="338" t="str">
        <f t="shared" si="17"/>
        <v/>
      </c>
    </row>
    <row r="1062" spans="1:1">
      <c r="A1062" s="338" t="str">
        <f t="shared" si="17"/>
        <v/>
      </c>
    </row>
    <row r="1063" spans="1:1">
      <c r="A1063" s="338" t="str">
        <f t="shared" si="17"/>
        <v/>
      </c>
    </row>
    <row r="1064" spans="1:1">
      <c r="A1064" s="338" t="str">
        <f t="shared" si="17"/>
        <v/>
      </c>
    </row>
    <row r="1065" spans="1:1">
      <c r="A1065" s="338" t="str">
        <f t="shared" si="17"/>
        <v/>
      </c>
    </row>
    <row r="1066" spans="1:1">
      <c r="A1066" s="338" t="str">
        <f t="shared" si="17"/>
        <v/>
      </c>
    </row>
    <row r="1067" spans="1:1">
      <c r="A1067" s="338" t="str">
        <f t="shared" si="17"/>
        <v/>
      </c>
    </row>
    <row r="1068" spans="1:1">
      <c r="A1068" s="338" t="str">
        <f t="shared" si="17"/>
        <v/>
      </c>
    </row>
    <row r="1069" spans="1:1">
      <c r="A1069" s="338" t="str">
        <f t="shared" si="17"/>
        <v/>
      </c>
    </row>
    <row r="1070" spans="1:1">
      <c r="A1070" s="338" t="str">
        <f t="shared" si="17"/>
        <v/>
      </c>
    </row>
  </sheetData>
  <dataConsolidate/>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90ECC-D298-4DC4-8748-C64FE4C6CD14}">
  <sheetPr codeName="Draft_QR">
    <tabColor theme="4" tint="0.59999389629810485"/>
  </sheetPr>
  <dimension ref="A1:O61"/>
  <sheetViews>
    <sheetView showGridLines="0" showRowColHeaders="0" workbookViewId="0"/>
  </sheetViews>
  <sheetFormatPr defaultColWidth="8.88671875" defaultRowHeight="15.6" outlineLevelCol="1"/>
  <cols>
    <col min="1" max="1" width="34.44140625" style="110" bestFit="1" customWidth="1"/>
    <col min="2" max="2" width="16.6640625" style="109" customWidth="1"/>
    <col min="3" max="5" width="16.6640625" style="109" customWidth="1" outlineLevel="1"/>
    <col min="6" max="6" width="16.6640625" style="329" customWidth="1"/>
    <col min="7" max="7" width="16.6640625" style="106" customWidth="1"/>
    <col min="8" max="8" width="16.6640625" style="329" customWidth="1"/>
    <col min="9" max="11" width="16.6640625" style="108" customWidth="1" outlineLevel="1"/>
    <col min="12" max="12" width="16.6640625" style="329" customWidth="1"/>
    <col min="13" max="13" width="16.6640625" style="106" customWidth="1"/>
    <col min="14" max="14" width="2.6640625" style="106" customWidth="1"/>
    <col min="15" max="16384" width="8.88671875" style="329"/>
  </cols>
  <sheetData>
    <row r="1" spans="1:15">
      <c r="A1" s="1" t="str" cm="1">
        <f t="array" ref="A1">IdentifyQuarter('Create Report'!E4,'Create Report'!E5)</f>
        <v>31-Dec-20</v>
      </c>
      <c r="B1" s="498" t="str" cm="1">
        <f t="array" ref="B1">CCName('Create Report'!E3)</f>
        <v>KVCU Radio Station</v>
      </c>
      <c r="C1" s="498"/>
      <c r="D1" s="498"/>
      <c r="E1" s="498"/>
      <c r="F1" s="498"/>
      <c r="G1" s="498"/>
      <c r="H1" s="498"/>
      <c r="I1" s="498"/>
      <c r="J1" s="498"/>
      <c r="K1" s="498"/>
      <c r="L1" s="498"/>
      <c r="M1" s="498"/>
      <c r="N1" s="498"/>
    </row>
    <row r="2" spans="1:15">
      <c r="A2" s="329"/>
      <c r="B2" s="499" t="s">
        <v>101</v>
      </c>
      <c r="C2" s="499"/>
      <c r="D2" s="499"/>
      <c r="E2" s="499"/>
      <c r="F2" s="499"/>
      <c r="G2" s="499"/>
      <c r="H2" s="499"/>
      <c r="I2" s="499"/>
      <c r="J2" s="499"/>
      <c r="K2" s="499"/>
      <c r="L2" s="499"/>
      <c r="M2" s="499"/>
      <c r="N2" s="499"/>
    </row>
    <row r="3" spans="1:15">
      <c r="A3" s="329"/>
      <c r="B3" s="17" t="s">
        <v>102</v>
      </c>
      <c r="C3" s="17"/>
      <c r="D3" s="17"/>
      <c r="E3" s="17"/>
      <c r="F3" s="17" t="s">
        <v>103</v>
      </c>
      <c r="G3" s="18" t="s">
        <v>104</v>
      </c>
      <c r="H3" s="17" t="s">
        <v>105</v>
      </c>
      <c r="I3" s="19"/>
      <c r="J3" s="19"/>
      <c r="K3" s="20"/>
      <c r="L3" s="17" t="s">
        <v>106</v>
      </c>
      <c r="M3" s="21" t="s">
        <v>107</v>
      </c>
      <c r="N3" s="500" t="s">
        <v>108</v>
      </c>
      <c r="O3" s="2"/>
    </row>
    <row r="4" spans="1:15">
      <c r="A4" s="22"/>
      <c r="B4" s="23" t="s">
        <v>170</v>
      </c>
      <c r="C4" s="23" t="s">
        <v>1442</v>
      </c>
      <c r="D4" s="23" t="s">
        <v>1588</v>
      </c>
      <c r="E4" s="23" t="s">
        <v>1443</v>
      </c>
      <c r="F4" s="23" t="s">
        <v>109</v>
      </c>
      <c r="G4" s="24"/>
      <c r="H4" s="23" t="s">
        <v>170</v>
      </c>
      <c r="I4" s="23" t="s">
        <v>1442</v>
      </c>
      <c r="J4" s="23" t="s">
        <v>1588</v>
      </c>
      <c r="K4" s="23" t="s">
        <v>1443</v>
      </c>
      <c r="L4" s="23" t="s">
        <v>110</v>
      </c>
      <c r="M4" s="25" t="s">
        <v>110</v>
      </c>
      <c r="N4" s="501"/>
      <c r="O4" s="2"/>
    </row>
    <row r="5" spans="1:15">
      <c r="A5" s="26"/>
      <c r="B5" s="23" t="s">
        <v>111</v>
      </c>
      <c r="C5" s="23" t="s">
        <v>111</v>
      </c>
      <c r="D5" s="23" t="s">
        <v>111</v>
      </c>
      <c r="E5" s="23" t="s">
        <v>111</v>
      </c>
      <c r="F5" s="23" t="s">
        <v>112</v>
      </c>
      <c r="G5" s="24" t="s">
        <v>113</v>
      </c>
      <c r="H5" s="23" t="s">
        <v>114</v>
      </c>
      <c r="I5" s="23" t="s">
        <v>114</v>
      </c>
      <c r="J5" s="23" t="s">
        <v>114</v>
      </c>
      <c r="K5" s="23" t="s">
        <v>114</v>
      </c>
      <c r="L5" s="23" t="s">
        <v>115</v>
      </c>
      <c r="M5" s="25" t="s">
        <v>116</v>
      </c>
      <c r="N5" s="501"/>
      <c r="O5" s="2"/>
    </row>
    <row r="6" spans="1:15">
      <c r="A6" s="27"/>
      <c r="B6" s="28"/>
      <c r="C6" s="28"/>
      <c r="D6" s="28"/>
      <c r="E6" s="28"/>
      <c r="F6" s="28" t="s">
        <v>1595</v>
      </c>
      <c r="G6" s="29" t="s">
        <v>117</v>
      </c>
      <c r="H6" s="28"/>
      <c r="I6" s="30"/>
      <c r="J6" s="30"/>
      <c r="K6" s="31"/>
      <c r="L6" s="28" t="s">
        <v>118</v>
      </c>
      <c r="M6" s="32" t="s">
        <v>119</v>
      </c>
      <c r="N6" s="502"/>
      <c r="O6" s="2"/>
    </row>
    <row r="7" spans="1:15">
      <c r="A7" s="33" t="s">
        <v>120</v>
      </c>
      <c r="B7" s="34"/>
      <c r="C7" s="34"/>
      <c r="D7" s="34"/>
      <c r="E7" s="34"/>
      <c r="F7" s="35"/>
      <c r="G7" s="36"/>
      <c r="H7" s="37"/>
      <c r="I7" s="38"/>
      <c r="J7" s="38"/>
      <c r="K7" s="20"/>
      <c r="L7" s="37"/>
      <c r="M7" s="21"/>
      <c r="N7" s="39"/>
      <c r="O7" s="2"/>
    </row>
    <row r="8" spans="1:15">
      <c r="A8" s="40" t="s">
        <v>121</v>
      </c>
      <c r="B8" s="228">
        <v>0</v>
      </c>
      <c r="C8" s="229">
        <v>0</v>
      </c>
      <c r="D8" s="230">
        <v>0</v>
      </c>
      <c r="E8" s="231">
        <v>0</v>
      </c>
      <c r="F8" s="253" t="str" cm="1">
        <f t="array" ref="F8">SeasonalBud(B8,G8)</f>
        <v/>
      </c>
      <c r="G8" s="41" t="str" cm="1">
        <f t="array" ref="G8">SeasonalBudPct(B8:E8,H8:K8)</f>
        <v/>
      </c>
      <c r="H8" s="249">
        <v>0</v>
      </c>
      <c r="I8" s="250">
        <v>0</v>
      </c>
      <c r="J8" s="251">
        <v>0</v>
      </c>
      <c r="K8" s="252">
        <v>0</v>
      </c>
      <c r="L8" s="253" t="str" cm="1">
        <f t="array" ref="L8">BudgetDolVariance(F8,H8)</f>
        <v/>
      </c>
      <c r="M8" s="42" t="str" cm="1">
        <f t="array" ref="M8">BudgetPctVariance(F8,H8)</f>
        <v/>
      </c>
      <c r="N8" s="43"/>
      <c r="O8" s="2"/>
    </row>
    <row r="9" spans="1:15">
      <c r="A9" s="44" t="s">
        <v>122</v>
      </c>
      <c r="B9" s="232">
        <v>0</v>
      </c>
      <c r="C9" s="233">
        <v>0</v>
      </c>
      <c r="D9" s="234">
        <v>0</v>
      </c>
      <c r="E9" s="235">
        <v>0</v>
      </c>
      <c r="F9" s="276" t="str" cm="1">
        <f t="array" ref="F9">SeasonalBud(B9,G9)</f>
        <v/>
      </c>
      <c r="G9" s="45" t="str" cm="1">
        <f t="array" ref="G9">SeasonalBudPct(B9:E9,H9:K9)</f>
        <v/>
      </c>
      <c r="H9" s="254">
        <v>0</v>
      </c>
      <c r="I9" s="255">
        <v>0</v>
      </c>
      <c r="J9" s="256">
        <v>0</v>
      </c>
      <c r="K9" s="257">
        <v>0</v>
      </c>
      <c r="L9" s="258" t="str" cm="1">
        <f t="array" ref="L9">BudgetDolVariance(F9,H9)</f>
        <v/>
      </c>
      <c r="M9" s="46" t="str" cm="1">
        <f t="array" ref="M9">BudgetPctVariance(F9,H9)</f>
        <v/>
      </c>
      <c r="N9" s="47"/>
      <c r="O9" s="2"/>
    </row>
    <row r="10" spans="1:15">
      <c r="A10" s="44" t="s">
        <v>123</v>
      </c>
      <c r="B10" s="232">
        <v>0</v>
      </c>
      <c r="C10" s="233">
        <v>0</v>
      </c>
      <c r="D10" s="234">
        <v>0</v>
      </c>
      <c r="E10" s="235">
        <v>0</v>
      </c>
      <c r="F10" s="276" t="str" cm="1">
        <f t="array" ref="F10">SeasonalBud(B10,G10)</f>
        <v/>
      </c>
      <c r="G10" s="45" t="str" cm="1">
        <f t="array" ref="G10">SeasonalBudPct(B10:E10,H10:K10)</f>
        <v/>
      </c>
      <c r="H10" s="254">
        <v>0</v>
      </c>
      <c r="I10" s="255">
        <v>0</v>
      </c>
      <c r="J10" s="256">
        <v>0</v>
      </c>
      <c r="K10" s="257">
        <v>0</v>
      </c>
      <c r="L10" s="258" t="str" cm="1">
        <f t="array" ref="L10">BudgetDolVariance(F10,H10)</f>
        <v/>
      </c>
      <c r="M10" s="46" t="str" cm="1">
        <f t="array" ref="M10">BudgetPctVariance(F10,H10)</f>
        <v/>
      </c>
      <c r="N10" s="47"/>
      <c r="O10" s="2"/>
    </row>
    <row r="11" spans="1:15">
      <c r="A11" s="48" t="s">
        <v>124</v>
      </c>
      <c r="B11" s="236">
        <v>0</v>
      </c>
      <c r="C11" s="237">
        <v>0</v>
      </c>
      <c r="D11" s="238">
        <v>0</v>
      </c>
      <c r="E11" s="239">
        <v>0</v>
      </c>
      <c r="F11" s="277" t="str" cm="1">
        <f t="array" ref="F11">SeasonalBud(B11,G11)</f>
        <v/>
      </c>
      <c r="G11" s="49" t="str" cm="1">
        <f t="array" ref="G11">SeasonalBudPct(B11:E11,H11:K11)</f>
        <v/>
      </c>
      <c r="H11" s="259">
        <v>0</v>
      </c>
      <c r="I11" s="260">
        <v>0</v>
      </c>
      <c r="J11" s="261">
        <v>0</v>
      </c>
      <c r="K11" s="262">
        <v>0</v>
      </c>
      <c r="L11" s="263" t="str" cm="1">
        <f t="array" ref="L11">BudgetDolVariance(F11,H11)</f>
        <v/>
      </c>
      <c r="M11" s="50" t="str" cm="1">
        <f t="array" ref="M11">BudgetPctVariance(F11,H11)</f>
        <v/>
      </c>
      <c r="N11" s="51"/>
      <c r="O11" s="2"/>
    </row>
    <row r="12" spans="1:15" ht="16.2" thickBot="1">
      <c r="A12" s="3" t="s">
        <v>125</v>
      </c>
      <c r="B12" s="4">
        <f>SUM(B8:B11)</f>
        <v>0</v>
      </c>
      <c r="C12" s="4">
        <f>SUM(C8:C11)</f>
        <v>0</v>
      </c>
      <c r="D12" s="4">
        <f>SUM(D8:D11)</f>
        <v>0</v>
      </c>
      <c r="E12" s="4">
        <f>SUM(E8:E11)</f>
        <v>0</v>
      </c>
      <c r="F12" s="4" t="str" cm="1">
        <f t="array" ref="F12">SeasonalBud(B12,G12)</f>
        <v/>
      </c>
      <c r="G12" s="14" t="str" cm="1">
        <f t="array" ref="G12">SeasonalBudPct(B12:E12,H12:K12)</f>
        <v/>
      </c>
      <c r="H12" s="4">
        <f>SUM(H8:H11)</f>
        <v>0</v>
      </c>
      <c r="I12" s="15">
        <f>SUM(I8:I11)</f>
        <v>0</v>
      </c>
      <c r="J12" s="15">
        <f>SUM(J8:J11)</f>
        <v>0</v>
      </c>
      <c r="K12" s="16">
        <f>SUM(K8:K11)</f>
        <v>0</v>
      </c>
      <c r="L12" s="4" t="str" cm="1">
        <f t="array" ref="L12">BudgetDolVariance(F12,H12)</f>
        <v/>
      </c>
      <c r="M12" s="5" t="str" cm="1">
        <f t="array" ref="M12">BudgetPctVariance(F12,H12)</f>
        <v/>
      </c>
      <c r="N12" s="6"/>
    </row>
    <row r="13" spans="1:15" ht="16.2" thickTop="1">
      <c r="A13" s="52"/>
      <c r="B13" s="53"/>
      <c r="C13" s="54"/>
      <c r="D13" s="54"/>
      <c r="E13" s="54"/>
      <c r="F13" s="55"/>
      <c r="G13" s="56"/>
      <c r="H13" s="53"/>
      <c r="I13" s="57"/>
      <c r="J13" s="57"/>
      <c r="K13" s="57"/>
      <c r="M13" s="55"/>
      <c r="N13" s="58"/>
    </row>
    <row r="14" spans="1:15">
      <c r="A14" s="33" t="s">
        <v>126</v>
      </c>
      <c r="B14" s="59"/>
      <c r="C14" s="54"/>
      <c r="D14" s="54"/>
      <c r="E14" s="54"/>
      <c r="F14" s="55"/>
      <c r="G14" s="60"/>
      <c r="H14" s="59"/>
      <c r="I14" s="61"/>
      <c r="J14" s="61"/>
      <c r="K14" s="61"/>
      <c r="L14" s="55"/>
      <c r="M14" s="60"/>
      <c r="N14" s="62"/>
    </row>
    <row r="15" spans="1:15">
      <c r="A15" s="40" t="s">
        <v>127</v>
      </c>
      <c r="B15" s="228">
        <v>0</v>
      </c>
      <c r="C15" s="229">
        <v>0</v>
      </c>
      <c r="D15" s="230">
        <v>0</v>
      </c>
      <c r="E15" s="231">
        <v>0</v>
      </c>
      <c r="F15" s="253" t="str" cm="1">
        <f t="array" ref="F15">SeasonalBud(B15,G15)</f>
        <v/>
      </c>
      <c r="G15" s="41" t="str" cm="1">
        <f t="array" ref="G15">SeasonalBudPct(B15:E15,H15:K15)</f>
        <v/>
      </c>
      <c r="H15" s="249">
        <v>0</v>
      </c>
      <c r="I15" s="250">
        <v>0</v>
      </c>
      <c r="J15" s="251">
        <v>0</v>
      </c>
      <c r="K15" s="252">
        <v>0</v>
      </c>
      <c r="L15" s="253" t="str" cm="1">
        <f t="array" ref="L15">BudgetDolVariance(F15,H15)</f>
        <v/>
      </c>
      <c r="M15" s="42" t="str" cm="1">
        <f t="array" ref="M15">BudgetPctVariance(F15,H15)</f>
        <v/>
      </c>
      <c r="N15" s="63"/>
      <c r="O15" s="2"/>
    </row>
    <row r="16" spans="1:15">
      <c r="A16" s="44" t="s">
        <v>128</v>
      </c>
      <c r="B16" s="232">
        <v>0</v>
      </c>
      <c r="C16" s="233">
        <v>0</v>
      </c>
      <c r="D16" s="234">
        <v>0</v>
      </c>
      <c r="E16" s="235">
        <v>0</v>
      </c>
      <c r="F16" s="258" t="str" cm="1">
        <f t="array" ref="F16">SeasonalBud(B16,G16)</f>
        <v/>
      </c>
      <c r="G16" s="45" t="str" cm="1">
        <f t="array" ref="G16">SeasonalBudPct(B16:E16,H16:K16)</f>
        <v/>
      </c>
      <c r="H16" s="254">
        <v>0</v>
      </c>
      <c r="I16" s="255">
        <v>0</v>
      </c>
      <c r="J16" s="256">
        <v>0</v>
      </c>
      <c r="K16" s="257">
        <v>0</v>
      </c>
      <c r="L16" s="258" t="str" cm="1">
        <f t="array" ref="L16">BudgetDolVariance(F16,H16)</f>
        <v/>
      </c>
      <c r="M16" s="46" t="str" cm="1">
        <f t="array" ref="M16">BudgetPctVariance(F16,H16)</f>
        <v/>
      </c>
      <c r="N16" s="47"/>
      <c r="O16" s="2"/>
    </row>
    <row r="17" spans="1:15">
      <c r="A17" s="64" t="s">
        <v>129</v>
      </c>
      <c r="B17" s="240">
        <v>0</v>
      </c>
      <c r="C17" s="241">
        <v>0</v>
      </c>
      <c r="D17" s="242">
        <v>0</v>
      </c>
      <c r="E17" s="243">
        <v>0</v>
      </c>
      <c r="F17" s="268" t="str" cm="1">
        <f t="array" ref="F17">SeasonalBud(B17,G17)</f>
        <v/>
      </c>
      <c r="G17" s="65" t="str" cm="1">
        <f t="array" ref="G17">SeasonalBudPct(B17:E17,H17:K17)</f>
        <v/>
      </c>
      <c r="H17" s="264">
        <v>0</v>
      </c>
      <c r="I17" s="265">
        <v>0</v>
      </c>
      <c r="J17" s="266">
        <v>0</v>
      </c>
      <c r="K17" s="267">
        <v>0</v>
      </c>
      <c r="L17" s="268" t="str" cm="1">
        <f t="array" ref="L17">BudgetDolVariance(F17,H17)</f>
        <v/>
      </c>
      <c r="M17" s="65" t="str" cm="1">
        <f t="array" ref="M17">BudgetPctVariance(F17,H17)</f>
        <v/>
      </c>
      <c r="N17" s="66"/>
      <c r="O17" s="2"/>
    </row>
    <row r="18" spans="1:15">
      <c r="A18" s="44" t="s">
        <v>130</v>
      </c>
      <c r="B18" s="232">
        <v>0</v>
      </c>
      <c r="C18" s="233">
        <v>0</v>
      </c>
      <c r="D18" s="234">
        <v>0</v>
      </c>
      <c r="E18" s="235">
        <v>0</v>
      </c>
      <c r="F18" s="258" t="str" cm="1">
        <f t="array" ref="F18">SeasonalBud(B18,G18)</f>
        <v/>
      </c>
      <c r="G18" s="45" t="str" cm="1">
        <f t="array" ref="G18">SeasonalBudPct(B18:E18,H18:K18)</f>
        <v/>
      </c>
      <c r="H18" s="254">
        <v>0</v>
      </c>
      <c r="I18" s="255">
        <v>0</v>
      </c>
      <c r="J18" s="256">
        <v>0</v>
      </c>
      <c r="K18" s="257">
        <v>0</v>
      </c>
      <c r="L18" s="258" t="str" cm="1">
        <f t="array" ref="L18">BudgetDolVariance(F18,H18)</f>
        <v/>
      </c>
      <c r="M18" s="46" t="str" cm="1">
        <f t="array" ref="M18">BudgetPctVariance(F18,H18)</f>
        <v/>
      </c>
      <c r="N18" s="47"/>
      <c r="O18" s="2"/>
    </row>
    <row r="19" spans="1:15">
      <c r="A19" s="44" t="s">
        <v>131</v>
      </c>
      <c r="B19" s="232">
        <v>0</v>
      </c>
      <c r="C19" s="233">
        <v>0</v>
      </c>
      <c r="D19" s="234">
        <v>0</v>
      </c>
      <c r="E19" s="235">
        <v>0</v>
      </c>
      <c r="F19" s="258" t="str" cm="1">
        <f t="array" ref="F19">SeasonalBud(B19,G19)</f>
        <v/>
      </c>
      <c r="G19" s="45" t="str" cm="1">
        <f t="array" ref="G19">SeasonalBudPct(B19:E19,H19:K19)</f>
        <v/>
      </c>
      <c r="H19" s="254">
        <v>0</v>
      </c>
      <c r="I19" s="255">
        <v>0</v>
      </c>
      <c r="J19" s="256">
        <v>0</v>
      </c>
      <c r="K19" s="257">
        <v>0</v>
      </c>
      <c r="L19" s="258" t="str" cm="1">
        <f t="array" ref="L19">BudgetDolVariance(F19,H19)</f>
        <v/>
      </c>
      <c r="M19" s="46" t="str" cm="1">
        <f t="array" ref="M19">BudgetPctVariance(F19,H19)</f>
        <v/>
      </c>
      <c r="N19" s="47"/>
      <c r="O19" s="2"/>
    </row>
    <row r="20" spans="1:15">
      <c r="A20" s="48" t="s">
        <v>132</v>
      </c>
      <c r="B20" s="236">
        <v>0</v>
      </c>
      <c r="C20" s="237">
        <v>0</v>
      </c>
      <c r="D20" s="238">
        <v>0</v>
      </c>
      <c r="E20" s="239">
        <v>0</v>
      </c>
      <c r="F20" s="263" t="str" cm="1">
        <f t="array" ref="F20">SeasonalBud(B20,G20)</f>
        <v/>
      </c>
      <c r="G20" s="49" t="str" cm="1">
        <f t="array" ref="G20">SeasonalBudPct(B20:E20,H20:K20)</f>
        <v/>
      </c>
      <c r="H20" s="259">
        <v>0</v>
      </c>
      <c r="I20" s="260">
        <v>0</v>
      </c>
      <c r="J20" s="261">
        <v>0</v>
      </c>
      <c r="K20" s="262">
        <v>0</v>
      </c>
      <c r="L20" s="263" t="str" cm="1">
        <f t="array" ref="L20">BudgetDolVariance(F20,H20)</f>
        <v/>
      </c>
      <c r="M20" s="50" t="str" cm="1">
        <f t="array" ref="M20">BudgetPctVariance(F20,H20)</f>
        <v/>
      </c>
      <c r="N20" s="51"/>
      <c r="O20" s="2"/>
    </row>
    <row r="21" spans="1:15">
      <c r="A21" s="67" t="s">
        <v>133</v>
      </c>
      <c r="B21" s="68">
        <f>SUM(B15:B20)</f>
        <v>0</v>
      </c>
      <c r="C21" s="68">
        <f>SUM(C15:C20)</f>
        <v>0</v>
      </c>
      <c r="D21" s="68">
        <f>SUM(D15:D20)</f>
        <v>0</v>
      </c>
      <c r="E21" s="68">
        <f>SUM(E15:E20)</f>
        <v>0</v>
      </c>
      <c r="F21" s="69" t="str" cm="1">
        <f t="array" ref="F21">SeasonalBud(B21,G21)</f>
        <v/>
      </c>
      <c r="G21" s="70" t="str" cm="1">
        <f t="array" ref="G21">SeasonalBudPct(B21:E21,H21:K21)</f>
        <v/>
      </c>
      <c r="H21" s="68">
        <f>SUM(H15:H20)</f>
        <v>0</v>
      </c>
      <c r="I21" s="71">
        <f>SUM(I15:I20)</f>
        <v>0</v>
      </c>
      <c r="J21" s="71">
        <f>SUM(J15:J20)</f>
        <v>0</v>
      </c>
      <c r="K21" s="72">
        <f>SUM(K15:K20)</f>
        <v>0</v>
      </c>
      <c r="L21" s="68" t="str" cm="1">
        <f t="array" ref="L21">BudgetDolVariance(F21,H21)</f>
        <v/>
      </c>
      <c r="M21" s="73" t="str" cm="1">
        <f t="array" ref="M21">BudgetPctVariance(F21,H21)</f>
        <v/>
      </c>
      <c r="N21" s="74"/>
    </row>
    <row r="22" spans="1:15">
      <c r="A22" s="75" t="s">
        <v>134</v>
      </c>
      <c r="B22" s="76"/>
      <c r="C22" s="76"/>
      <c r="D22" s="76"/>
      <c r="E22" s="76"/>
      <c r="F22" s="76"/>
      <c r="G22" s="77"/>
      <c r="H22" s="76"/>
      <c r="I22" s="78"/>
      <c r="J22" s="78"/>
      <c r="K22" s="78"/>
      <c r="L22" s="76"/>
      <c r="M22" s="77"/>
      <c r="N22" s="79"/>
    </row>
    <row r="23" spans="1:15">
      <c r="A23" s="80" t="s">
        <v>135</v>
      </c>
      <c r="B23" s="244">
        <v>0</v>
      </c>
      <c r="C23" s="245">
        <v>0</v>
      </c>
      <c r="D23" s="246">
        <v>0</v>
      </c>
      <c r="E23" s="247">
        <v>0</v>
      </c>
      <c r="F23" s="273" t="str" cm="1">
        <f t="array" ref="F23">SeasonalBud(B23,G23)</f>
        <v/>
      </c>
      <c r="G23" s="81" t="str" cm="1">
        <f t="array" ref="G23">SeasonalBudPct(B23:E23,H23:K23)</f>
        <v/>
      </c>
      <c r="H23" s="269">
        <v>0</v>
      </c>
      <c r="I23" s="270">
        <v>0</v>
      </c>
      <c r="J23" s="271">
        <v>0</v>
      </c>
      <c r="K23" s="272">
        <v>0</v>
      </c>
      <c r="L23" s="273" t="str" cm="1">
        <f t="array" ref="L23">BudgetDolVariance(F23,H23)</f>
        <v/>
      </c>
      <c r="M23" s="82" t="str" cm="1">
        <f t="array" ref="M23">BudgetPctVariance(F23,H23)</f>
        <v/>
      </c>
      <c r="N23" s="83"/>
      <c r="O23" s="2"/>
    </row>
    <row r="24" spans="1:15">
      <c r="A24" s="44" t="s">
        <v>136</v>
      </c>
      <c r="B24" s="232">
        <v>0</v>
      </c>
      <c r="C24" s="233">
        <v>0</v>
      </c>
      <c r="D24" s="234">
        <v>0</v>
      </c>
      <c r="E24" s="235">
        <v>0</v>
      </c>
      <c r="F24" s="258" t="str" cm="1">
        <f t="array" ref="F24">SeasonalBud(B24,G24)</f>
        <v/>
      </c>
      <c r="G24" s="45" t="str" cm="1">
        <f t="array" ref="G24">SeasonalBudPct(B24:E24,H24:K24)</f>
        <v/>
      </c>
      <c r="H24" s="254">
        <v>0</v>
      </c>
      <c r="I24" s="255">
        <v>0</v>
      </c>
      <c r="J24" s="256">
        <v>0</v>
      </c>
      <c r="K24" s="257">
        <v>0</v>
      </c>
      <c r="L24" s="258" t="str" cm="1">
        <f t="array" ref="L24">BudgetDolVariance(F24,H24)</f>
        <v/>
      </c>
      <c r="M24" s="46" t="str" cm="1">
        <f t="array" ref="M24">BudgetPctVariance(F24,H24)</f>
        <v/>
      </c>
      <c r="N24" s="47"/>
      <c r="O24" s="2"/>
    </row>
    <row r="25" spans="1:15">
      <c r="A25" s="44" t="s">
        <v>137</v>
      </c>
      <c r="B25" s="232">
        <v>0</v>
      </c>
      <c r="C25" s="233">
        <v>0</v>
      </c>
      <c r="D25" s="234">
        <v>0</v>
      </c>
      <c r="E25" s="235">
        <v>0</v>
      </c>
      <c r="F25" s="258" t="str" cm="1">
        <f t="array" ref="F25">SeasonalBud(B25,G25)</f>
        <v/>
      </c>
      <c r="G25" s="45" t="str" cm="1">
        <f t="array" ref="G25">SeasonalBudPct(B25:E25,H25:K25)</f>
        <v/>
      </c>
      <c r="H25" s="254">
        <v>0</v>
      </c>
      <c r="I25" s="255">
        <v>0</v>
      </c>
      <c r="J25" s="256">
        <v>0</v>
      </c>
      <c r="K25" s="257">
        <v>0</v>
      </c>
      <c r="L25" s="258" t="str" cm="1">
        <f t="array" ref="L25">BudgetDolVariance(F25,H25)</f>
        <v/>
      </c>
      <c r="M25" s="46" t="str" cm="1">
        <f t="array" ref="M25">BudgetPctVariance(F25,H25)</f>
        <v/>
      </c>
      <c r="N25" s="47"/>
      <c r="O25" s="2"/>
    </row>
    <row r="26" spans="1:15">
      <c r="A26" s="44" t="s">
        <v>138</v>
      </c>
      <c r="B26" s="232">
        <v>0</v>
      </c>
      <c r="C26" s="233">
        <v>0</v>
      </c>
      <c r="D26" s="234">
        <v>0</v>
      </c>
      <c r="E26" s="235">
        <v>0</v>
      </c>
      <c r="F26" s="258" t="str" cm="1">
        <f t="array" ref="F26">SeasonalBud(B26,G26)</f>
        <v/>
      </c>
      <c r="G26" s="45" t="str" cm="1">
        <f t="array" ref="G26">SeasonalBudPct(B26:E26,H26:K26)</f>
        <v/>
      </c>
      <c r="H26" s="254">
        <v>0</v>
      </c>
      <c r="I26" s="255">
        <v>0</v>
      </c>
      <c r="J26" s="256">
        <v>0</v>
      </c>
      <c r="K26" s="257">
        <v>0</v>
      </c>
      <c r="L26" s="258" t="str" cm="1">
        <f t="array" ref="L26">BudgetDolVariance(F26,H26)</f>
        <v/>
      </c>
      <c r="M26" s="46" t="str" cm="1">
        <f t="array" ref="M26">BudgetPctVariance(F26,H26)</f>
        <v/>
      </c>
      <c r="N26" s="47"/>
      <c r="O26" s="2"/>
    </row>
    <row r="27" spans="1:15">
      <c r="A27" s="44" t="s">
        <v>139</v>
      </c>
      <c r="B27" s="232">
        <v>0</v>
      </c>
      <c r="C27" s="233">
        <v>0</v>
      </c>
      <c r="D27" s="234">
        <v>0</v>
      </c>
      <c r="E27" s="235">
        <v>0</v>
      </c>
      <c r="F27" s="258" t="str" cm="1">
        <f t="array" ref="F27">SeasonalBud(B27,G27)</f>
        <v/>
      </c>
      <c r="G27" s="45" t="str" cm="1">
        <f t="array" ref="G27">SeasonalBudPct(B27:E27,H27:K27)</f>
        <v/>
      </c>
      <c r="H27" s="254">
        <v>0</v>
      </c>
      <c r="I27" s="255">
        <v>0</v>
      </c>
      <c r="J27" s="256">
        <v>0</v>
      </c>
      <c r="K27" s="257">
        <v>0</v>
      </c>
      <c r="L27" s="258" t="str" cm="1">
        <f t="array" ref="L27">BudgetDolVariance(F27,H27)</f>
        <v/>
      </c>
      <c r="M27" s="46" t="str" cm="1">
        <f t="array" ref="M27">BudgetPctVariance(F27,H27)</f>
        <v/>
      </c>
      <c r="N27" s="47"/>
      <c r="O27" s="2"/>
    </row>
    <row r="28" spans="1:15">
      <c r="A28" s="44" t="s">
        <v>140</v>
      </c>
      <c r="B28" s="232">
        <v>0</v>
      </c>
      <c r="C28" s="233">
        <v>0</v>
      </c>
      <c r="D28" s="234">
        <v>0</v>
      </c>
      <c r="E28" s="235">
        <v>0</v>
      </c>
      <c r="F28" s="258" t="str" cm="1">
        <f t="array" ref="F28">SeasonalBud(B28,G28)</f>
        <v/>
      </c>
      <c r="G28" s="45" t="str" cm="1">
        <f t="array" ref="G28">SeasonalBudPct(B28:E28,H28:K28)</f>
        <v/>
      </c>
      <c r="H28" s="254">
        <v>0</v>
      </c>
      <c r="I28" s="255">
        <v>0</v>
      </c>
      <c r="J28" s="256">
        <v>0</v>
      </c>
      <c r="K28" s="257">
        <v>0</v>
      </c>
      <c r="L28" s="258" t="str" cm="1">
        <f t="array" ref="L28">BudgetDolVariance(F28,H28)</f>
        <v/>
      </c>
      <c r="M28" s="46" t="str" cm="1">
        <f t="array" ref="M28">BudgetPctVariance(F28,H28)</f>
        <v/>
      </c>
      <c r="N28" s="47"/>
      <c r="O28" s="2"/>
    </row>
    <row r="29" spans="1:15">
      <c r="A29" s="48" t="s">
        <v>141</v>
      </c>
      <c r="B29" s="236">
        <v>0</v>
      </c>
      <c r="C29" s="237">
        <v>0</v>
      </c>
      <c r="D29" s="238">
        <v>0</v>
      </c>
      <c r="E29" s="239">
        <v>0</v>
      </c>
      <c r="F29" s="263" t="str" cm="1">
        <f t="array" ref="F29">SeasonalBud(B29,G29)</f>
        <v/>
      </c>
      <c r="G29" s="49" t="str" cm="1">
        <f t="array" ref="G29">SeasonalBudPct(B29:E29,H29:K29)</f>
        <v/>
      </c>
      <c r="H29" s="259">
        <v>0</v>
      </c>
      <c r="I29" s="260">
        <v>0</v>
      </c>
      <c r="J29" s="261">
        <v>0</v>
      </c>
      <c r="K29" s="262">
        <v>0</v>
      </c>
      <c r="L29" s="263" t="str" cm="1">
        <f t="array" ref="L29">BudgetDolVariance(F29,H29)</f>
        <v/>
      </c>
      <c r="M29" s="50" t="str" cm="1">
        <f t="array" ref="M29">BudgetPctVariance(F29,H29)</f>
        <v/>
      </c>
      <c r="N29" s="51"/>
      <c r="O29" s="2"/>
    </row>
    <row r="30" spans="1:15">
      <c r="A30" s="67" t="s">
        <v>142</v>
      </c>
      <c r="B30" s="68">
        <f>SUM(B23:B29)</f>
        <v>0</v>
      </c>
      <c r="C30" s="68">
        <f>SUM(C23:C29)</f>
        <v>0</v>
      </c>
      <c r="D30" s="68">
        <f>SUM(D23:D29)</f>
        <v>0</v>
      </c>
      <c r="E30" s="68">
        <f>SUM(E23:E29)</f>
        <v>0</v>
      </c>
      <c r="F30" s="69" t="str" cm="1">
        <f t="array" ref="F30">SeasonalBud(B30,G30)</f>
        <v/>
      </c>
      <c r="G30" s="70" t="str" cm="1">
        <f t="array" ref="G30">SeasonalBudPct(B30:E30,H30:K30)</f>
        <v/>
      </c>
      <c r="H30" s="84">
        <f>SUM(H23:H29)</f>
        <v>0</v>
      </c>
      <c r="I30" s="71">
        <f>SUM(I23:I29)</f>
        <v>0</v>
      </c>
      <c r="J30" s="71">
        <f>SUM(J23:J29)</f>
        <v>0</v>
      </c>
      <c r="K30" s="72">
        <f>SUM(K23:K29)</f>
        <v>0</v>
      </c>
      <c r="L30" s="68" t="str" cm="1">
        <f t="array" ref="L30">BudgetDolVariance(F30,H30)</f>
        <v/>
      </c>
      <c r="M30" s="73" t="str" cm="1">
        <f t="array" ref="M30">BudgetPctVariance(F30,H30)</f>
        <v/>
      </c>
      <c r="N30" s="85"/>
    </row>
    <row r="31" spans="1:15">
      <c r="A31" s="75" t="s">
        <v>143</v>
      </c>
      <c r="B31" s="55"/>
      <c r="C31" s="55"/>
      <c r="D31" s="55"/>
      <c r="E31" s="55"/>
      <c r="F31" s="86"/>
      <c r="G31" s="73"/>
      <c r="H31" s="86"/>
      <c r="I31" s="72"/>
      <c r="J31" s="72"/>
      <c r="K31" s="72"/>
      <c r="L31" s="55"/>
      <c r="M31" s="73"/>
      <c r="N31" s="87"/>
    </row>
    <row r="32" spans="1:15">
      <c r="A32" s="40" t="s">
        <v>144</v>
      </c>
      <c r="B32" s="228">
        <v>0</v>
      </c>
      <c r="C32" s="229">
        <v>0</v>
      </c>
      <c r="D32" s="230">
        <v>0</v>
      </c>
      <c r="E32" s="231">
        <v>0</v>
      </c>
      <c r="F32" s="253" t="str" cm="1">
        <f t="array" ref="F32">SeasonalBud(B32,G32)</f>
        <v/>
      </c>
      <c r="G32" s="41" t="str" cm="1">
        <f t="array" ref="G32">SeasonalBudPct(B32:E32,H32:K32)</f>
        <v/>
      </c>
      <c r="H32" s="249">
        <v>0</v>
      </c>
      <c r="I32" s="250">
        <v>0</v>
      </c>
      <c r="J32" s="251">
        <v>0</v>
      </c>
      <c r="K32" s="252">
        <v>0</v>
      </c>
      <c r="L32" s="253" t="str" cm="1">
        <f t="array" ref="L32">BudgetDolVariance(F32,H32)</f>
        <v/>
      </c>
      <c r="M32" s="42" t="str" cm="1">
        <f t="array" ref="M32">BudgetPctVariance(F32,H32)</f>
        <v/>
      </c>
      <c r="N32" s="63"/>
      <c r="O32" s="2"/>
    </row>
    <row r="33" spans="1:15">
      <c r="A33" s="48" t="s">
        <v>145</v>
      </c>
      <c r="B33" s="236">
        <v>0</v>
      </c>
      <c r="C33" s="237">
        <v>0</v>
      </c>
      <c r="D33" s="238">
        <v>0</v>
      </c>
      <c r="E33" s="239">
        <v>0</v>
      </c>
      <c r="F33" s="263" t="str" cm="1">
        <f t="array" ref="F33">SeasonalBud(B33,G33)</f>
        <v/>
      </c>
      <c r="G33" s="49" t="str" cm="1">
        <f t="array" ref="G33">SeasonalBudPct(B33:E33,H33:K33)</f>
        <v/>
      </c>
      <c r="H33" s="259">
        <v>0</v>
      </c>
      <c r="I33" s="260">
        <v>0</v>
      </c>
      <c r="J33" s="261">
        <v>0</v>
      </c>
      <c r="K33" s="262">
        <v>0</v>
      </c>
      <c r="L33" s="263" t="str" cm="1">
        <f t="array" ref="L33">BudgetDolVariance(F33,H33)</f>
        <v/>
      </c>
      <c r="M33" s="50" t="str" cm="1">
        <f t="array" ref="M33">BudgetPctVariance(F33,H33)</f>
        <v/>
      </c>
      <c r="N33" s="51"/>
      <c r="O33" s="2"/>
    </row>
    <row r="34" spans="1:15">
      <c r="A34" s="67" t="s">
        <v>146</v>
      </c>
      <c r="B34" s="68">
        <f>SUM(B32:B33)</f>
        <v>0</v>
      </c>
      <c r="C34" s="68">
        <f>SUM(C32:C33)</f>
        <v>0</v>
      </c>
      <c r="D34" s="68">
        <f>SUM(D32:D33)</f>
        <v>0</v>
      </c>
      <c r="E34" s="68">
        <f>SUM(E32:E33)</f>
        <v>0</v>
      </c>
      <c r="F34" s="69" t="str" cm="1">
        <f t="array" ref="F34">SeasonalBud(B34,G34)</f>
        <v/>
      </c>
      <c r="G34" s="70" t="str" cm="1">
        <f t="array" ref="G34">SeasonalBudPct(B34:E34,H34:K34)</f>
        <v/>
      </c>
      <c r="H34" s="68">
        <f>SUM(H32:H33)</f>
        <v>0</v>
      </c>
      <c r="I34" s="71">
        <f>SUM(I32:I33)</f>
        <v>0</v>
      </c>
      <c r="J34" s="71">
        <f>SUM(J32:J33)</f>
        <v>0</v>
      </c>
      <c r="K34" s="72">
        <f>SUM(K32:K33)</f>
        <v>0</v>
      </c>
      <c r="L34" s="68" t="str" cm="1">
        <f t="array" ref="L34">BudgetDolVariance(F34,H34)</f>
        <v/>
      </c>
      <c r="M34" s="73" t="str" cm="1">
        <f t="array" ref="M34">BudgetPctVariance(F34,H34)</f>
        <v/>
      </c>
      <c r="N34" s="85"/>
    </row>
    <row r="35" spans="1:15">
      <c r="A35" s="75" t="s">
        <v>147</v>
      </c>
      <c r="B35" s="86"/>
      <c r="C35" s="54"/>
      <c r="D35" s="54"/>
      <c r="E35" s="54"/>
      <c r="F35" s="55"/>
      <c r="G35" s="88"/>
      <c r="H35" s="86"/>
      <c r="I35" s="89"/>
      <c r="J35" s="89"/>
      <c r="K35" s="89"/>
      <c r="L35" s="55"/>
      <c r="M35" s="88"/>
      <c r="N35" s="87"/>
    </row>
    <row r="36" spans="1:15">
      <c r="A36" s="40" t="s">
        <v>148</v>
      </c>
      <c r="B36" s="228">
        <v>0</v>
      </c>
      <c r="C36" s="229">
        <v>0</v>
      </c>
      <c r="D36" s="230">
        <v>0</v>
      </c>
      <c r="E36" s="231">
        <v>0</v>
      </c>
      <c r="F36" s="253" t="str" cm="1">
        <f t="array" ref="F36">SeasonalBud(B36,G36)</f>
        <v/>
      </c>
      <c r="G36" s="41" t="str" cm="1">
        <f t="array" ref="G36">SeasonalBudPct(B36:E36,H36:K36)</f>
        <v/>
      </c>
      <c r="H36" s="249">
        <v>0</v>
      </c>
      <c r="I36" s="250">
        <v>0</v>
      </c>
      <c r="J36" s="251">
        <v>0</v>
      </c>
      <c r="K36" s="252">
        <v>0</v>
      </c>
      <c r="L36" s="253" t="str" cm="1">
        <f t="array" ref="L36">BudgetDolVariance(F36,H36)</f>
        <v/>
      </c>
      <c r="M36" s="42" t="str" cm="1">
        <f t="array" ref="M36">BudgetPctVariance(F36,H36)</f>
        <v/>
      </c>
      <c r="N36" s="63"/>
      <c r="O36" s="2"/>
    </row>
    <row r="37" spans="1:15">
      <c r="A37" s="44" t="s">
        <v>149</v>
      </c>
      <c r="B37" s="232">
        <v>0</v>
      </c>
      <c r="C37" s="233">
        <v>0</v>
      </c>
      <c r="D37" s="234">
        <v>0</v>
      </c>
      <c r="E37" s="235">
        <v>0</v>
      </c>
      <c r="F37" s="258" t="str" cm="1">
        <f t="array" ref="F37">SeasonalBud(B37,G37)</f>
        <v/>
      </c>
      <c r="G37" s="45" t="str" cm="1">
        <f t="array" ref="G37">SeasonalBudPct(B37:E37,H37:K37)</f>
        <v/>
      </c>
      <c r="H37" s="254">
        <v>0</v>
      </c>
      <c r="I37" s="255">
        <v>0</v>
      </c>
      <c r="J37" s="256">
        <v>0</v>
      </c>
      <c r="K37" s="257">
        <v>0</v>
      </c>
      <c r="L37" s="258" t="str" cm="1">
        <f t="array" ref="L37">BudgetDolVariance(F37,H37)</f>
        <v/>
      </c>
      <c r="M37" s="46" t="str" cm="1">
        <f t="array" ref="M37">BudgetPctVariance(F37,H37)</f>
        <v/>
      </c>
      <c r="N37" s="47"/>
      <c r="O37" s="2"/>
    </row>
    <row r="38" spans="1:15">
      <c r="A38" s="44" t="s">
        <v>33</v>
      </c>
      <c r="B38" s="232">
        <v>0</v>
      </c>
      <c r="C38" s="233">
        <v>0</v>
      </c>
      <c r="D38" s="234">
        <v>0</v>
      </c>
      <c r="E38" s="235">
        <v>0</v>
      </c>
      <c r="F38" s="258" t="str" cm="1">
        <f t="array" ref="F38">SeasonalBud(B38,G38)</f>
        <v/>
      </c>
      <c r="G38" s="45" t="str" cm="1">
        <f t="array" ref="G38">SeasonalBudPct(B38:E38,H38:K38)</f>
        <v/>
      </c>
      <c r="H38" s="254">
        <v>0</v>
      </c>
      <c r="I38" s="255">
        <v>0</v>
      </c>
      <c r="J38" s="256">
        <v>0</v>
      </c>
      <c r="K38" s="257">
        <v>0</v>
      </c>
      <c r="L38" s="258" t="str" cm="1">
        <f t="array" ref="L38">BudgetDolVariance(F38,H38)</f>
        <v/>
      </c>
      <c r="M38" s="46" t="str" cm="1">
        <f t="array" ref="M38">BudgetPctVariance(F38,H38)</f>
        <v/>
      </c>
      <c r="N38" s="47"/>
      <c r="O38" s="2"/>
    </row>
    <row r="39" spans="1:15">
      <c r="A39" s="90" t="s">
        <v>150</v>
      </c>
      <c r="B39" s="248">
        <v>0</v>
      </c>
      <c r="C39" s="241">
        <v>0</v>
      </c>
      <c r="D39" s="242">
        <v>0</v>
      </c>
      <c r="E39" s="243">
        <v>0</v>
      </c>
      <c r="F39" s="268" t="str" cm="1">
        <f t="array" ref="F39">SeasonalBud(B39,G39)</f>
        <v/>
      </c>
      <c r="G39" s="65" t="str" cm="1">
        <f t="array" ref="G39">SeasonalBudPct(B39:E39,H39:K39)</f>
        <v/>
      </c>
      <c r="H39" s="274">
        <v>0</v>
      </c>
      <c r="I39" s="265">
        <v>0</v>
      </c>
      <c r="J39" s="266">
        <v>0</v>
      </c>
      <c r="K39" s="275">
        <v>0</v>
      </c>
      <c r="L39" s="268" t="str" cm="1">
        <f t="array" ref="L39">BudgetDolVariance(F39,H39)</f>
        <v/>
      </c>
      <c r="M39" s="91" t="str" cm="1">
        <f t="array" ref="M39">BudgetPctVariance(F39,H39)</f>
        <v/>
      </c>
      <c r="N39" s="66"/>
      <c r="O39" s="2"/>
    </row>
    <row r="40" spans="1:15">
      <c r="A40" s="44" t="s">
        <v>151</v>
      </c>
      <c r="B40" s="232">
        <v>0</v>
      </c>
      <c r="C40" s="233">
        <v>0</v>
      </c>
      <c r="D40" s="234">
        <v>0</v>
      </c>
      <c r="E40" s="235">
        <v>0</v>
      </c>
      <c r="F40" s="258" t="str" cm="1">
        <f t="array" ref="F40">SeasonalBud(B40,G40)</f>
        <v/>
      </c>
      <c r="G40" s="45" t="str" cm="1">
        <f t="array" ref="G40">SeasonalBudPct(B40:E40,H40:K40)</f>
        <v/>
      </c>
      <c r="H40" s="254">
        <v>0</v>
      </c>
      <c r="I40" s="255">
        <v>0</v>
      </c>
      <c r="J40" s="256">
        <v>0</v>
      </c>
      <c r="K40" s="257">
        <v>0</v>
      </c>
      <c r="L40" s="258" t="str" cm="1">
        <f t="array" ref="L40">BudgetDolVariance(F40,H40)</f>
        <v/>
      </c>
      <c r="M40" s="46" t="str" cm="1">
        <f t="array" ref="M40">BudgetPctVariance(F40,H40)</f>
        <v/>
      </c>
      <c r="N40" s="47"/>
      <c r="O40" s="2"/>
    </row>
    <row r="41" spans="1:15">
      <c r="A41" s="48" t="s">
        <v>152</v>
      </c>
      <c r="B41" s="236">
        <v>0</v>
      </c>
      <c r="C41" s="237">
        <v>0</v>
      </c>
      <c r="D41" s="238">
        <v>0</v>
      </c>
      <c r="E41" s="239">
        <v>0</v>
      </c>
      <c r="F41" s="263" t="str" cm="1">
        <f t="array" ref="F41">SeasonalBud(B41,G41)</f>
        <v/>
      </c>
      <c r="G41" s="49" t="str" cm="1">
        <f t="array" ref="G41">SeasonalBudPct(B41:E41,H41:K41)</f>
        <v/>
      </c>
      <c r="H41" s="259">
        <v>0</v>
      </c>
      <c r="I41" s="260">
        <v>0</v>
      </c>
      <c r="J41" s="261">
        <v>0</v>
      </c>
      <c r="K41" s="262">
        <v>0</v>
      </c>
      <c r="L41" s="263" t="str" cm="1">
        <f t="array" ref="L41">BudgetDolVariance(F41,H41)</f>
        <v/>
      </c>
      <c r="M41" s="50" t="str" cm="1">
        <f t="array" ref="M41">BudgetPctVariance(F41,H41)</f>
        <v/>
      </c>
      <c r="N41" s="51"/>
    </row>
    <row r="42" spans="1:15">
      <c r="A42" s="92" t="s">
        <v>153</v>
      </c>
      <c r="B42" s="84">
        <f>SUM(B36:B41)</f>
        <v>0</v>
      </c>
      <c r="C42" s="86">
        <f>SUM(C36:C41)</f>
        <v>0</v>
      </c>
      <c r="D42" s="84">
        <f>SUM(D36:D41)</f>
        <v>0</v>
      </c>
      <c r="E42" s="86">
        <f>SUM(E36:E41)</f>
        <v>0</v>
      </c>
      <c r="F42" s="69" t="str" cm="1">
        <f t="array" ref="F42">SeasonalBud(B42,G42)</f>
        <v/>
      </c>
      <c r="G42" s="70" t="str" cm="1">
        <f t="array" ref="G42">SeasonalBudPct(B42:E42,H42:K42)</f>
        <v/>
      </c>
      <c r="H42" s="84">
        <f>SUM(H36:H41)</f>
        <v>0</v>
      </c>
      <c r="I42" s="71">
        <f>SUM(I36:I41)</f>
        <v>0</v>
      </c>
      <c r="J42" s="71">
        <f>SUM(J36:J41)</f>
        <v>0</v>
      </c>
      <c r="K42" s="72">
        <f>SUM(K36:K41)</f>
        <v>0</v>
      </c>
      <c r="L42" s="68" t="str" cm="1">
        <f t="array" ref="L42">BudgetDolVariance(F42,H42)</f>
        <v/>
      </c>
      <c r="M42" s="70" t="str" cm="1">
        <f t="array" ref="M42">BudgetPctVariance(F42,H42)</f>
        <v/>
      </c>
      <c r="N42" s="85"/>
    </row>
    <row r="43" spans="1:15" ht="16.2" thickBot="1">
      <c r="A43" s="3" t="s">
        <v>154</v>
      </c>
      <c r="B43" s="4">
        <f>SUM(B21,B30,B34,B42)</f>
        <v>0</v>
      </c>
      <c r="C43" s="4">
        <f>SUM(C21,C30,C34,C42)</f>
        <v>0</v>
      </c>
      <c r="D43" s="4">
        <f>SUM(D21,D30,D34,D42)</f>
        <v>0</v>
      </c>
      <c r="E43" s="4">
        <f>SUM(E21,E30,E34,E42)</f>
        <v>0</v>
      </c>
      <c r="F43" s="4" t="str" cm="1">
        <f t="array" ref="F43">SeasonalBud(B43,G43)</f>
        <v/>
      </c>
      <c r="G43" s="14" t="str" cm="1">
        <f t="array" ref="G43">SeasonalBudPct(B43:E43,H43:K43)</f>
        <v/>
      </c>
      <c r="H43" s="4">
        <f>SUM(H21,H30,H34,H42)</f>
        <v>0</v>
      </c>
      <c r="I43" s="15">
        <f>SUM(I21,I30,I34,I42)</f>
        <v>0</v>
      </c>
      <c r="J43" s="15">
        <f>SUM(J21,J30,J34,J42)</f>
        <v>0</v>
      </c>
      <c r="K43" s="16">
        <f>SUM(K21,K30,K34,K42)</f>
        <v>0</v>
      </c>
      <c r="L43" s="4" t="str" cm="1">
        <f t="array" ref="L43">BudgetDolVariance(F43,H43)</f>
        <v/>
      </c>
      <c r="M43" s="5" t="str" cm="1">
        <f t="array" ref="M43">BudgetPctVariance(F43,H43)</f>
        <v/>
      </c>
      <c r="N43" s="6"/>
    </row>
    <row r="44" spans="1:15" ht="16.2" thickTop="1">
      <c r="A44" s="93" t="s">
        <v>155</v>
      </c>
      <c r="B44" s="94"/>
      <c r="C44" s="94"/>
      <c r="D44" s="94"/>
      <c r="E44" s="94"/>
      <c r="F44" s="94"/>
      <c r="G44" s="95"/>
      <c r="H44" s="94"/>
      <c r="I44" s="96"/>
      <c r="J44" s="96"/>
      <c r="K44" s="96"/>
      <c r="L44" s="94"/>
      <c r="M44" s="95"/>
      <c r="N44" s="97"/>
    </row>
    <row r="45" spans="1:15">
      <c r="A45" s="40" t="s">
        <v>156</v>
      </c>
      <c r="B45" s="228">
        <v>0</v>
      </c>
      <c r="C45" s="229">
        <v>0</v>
      </c>
      <c r="D45" s="230">
        <v>0</v>
      </c>
      <c r="E45" s="231">
        <v>0</v>
      </c>
      <c r="F45" s="253" t="str" cm="1">
        <f t="array" ref="F45">SeasonalBud(B45,G45)</f>
        <v/>
      </c>
      <c r="G45" s="41" t="str" cm="1">
        <f t="array" ref="G45">SeasonalBudPct(B45:E45,H45:K45)</f>
        <v/>
      </c>
      <c r="H45" s="249">
        <v>0</v>
      </c>
      <c r="I45" s="250">
        <v>0</v>
      </c>
      <c r="J45" s="251">
        <v>0</v>
      </c>
      <c r="K45" s="252">
        <v>0</v>
      </c>
      <c r="L45" s="253" t="str" cm="1">
        <f t="array" ref="L45">BudgetDolVariance(F45,H45)</f>
        <v/>
      </c>
      <c r="M45" s="42" t="str" cm="1">
        <f t="array" ref="M45">BudgetPctVariance(F45,H45)</f>
        <v/>
      </c>
      <c r="N45" s="63"/>
      <c r="O45" s="2"/>
    </row>
    <row r="46" spans="1:15">
      <c r="A46" s="48" t="s">
        <v>157</v>
      </c>
      <c r="B46" s="236">
        <v>0</v>
      </c>
      <c r="C46" s="237">
        <v>0</v>
      </c>
      <c r="D46" s="238">
        <v>0</v>
      </c>
      <c r="E46" s="239">
        <v>0</v>
      </c>
      <c r="F46" s="263" t="str" cm="1">
        <f t="array" ref="F46">SeasonalBud(B46,G46)</f>
        <v/>
      </c>
      <c r="G46" s="49" t="str" cm="1">
        <f t="array" ref="G46">SeasonalBudPct(B46:E46,H46:K46)</f>
        <v/>
      </c>
      <c r="H46" s="259">
        <v>0</v>
      </c>
      <c r="I46" s="260">
        <v>0</v>
      </c>
      <c r="J46" s="261">
        <v>0</v>
      </c>
      <c r="K46" s="262">
        <v>0</v>
      </c>
      <c r="L46" s="263" t="str" cm="1">
        <f t="array" ref="L46">BudgetDolVariance(F46,H46)</f>
        <v/>
      </c>
      <c r="M46" s="50" t="str" cm="1">
        <f t="array" ref="M46">BudgetPctVariance(F46,H46)</f>
        <v/>
      </c>
      <c r="N46" s="51"/>
      <c r="O46" s="2"/>
    </row>
    <row r="47" spans="1:15">
      <c r="A47" s="98" t="s">
        <v>158</v>
      </c>
      <c r="B47" s="37">
        <f>SUM(B45:B46)</f>
        <v>0</v>
      </c>
      <c r="C47" s="37">
        <f>SUM(C45:C46)</f>
        <v>0</v>
      </c>
      <c r="D47" s="37">
        <f>SUM(D45:D46)</f>
        <v>0</v>
      </c>
      <c r="E47" s="37">
        <f>SUM(E45:E46)</f>
        <v>0</v>
      </c>
      <c r="F47" s="99" t="str" cm="1">
        <f t="array" ref="F47">SeasonalBud(B47,G47)</f>
        <v/>
      </c>
      <c r="G47" s="100" t="str" cm="1">
        <f t="array" ref="G47">SeasonalBudPct(B47:E47,H47:K47)</f>
        <v/>
      </c>
      <c r="H47" s="37">
        <f>SUM(H45:H46)</f>
        <v>0</v>
      </c>
      <c r="I47" s="101">
        <f>SUM(I45:I46)</f>
        <v>0</v>
      </c>
      <c r="J47" s="101">
        <f>SUM(J45:J46)</f>
        <v>0</v>
      </c>
      <c r="K47" s="89">
        <f>SUM(K45:K46)</f>
        <v>0</v>
      </c>
      <c r="L47" s="37" t="str" cm="1">
        <f t="array" ref="L47">BudgetDolVariance(F47,H47)</f>
        <v/>
      </c>
      <c r="M47" s="88" t="str" cm="1">
        <f t="array" ref="M47">BudgetPctVariance(F47,H47)</f>
        <v/>
      </c>
      <c r="N47" s="102"/>
      <c r="O47" s="2"/>
    </row>
    <row r="48" spans="1:15" ht="16.2" thickBot="1">
      <c r="A48" s="3" t="s">
        <v>159</v>
      </c>
      <c r="B48" s="4">
        <f>SUM(B12,B43,B47)</f>
        <v>0</v>
      </c>
      <c r="C48" s="4">
        <f>SUM(C12,C43,C47)</f>
        <v>0</v>
      </c>
      <c r="D48" s="4">
        <f>SUM(D12,D43,D47)</f>
        <v>0</v>
      </c>
      <c r="E48" s="4">
        <f>SUM(E12,E43,E47)</f>
        <v>0</v>
      </c>
      <c r="F48" s="4">
        <f>SUM(F12,F43,F47)</f>
        <v>0</v>
      </c>
      <c r="G48" s="14"/>
      <c r="H48" s="4">
        <f>SUM(H12,H43,H47)</f>
        <v>0</v>
      </c>
      <c r="I48" s="15">
        <f>SUM(I12,I43,I47)</f>
        <v>0</v>
      </c>
      <c r="J48" s="15">
        <f>SUM(J12,J43,J47)</f>
        <v>0</v>
      </c>
      <c r="K48" s="16">
        <f>SUM(K12,K43,K47)</f>
        <v>0</v>
      </c>
      <c r="L48" s="4" t="str" cm="1">
        <f t="array" ref="L48">BudgetDolVariance(F48,H48)</f>
        <v/>
      </c>
      <c r="M48" s="5" t="str" cm="1">
        <f t="array" ref="M48">BudgetPctVariance(F48,H48)</f>
        <v/>
      </c>
      <c r="N48" s="6"/>
    </row>
    <row r="49" spans="1:14" ht="16.2" thickTop="1">
      <c r="A49" s="103"/>
      <c r="B49" s="53"/>
      <c r="C49" s="53"/>
      <c r="D49" s="53"/>
      <c r="E49" s="53"/>
      <c r="F49" s="53"/>
      <c r="G49" s="104"/>
      <c r="H49" s="53"/>
      <c r="I49" s="105"/>
      <c r="J49" s="105"/>
      <c r="K49" s="105"/>
      <c r="N49" s="107"/>
    </row>
    <row r="50" spans="1:14">
      <c r="A50" s="329"/>
      <c r="B50" s="329"/>
      <c r="C50" s="329"/>
      <c r="D50" s="329"/>
      <c r="E50" s="329"/>
    </row>
    <row r="51" spans="1:14">
      <c r="A51" s="109" t="s">
        <v>160</v>
      </c>
      <c r="B51" s="503"/>
      <c r="C51" s="503"/>
      <c r="D51" s="503"/>
      <c r="E51" s="503"/>
      <c r="F51" s="503"/>
      <c r="G51" s="503"/>
      <c r="H51" s="503"/>
      <c r="I51" s="503"/>
      <c r="J51" s="503"/>
      <c r="K51" s="503"/>
      <c r="L51" s="503"/>
      <c r="M51" s="503"/>
      <c r="N51" s="503"/>
    </row>
    <row r="52" spans="1:14">
      <c r="B52" s="503"/>
      <c r="C52" s="503"/>
      <c r="D52" s="503"/>
      <c r="E52" s="503"/>
      <c r="F52" s="503"/>
      <c r="G52" s="503"/>
      <c r="H52" s="503"/>
      <c r="I52" s="503"/>
      <c r="J52" s="503"/>
      <c r="K52" s="503"/>
      <c r="L52" s="503"/>
      <c r="M52" s="503"/>
      <c r="N52" s="503"/>
    </row>
    <row r="53" spans="1:14">
      <c r="B53" s="503"/>
      <c r="C53" s="503"/>
      <c r="D53" s="503"/>
      <c r="E53" s="503"/>
      <c r="F53" s="503"/>
      <c r="G53" s="503"/>
      <c r="H53" s="503"/>
      <c r="I53" s="503"/>
      <c r="J53" s="503"/>
      <c r="K53" s="503"/>
      <c r="L53" s="503"/>
      <c r="M53" s="503"/>
      <c r="N53" s="503"/>
    </row>
    <row r="54" spans="1:14">
      <c r="B54" s="503"/>
      <c r="C54" s="503"/>
      <c r="D54" s="503"/>
      <c r="E54" s="503"/>
      <c r="F54" s="503"/>
      <c r="G54" s="503"/>
      <c r="H54" s="503"/>
      <c r="I54" s="503"/>
      <c r="J54" s="503"/>
      <c r="K54" s="503"/>
      <c r="L54" s="503"/>
      <c r="M54" s="503"/>
      <c r="N54" s="503"/>
    </row>
    <row r="55" spans="1:14">
      <c r="B55" s="503"/>
      <c r="C55" s="503"/>
      <c r="D55" s="503"/>
      <c r="E55" s="503"/>
      <c r="F55" s="503"/>
      <c r="G55" s="503"/>
      <c r="H55" s="503"/>
      <c r="I55" s="503"/>
      <c r="J55" s="503"/>
      <c r="K55" s="503"/>
      <c r="L55" s="503"/>
      <c r="M55" s="503"/>
      <c r="N55" s="503"/>
    </row>
    <row r="56" spans="1:14">
      <c r="B56" s="503"/>
      <c r="C56" s="503"/>
      <c r="D56" s="503"/>
      <c r="E56" s="503"/>
      <c r="F56" s="503"/>
      <c r="G56" s="503"/>
      <c r="H56" s="503"/>
      <c r="I56" s="503"/>
      <c r="J56" s="503"/>
      <c r="K56" s="503"/>
      <c r="L56" s="503"/>
      <c r="M56" s="503"/>
      <c r="N56" s="503"/>
    </row>
    <row r="57" spans="1:14">
      <c r="B57" s="503"/>
      <c r="C57" s="503"/>
      <c r="D57" s="503"/>
      <c r="E57" s="503"/>
      <c r="F57" s="503"/>
      <c r="G57" s="503"/>
      <c r="H57" s="503"/>
      <c r="I57" s="503"/>
      <c r="J57" s="503"/>
      <c r="K57" s="503"/>
      <c r="L57" s="503"/>
      <c r="M57" s="503"/>
      <c r="N57" s="503"/>
    </row>
    <row r="58" spans="1:14">
      <c r="B58" s="503"/>
      <c r="C58" s="503"/>
      <c r="D58" s="503"/>
      <c r="E58" s="503"/>
      <c r="F58" s="503"/>
      <c r="G58" s="503"/>
      <c r="H58" s="503"/>
      <c r="I58" s="503"/>
      <c r="J58" s="503"/>
      <c r="K58" s="503"/>
      <c r="L58" s="503"/>
      <c r="M58" s="503"/>
      <c r="N58" s="503"/>
    </row>
    <row r="59" spans="1:14">
      <c r="B59" s="503"/>
      <c r="C59" s="503"/>
      <c r="D59" s="503"/>
      <c r="E59" s="503"/>
      <c r="F59" s="503"/>
      <c r="G59" s="503"/>
      <c r="H59" s="503"/>
      <c r="I59" s="503"/>
      <c r="J59" s="503"/>
      <c r="K59" s="503"/>
      <c r="L59" s="503"/>
      <c r="M59" s="503"/>
      <c r="N59" s="503"/>
    </row>
    <row r="60" spans="1:14">
      <c r="B60" s="111"/>
      <c r="C60" s="111"/>
      <c r="D60" s="111"/>
      <c r="E60" s="111"/>
    </row>
    <row r="61" spans="1:14">
      <c r="B61" s="111"/>
      <c r="C61" s="111"/>
      <c r="D61" s="111"/>
      <c r="E61" s="111"/>
    </row>
  </sheetData>
  <mergeCells count="12">
    <mergeCell ref="B58:N58"/>
    <mergeCell ref="B59:N59"/>
    <mergeCell ref="B53:N53"/>
    <mergeCell ref="B54:N54"/>
    <mergeCell ref="B55:N55"/>
    <mergeCell ref="B56:N56"/>
    <mergeCell ref="B57:N57"/>
    <mergeCell ref="B1:N1"/>
    <mergeCell ref="B2:N2"/>
    <mergeCell ref="N3:N6"/>
    <mergeCell ref="B51:N51"/>
    <mergeCell ref="B52:N52"/>
  </mergeCells>
  <pageMargins left="0.7" right="0.7" top="0.75" bottom="0.75" header="0.3" footer="0.3"/>
  <ignoredErrors>
    <ignoredError sqref="G13:G14 F13:F14 G22 F22 F31 F35 F44 G31 G35 G44 G48 F48"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74479-7A1E-4BFE-86B9-C7C393627078}">
  <sheetPr codeName="Draft_SB">
    <tabColor theme="5" tint="0.59999389629810485"/>
  </sheetPr>
  <dimension ref="A1:M49"/>
  <sheetViews>
    <sheetView showGridLines="0" showRowColHeaders="0" workbookViewId="0"/>
  </sheetViews>
  <sheetFormatPr defaultColWidth="8.88671875" defaultRowHeight="15.6"/>
  <cols>
    <col min="1" max="1" width="34.44140625" style="329" bestFit="1" customWidth="1"/>
    <col min="2" max="2" width="16.6640625" style="329" customWidth="1"/>
    <col min="3" max="3" width="13.44140625" style="329" customWidth="1"/>
    <col min="4" max="4" width="16.6640625" style="329" customWidth="1"/>
    <col min="5" max="5" width="13.44140625" style="329" customWidth="1"/>
    <col min="6" max="6" width="16.6640625" style="329" customWidth="1"/>
    <col min="7" max="7" width="13.44140625" style="329" customWidth="1"/>
    <col min="8" max="8" width="16.6640625" style="329" customWidth="1"/>
    <col min="9" max="9" width="13.44140625" style="329" customWidth="1"/>
    <col min="10" max="10" width="16.6640625" style="329" customWidth="1"/>
    <col min="11" max="11" width="13.44140625" style="329" customWidth="1"/>
    <col min="12" max="12" width="16.6640625" style="329" customWidth="1"/>
    <col min="13" max="13" width="13.44140625" style="329" customWidth="1"/>
    <col min="14" max="16384" width="8.88671875" style="329"/>
  </cols>
  <sheetData>
    <row r="1" spans="1:13">
      <c r="A1" s="7" t="str" cm="1">
        <f t="array" ref="A1">CCName('Create Report'!E8)</f>
        <v>KVCU Radio Station</v>
      </c>
      <c r="B1" s="331"/>
      <c r="C1" s="331"/>
      <c r="D1" s="331"/>
      <c r="E1" s="331"/>
      <c r="F1" s="331"/>
      <c r="G1" s="331"/>
      <c r="H1" s="331"/>
      <c r="I1" s="331"/>
      <c r="J1" s="331"/>
      <c r="L1" s="331"/>
      <c r="M1" s="331"/>
    </row>
    <row r="2" spans="1:13">
      <c r="A2" s="8" t="s">
        <v>101</v>
      </c>
      <c r="B2" s="332"/>
      <c r="C2" s="332"/>
      <c r="D2" s="332"/>
      <c r="E2" s="332"/>
      <c r="F2" s="332"/>
      <c r="G2" s="332"/>
      <c r="H2" s="332"/>
      <c r="I2" s="332"/>
      <c r="J2" s="332"/>
      <c r="L2" s="332"/>
      <c r="M2" s="332"/>
    </row>
    <row r="3" spans="1:13" s="112" customFormat="1">
      <c r="A3" s="203"/>
      <c r="B3" s="201" t="s">
        <v>161</v>
      </c>
      <c r="C3" s="114" t="s">
        <v>161</v>
      </c>
      <c r="D3" s="113" t="s">
        <v>162</v>
      </c>
      <c r="E3" s="114" t="s">
        <v>162</v>
      </c>
      <c r="F3" s="113" t="s">
        <v>163</v>
      </c>
      <c r="G3" s="114" t="s">
        <v>163</v>
      </c>
      <c r="H3" s="113" t="s">
        <v>164</v>
      </c>
      <c r="I3" s="114" t="s">
        <v>164</v>
      </c>
      <c r="J3" s="113" t="s">
        <v>165</v>
      </c>
      <c r="K3" s="115" t="s">
        <v>165</v>
      </c>
      <c r="L3" s="113" t="s">
        <v>166</v>
      </c>
      <c r="M3" s="115" t="s">
        <v>166</v>
      </c>
    </row>
    <row r="4" spans="1:13">
      <c r="A4" s="204"/>
      <c r="B4" s="202" t="s">
        <v>112</v>
      </c>
      <c r="C4" s="117" t="s">
        <v>112</v>
      </c>
      <c r="D4" s="116" t="s">
        <v>1601</v>
      </c>
      <c r="E4" s="116" t="s">
        <v>167</v>
      </c>
      <c r="F4" s="116" t="s">
        <v>1601</v>
      </c>
      <c r="G4" s="116" t="s">
        <v>167</v>
      </c>
      <c r="H4" s="116" t="s">
        <v>1601</v>
      </c>
      <c r="I4" s="116" t="s">
        <v>167</v>
      </c>
      <c r="J4" s="116" t="s">
        <v>1601</v>
      </c>
      <c r="K4" s="116" t="s">
        <v>167</v>
      </c>
      <c r="L4" s="116" t="s">
        <v>168</v>
      </c>
      <c r="M4" s="116" t="s">
        <v>169</v>
      </c>
    </row>
    <row r="5" spans="1:13">
      <c r="A5" s="26"/>
      <c r="B5" s="116" t="s">
        <v>170</v>
      </c>
      <c r="C5" s="117" t="s">
        <v>170</v>
      </c>
      <c r="D5" s="116" t="s">
        <v>170</v>
      </c>
      <c r="E5" s="117" t="s">
        <v>170</v>
      </c>
      <c r="F5" s="116" t="s">
        <v>170</v>
      </c>
      <c r="G5" s="117" t="s">
        <v>170</v>
      </c>
      <c r="H5" s="116" t="s">
        <v>170</v>
      </c>
      <c r="I5" s="117" t="s">
        <v>170</v>
      </c>
      <c r="J5" s="116" t="s">
        <v>170</v>
      </c>
      <c r="K5" s="116" t="s">
        <v>170</v>
      </c>
      <c r="L5" s="116" t="s">
        <v>170</v>
      </c>
      <c r="M5" s="116" t="s">
        <v>170</v>
      </c>
    </row>
    <row r="6" spans="1:13">
      <c r="A6" s="118"/>
      <c r="B6" s="119"/>
      <c r="C6" s="120"/>
      <c r="D6" s="119"/>
      <c r="E6" s="120"/>
      <c r="F6" s="119"/>
      <c r="G6" s="120"/>
      <c r="H6" s="119"/>
      <c r="I6" s="120"/>
      <c r="J6" s="119"/>
      <c r="K6" s="119"/>
      <c r="L6" s="119"/>
      <c r="M6" s="119"/>
    </row>
    <row r="7" spans="1:13">
      <c r="A7" s="33" t="s">
        <v>120</v>
      </c>
      <c r="B7" s="121"/>
      <c r="C7" s="122"/>
      <c r="D7" s="121"/>
      <c r="E7" s="122"/>
      <c r="F7" s="121"/>
      <c r="G7" s="122"/>
      <c r="H7" s="121"/>
      <c r="I7" s="122"/>
      <c r="J7" s="121"/>
      <c r="K7" s="121"/>
      <c r="L7" s="121"/>
      <c r="M7" s="121"/>
    </row>
    <row r="8" spans="1:13">
      <c r="A8" s="123" t="s">
        <v>121</v>
      </c>
      <c r="B8" s="278">
        <v>0</v>
      </c>
      <c r="C8" s="279">
        <v>0</v>
      </c>
      <c r="D8" s="280">
        <v>0</v>
      </c>
      <c r="E8" s="279">
        <v>0</v>
      </c>
      <c r="F8" s="280">
        <v>0</v>
      </c>
      <c r="G8" s="279">
        <v>0</v>
      </c>
      <c r="H8" s="280">
        <v>0</v>
      </c>
      <c r="I8" s="279">
        <v>0</v>
      </c>
      <c r="J8" s="280">
        <v>0</v>
      </c>
      <c r="K8" s="281">
        <v>0</v>
      </c>
      <c r="L8" s="278">
        <f t="shared" ref="L8:M11" si="0">SUM(D8,F8,H8,J8)</f>
        <v>0</v>
      </c>
      <c r="M8" s="281">
        <f t="shared" si="0"/>
        <v>0</v>
      </c>
    </row>
    <row r="9" spans="1:13">
      <c r="A9" s="124" t="s">
        <v>122</v>
      </c>
      <c r="B9" s="278">
        <v>0</v>
      </c>
      <c r="C9" s="282">
        <v>0</v>
      </c>
      <c r="D9" s="280">
        <v>0</v>
      </c>
      <c r="E9" s="282">
        <v>0</v>
      </c>
      <c r="F9" s="280">
        <v>0</v>
      </c>
      <c r="G9" s="282">
        <v>0</v>
      </c>
      <c r="H9" s="280">
        <v>0</v>
      </c>
      <c r="I9" s="282">
        <v>0</v>
      </c>
      <c r="J9" s="280">
        <v>0</v>
      </c>
      <c r="K9" s="283">
        <v>0</v>
      </c>
      <c r="L9" s="278">
        <f t="shared" si="0"/>
        <v>0</v>
      </c>
      <c r="M9" s="283">
        <f t="shared" si="0"/>
        <v>0</v>
      </c>
    </row>
    <row r="10" spans="1:13">
      <c r="A10" s="124" t="s">
        <v>123</v>
      </c>
      <c r="B10" s="278">
        <v>0</v>
      </c>
      <c r="C10" s="282">
        <v>0</v>
      </c>
      <c r="D10" s="280">
        <v>0</v>
      </c>
      <c r="E10" s="282">
        <v>0</v>
      </c>
      <c r="F10" s="280">
        <v>0</v>
      </c>
      <c r="G10" s="282">
        <v>0</v>
      </c>
      <c r="H10" s="280">
        <v>0</v>
      </c>
      <c r="I10" s="282">
        <v>0</v>
      </c>
      <c r="J10" s="280">
        <v>0</v>
      </c>
      <c r="K10" s="283">
        <v>0</v>
      </c>
      <c r="L10" s="278">
        <f t="shared" si="0"/>
        <v>0</v>
      </c>
      <c r="M10" s="283">
        <f t="shared" si="0"/>
        <v>0</v>
      </c>
    </row>
    <row r="11" spans="1:13">
      <c r="A11" s="125" t="s">
        <v>124</v>
      </c>
      <c r="B11" s="284">
        <v>0</v>
      </c>
      <c r="C11" s="282">
        <v>0</v>
      </c>
      <c r="D11" s="285">
        <v>0</v>
      </c>
      <c r="E11" s="282">
        <v>0</v>
      </c>
      <c r="F11" s="285">
        <v>0</v>
      </c>
      <c r="G11" s="282">
        <v>0</v>
      </c>
      <c r="H11" s="285">
        <v>0</v>
      </c>
      <c r="I11" s="282">
        <v>0</v>
      </c>
      <c r="J11" s="285">
        <v>0</v>
      </c>
      <c r="K11" s="283">
        <v>0</v>
      </c>
      <c r="L11" s="284">
        <f t="shared" si="0"/>
        <v>0</v>
      </c>
      <c r="M11" s="283">
        <f t="shared" si="0"/>
        <v>0</v>
      </c>
    </row>
    <row r="12" spans="1:13" ht="16.2" thickBot="1">
      <c r="A12" s="9" t="s">
        <v>125</v>
      </c>
      <c r="B12" s="10">
        <f>SUM(B8:B11)</f>
        <v>0</v>
      </c>
      <c r="C12" s="11">
        <f t="shared" ref="C12:K12" si="1">SUM(C8:C11)</f>
        <v>0</v>
      </c>
      <c r="D12" s="10">
        <f t="shared" si="1"/>
        <v>0</v>
      </c>
      <c r="E12" s="11">
        <f t="shared" si="1"/>
        <v>0</v>
      </c>
      <c r="F12" s="10">
        <f t="shared" si="1"/>
        <v>0</v>
      </c>
      <c r="G12" s="11">
        <f t="shared" si="1"/>
        <v>0</v>
      </c>
      <c r="H12" s="10">
        <f t="shared" si="1"/>
        <v>0</v>
      </c>
      <c r="I12" s="11">
        <f t="shared" si="1"/>
        <v>0</v>
      </c>
      <c r="J12" s="10">
        <f t="shared" si="1"/>
        <v>0</v>
      </c>
      <c r="K12" s="10">
        <f t="shared" si="1"/>
        <v>0</v>
      </c>
      <c r="L12" s="10">
        <f>SUM(L8:L11)</f>
        <v>0</v>
      </c>
      <c r="M12" s="10">
        <f>SUM(M8:M11)</f>
        <v>0</v>
      </c>
    </row>
    <row r="13" spans="1:13" ht="16.2" thickTop="1">
      <c r="A13" s="126"/>
      <c r="B13" s="126"/>
      <c r="C13" s="126"/>
      <c r="D13" s="126"/>
      <c r="E13" s="126"/>
      <c r="F13" s="126"/>
      <c r="G13" s="126"/>
      <c r="H13" s="126"/>
      <c r="I13" s="126"/>
      <c r="J13" s="126"/>
      <c r="K13" s="126"/>
      <c r="L13" s="126"/>
      <c r="M13" s="126"/>
    </row>
    <row r="14" spans="1:13">
      <c r="A14" s="33" t="s">
        <v>126</v>
      </c>
      <c r="B14" s="59"/>
      <c r="C14" s="59"/>
      <c r="D14" s="59"/>
      <c r="E14" s="59"/>
      <c r="F14" s="59"/>
      <c r="G14" s="59"/>
      <c r="H14" s="59"/>
      <c r="I14" s="59"/>
      <c r="J14" s="59"/>
      <c r="K14" s="59"/>
      <c r="L14" s="59"/>
      <c r="M14" s="59"/>
    </row>
    <row r="15" spans="1:13">
      <c r="A15" s="123" t="s">
        <v>127</v>
      </c>
      <c r="B15" s="286">
        <v>0</v>
      </c>
      <c r="C15" s="279">
        <v>0</v>
      </c>
      <c r="D15" s="280">
        <v>0</v>
      </c>
      <c r="E15" s="279">
        <v>0</v>
      </c>
      <c r="F15" s="280">
        <v>0</v>
      </c>
      <c r="G15" s="279">
        <v>0</v>
      </c>
      <c r="H15" s="280">
        <v>0</v>
      </c>
      <c r="I15" s="279">
        <v>0</v>
      </c>
      <c r="J15" s="280">
        <v>0</v>
      </c>
      <c r="K15" s="287">
        <v>0</v>
      </c>
      <c r="L15" s="286">
        <f t="shared" ref="L15:M20" si="2">SUM(D15,F15,H15,J15)</f>
        <v>0</v>
      </c>
      <c r="M15" s="287">
        <f t="shared" si="2"/>
        <v>0</v>
      </c>
    </row>
    <row r="16" spans="1:13">
      <c r="A16" s="124" t="s">
        <v>128</v>
      </c>
      <c r="B16" s="278">
        <v>0</v>
      </c>
      <c r="C16" s="279">
        <v>0</v>
      </c>
      <c r="D16" s="280">
        <v>0</v>
      </c>
      <c r="E16" s="279">
        <v>0</v>
      </c>
      <c r="F16" s="280">
        <v>0</v>
      </c>
      <c r="G16" s="279">
        <v>0</v>
      </c>
      <c r="H16" s="280">
        <v>0</v>
      </c>
      <c r="I16" s="279">
        <v>0</v>
      </c>
      <c r="J16" s="280">
        <v>0</v>
      </c>
      <c r="K16" s="281">
        <v>0</v>
      </c>
      <c r="L16" s="278">
        <f t="shared" si="2"/>
        <v>0</v>
      </c>
      <c r="M16" s="281">
        <f t="shared" si="2"/>
        <v>0</v>
      </c>
    </row>
    <row r="17" spans="1:13">
      <c r="A17" s="127" t="s">
        <v>129</v>
      </c>
      <c r="B17" s="288">
        <v>0</v>
      </c>
      <c r="C17" s="289">
        <v>0</v>
      </c>
      <c r="D17" s="290">
        <v>0</v>
      </c>
      <c r="E17" s="289">
        <v>0</v>
      </c>
      <c r="F17" s="290">
        <v>0</v>
      </c>
      <c r="G17" s="289">
        <v>0</v>
      </c>
      <c r="H17" s="290">
        <v>0</v>
      </c>
      <c r="I17" s="289">
        <v>0</v>
      </c>
      <c r="J17" s="290">
        <v>0</v>
      </c>
      <c r="K17" s="291">
        <v>0</v>
      </c>
      <c r="L17" s="288">
        <f t="shared" si="2"/>
        <v>0</v>
      </c>
      <c r="M17" s="291">
        <f t="shared" si="2"/>
        <v>0</v>
      </c>
    </row>
    <row r="18" spans="1:13">
      <c r="A18" s="124" t="s">
        <v>130</v>
      </c>
      <c r="B18" s="278">
        <v>0</v>
      </c>
      <c r="C18" s="279">
        <v>0</v>
      </c>
      <c r="D18" s="280">
        <v>0</v>
      </c>
      <c r="E18" s="279">
        <v>0</v>
      </c>
      <c r="F18" s="280">
        <v>0</v>
      </c>
      <c r="G18" s="279">
        <v>0</v>
      </c>
      <c r="H18" s="280">
        <v>0</v>
      </c>
      <c r="I18" s="279">
        <v>0</v>
      </c>
      <c r="J18" s="280">
        <v>0</v>
      </c>
      <c r="K18" s="281">
        <v>0</v>
      </c>
      <c r="L18" s="278">
        <f t="shared" si="2"/>
        <v>0</v>
      </c>
      <c r="M18" s="281">
        <f t="shared" si="2"/>
        <v>0</v>
      </c>
    </row>
    <row r="19" spans="1:13">
      <c r="A19" s="124" t="s">
        <v>131</v>
      </c>
      <c r="B19" s="278">
        <v>0</v>
      </c>
      <c r="C19" s="279">
        <v>0</v>
      </c>
      <c r="D19" s="280">
        <v>0</v>
      </c>
      <c r="E19" s="279">
        <v>0</v>
      </c>
      <c r="F19" s="280">
        <v>0</v>
      </c>
      <c r="G19" s="279">
        <v>0</v>
      </c>
      <c r="H19" s="280">
        <v>0</v>
      </c>
      <c r="I19" s="279">
        <v>0</v>
      </c>
      <c r="J19" s="280">
        <v>0</v>
      </c>
      <c r="K19" s="281">
        <v>0</v>
      </c>
      <c r="L19" s="278">
        <f t="shared" si="2"/>
        <v>0</v>
      </c>
      <c r="M19" s="281">
        <f t="shared" si="2"/>
        <v>0</v>
      </c>
    </row>
    <row r="20" spans="1:13">
      <c r="A20" s="125" t="s">
        <v>132</v>
      </c>
      <c r="B20" s="284">
        <v>0</v>
      </c>
      <c r="C20" s="292">
        <v>0</v>
      </c>
      <c r="D20" s="285">
        <v>0</v>
      </c>
      <c r="E20" s="292">
        <v>0</v>
      </c>
      <c r="F20" s="285">
        <v>0</v>
      </c>
      <c r="G20" s="292">
        <v>0</v>
      </c>
      <c r="H20" s="285">
        <v>0</v>
      </c>
      <c r="I20" s="292">
        <v>0</v>
      </c>
      <c r="J20" s="285">
        <v>0</v>
      </c>
      <c r="K20" s="293">
        <v>0</v>
      </c>
      <c r="L20" s="284">
        <f t="shared" si="2"/>
        <v>0</v>
      </c>
      <c r="M20" s="293">
        <f t="shared" si="2"/>
        <v>0</v>
      </c>
    </row>
    <row r="21" spans="1:13">
      <c r="A21" s="67" t="s">
        <v>133</v>
      </c>
      <c r="B21" s="84">
        <f t="shared" ref="B21:M21" si="3">SUM(B15:B20)</f>
        <v>0</v>
      </c>
      <c r="C21" s="128">
        <f t="shared" si="3"/>
        <v>0</v>
      </c>
      <c r="D21" s="84">
        <f t="shared" si="3"/>
        <v>0</v>
      </c>
      <c r="E21" s="129">
        <f t="shared" si="3"/>
        <v>0</v>
      </c>
      <c r="F21" s="84">
        <f t="shared" si="3"/>
        <v>0</v>
      </c>
      <c r="G21" s="128">
        <f t="shared" si="3"/>
        <v>0</v>
      </c>
      <c r="H21" s="84">
        <f t="shared" si="3"/>
        <v>0</v>
      </c>
      <c r="I21" s="128">
        <f t="shared" si="3"/>
        <v>0</v>
      </c>
      <c r="J21" s="84">
        <f t="shared" si="3"/>
        <v>0</v>
      </c>
      <c r="K21" s="130">
        <f t="shared" si="3"/>
        <v>0</v>
      </c>
      <c r="L21" s="84">
        <f t="shared" si="3"/>
        <v>0</v>
      </c>
      <c r="M21" s="130">
        <f t="shared" si="3"/>
        <v>0</v>
      </c>
    </row>
    <row r="22" spans="1:13">
      <c r="A22" s="75" t="s">
        <v>134</v>
      </c>
      <c r="B22" s="76"/>
      <c r="C22" s="76"/>
      <c r="D22" s="76"/>
      <c r="E22" s="76"/>
      <c r="F22" s="76"/>
      <c r="G22" s="76"/>
      <c r="H22" s="76"/>
      <c r="I22" s="76"/>
      <c r="J22" s="76"/>
      <c r="K22" s="76"/>
      <c r="L22" s="76"/>
      <c r="M22" s="76"/>
    </row>
    <row r="23" spans="1:13">
      <c r="A23" s="123" t="s">
        <v>135</v>
      </c>
      <c r="B23" s="286">
        <v>0</v>
      </c>
      <c r="C23" s="279">
        <v>0</v>
      </c>
      <c r="D23" s="280">
        <v>0</v>
      </c>
      <c r="E23" s="279">
        <v>0</v>
      </c>
      <c r="F23" s="280">
        <v>0</v>
      </c>
      <c r="G23" s="279">
        <v>0</v>
      </c>
      <c r="H23" s="280">
        <v>0</v>
      </c>
      <c r="I23" s="279">
        <v>0</v>
      </c>
      <c r="J23" s="280">
        <v>0</v>
      </c>
      <c r="K23" s="287">
        <v>0</v>
      </c>
      <c r="L23" s="286">
        <f t="shared" ref="L23:M29" si="4">SUM(D23,F23,H23,J23)</f>
        <v>0</v>
      </c>
      <c r="M23" s="287">
        <f t="shared" si="4"/>
        <v>0</v>
      </c>
    </row>
    <row r="24" spans="1:13">
      <c r="A24" s="124" t="s">
        <v>136</v>
      </c>
      <c r="B24" s="278">
        <v>0</v>
      </c>
      <c r="C24" s="279">
        <v>0</v>
      </c>
      <c r="D24" s="280">
        <v>0</v>
      </c>
      <c r="E24" s="279">
        <v>0</v>
      </c>
      <c r="F24" s="280">
        <v>0</v>
      </c>
      <c r="G24" s="279">
        <v>0</v>
      </c>
      <c r="H24" s="280">
        <v>0</v>
      </c>
      <c r="I24" s="279">
        <v>0</v>
      </c>
      <c r="J24" s="280">
        <v>0</v>
      </c>
      <c r="K24" s="281">
        <v>0</v>
      </c>
      <c r="L24" s="278">
        <f t="shared" si="4"/>
        <v>0</v>
      </c>
      <c r="M24" s="281">
        <f t="shared" si="4"/>
        <v>0</v>
      </c>
    </row>
    <row r="25" spans="1:13">
      <c r="A25" s="124" t="s">
        <v>137</v>
      </c>
      <c r="B25" s="278">
        <v>0</v>
      </c>
      <c r="C25" s="279">
        <v>0</v>
      </c>
      <c r="D25" s="280">
        <v>0</v>
      </c>
      <c r="E25" s="279">
        <v>0</v>
      </c>
      <c r="F25" s="280">
        <v>0</v>
      </c>
      <c r="G25" s="279">
        <v>0</v>
      </c>
      <c r="H25" s="280">
        <v>0</v>
      </c>
      <c r="I25" s="279">
        <v>0</v>
      </c>
      <c r="J25" s="280">
        <v>0</v>
      </c>
      <c r="K25" s="281">
        <v>0</v>
      </c>
      <c r="L25" s="278">
        <f t="shared" si="4"/>
        <v>0</v>
      </c>
      <c r="M25" s="281">
        <f t="shared" si="4"/>
        <v>0</v>
      </c>
    </row>
    <row r="26" spans="1:13">
      <c r="A26" s="124" t="s">
        <v>138</v>
      </c>
      <c r="B26" s="278">
        <v>0</v>
      </c>
      <c r="C26" s="279">
        <v>0</v>
      </c>
      <c r="D26" s="280">
        <v>0</v>
      </c>
      <c r="E26" s="279">
        <v>0</v>
      </c>
      <c r="F26" s="280">
        <v>0</v>
      </c>
      <c r="G26" s="279">
        <v>0</v>
      </c>
      <c r="H26" s="280">
        <v>0</v>
      </c>
      <c r="I26" s="279">
        <v>0</v>
      </c>
      <c r="J26" s="280">
        <v>0</v>
      </c>
      <c r="K26" s="281">
        <v>0</v>
      </c>
      <c r="L26" s="278">
        <f t="shared" si="4"/>
        <v>0</v>
      </c>
      <c r="M26" s="281">
        <f t="shared" si="4"/>
        <v>0</v>
      </c>
    </row>
    <row r="27" spans="1:13">
      <c r="A27" s="124" t="s">
        <v>139</v>
      </c>
      <c r="B27" s="278">
        <v>0</v>
      </c>
      <c r="C27" s="279">
        <v>0</v>
      </c>
      <c r="D27" s="280">
        <v>0</v>
      </c>
      <c r="E27" s="279">
        <v>0</v>
      </c>
      <c r="F27" s="280">
        <v>0</v>
      </c>
      <c r="G27" s="279">
        <v>0</v>
      </c>
      <c r="H27" s="280">
        <v>0</v>
      </c>
      <c r="I27" s="279">
        <v>0</v>
      </c>
      <c r="J27" s="280">
        <v>0</v>
      </c>
      <c r="K27" s="281">
        <v>0</v>
      </c>
      <c r="L27" s="278">
        <f t="shared" si="4"/>
        <v>0</v>
      </c>
      <c r="M27" s="281">
        <f t="shared" si="4"/>
        <v>0</v>
      </c>
    </row>
    <row r="28" spans="1:13">
      <c r="A28" s="124" t="s">
        <v>140</v>
      </c>
      <c r="B28" s="278">
        <v>0</v>
      </c>
      <c r="C28" s="279">
        <v>0</v>
      </c>
      <c r="D28" s="280">
        <v>0</v>
      </c>
      <c r="E28" s="279">
        <v>0</v>
      </c>
      <c r="F28" s="280">
        <v>0</v>
      </c>
      <c r="G28" s="279">
        <v>0</v>
      </c>
      <c r="H28" s="280">
        <v>0</v>
      </c>
      <c r="I28" s="279">
        <v>0</v>
      </c>
      <c r="J28" s="280">
        <v>0</v>
      </c>
      <c r="K28" s="281">
        <v>0</v>
      </c>
      <c r="L28" s="278">
        <f t="shared" si="4"/>
        <v>0</v>
      </c>
      <c r="M28" s="281">
        <f t="shared" si="4"/>
        <v>0</v>
      </c>
    </row>
    <row r="29" spans="1:13">
      <c r="A29" s="125" t="s">
        <v>141</v>
      </c>
      <c r="B29" s="284">
        <v>0</v>
      </c>
      <c r="C29" s="292">
        <v>0</v>
      </c>
      <c r="D29" s="285">
        <v>0</v>
      </c>
      <c r="E29" s="292">
        <v>0</v>
      </c>
      <c r="F29" s="285">
        <v>0</v>
      </c>
      <c r="G29" s="292">
        <v>0</v>
      </c>
      <c r="H29" s="285">
        <v>0</v>
      </c>
      <c r="I29" s="292">
        <v>0</v>
      </c>
      <c r="J29" s="285">
        <v>0</v>
      </c>
      <c r="K29" s="293">
        <v>0</v>
      </c>
      <c r="L29" s="284">
        <f t="shared" si="4"/>
        <v>0</v>
      </c>
      <c r="M29" s="293">
        <f t="shared" si="4"/>
        <v>0</v>
      </c>
    </row>
    <row r="30" spans="1:13">
      <c r="A30" s="67" t="s">
        <v>142</v>
      </c>
      <c r="B30" s="84">
        <f t="shared" ref="B30:M30" si="5">SUM(B23:B29)</f>
        <v>0</v>
      </c>
      <c r="C30" s="128">
        <f t="shared" si="5"/>
        <v>0</v>
      </c>
      <c r="D30" s="84">
        <f t="shared" si="5"/>
        <v>0</v>
      </c>
      <c r="E30" s="128">
        <f t="shared" si="5"/>
        <v>0</v>
      </c>
      <c r="F30" s="84">
        <f t="shared" si="5"/>
        <v>0</v>
      </c>
      <c r="G30" s="128">
        <f t="shared" si="5"/>
        <v>0</v>
      </c>
      <c r="H30" s="84">
        <f t="shared" si="5"/>
        <v>0</v>
      </c>
      <c r="I30" s="128">
        <f t="shared" si="5"/>
        <v>0</v>
      </c>
      <c r="J30" s="84">
        <f t="shared" si="5"/>
        <v>0</v>
      </c>
      <c r="K30" s="130">
        <f t="shared" si="5"/>
        <v>0</v>
      </c>
      <c r="L30" s="84">
        <f t="shared" si="5"/>
        <v>0</v>
      </c>
      <c r="M30" s="130">
        <f t="shared" si="5"/>
        <v>0</v>
      </c>
    </row>
    <row r="31" spans="1:13">
      <c r="A31" s="75" t="s">
        <v>143</v>
      </c>
      <c r="B31" s="55"/>
      <c r="C31" s="86"/>
      <c r="D31" s="86"/>
      <c r="E31" s="86"/>
      <c r="F31" s="86"/>
      <c r="G31" s="86"/>
      <c r="H31" s="86"/>
      <c r="I31" s="86"/>
      <c r="J31" s="86"/>
      <c r="K31" s="86"/>
      <c r="L31" s="55"/>
      <c r="M31" s="86"/>
    </row>
    <row r="32" spans="1:13">
      <c r="A32" s="123" t="s">
        <v>144</v>
      </c>
      <c r="B32" s="286">
        <v>0</v>
      </c>
      <c r="C32" s="279">
        <v>0</v>
      </c>
      <c r="D32" s="280">
        <v>0</v>
      </c>
      <c r="E32" s="279">
        <v>0</v>
      </c>
      <c r="F32" s="280">
        <v>0</v>
      </c>
      <c r="G32" s="279">
        <v>0</v>
      </c>
      <c r="H32" s="280">
        <v>0</v>
      </c>
      <c r="I32" s="279">
        <v>0</v>
      </c>
      <c r="J32" s="280">
        <v>0</v>
      </c>
      <c r="K32" s="287">
        <v>0</v>
      </c>
      <c r="L32" s="286">
        <f>SUM(D32,F32,H32,J32)</f>
        <v>0</v>
      </c>
      <c r="M32" s="287">
        <f>SUM(E32,G32,I32,K32)</f>
        <v>0</v>
      </c>
    </row>
    <row r="33" spans="1:13">
      <c r="A33" s="125" t="s">
        <v>145</v>
      </c>
      <c r="B33" s="284">
        <v>0</v>
      </c>
      <c r="C33" s="292">
        <v>0</v>
      </c>
      <c r="D33" s="285">
        <v>0</v>
      </c>
      <c r="E33" s="292">
        <v>0</v>
      </c>
      <c r="F33" s="285">
        <v>0</v>
      </c>
      <c r="G33" s="292">
        <v>0</v>
      </c>
      <c r="H33" s="285">
        <v>0</v>
      </c>
      <c r="I33" s="292">
        <v>0</v>
      </c>
      <c r="J33" s="285">
        <v>0</v>
      </c>
      <c r="K33" s="293">
        <v>0</v>
      </c>
      <c r="L33" s="284">
        <f>SUM(D33,F33,H33,J33)</f>
        <v>0</v>
      </c>
      <c r="M33" s="293">
        <f>SUM(E33,G33,I33,K33)</f>
        <v>0</v>
      </c>
    </row>
    <row r="34" spans="1:13">
      <c r="A34" s="67" t="s">
        <v>146</v>
      </c>
      <c r="B34" s="84">
        <f t="shared" ref="B34:M34" si="6">SUM(B32:B33)</f>
        <v>0</v>
      </c>
      <c r="C34" s="128">
        <f t="shared" si="6"/>
        <v>0</v>
      </c>
      <c r="D34" s="84">
        <f t="shared" si="6"/>
        <v>0</v>
      </c>
      <c r="E34" s="128">
        <f t="shared" si="6"/>
        <v>0</v>
      </c>
      <c r="F34" s="84">
        <f t="shared" si="6"/>
        <v>0</v>
      </c>
      <c r="G34" s="128">
        <f t="shared" si="6"/>
        <v>0</v>
      </c>
      <c r="H34" s="84">
        <f t="shared" si="6"/>
        <v>0</v>
      </c>
      <c r="I34" s="128">
        <f t="shared" si="6"/>
        <v>0</v>
      </c>
      <c r="J34" s="84">
        <f t="shared" si="6"/>
        <v>0</v>
      </c>
      <c r="K34" s="130">
        <f t="shared" si="6"/>
        <v>0</v>
      </c>
      <c r="L34" s="84">
        <f t="shared" si="6"/>
        <v>0</v>
      </c>
      <c r="M34" s="130">
        <f t="shared" si="6"/>
        <v>0</v>
      </c>
    </row>
    <row r="35" spans="1:13">
      <c r="A35" s="75" t="s">
        <v>147</v>
      </c>
      <c r="B35" s="86"/>
      <c r="C35" s="86"/>
      <c r="D35" s="86"/>
      <c r="E35" s="86"/>
      <c r="F35" s="86"/>
      <c r="G35" s="86"/>
      <c r="H35" s="86"/>
      <c r="I35" s="86"/>
      <c r="J35" s="86"/>
      <c r="K35" s="86"/>
      <c r="L35" s="86"/>
      <c r="M35" s="86"/>
    </row>
    <row r="36" spans="1:13">
      <c r="A36" s="123" t="s">
        <v>148</v>
      </c>
      <c r="B36" s="286">
        <v>0</v>
      </c>
      <c r="C36" s="279">
        <v>0</v>
      </c>
      <c r="D36" s="280">
        <v>0</v>
      </c>
      <c r="E36" s="279">
        <v>0</v>
      </c>
      <c r="F36" s="280">
        <v>0</v>
      </c>
      <c r="G36" s="279">
        <v>0</v>
      </c>
      <c r="H36" s="280">
        <v>0</v>
      </c>
      <c r="I36" s="279">
        <v>0</v>
      </c>
      <c r="J36" s="280">
        <v>0</v>
      </c>
      <c r="K36" s="287">
        <v>0</v>
      </c>
      <c r="L36" s="286">
        <f t="shared" ref="L36:M41" si="7">SUM(D36,F36,H36,J36)</f>
        <v>0</v>
      </c>
      <c r="M36" s="287">
        <f t="shared" si="7"/>
        <v>0</v>
      </c>
    </row>
    <row r="37" spans="1:13">
      <c r="A37" s="124" t="s">
        <v>149</v>
      </c>
      <c r="B37" s="278">
        <v>0</v>
      </c>
      <c r="C37" s="279">
        <v>0</v>
      </c>
      <c r="D37" s="280">
        <v>0</v>
      </c>
      <c r="E37" s="279">
        <v>0</v>
      </c>
      <c r="F37" s="280">
        <v>0</v>
      </c>
      <c r="G37" s="279">
        <v>0</v>
      </c>
      <c r="H37" s="280">
        <v>0</v>
      </c>
      <c r="I37" s="279">
        <v>0</v>
      </c>
      <c r="J37" s="280">
        <v>0</v>
      </c>
      <c r="K37" s="281">
        <v>0</v>
      </c>
      <c r="L37" s="278">
        <f t="shared" si="7"/>
        <v>0</v>
      </c>
      <c r="M37" s="281">
        <f t="shared" si="7"/>
        <v>0</v>
      </c>
    </row>
    <row r="38" spans="1:13">
      <c r="A38" s="124" t="s">
        <v>33</v>
      </c>
      <c r="B38" s="278">
        <v>0</v>
      </c>
      <c r="C38" s="279">
        <v>0</v>
      </c>
      <c r="D38" s="280">
        <v>0</v>
      </c>
      <c r="E38" s="279">
        <v>0</v>
      </c>
      <c r="F38" s="280">
        <v>0</v>
      </c>
      <c r="G38" s="279">
        <v>0</v>
      </c>
      <c r="H38" s="280">
        <v>0</v>
      </c>
      <c r="I38" s="279">
        <v>0</v>
      </c>
      <c r="J38" s="280">
        <v>0</v>
      </c>
      <c r="K38" s="281">
        <v>0</v>
      </c>
      <c r="L38" s="278">
        <f t="shared" si="7"/>
        <v>0</v>
      </c>
      <c r="M38" s="281">
        <f t="shared" si="7"/>
        <v>0</v>
      </c>
    </row>
    <row r="39" spans="1:13">
      <c r="A39" s="127" t="s">
        <v>150</v>
      </c>
      <c r="B39" s="288">
        <v>0</v>
      </c>
      <c r="C39" s="289">
        <v>0</v>
      </c>
      <c r="D39" s="290">
        <v>0</v>
      </c>
      <c r="E39" s="289">
        <v>0</v>
      </c>
      <c r="F39" s="290">
        <v>0</v>
      </c>
      <c r="G39" s="289">
        <v>0</v>
      </c>
      <c r="H39" s="290">
        <v>0</v>
      </c>
      <c r="I39" s="289">
        <v>0</v>
      </c>
      <c r="J39" s="290">
        <v>0</v>
      </c>
      <c r="K39" s="291">
        <v>0</v>
      </c>
      <c r="L39" s="288">
        <f t="shared" si="7"/>
        <v>0</v>
      </c>
      <c r="M39" s="291">
        <f t="shared" si="7"/>
        <v>0</v>
      </c>
    </row>
    <row r="40" spans="1:13">
      <c r="A40" s="124" t="s">
        <v>151</v>
      </c>
      <c r="B40" s="278">
        <v>0</v>
      </c>
      <c r="C40" s="279">
        <v>0</v>
      </c>
      <c r="D40" s="280">
        <v>0</v>
      </c>
      <c r="E40" s="279">
        <v>0</v>
      </c>
      <c r="F40" s="280">
        <v>0</v>
      </c>
      <c r="G40" s="279">
        <v>0</v>
      </c>
      <c r="H40" s="280">
        <v>0</v>
      </c>
      <c r="I40" s="279">
        <v>0</v>
      </c>
      <c r="J40" s="280">
        <v>0</v>
      </c>
      <c r="K40" s="281">
        <v>0</v>
      </c>
      <c r="L40" s="278">
        <f t="shared" si="7"/>
        <v>0</v>
      </c>
      <c r="M40" s="281">
        <f t="shared" si="7"/>
        <v>0</v>
      </c>
    </row>
    <row r="41" spans="1:13">
      <c r="A41" s="125" t="s">
        <v>152</v>
      </c>
      <c r="B41" s="284">
        <v>0</v>
      </c>
      <c r="C41" s="292">
        <v>0</v>
      </c>
      <c r="D41" s="285">
        <v>0</v>
      </c>
      <c r="E41" s="292">
        <v>0</v>
      </c>
      <c r="F41" s="285">
        <v>0</v>
      </c>
      <c r="G41" s="292">
        <v>0</v>
      </c>
      <c r="H41" s="285">
        <v>0</v>
      </c>
      <c r="I41" s="292">
        <v>0</v>
      </c>
      <c r="J41" s="285">
        <v>0</v>
      </c>
      <c r="K41" s="293">
        <v>0</v>
      </c>
      <c r="L41" s="284">
        <f t="shared" si="7"/>
        <v>0</v>
      </c>
      <c r="M41" s="293">
        <f t="shared" si="7"/>
        <v>0</v>
      </c>
    </row>
    <row r="42" spans="1:13">
      <c r="A42" s="67" t="s">
        <v>153</v>
      </c>
      <c r="B42" s="84">
        <f t="shared" ref="B42:M42" si="8">SUM(B36:B41)</f>
        <v>0</v>
      </c>
      <c r="C42" s="129">
        <f t="shared" si="8"/>
        <v>0</v>
      </c>
      <c r="D42" s="131">
        <f t="shared" si="8"/>
        <v>0</v>
      </c>
      <c r="E42" s="129">
        <f t="shared" si="8"/>
        <v>0</v>
      </c>
      <c r="F42" s="131">
        <f t="shared" si="8"/>
        <v>0</v>
      </c>
      <c r="G42" s="129">
        <f t="shared" si="8"/>
        <v>0</v>
      </c>
      <c r="H42" s="131">
        <f t="shared" si="8"/>
        <v>0</v>
      </c>
      <c r="I42" s="129">
        <f t="shared" si="8"/>
        <v>0</v>
      </c>
      <c r="J42" s="131">
        <f t="shared" si="8"/>
        <v>0</v>
      </c>
      <c r="K42" s="132">
        <f t="shared" si="8"/>
        <v>0</v>
      </c>
      <c r="L42" s="84">
        <f t="shared" si="8"/>
        <v>0</v>
      </c>
      <c r="M42" s="132">
        <f t="shared" si="8"/>
        <v>0</v>
      </c>
    </row>
    <row r="43" spans="1:13" ht="16.2" thickBot="1">
      <c r="A43" s="9" t="s">
        <v>154</v>
      </c>
      <c r="B43" s="10">
        <f>SUM(B21,B30,B34,B42)</f>
        <v>0</v>
      </c>
      <c r="C43" s="11">
        <f t="shared" ref="C43:K43" si="9">SUM(C21,C30,C34,C42)</f>
        <v>0</v>
      </c>
      <c r="D43" s="10">
        <f t="shared" si="9"/>
        <v>0</v>
      </c>
      <c r="E43" s="11">
        <f t="shared" si="9"/>
        <v>0</v>
      </c>
      <c r="F43" s="10">
        <f t="shared" si="9"/>
        <v>0</v>
      </c>
      <c r="G43" s="11">
        <f t="shared" si="9"/>
        <v>0</v>
      </c>
      <c r="H43" s="10">
        <f t="shared" si="9"/>
        <v>0</v>
      </c>
      <c r="I43" s="11">
        <f t="shared" si="9"/>
        <v>0</v>
      </c>
      <c r="J43" s="10">
        <f t="shared" si="9"/>
        <v>0</v>
      </c>
      <c r="K43" s="10">
        <f t="shared" si="9"/>
        <v>0</v>
      </c>
      <c r="L43" s="10">
        <f>SUM(L21,L30,L34,L42)</f>
        <v>0</v>
      </c>
      <c r="M43" s="10">
        <f>SUM(M21,M30,M34,M42)</f>
        <v>0</v>
      </c>
    </row>
    <row r="44" spans="1:13" ht="16.2" thickTop="1">
      <c r="A44" s="93" t="s">
        <v>155</v>
      </c>
      <c r="B44" s="94"/>
      <c r="C44" s="59"/>
      <c r="D44" s="94"/>
      <c r="E44" s="59"/>
      <c r="F44" s="94"/>
      <c r="G44" s="59"/>
      <c r="H44" s="94"/>
      <c r="I44" s="59"/>
      <c r="J44" s="94"/>
      <c r="K44" s="59"/>
      <c r="L44" s="94"/>
      <c r="M44" s="59"/>
    </row>
    <row r="45" spans="1:13">
      <c r="A45" s="123" t="s">
        <v>156</v>
      </c>
      <c r="B45" s="286">
        <v>0</v>
      </c>
      <c r="C45" s="279">
        <v>0</v>
      </c>
      <c r="D45" s="280">
        <v>0</v>
      </c>
      <c r="E45" s="279">
        <v>0</v>
      </c>
      <c r="F45" s="280">
        <v>0</v>
      </c>
      <c r="G45" s="279">
        <v>0</v>
      </c>
      <c r="H45" s="280">
        <v>0</v>
      </c>
      <c r="I45" s="279">
        <v>0</v>
      </c>
      <c r="J45" s="280">
        <v>0</v>
      </c>
      <c r="K45" s="287">
        <v>0</v>
      </c>
      <c r="L45" s="286">
        <f>SUM(D45,F45,H45,J45)</f>
        <v>0</v>
      </c>
      <c r="M45" s="287">
        <f>SUM(E45,G45,I45,K45)</f>
        <v>0</v>
      </c>
    </row>
    <row r="46" spans="1:13">
      <c r="A46" s="125" t="s">
        <v>157</v>
      </c>
      <c r="B46" s="284">
        <v>0</v>
      </c>
      <c r="C46" s="292">
        <v>0</v>
      </c>
      <c r="D46" s="285">
        <v>0</v>
      </c>
      <c r="E46" s="292">
        <v>0</v>
      </c>
      <c r="F46" s="285">
        <v>0</v>
      </c>
      <c r="G46" s="292">
        <v>0</v>
      </c>
      <c r="H46" s="285">
        <v>0</v>
      </c>
      <c r="I46" s="292">
        <v>0</v>
      </c>
      <c r="J46" s="285">
        <v>0</v>
      </c>
      <c r="K46" s="293">
        <v>0</v>
      </c>
      <c r="L46" s="284">
        <f>SUM(D46,F46,H46,J46)</f>
        <v>0</v>
      </c>
      <c r="M46" s="293">
        <f>SUM(E46,G46,I46,K46)</f>
        <v>0</v>
      </c>
    </row>
    <row r="47" spans="1:13">
      <c r="A47" s="98" t="s">
        <v>158</v>
      </c>
      <c r="B47" s="133">
        <f t="shared" ref="B47:M47" si="10">SUM(B45:B46)</f>
        <v>0</v>
      </c>
      <c r="C47" s="128">
        <f t="shared" si="10"/>
        <v>0</v>
      </c>
      <c r="D47" s="84">
        <f t="shared" si="10"/>
        <v>0</v>
      </c>
      <c r="E47" s="128">
        <f t="shared" si="10"/>
        <v>0</v>
      </c>
      <c r="F47" s="84">
        <f t="shared" si="10"/>
        <v>0</v>
      </c>
      <c r="G47" s="128">
        <f t="shared" si="10"/>
        <v>0</v>
      </c>
      <c r="H47" s="84">
        <f t="shared" si="10"/>
        <v>0</v>
      </c>
      <c r="I47" s="128">
        <f t="shared" si="10"/>
        <v>0</v>
      </c>
      <c r="J47" s="84">
        <f t="shared" si="10"/>
        <v>0</v>
      </c>
      <c r="K47" s="130">
        <f t="shared" si="10"/>
        <v>0</v>
      </c>
      <c r="L47" s="133">
        <f t="shared" si="10"/>
        <v>0</v>
      </c>
      <c r="M47" s="130">
        <f t="shared" si="10"/>
        <v>0</v>
      </c>
    </row>
    <row r="48" spans="1:13" ht="16.2" thickBot="1">
      <c r="A48" s="9" t="s">
        <v>159</v>
      </c>
      <c r="B48" s="10">
        <f>SUM(B12,B43,B47)</f>
        <v>0</v>
      </c>
      <c r="C48" s="11">
        <f t="shared" ref="C48:K48" si="11">SUM(C12,C43,C47)</f>
        <v>0</v>
      </c>
      <c r="D48" s="10">
        <f t="shared" si="11"/>
        <v>0</v>
      </c>
      <c r="E48" s="11">
        <f t="shared" si="11"/>
        <v>0</v>
      </c>
      <c r="F48" s="10">
        <f t="shared" si="11"/>
        <v>0</v>
      </c>
      <c r="G48" s="11">
        <f t="shared" si="11"/>
        <v>0</v>
      </c>
      <c r="H48" s="10">
        <f t="shared" si="11"/>
        <v>0</v>
      </c>
      <c r="I48" s="11">
        <f t="shared" si="11"/>
        <v>0</v>
      </c>
      <c r="J48" s="10">
        <f t="shared" si="11"/>
        <v>0</v>
      </c>
      <c r="K48" s="10">
        <f t="shared" si="11"/>
        <v>0</v>
      </c>
      <c r="L48" s="10">
        <f>SUM(L12,L43,L47)</f>
        <v>0</v>
      </c>
      <c r="M48" s="10">
        <f>SUM(M12,M43,M47)</f>
        <v>0</v>
      </c>
    </row>
    <row r="49" spans="1:13" ht="16.2" thickTop="1">
      <c r="A49" s="103"/>
      <c r="B49" s="53"/>
      <c r="C49" s="55"/>
      <c r="D49" s="53"/>
      <c r="E49" s="55"/>
      <c r="F49" s="53"/>
      <c r="G49" s="55"/>
      <c r="H49" s="53"/>
      <c r="I49" s="55"/>
      <c r="J49" s="53"/>
      <c r="K49" s="55"/>
      <c r="L49" s="53"/>
      <c r="M49" s="55"/>
    </row>
  </sheetData>
  <conditionalFormatting sqref="B36:M43 B32:M34 B23:M30 B15:M21">
    <cfRule type="cellIs" dxfId="37" priority="1345" operator="lessThan">
      <formula>-0.01</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3DBD3-7F57-4F44-91AD-E0B1BC1B78EA}">
  <sheetPr codeName="Draft_AB">
    <tabColor theme="9" tint="0.59999389629810485"/>
  </sheetPr>
  <dimension ref="A1:V51"/>
  <sheetViews>
    <sheetView showGridLines="0" showRowColHeaders="0" topLeftCell="M1" workbookViewId="0"/>
  </sheetViews>
  <sheetFormatPr defaultColWidth="8.88671875" defaultRowHeight="15.6" outlineLevelCol="1"/>
  <cols>
    <col min="1" max="1" width="34.44140625" style="110" bestFit="1" customWidth="1"/>
    <col min="2" max="4" width="15" style="329" customWidth="1" outlineLevel="1"/>
    <col min="5" max="6" width="15" style="329" customWidth="1"/>
    <col min="7" max="7" width="13.6640625" style="345" customWidth="1"/>
    <col min="8" max="8" width="15" style="343" customWidth="1"/>
    <col min="9" max="11" width="15" style="329" customWidth="1" outlineLevel="1"/>
    <col min="12" max="12" width="15" style="329" customWidth="1"/>
    <col min="13" max="13" width="15" style="355" customWidth="1"/>
    <col min="14" max="16" width="16.6640625" style="329" customWidth="1" outlineLevel="1"/>
    <col min="17" max="17" width="16.6640625" style="374" bestFit="1" customWidth="1"/>
    <col min="18" max="19" width="15" style="329" customWidth="1"/>
    <col min="20" max="20" width="16.77734375" style="191" customWidth="1" outlineLevel="1"/>
    <col min="21" max="21" width="16.77734375" style="329" customWidth="1" outlineLevel="1"/>
    <col min="22" max="22" width="15" style="329" customWidth="1"/>
    <col min="23" max="16384" width="8.88671875" style="329"/>
  </cols>
  <sheetData>
    <row r="1" spans="1:22">
      <c r="A1" s="200" t="str" cm="1">
        <f t="array" ref="A1">CCName(rngABCC)</f>
        <v>CU Student Government - Proper</v>
      </c>
      <c r="Q1" s="373"/>
      <c r="S1" s="427"/>
    </row>
    <row r="2" spans="1:22">
      <c r="A2" s="200" t="s">
        <v>101</v>
      </c>
      <c r="Q2" s="373" t="s">
        <v>1656</v>
      </c>
      <c r="R2" s="329" t="s">
        <v>1612</v>
      </c>
      <c r="S2" s="427">
        <f>-4+MATCH(R2,N4:P4,0)</f>
        <v>-2</v>
      </c>
    </row>
    <row r="3" spans="1:22">
      <c r="A3" s="200" t="s">
        <v>1722</v>
      </c>
      <c r="B3" s="142"/>
      <c r="C3" s="142"/>
      <c r="D3" s="142"/>
      <c r="E3" s="142"/>
      <c r="F3" s="387"/>
      <c r="G3" s="346"/>
      <c r="H3" s="142"/>
      <c r="I3" s="142"/>
      <c r="J3" s="142"/>
      <c r="K3" s="142"/>
      <c r="L3" s="142"/>
      <c r="M3" s="356"/>
      <c r="N3" s="142"/>
      <c r="O3" s="142"/>
      <c r="P3" s="142"/>
      <c r="Q3" s="375"/>
      <c r="R3" s="142"/>
      <c r="S3" s="142"/>
    </row>
    <row r="4" spans="1:22" s="144" customFormat="1">
      <c r="A4" s="388"/>
      <c r="B4" s="365" t="s">
        <v>1723</v>
      </c>
      <c r="C4" s="365" t="s">
        <v>1724</v>
      </c>
      <c r="D4" s="365" t="s">
        <v>1725</v>
      </c>
      <c r="E4" s="378" t="s">
        <v>1725</v>
      </c>
      <c r="F4" s="365" t="s">
        <v>1725</v>
      </c>
      <c r="G4" s="366" t="s">
        <v>1676</v>
      </c>
      <c r="H4" s="378" t="s">
        <v>1725</v>
      </c>
      <c r="I4" s="143"/>
      <c r="J4" s="143"/>
      <c r="K4" s="143"/>
      <c r="L4" s="404" t="s">
        <v>1607</v>
      </c>
      <c r="M4" s="367" t="s">
        <v>1684</v>
      </c>
      <c r="N4" s="143" t="s">
        <v>1611</v>
      </c>
      <c r="O4" s="143" t="s">
        <v>1612</v>
      </c>
      <c r="P4" s="143" t="s">
        <v>1613</v>
      </c>
      <c r="Q4" s="410" t="s">
        <v>1616</v>
      </c>
      <c r="R4" s="365" t="s">
        <v>1726</v>
      </c>
      <c r="S4" s="385" t="s">
        <v>1683</v>
      </c>
      <c r="T4" s="189"/>
      <c r="U4" s="330"/>
      <c r="V4" s="330"/>
    </row>
    <row r="5" spans="1:22" s="144" customFormat="1">
      <c r="A5" s="389"/>
      <c r="B5" s="143" t="s">
        <v>167</v>
      </c>
      <c r="C5" s="143" t="s">
        <v>167</v>
      </c>
      <c r="D5" s="143" t="s">
        <v>169</v>
      </c>
      <c r="E5" s="379" t="s">
        <v>1602</v>
      </c>
      <c r="F5" s="143" t="s">
        <v>112</v>
      </c>
      <c r="G5" s="368" t="s">
        <v>112</v>
      </c>
      <c r="H5" s="379" t="s">
        <v>112</v>
      </c>
      <c r="I5" s="143" t="s">
        <v>1603</v>
      </c>
      <c r="J5" s="143" t="s">
        <v>1604</v>
      </c>
      <c r="K5" s="143" t="s">
        <v>1606</v>
      </c>
      <c r="L5" s="379" t="s">
        <v>1608</v>
      </c>
      <c r="M5" s="428" t="s">
        <v>1685</v>
      </c>
      <c r="N5" s="143" t="s">
        <v>1678</v>
      </c>
      <c r="O5" s="143" t="s">
        <v>1678</v>
      </c>
      <c r="P5" s="143" t="s">
        <v>1678</v>
      </c>
      <c r="Q5" s="411" t="s">
        <v>1678</v>
      </c>
      <c r="R5" s="143" t="s">
        <v>161</v>
      </c>
      <c r="S5" s="379" t="s">
        <v>1680</v>
      </c>
      <c r="T5" s="189" t="s">
        <v>1681</v>
      </c>
      <c r="U5" s="12" t="s">
        <v>1719</v>
      </c>
      <c r="V5" s="330"/>
    </row>
    <row r="6" spans="1:22" s="144" customFormat="1">
      <c r="A6" s="390"/>
      <c r="B6" s="333"/>
      <c r="C6" s="333"/>
      <c r="D6" s="333"/>
      <c r="E6" s="380"/>
      <c r="F6" s="369" t="s">
        <v>1614</v>
      </c>
      <c r="G6" s="370" t="s">
        <v>1677</v>
      </c>
      <c r="H6" s="380" t="s">
        <v>1615</v>
      </c>
      <c r="I6" s="369"/>
      <c r="J6" s="369" t="s">
        <v>1605</v>
      </c>
      <c r="K6" s="369" t="s">
        <v>1605</v>
      </c>
      <c r="L6" s="380" t="s">
        <v>1609</v>
      </c>
      <c r="M6" s="371" t="s">
        <v>1686</v>
      </c>
      <c r="N6" s="372" t="s">
        <v>1679</v>
      </c>
      <c r="O6" s="372" t="s">
        <v>1679</v>
      </c>
      <c r="P6" s="372" t="s">
        <v>1679</v>
      </c>
      <c r="Q6" s="412" t="s">
        <v>1679</v>
      </c>
      <c r="R6" s="369" t="s">
        <v>112</v>
      </c>
      <c r="S6" s="380" t="s">
        <v>1727</v>
      </c>
      <c r="T6" s="425" t="s">
        <v>1682</v>
      </c>
      <c r="U6" s="425" t="s">
        <v>1720</v>
      </c>
      <c r="V6" s="330"/>
    </row>
    <row r="7" spans="1:22">
      <c r="A7" s="421" t="s">
        <v>120</v>
      </c>
      <c r="B7" s="142"/>
      <c r="C7" s="142"/>
      <c r="D7" s="142"/>
      <c r="E7" s="422"/>
      <c r="F7" s="142"/>
      <c r="G7" s="346"/>
      <c r="H7" s="422"/>
      <c r="I7" s="142"/>
      <c r="J7" s="142"/>
      <c r="K7" s="142"/>
      <c r="L7" s="422"/>
      <c r="M7" s="423"/>
      <c r="N7" s="142"/>
      <c r="O7" s="142"/>
      <c r="P7" s="422"/>
      <c r="Q7" s="424"/>
      <c r="R7" s="142"/>
      <c r="S7" s="422"/>
    </row>
    <row r="8" spans="1:22" s="167" customFormat="1">
      <c r="A8" s="391" t="s">
        <v>121</v>
      </c>
      <c r="B8" s="294">
        <v>0</v>
      </c>
      <c r="C8" s="295">
        <v>0</v>
      </c>
      <c r="D8" s="296">
        <v>0</v>
      </c>
      <c r="E8" s="399">
        <v>0</v>
      </c>
      <c r="F8" s="297">
        <v>0</v>
      </c>
      <c r="G8" s="347">
        <f>H8-F8</f>
        <v>0</v>
      </c>
      <c r="H8" s="399">
        <v>0</v>
      </c>
      <c r="I8" s="298">
        <v>0</v>
      </c>
      <c r="J8" s="299">
        <v>0</v>
      </c>
      <c r="K8" s="300">
        <v>0</v>
      </c>
      <c r="L8" s="405">
        <f>SUM(I8:K8)</f>
        <v>0</v>
      </c>
      <c r="M8" s="357">
        <f>F8+L8</f>
        <v>0</v>
      </c>
      <c r="N8" s="301">
        <v>0</v>
      </c>
      <c r="O8" s="298">
        <v>0</v>
      </c>
      <c r="P8" s="302">
        <v>0</v>
      </c>
      <c r="Q8" s="413">
        <f ca="1">IF(ISNA(S$2)=TRUE,0,OFFSET(Q8,0,S$2))</f>
        <v>0</v>
      </c>
      <c r="R8" s="303">
        <f ca="1">H8+Q8</f>
        <v>0</v>
      </c>
      <c r="S8" s="339">
        <f ca="1">R8-H8</f>
        <v>0</v>
      </c>
      <c r="T8" s="426"/>
    </row>
    <row r="9" spans="1:22">
      <c r="A9" s="391" t="s">
        <v>122</v>
      </c>
      <c r="B9" s="294">
        <v>0</v>
      </c>
      <c r="C9" s="295">
        <v>0</v>
      </c>
      <c r="D9" s="296">
        <v>0</v>
      </c>
      <c r="E9" s="399">
        <v>0</v>
      </c>
      <c r="F9" s="297">
        <v>0</v>
      </c>
      <c r="G9" s="347">
        <f>H9-F9</f>
        <v>0</v>
      </c>
      <c r="H9" s="399">
        <v>0</v>
      </c>
      <c r="I9" s="298">
        <v>0</v>
      </c>
      <c r="J9" s="299">
        <v>0</v>
      </c>
      <c r="K9" s="300">
        <v>0</v>
      </c>
      <c r="L9" s="405">
        <f>SUM(I9:K9)</f>
        <v>0</v>
      </c>
      <c r="M9" s="357">
        <f t="shared" ref="M9:M11" si="0">F9+L9</f>
        <v>0</v>
      </c>
      <c r="N9" s="301">
        <v>0</v>
      </c>
      <c r="O9" s="298">
        <v>0</v>
      </c>
      <c r="P9" s="302">
        <v>0</v>
      </c>
      <c r="Q9" s="413">
        <f t="shared" ref="Q9:Q11" ca="1" si="1">IF(ISNA(S$2)=TRUE,0,OFFSET(Q9,0,S$2))</f>
        <v>0</v>
      </c>
      <c r="R9" s="303">
        <f t="shared" ref="R9:R11" ca="1" si="2">H9+Q9</f>
        <v>0</v>
      </c>
      <c r="S9" s="339">
        <f ca="1">R9-H9</f>
        <v>0</v>
      </c>
    </row>
    <row r="10" spans="1:22">
      <c r="A10" s="391" t="s">
        <v>123</v>
      </c>
      <c r="B10" s="294">
        <v>0</v>
      </c>
      <c r="C10" s="295">
        <v>0</v>
      </c>
      <c r="D10" s="296">
        <v>0</v>
      </c>
      <c r="E10" s="399">
        <v>0</v>
      </c>
      <c r="F10" s="297">
        <v>0</v>
      </c>
      <c r="G10" s="347">
        <f>H10-F10</f>
        <v>0</v>
      </c>
      <c r="H10" s="399">
        <v>0</v>
      </c>
      <c r="I10" s="298">
        <v>0</v>
      </c>
      <c r="J10" s="299">
        <v>0</v>
      </c>
      <c r="K10" s="300">
        <v>0</v>
      </c>
      <c r="L10" s="405">
        <f>SUM(I10:K10)</f>
        <v>0</v>
      </c>
      <c r="M10" s="357">
        <f t="shared" si="0"/>
        <v>0</v>
      </c>
      <c r="N10" s="301">
        <v>0</v>
      </c>
      <c r="O10" s="298">
        <v>0</v>
      </c>
      <c r="P10" s="302">
        <v>0</v>
      </c>
      <c r="Q10" s="413">
        <f t="shared" ca="1" si="1"/>
        <v>0</v>
      </c>
      <c r="R10" s="303">
        <f t="shared" ca="1" si="2"/>
        <v>0</v>
      </c>
      <c r="S10" s="339">
        <f ca="1">R10-H10</f>
        <v>0</v>
      </c>
    </row>
    <row r="11" spans="1:22">
      <c r="A11" s="392" t="s">
        <v>124</v>
      </c>
      <c r="B11" s="294">
        <v>0</v>
      </c>
      <c r="C11" s="295">
        <v>0</v>
      </c>
      <c r="D11" s="296">
        <v>0</v>
      </c>
      <c r="E11" s="399">
        <v>0</v>
      </c>
      <c r="F11" s="297">
        <v>0</v>
      </c>
      <c r="G11" s="347">
        <f>H11-F11</f>
        <v>0</v>
      </c>
      <c r="H11" s="399">
        <v>0</v>
      </c>
      <c r="I11" s="298">
        <v>0</v>
      </c>
      <c r="J11" s="299">
        <v>0</v>
      </c>
      <c r="K11" s="300">
        <v>0</v>
      </c>
      <c r="L11" s="405">
        <f>SUM(I11:K11)</f>
        <v>0</v>
      </c>
      <c r="M11" s="357">
        <f t="shared" si="0"/>
        <v>0</v>
      </c>
      <c r="N11" s="301">
        <v>0</v>
      </c>
      <c r="O11" s="298">
        <v>0</v>
      </c>
      <c r="P11" s="302">
        <v>0</v>
      </c>
      <c r="Q11" s="413">
        <f t="shared" ca="1" si="1"/>
        <v>0</v>
      </c>
      <c r="R11" s="303">
        <f t="shared" ca="1" si="2"/>
        <v>0</v>
      </c>
      <c r="S11" s="339">
        <f ca="1">R11-H11</f>
        <v>0</v>
      </c>
    </row>
    <row r="12" spans="1:22" s="134" customFormat="1" ht="16.2" thickBot="1">
      <c r="A12" s="393" t="s">
        <v>125</v>
      </c>
      <c r="B12" s="208">
        <f>SUM(B8:B11)</f>
        <v>0</v>
      </c>
      <c r="C12" s="208">
        <f t="shared" ref="C12:R12" si="3">SUM(C8:C11)</f>
        <v>0</v>
      </c>
      <c r="D12" s="208">
        <f t="shared" si="3"/>
        <v>0</v>
      </c>
      <c r="E12" s="381">
        <f t="shared" si="3"/>
        <v>0</v>
      </c>
      <c r="F12" s="208">
        <f t="shared" si="3"/>
        <v>0</v>
      </c>
      <c r="G12" s="348">
        <f t="shared" si="3"/>
        <v>0</v>
      </c>
      <c r="H12" s="381">
        <f>SUM(H8:H11)</f>
        <v>0</v>
      </c>
      <c r="I12" s="208">
        <f t="shared" si="3"/>
        <v>0</v>
      </c>
      <c r="J12" s="208">
        <f t="shared" si="3"/>
        <v>0</v>
      </c>
      <c r="K12" s="208">
        <f t="shared" si="3"/>
        <v>0</v>
      </c>
      <c r="L12" s="381">
        <f t="shared" si="3"/>
        <v>0</v>
      </c>
      <c r="M12" s="358">
        <f t="shared" si="3"/>
        <v>0</v>
      </c>
      <c r="N12" s="208">
        <f t="shared" si="3"/>
        <v>0</v>
      </c>
      <c r="O12" s="208">
        <f t="shared" si="3"/>
        <v>0</v>
      </c>
      <c r="P12" s="208">
        <f t="shared" si="3"/>
        <v>0</v>
      </c>
      <c r="Q12" s="414">
        <f t="shared" ca="1" si="3"/>
        <v>0</v>
      </c>
      <c r="R12" s="208">
        <f t="shared" ca="1" si="3"/>
        <v>0</v>
      </c>
      <c r="S12" s="381">
        <f ca="1">SUM(S8:S11)</f>
        <v>0</v>
      </c>
      <c r="T12" s="189"/>
    </row>
    <row r="13" spans="1:22" ht="16.2" thickTop="1">
      <c r="A13" s="419"/>
      <c r="E13" s="103"/>
      <c r="H13" s="103"/>
      <c r="L13" s="103"/>
      <c r="P13" s="103"/>
      <c r="Q13" s="420"/>
      <c r="S13" s="103"/>
    </row>
    <row r="14" spans="1:22">
      <c r="A14" s="211" t="s">
        <v>126</v>
      </c>
      <c r="B14" s="142"/>
      <c r="C14" s="142"/>
      <c r="D14" s="142"/>
      <c r="E14" s="142"/>
      <c r="F14" s="142"/>
      <c r="G14" s="346"/>
      <c r="H14" s="142"/>
      <c r="I14" s="142"/>
      <c r="J14" s="142"/>
      <c r="K14" s="142"/>
      <c r="L14" s="142"/>
      <c r="M14" s="356"/>
      <c r="N14" s="142"/>
      <c r="O14" s="142"/>
      <c r="P14" s="142"/>
      <c r="Q14" s="375"/>
      <c r="R14" s="142"/>
      <c r="S14" s="142"/>
    </row>
    <row r="15" spans="1:22">
      <c r="A15" s="391" t="s">
        <v>127</v>
      </c>
      <c r="B15" s="294">
        <v>0</v>
      </c>
      <c r="C15" s="295">
        <v>0</v>
      </c>
      <c r="D15" s="296">
        <v>0</v>
      </c>
      <c r="E15" s="399">
        <v>0</v>
      </c>
      <c r="F15" s="297">
        <v>0</v>
      </c>
      <c r="G15" s="347">
        <f t="shared" ref="G15:G20" si="4">H15-F15</f>
        <v>0</v>
      </c>
      <c r="H15" s="399">
        <v>0</v>
      </c>
      <c r="I15" s="298">
        <v>0</v>
      </c>
      <c r="J15" s="299">
        <v>0</v>
      </c>
      <c r="K15" s="300">
        <v>0</v>
      </c>
      <c r="L15" s="405">
        <f t="shared" ref="L15:L20" si="5">SUM(I15:K15)</f>
        <v>0</v>
      </c>
      <c r="M15" s="357">
        <f t="shared" ref="M15:M20" si="6">F15+L15</f>
        <v>0</v>
      </c>
      <c r="N15" s="301">
        <v>0</v>
      </c>
      <c r="O15" s="298">
        <v>0</v>
      </c>
      <c r="P15" s="302">
        <v>0</v>
      </c>
      <c r="Q15" s="413">
        <f t="shared" ref="Q15:Q20" ca="1" si="7">IF(ISNA(S$2)=TRUE,0,OFFSET(Q15,0,S$2))</f>
        <v>0</v>
      </c>
      <c r="R15" s="303">
        <f t="shared" ref="R15:R20" ca="1" si="8">H15+Q15</f>
        <v>0</v>
      </c>
      <c r="S15" s="339">
        <f t="shared" ref="S15:S20" ca="1" si="9">R15-H15</f>
        <v>0</v>
      </c>
    </row>
    <row r="16" spans="1:22">
      <c r="A16" s="391" t="s">
        <v>128</v>
      </c>
      <c r="B16" s="294">
        <v>0</v>
      </c>
      <c r="C16" s="295">
        <v>0</v>
      </c>
      <c r="D16" s="296">
        <v>0</v>
      </c>
      <c r="E16" s="399">
        <v>0</v>
      </c>
      <c r="F16" s="297">
        <v>0</v>
      </c>
      <c r="G16" s="347">
        <f t="shared" si="4"/>
        <v>0</v>
      </c>
      <c r="H16" s="399">
        <v>0</v>
      </c>
      <c r="I16" s="298">
        <v>0</v>
      </c>
      <c r="J16" s="299">
        <v>0</v>
      </c>
      <c r="K16" s="300">
        <v>0</v>
      </c>
      <c r="L16" s="405">
        <f t="shared" si="5"/>
        <v>0</v>
      </c>
      <c r="M16" s="357">
        <f t="shared" si="6"/>
        <v>0</v>
      </c>
      <c r="N16" s="301">
        <v>0</v>
      </c>
      <c r="O16" s="298">
        <v>0</v>
      </c>
      <c r="P16" s="302">
        <v>0</v>
      </c>
      <c r="Q16" s="413">
        <f t="shared" ca="1" si="7"/>
        <v>0</v>
      </c>
      <c r="R16" s="303">
        <f t="shared" ca="1" si="8"/>
        <v>0</v>
      </c>
      <c r="S16" s="339">
        <f t="shared" ca="1" si="9"/>
        <v>0</v>
      </c>
    </row>
    <row r="17" spans="1:20">
      <c r="A17" s="394" t="s">
        <v>129</v>
      </c>
      <c r="B17" s="304">
        <v>0</v>
      </c>
      <c r="C17" s="305">
        <v>0</v>
      </c>
      <c r="D17" s="306">
        <v>0</v>
      </c>
      <c r="E17" s="400">
        <v>0</v>
      </c>
      <c r="F17" s="307">
        <v>0</v>
      </c>
      <c r="G17" s="349">
        <f t="shared" si="4"/>
        <v>0</v>
      </c>
      <c r="H17" s="400">
        <v>0</v>
      </c>
      <c r="I17" s="308">
        <v>0</v>
      </c>
      <c r="J17" s="309">
        <v>0</v>
      </c>
      <c r="K17" s="310">
        <v>0</v>
      </c>
      <c r="L17" s="406">
        <f t="shared" si="5"/>
        <v>0</v>
      </c>
      <c r="M17" s="359">
        <f t="shared" si="6"/>
        <v>0</v>
      </c>
      <c r="N17" s="311">
        <v>0</v>
      </c>
      <c r="O17" s="308">
        <v>0</v>
      </c>
      <c r="P17" s="312">
        <v>0</v>
      </c>
      <c r="Q17" s="415">
        <f t="shared" ca="1" si="7"/>
        <v>0</v>
      </c>
      <c r="R17" s="313">
        <f t="shared" ca="1" si="8"/>
        <v>0</v>
      </c>
      <c r="S17" s="382">
        <f t="shared" ca="1" si="9"/>
        <v>0</v>
      </c>
    </row>
    <row r="18" spans="1:20">
      <c r="A18" s="391" t="s">
        <v>130</v>
      </c>
      <c r="B18" s="294">
        <v>0</v>
      </c>
      <c r="C18" s="295">
        <v>0</v>
      </c>
      <c r="D18" s="296">
        <v>0</v>
      </c>
      <c r="E18" s="399">
        <v>0</v>
      </c>
      <c r="F18" s="297">
        <v>0</v>
      </c>
      <c r="G18" s="347">
        <f t="shared" si="4"/>
        <v>0</v>
      </c>
      <c r="H18" s="399">
        <v>0</v>
      </c>
      <c r="I18" s="298">
        <v>0</v>
      </c>
      <c r="J18" s="299">
        <v>0</v>
      </c>
      <c r="K18" s="300">
        <v>0</v>
      </c>
      <c r="L18" s="405">
        <f t="shared" si="5"/>
        <v>0</v>
      </c>
      <c r="M18" s="357">
        <f t="shared" si="6"/>
        <v>0</v>
      </c>
      <c r="N18" s="301">
        <v>0</v>
      </c>
      <c r="O18" s="298">
        <v>0</v>
      </c>
      <c r="P18" s="302">
        <v>0</v>
      </c>
      <c r="Q18" s="413">
        <f t="shared" ca="1" si="7"/>
        <v>0</v>
      </c>
      <c r="R18" s="303">
        <f t="shared" ca="1" si="8"/>
        <v>0</v>
      </c>
      <c r="S18" s="339">
        <f t="shared" ca="1" si="9"/>
        <v>0</v>
      </c>
    </row>
    <row r="19" spans="1:20">
      <c r="A19" s="391" t="s">
        <v>131</v>
      </c>
      <c r="B19" s="294">
        <v>0</v>
      </c>
      <c r="C19" s="295">
        <v>0</v>
      </c>
      <c r="D19" s="296">
        <v>0</v>
      </c>
      <c r="E19" s="399">
        <v>0</v>
      </c>
      <c r="F19" s="297">
        <v>0</v>
      </c>
      <c r="G19" s="347">
        <f t="shared" si="4"/>
        <v>0</v>
      </c>
      <c r="H19" s="399">
        <v>0</v>
      </c>
      <c r="I19" s="298">
        <v>0</v>
      </c>
      <c r="J19" s="299">
        <v>0</v>
      </c>
      <c r="K19" s="300">
        <v>0</v>
      </c>
      <c r="L19" s="405">
        <f t="shared" si="5"/>
        <v>0</v>
      </c>
      <c r="M19" s="357">
        <f t="shared" si="6"/>
        <v>0</v>
      </c>
      <c r="N19" s="301">
        <v>0</v>
      </c>
      <c r="O19" s="298">
        <v>0</v>
      </c>
      <c r="P19" s="302">
        <v>0</v>
      </c>
      <c r="Q19" s="413">
        <f t="shared" ca="1" si="7"/>
        <v>0</v>
      </c>
      <c r="R19" s="303">
        <f t="shared" ca="1" si="8"/>
        <v>0</v>
      </c>
      <c r="S19" s="339">
        <f t="shared" ca="1" si="9"/>
        <v>0</v>
      </c>
    </row>
    <row r="20" spans="1:20">
      <c r="A20" s="392" t="s">
        <v>132</v>
      </c>
      <c r="B20" s="294">
        <v>0</v>
      </c>
      <c r="C20" s="295">
        <v>0</v>
      </c>
      <c r="D20" s="296">
        <v>0</v>
      </c>
      <c r="E20" s="399">
        <v>0</v>
      </c>
      <c r="F20" s="297">
        <v>0</v>
      </c>
      <c r="G20" s="347">
        <f t="shared" si="4"/>
        <v>0</v>
      </c>
      <c r="H20" s="399">
        <v>0</v>
      </c>
      <c r="I20" s="298">
        <v>0</v>
      </c>
      <c r="J20" s="299">
        <v>0</v>
      </c>
      <c r="K20" s="300">
        <v>0</v>
      </c>
      <c r="L20" s="405">
        <f t="shared" si="5"/>
        <v>0</v>
      </c>
      <c r="M20" s="357">
        <f t="shared" si="6"/>
        <v>0</v>
      </c>
      <c r="N20" s="301">
        <v>0</v>
      </c>
      <c r="O20" s="298">
        <v>0</v>
      </c>
      <c r="P20" s="302">
        <v>0</v>
      </c>
      <c r="Q20" s="413">
        <f t="shared" ca="1" si="7"/>
        <v>0</v>
      </c>
      <c r="R20" s="303">
        <f t="shared" ca="1" si="8"/>
        <v>0</v>
      </c>
      <c r="S20" s="339">
        <f t="shared" ca="1" si="9"/>
        <v>0</v>
      </c>
    </row>
    <row r="21" spans="1:20" s="134" customFormat="1">
      <c r="A21" s="395" t="s">
        <v>133</v>
      </c>
      <c r="B21" s="216">
        <f>SUM(B15:B20)</f>
        <v>0</v>
      </c>
      <c r="C21" s="217">
        <f t="shared" ref="C21:R21" si="10">SUM(C15:C20)</f>
        <v>0</v>
      </c>
      <c r="D21" s="218">
        <f t="shared" si="10"/>
        <v>0</v>
      </c>
      <c r="E21" s="401">
        <f t="shared" si="10"/>
        <v>0</v>
      </c>
      <c r="F21" s="214">
        <f t="shared" si="10"/>
        <v>0</v>
      </c>
      <c r="G21" s="350">
        <f t="shared" si="10"/>
        <v>0</v>
      </c>
      <c r="H21" s="401">
        <f>SUM(H15:H20)</f>
        <v>0</v>
      </c>
      <c r="I21" s="219">
        <f t="shared" si="10"/>
        <v>0</v>
      </c>
      <c r="J21" s="220">
        <f t="shared" si="10"/>
        <v>0</v>
      </c>
      <c r="K21" s="221">
        <f t="shared" si="10"/>
        <v>0</v>
      </c>
      <c r="L21" s="407">
        <f t="shared" si="10"/>
        <v>0</v>
      </c>
      <c r="M21" s="360">
        <f t="shared" si="10"/>
        <v>0</v>
      </c>
      <c r="N21" s="222">
        <f t="shared" si="10"/>
        <v>0</v>
      </c>
      <c r="O21" s="219">
        <f t="shared" si="10"/>
        <v>0</v>
      </c>
      <c r="P21" s="223">
        <f t="shared" si="10"/>
        <v>0</v>
      </c>
      <c r="Q21" s="416">
        <f t="shared" ca="1" si="10"/>
        <v>0</v>
      </c>
      <c r="R21" s="209">
        <f t="shared" ca="1" si="10"/>
        <v>0</v>
      </c>
      <c r="S21" s="383">
        <f ca="1">SUM(S15:S20)</f>
        <v>0</v>
      </c>
      <c r="T21" s="189"/>
    </row>
    <row r="22" spans="1:20">
      <c r="A22" s="75" t="s">
        <v>134</v>
      </c>
      <c r="B22" s="207"/>
      <c r="C22" s="207"/>
      <c r="D22" s="207"/>
      <c r="E22" s="344"/>
      <c r="F22" s="207"/>
      <c r="G22" s="351"/>
      <c r="H22" s="344"/>
      <c r="I22" s="207"/>
      <c r="J22" s="207"/>
      <c r="K22" s="207"/>
      <c r="L22" s="344"/>
      <c r="M22" s="361"/>
      <c r="N22" s="207"/>
      <c r="O22" s="207"/>
      <c r="P22" s="344"/>
      <c r="Q22" s="376"/>
      <c r="R22" s="207"/>
      <c r="S22" s="344"/>
    </row>
    <row r="23" spans="1:20">
      <c r="A23" s="396" t="s">
        <v>135</v>
      </c>
      <c r="B23" s="314">
        <v>0</v>
      </c>
      <c r="C23" s="315">
        <v>0</v>
      </c>
      <c r="D23" s="316">
        <v>0</v>
      </c>
      <c r="E23" s="402">
        <v>0</v>
      </c>
      <c r="F23" s="317">
        <v>0</v>
      </c>
      <c r="G23" s="352">
        <f t="shared" ref="G23:G29" si="11">H23-F23</f>
        <v>0</v>
      </c>
      <c r="H23" s="402">
        <v>0</v>
      </c>
      <c r="I23" s="318">
        <v>0</v>
      </c>
      <c r="J23" s="319">
        <v>0</v>
      </c>
      <c r="K23" s="320">
        <v>0</v>
      </c>
      <c r="L23" s="408">
        <f t="shared" ref="L23:L29" si="12">SUM(I23:K23)</f>
        <v>0</v>
      </c>
      <c r="M23" s="362">
        <f t="shared" ref="M23:M29" si="13">F23+L23</f>
        <v>0</v>
      </c>
      <c r="N23" s="321">
        <v>0</v>
      </c>
      <c r="O23" s="318">
        <v>0</v>
      </c>
      <c r="P23" s="322">
        <v>0</v>
      </c>
      <c r="Q23" s="417">
        <f t="shared" ref="Q23:Q29" ca="1" si="14">IF(ISNA(S$2)=TRUE,0,OFFSET(Q23,0,S$2))</f>
        <v>0</v>
      </c>
      <c r="R23" s="323">
        <f t="shared" ref="R23:R29" ca="1" si="15">H23+Q23</f>
        <v>0</v>
      </c>
      <c r="S23" s="384">
        <f t="shared" ref="S23:S29" ca="1" si="16">R23-H23</f>
        <v>0</v>
      </c>
    </row>
    <row r="24" spans="1:20">
      <c r="A24" s="391" t="s">
        <v>136</v>
      </c>
      <c r="B24" s="294">
        <v>0</v>
      </c>
      <c r="C24" s="295">
        <v>0</v>
      </c>
      <c r="D24" s="296">
        <v>0</v>
      </c>
      <c r="E24" s="399">
        <v>0</v>
      </c>
      <c r="F24" s="297">
        <v>0</v>
      </c>
      <c r="G24" s="347">
        <f t="shared" si="11"/>
        <v>0</v>
      </c>
      <c r="H24" s="399">
        <v>0</v>
      </c>
      <c r="I24" s="298">
        <v>0</v>
      </c>
      <c r="J24" s="299">
        <v>0</v>
      </c>
      <c r="K24" s="300">
        <v>0</v>
      </c>
      <c r="L24" s="405">
        <f t="shared" si="12"/>
        <v>0</v>
      </c>
      <c r="M24" s="357">
        <f t="shared" si="13"/>
        <v>0</v>
      </c>
      <c r="N24" s="301">
        <v>0</v>
      </c>
      <c r="O24" s="298">
        <v>0</v>
      </c>
      <c r="P24" s="302">
        <v>0</v>
      </c>
      <c r="Q24" s="413">
        <f t="shared" ca="1" si="14"/>
        <v>0</v>
      </c>
      <c r="R24" s="303">
        <f t="shared" ca="1" si="15"/>
        <v>0</v>
      </c>
      <c r="S24" s="339">
        <f t="shared" ca="1" si="16"/>
        <v>0</v>
      </c>
    </row>
    <row r="25" spans="1:20">
      <c r="A25" s="391" t="s">
        <v>137</v>
      </c>
      <c r="B25" s="294">
        <v>0</v>
      </c>
      <c r="C25" s="295">
        <v>0</v>
      </c>
      <c r="D25" s="296">
        <v>0</v>
      </c>
      <c r="E25" s="399">
        <v>0</v>
      </c>
      <c r="F25" s="297">
        <v>0</v>
      </c>
      <c r="G25" s="347">
        <f t="shared" si="11"/>
        <v>0</v>
      </c>
      <c r="H25" s="399">
        <v>0</v>
      </c>
      <c r="I25" s="298">
        <v>0</v>
      </c>
      <c r="J25" s="299">
        <v>0</v>
      </c>
      <c r="K25" s="300">
        <v>0</v>
      </c>
      <c r="L25" s="405">
        <f t="shared" si="12"/>
        <v>0</v>
      </c>
      <c r="M25" s="357">
        <f t="shared" si="13"/>
        <v>0</v>
      </c>
      <c r="N25" s="301">
        <v>0</v>
      </c>
      <c r="O25" s="298">
        <v>0</v>
      </c>
      <c r="P25" s="302">
        <v>0</v>
      </c>
      <c r="Q25" s="413">
        <f t="shared" ca="1" si="14"/>
        <v>0</v>
      </c>
      <c r="R25" s="303">
        <f t="shared" ca="1" si="15"/>
        <v>0</v>
      </c>
      <c r="S25" s="339">
        <f t="shared" ca="1" si="16"/>
        <v>0</v>
      </c>
    </row>
    <row r="26" spans="1:20">
      <c r="A26" s="391" t="s">
        <v>138</v>
      </c>
      <c r="B26" s="294">
        <v>0</v>
      </c>
      <c r="C26" s="295">
        <v>0</v>
      </c>
      <c r="D26" s="296">
        <v>0</v>
      </c>
      <c r="E26" s="399">
        <v>0</v>
      </c>
      <c r="F26" s="297">
        <v>0</v>
      </c>
      <c r="G26" s="347">
        <f t="shared" si="11"/>
        <v>0</v>
      </c>
      <c r="H26" s="399">
        <v>0</v>
      </c>
      <c r="I26" s="298">
        <v>0</v>
      </c>
      <c r="J26" s="299">
        <v>0</v>
      </c>
      <c r="K26" s="300">
        <v>0</v>
      </c>
      <c r="L26" s="405">
        <f t="shared" si="12"/>
        <v>0</v>
      </c>
      <c r="M26" s="357">
        <f t="shared" si="13"/>
        <v>0</v>
      </c>
      <c r="N26" s="301">
        <v>0</v>
      </c>
      <c r="O26" s="298">
        <v>0</v>
      </c>
      <c r="P26" s="302">
        <v>0</v>
      </c>
      <c r="Q26" s="413">
        <f t="shared" ca="1" si="14"/>
        <v>0</v>
      </c>
      <c r="R26" s="303">
        <f t="shared" ca="1" si="15"/>
        <v>0</v>
      </c>
      <c r="S26" s="339">
        <f t="shared" ca="1" si="16"/>
        <v>0</v>
      </c>
    </row>
    <row r="27" spans="1:20">
      <c r="A27" s="391" t="s">
        <v>139</v>
      </c>
      <c r="B27" s="294">
        <v>0</v>
      </c>
      <c r="C27" s="295">
        <v>0</v>
      </c>
      <c r="D27" s="296">
        <v>0</v>
      </c>
      <c r="E27" s="399">
        <v>0</v>
      </c>
      <c r="F27" s="297">
        <v>0</v>
      </c>
      <c r="G27" s="347">
        <f t="shared" si="11"/>
        <v>0</v>
      </c>
      <c r="H27" s="399">
        <v>0</v>
      </c>
      <c r="I27" s="298">
        <v>0</v>
      </c>
      <c r="J27" s="299">
        <v>0</v>
      </c>
      <c r="K27" s="300">
        <v>0</v>
      </c>
      <c r="L27" s="405">
        <f t="shared" si="12"/>
        <v>0</v>
      </c>
      <c r="M27" s="357">
        <f t="shared" si="13"/>
        <v>0</v>
      </c>
      <c r="N27" s="301">
        <v>0</v>
      </c>
      <c r="O27" s="298">
        <v>0</v>
      </c>
      <c r="P27" s="302">
        <v>0</v>
      </c>
      <c r="Q27" s="413">
        <f t="shared" ca="1" si="14"/>
        <v>0</v>
      </c>
      <c r="R27" s="303">
        <f t="shared" ca="1" si="15"/>
        <v>0</v>
      </c>
      <c r="S27" s="339">
        <f t="shared" ca="1" si="16"/>
        <v>0</v>
      </c>
    </row>
    <row r="28" spans="1:20">
      <c r="A28" s="391" t="s">
        <v>140</v>
      </c>
      <c r="B28" s="294">
        <v>0</v>
      </c>
      <c r="C28" s="295">
        <v>0</v>
      </c>
      <c r="D28" s="296">
        <v>0</v>
      </c>
      <c r="E28" s="399">
        <v>0</v>
      </c>
      <c r="F28" s="297">
        <v>0</v>
      </c>
      <c r="G28" s="347">
        <f t="shared" si="11"/>
        <v>0</v>
      </c>
      <c r="H28" s="399">
        <v>0</v>
      </c>
      <c r="I28" s="298">
        <v>0</v>
      </c>
      <c r="J28" s="299">
        <v>0</v>
      </c>
      <c r="K28" s="300">
        <v>0</v>
      </c>
      <c r="L28" s="405">
        <f t="shared" si="12"/>
        <v>0</v>
      </c>
      <c r="M28" s="357">
        <f t="shared" si="13"/>
        <v>0</v>
      </c>
      <c r="N28" s="301">
        <v>0</v>
      </c>
      <c r="O28" s="298">
        <v>0</v>
      </c>
      <c r="P28" s="302">
        <v>0</v>
      </c>
      <c r="Q28" s="413">
        <f t="shared" ca="1" si="14"/>
        <v>0</v>
      </c>
      <c r="R28" s="303">
        <f t="shared" ca="1" si="15"/>
        <v>0</v>
      </c>
      <c r="S28" s="339">
        <f t="shared" ca="1" si="16"/>
        <v>0</v>
      </c>
    </row>
    <row r="29" spans="1:20">
      <c r="A29" s="392" t="s">
        <v>141</v>
      </c>
      <c r="B29" s="294">
        <v>0</v>
      </c>
      <c r="C29" s="295">
        <v>0</v>
      </c>
      <c r="D29" s="296">
        <v>0</v>
      </c>
      <c r="E29" s="399">
        <v>0</v>
      </c>
      <c r="F29" s="297">
        <v>0</v>
      </c>
      <c r="G29" s="347">
        <f t="shared" si="11"/>
        <v>0</v>
      </c>
      <c r="H29" s="399">
        <v>0</v>
      </c>
      <c r="I29" s="298">
        <v>0</v>
      </c>
      <c r="J29" s="299">
        <v>0</v>
      </c>
      <c r="K29" s="300">
        <v>0</v>
      </c>
      <c r="L29" s="405">
        <f t="shared" si="12"/>
        <v>0</v>
      </c>
      <c r="M29" s="357">
        <f t="shared" si="13"/>
        <v>0</v>
      </c>
      <c r="N29" s="301">
        <v>0</v>
      </c>
      <c r="O29" s="298">
        <v>0</v>
      </c>
      <c r="P29" s="302">
        <v>0</v>
      </c>
      <c r="Q29" s="413">
        <f t="shared" ca="1" si="14"/>
        <v>0</v>
      </c>
      <c r="R29" s="303">
        <f t="shared" ca="1" si="15"/>
        <v>0</v>
      </c>
      <c r="S29" s="339">
        <f t="shared" ca="1" si="16"/>
        <v>0</v>
      </c>
    </row>
    <row r="30" spans="1:20" s="134" customFormat="1">
      <c r="A30" s="395" t="s">
        <v>142</v>
      </c>
      <c r="B30" s="216">
        <f>SUM(B23:B29)</f>
        <v>0</v>
      </c>
      <c r="C30" s="217">
        <f t="shared" ref="C30:R30" si="17">SUM(C23:C29)</f>
        <v>0</v>
      </c>
      <c r="D30" s="218">
        <f t="shared" si="17"/>
        <v>0</v>
      </c>
      <c r="E30" s="401">
        <f t="shared" si="17"/>
        <v>0</v>
      </c>
      <c r="F30" s="214">
        <f t="shared" si="17"/>
        <v>0</v>
      </c>
      <c r="G30" s="350">
        <f t="shared" si="17"/>
        <v>0</v>
      </c>
      <c r="H30" s="401">
        <f>SUM(H23:H29)</f>
        <v>0</v>
      </c>
      <c r="I30" s="219">
        <f t="shared" si="17"/>
        <v>0</v>
      </c>
      <c r="J30" s="220">
        <f t="shared" si="17"/>
        <v>0</v>
      </c>
      <c r="K30" s="221">
        <f t="shared" si="17"/>
        <v>0</v>
      </c>
      <c r="L30" s="407">
        <f t="shared" si="17"/>
        <v>0</v>
      </c>
      <c r="M30" s="360">
        <f t="shared" si="17"/>
        <v>0</v>
      </c>
      <c r="N30" s="222">
        <f t="shared" si="17"/>
        <v>0</v>
      </c>
      <c r="O30" s="219">
        <f t="shared" si="17"/>
        <v>0</v>
      </c>
      <c r="P30" s="223">
        <f t="shared" si="17"/>
        <v>0</v>
      </c>
      <c r="Q30" s="416">
        <f t="shared" ca="1" si="17"/>
        <v>0</v>
      </c>
      <c r="R30" s="209">
        <f t="shared" ca="1" si="17"/>
        <v>0</v>
      </c>
      <c r="S30" s="383">
        <f ca="1">SUM(S23:S29)</f>
        <v>0</v>
      </c>
      <c r="T30" s="189"/>
    </row>
    <row r="31" spans="1:20">
      <c r="A31" s="75" t="s">
        <v>143</v>
      </c>
      <c r="B31" s="207"/>
      <c r="C31" s="207"/>
      <c r="D31" s="207"/>
      <c r="E31" s="344"/>
      <c r="F31" s="207"/>
      <c r="G31" s="351"/>
      <c r="H31" s="344"/>
      <c r="I31" s="207"/>
      <c r="J31" s="207"/>
      <c r="K31" s="207"/>
      <c r="L31" s="344"/>
      <c r="M31" s="361"/>
      <c r="N31" s="207"/>
      <c r="O31" s="207"/>
      <c r="P31" s="344"/>
      <c r="Q31" s="376"/>
      <c r="R31" s="207"/>
      <c r="S31" s="344"/>
    </row>
    <row r="32" spans="1:20">
      <c r="A32" s="397" t="s">
        <v>144</v>
      </c>
      <c r="B32" s="294">
        <v>0</v>
      </c>
      <c r="C32" s="295">
        <v>0</v>
      </c>
      <c r="D32" s="296">
        <v>0</v>
      </c>
      <c r="E32" s="399">
        <v>0</v>
      </c>
      <c r="F32" s="297">
        <v>0</v>
      </c>
      <c r="G32" s="347">
        <f>H32-F32</f>
        <v>0</v>
      </c>
      <c r="H32" s="399">
        <v>0</v>
      </c>
      <c r="I32" s="298">
        <v>0</v>
      </c>
      <c r="J32" s="299">
        <v>0</v>
      </c>
      <c r="K32" s="300">
        <v>0</v>
      </c>
      <c r="L32" s="405">
        <f>SUM(I32:K32)</f>
        <v>0</v>
      </c>
      <c r="M32" s="357">
        <f t="shared" ref="M32:M33" si="18">F32+L32</f>
        <v>0</v>
      </c>
      <c r="N32" s="301">
        <v>0</v>
      </c>
      <c r="O32" s="298">
        <v>0</v>
      </c>
      <c r="P32" s="302">
        <v>0</v>
      </c>
      <c r="Q32" s="413">
        <f t="shared" ref="Q32:Q33" ca="1" si="19">IF(ISNA(S$2)=TRUE,0,OFFSET(Q32,0,S$2))</f>
        <v>0</v>
      </c>
      <c r="R32" s="303">
        <f t="shared" ref="R32:R33" ca="1" si="20">H32+Q32</f>
        <v>0</v>
      </c>
      <c r="S32" s="339">
        <f ca="1">R32-H32</f>
        <v>0</v>
      </c>
    </row>
    <row r="33" spans="1:20">
      <c r="A33" s="392" t="s">
        <v>145</v>
      </c>
      <c r="B33" s="294">
        <v>0</v>
      </c>
      <c r="C33" s="295">
        <v>0</v>
      </c>
      <c r="D33" s="296">
        <v>0</v>
      </c>
      <c r="E33" s="399">
        <v>0</v>
      </c>
      <c r="F33" s="297">
        <v>0</v>
      </c>
      <c r="G33" s="347">
        <f>H33-F33</f>
        <v>0</v>
      </c>
      <c r="H33" s="399">
        <v>0</v>
      </c>
      <c r="I33" s="298">
        <v>0</v>
      </c>
      <c r="J33" s="299">
        <v>0</v>
      </c>
      <c r="K33" s="300">
        <v>0</v>
      </c>
      <c r="L33" s="405">
        <f>SUM(I33:K33)</f>
        <v>0</v>
      </c>
      <c r="M33" s="357">
        <f t="shared" si="18"/>
        <v>0</v>
      </c>
      <c r="N33" s="301">
        <v>0</v>
      </c>
      <c r="O33" s="298">
        <v>0</v>
      </c>
      <c r="P33" s="302">
        <v>0</v>
      </c>
      <c r="Q33" s="413">
        <f t="shared" ca="1" si="19"/>
        <v>0</v>
      </c>
      <c r="R33" s="303">
        <f t="shared" ca="1" si="20"/>
        <v>0</v>
      </c>
      <c r="S33" s="339">
        <f ca="1">R33-H33</f>
        <v>0</v>
      </c>
    </row>
    <row r="34" spans="1:20" s="134" customFormat="1">
      <c r="A34" s="395" t="s">
        <v>146</v>
      </c>
      <c r="B34" s="216">
        <f>SUM(B32:B33)</f>
        <v>0</v>
      </c>
      <c r="C34" s="217">
        <f t="shared" ref="C34:R34" si="21">SUM(C32:C33)</f>
        <v>0</v>
      </c>
      <c r="D34" s="218">
        <f t="shared" si="21"/>
        <v>0</v>
      </c>
      <c r="E34" s="401">
        <f t="shared" si="21"/>
        <v>0</v>
      </c>
      <c r="F34" s="214">
        <f t="shared" si="21"/>
        <v>0</v>
      </c>
      <c r="G34" s="350">
        <f t="shared" si="21"/>
        <v>0</v>
      </c>
      <c r="H34" s="401">
        <f>SUM(H32:H33)</f>
        <v>0</v>
      </c>
      <c r="I34" s="219">
        <f t="shared" si="21"/>
        <v>0</v>
      </c>
      <c r="J34" s="220">
        <f t="shared" si="21"/>
        <v>0</v>
      </c>
      <c r="K34" s="221">
        <f t="shared" si="21"/>
        <v>0</v>
      </c>
      <c r="L34" s="407">
        <f t="shared" si="21"/>
        <v>0</v>
      </c>
      <c r="M34" s="360">
        <f t="shared" si="21"/>
        <v>0</v>
      </c>
      <c r="N34" s="222">
        <f t="shared" si="21"/>
        <v>0</v>
      </c>
      <c r="O34" s="219">
        <f t="shared" si="21"/>
        <v>0</v>
      </c>
      <c r="P34" s="223">
        <f t="shared" si="21"/>
        <v>0</v>
      </c>
      <c r="Q34" s="416">
        <f t="shared" ca="1" si="21"/>
        <v>0</v>
      </c>
      <c r="R34" s="209">
        <f t="shared" ca="1" si="21"/>
        <v>0</v>
      </c>
      <c r="S34" s="383">
        <f ca="1">SUM(S32:S33)</f>
        <v>0</v>
      </c>
      <c r="T34" s="189"/>
    </row>
    <row r="35" spans="1:20">
      <c r="A35" s="75" t="s">
        <v>147</v>
      </c>
      <c r="B35" s="207"/>
      <c r="C35" s="207"/>
      <c r="D35" s="207"/>
      <c r="E35" s="344"/>
      <c r="F35" s="207"/>
      <c r="G35" s="351"/>
      <c r="H35" s="344"/>
      <c r="I35" s="207"/>
      <c r="J35" s="207"/>
      <c r="K35" s="207"/>
      <c r="L35" s="344"/>
      <c r="M35" s="361"/>
      <c r="N35" s="207"/>
      <c r="O35" s="207"/>
      <c r="P35" s="344"/>
      <c r="Q35" s="376"/>
      <c r="R35" s="207"/>
      <c r="S35" s="344"/>
    </row>
    <row r="36" spans="1:20">
      <c r="A36" s="391" t="s">
        <v>148</v>
      </c>
      <c r="B36" s="294">
        <v>0</v>
      </c>
      <c r="C36" s="295">
        <v>0</v>
      </c>
      <c r="D36" s="296">
        <v>0</v>
      </c>
      <c r="E36" s="399">
        <v>0</v>
      </c>
      <c r="F36" s="297">
        <v>0</v>
      </c>
      <c r="G36" s="347">
        <f t="shared" ref="G36:G41" si="22">H36-F36</f>
        <v>0</v>
      </c>
      <c r="H36" s="399">
        <v>0</v>
      </c>
      <c r="I36" s="298">
        <v>0</v>
      </c>
      <c r="J36" s="299">
        <v>0</v>
      </c>
      <c r="K36" s="300">
        <v>0</v>
      </c>
      <c r="L36" s="405">
        <f t="shared" ref="L36:L41" si="23">SUM(I36:K36)</f>
        <v>0</v>
      </c>
      <c r="M36" s="357">
        <f t="shared" ref="M36:M41" si="24">F36+L36</f>
        <v>0</v>
      </c>
      <c r="N36" s="301">
        <v>0</v>
      </c>
      <c r="O36" s="298">
        <v>0</v>
      </c>
      <c r="P36" s="302">
        <v>0</v>
      </c>
      <c r="Q36" s="413">
        <f t="shared" ref="Q36:Q41" ca="1" si="25">IF(ISNA(S$2)=TRUE,0,OFFSET(Q36,0,S$2))</f>
        <v>0</v>
      </c>
      <c r="R36" s="303">
        <f t="shared" ref="R36:R39" ca="1" si="26">H36+Q36</f>
        <v>0</v>
      </c>
      <c r="S36" s="339">
        <f t="shared" ref="S36:S41" ca="1" si="27">R36-H36</f>
        <v>0</v>
      </c>
    </row>
    <row r="37" spans="1:20">
      <c r="A37" s="391" t="s">
        <v>149</v>
      </c>
      <c r="B37" s="294">
        <v>0</v>
      </c>
      <c r="C37" s="295">
        <v>0</v>
      </c>
      <c r="D37" s="296">
        <v>0</v>
      </c>
      <c r="E37" s="399">
        <v>0</v>
      </c>
      <c r="F37" s="297">
        <v>0</v>
      </c>
      <c r="G37" s="347">
        <f t="shared" si="22"/>
        <v>0</v>
      </c>
      <c r="H37" s="399">
        <v>0</v>
      </c>
      <c r="I37" s="298">
        <v>0</v>
      </c>
      <c r="J37" s="299">
        <v>0</v>
      </c>
      <c r="K37" s="300">
        <v>0</v>
      </c>
      <c r="L37" s="405">
        <f t="shared" si="23"/>
        <v>0</v>
      </c>
      <c r="M37" s="357">
        <f t="shared" si="24"/>
        <v>0</v>
      </c>
      <c r="N37" s="301">
        <v>0</v>
      </c>
      <c r="O37" s="298">
        <v>0</v>
      </c>
      <c r="P37" s="302">
        <v>0</v>
      </c>
      <c r="Q37" s="413">
        <f t="shared" ca="1" si="25"/>
        <v>0</v>
      </c>
      <c r="R37" s="303">
        <f t="shared" ca="1" si="26"/>
        <v>0</v>
      </c>
      <c r="S37" s="339">
        <f t="shared" ca="1" si="27"/>
        <v>0</v>
      </c>
    </row>
    <row r="38" spans="1:20">
      <c r="A38" s="391" t="s">
        <v>33</v>
      </c>
      <c r="B38" s="294">
        <v>0</v>
      </c>
      <c r="C38" s="295">
        <v>0</v>
      </c>
      <c r="D38" s="296">
        <v>0</v>
      </c>
      <c r="E38" s="399">
        <v>0</v>
      </c>
      <c r="F38" s="297">
        <v>0</v>
      </c>
      <c r="G38" s="347">
        <f t="shared" si="22"/>
        <v>0</v>
      </c>
      <c r="H38" s="399">
        <v>0</v>
      </c>
      <c r="I38" s="298">
        <v>0</v>
      </c>
      <c r="J38" s="299">
        <v>0</v>
      </c>
      <c r="K38" s="300">
        <v>0</v>
      </c>
      <c r="L38" s="405">
        <f t="shared" si="23"/>
        <v>0</v>
      </c>
      <c r="M38" s="357">
        <f t="shared" si="24"/>
        <v>0</v>
      </c>
      <c r="N38" s="301">
        <v>0</v>
      </c>
      <c r="O38" s="298">
        <v>0</v>
      </c>
      <c r="P38" s="302">
        <v>0</v>
      </c>
      <c r="Q38" s="413">
        <f t="shared" ca="1" si="25"/>
        <v>0</v>
      </c>
      <c r="R38" s="303">
        <f t="shared" ca="1" si="26"/>
        <v>0</v>
      </c>
      <c r="S38" s="339">
        <f t="shared" ca="1" si="27"/>
        <v>0</v>
      </c>
    </row>
    <row r="39" spans="1:20">
      <c r="A39" s="394" t="s">
        <v>150</v>
      </c>
      <c r="B39" s="304">
        <v>0</v>
      </c>
      <c r="C39" s="305">
        <v>0</v>
      </c>
      <c r="D39" s="306">
        <v>0</v>
      </c>
      <c r="E39" s="400">
        <v>0</v>
      </c>
      <c r="F39" s="307">
        <v>0</v>
      </c>
      <c r="G39" s="349">
        <f t="shared" si="22"/>
        <v>0</v>
      </c>
      <c r="H39" s="400">
        <v>0</v>
      </c>
      <c r="I39" s="308">
        <v>0</v>
      </c>
      <c r="J39" s="309">
        <v>0</v>
      </c>
      <c r="K39" s="310">
        <v>0</v>
      </c>
      <c r="L39" s="406">
        <f t="shared" si="23"/>
        <v>0</v>
      </c>
      <c r="M39" s="359">
        <f t="shared" si="24"/>
        <v>0</v>
      </c>
      <c r="N39" s="311">
        <v>0</v>
      </c>
      <c r="O39" s="308">
        <v>0</v>
      </c>
      <c r="P39" s="312">
        <v>0</v>
      </c>
      <c r="Q39" s="415">
        <f t="shared" ca="1" si="25"/>
        <v>0</v>
      </c>
      <c r="R39" s="313">
        <f t="shared" ca="1" si="26"/>
        <v>0</v>
      </c>
      <c r="S39" s="382">
        <f t="shared" ca="1" si="27"/>
        <v>0</v>
      </c>
    </row>
    <row r="40" spans="1:20">
      <c r="A40" s="391" t="s">
        <v>151</v>
      </c>
      <c r="B40" s="294">
        <v>0</v>
      </c>
      <c r="C40" s="295">
        <v>0</v>
      </c>
      <c r="D40" s="296">
        <v>0</v>
      </c>
      <c r="E40" s="399">
        <v>0</v>
      </c>
      <c r="F40" s="297">
        <v>0</v>
      </c>
      <c r="G40" s="347">
        <f t="shared" si="22"/>
        <v>0</v>
      </c>
      <c r="H40" s="399">
        <v>0</v>
      </c>
      <c r="I40" s="298">
        <v>0</v>
      </c>
      <c r="J40" s="299">
        <v>0</v>
      </c>
      <c r="K40" s="300">
        <v>0</v>
      </c>
      <c r="L40" s="405">
        <f t="shared" si="23"/>
        <v>0</v>
      </c>
      <c r="M40" s="357">
        <f t="shared" si="24"/>
        <v>0</v>
      </c>
      <c r="N40" s="301">
        <v>0</v>
      </c>
      <c r="O40" s="298">
        <v>0</v>
      </c>
      <c r="P40" s="302">
        <v>0</v>
      </c>
      <c r="Q40" s="413">
        <f t="shared" ca="1" si="25"/>
        <v>0</v>
      </c>
      <c r="R40" s="303">
        <f ca="1">ROUND(SUM(R21,R30,R34,R36:R39)*0.0726,0)</f>
        <v>0</v>
      </c>
      <c r="S40" s="339">
        <f t="shared" ca="1" si="27"/>
        <v>0</v>
      </c>
    </row>
    <row r="41" spans="1:20">
      <c r="A41" s="392" t="s">
        <v>152</v>
      </c>
      <c r="B41" s="294">
        <v>0</v>
      </c>
      <c r="C41" s="295">
        <v>0</v>
      </c>
      <c r="D41" s="296">
        <v>0</v>
      </c>
      <c r="E41" s="399">
        <v>0</v>
      </c>
      <c r="F41" s="297">
        <v>0</v>
      </c>
      <c r="G41" s="347">
        <f t="shared" si="22"/>
        <v>0</v>
      </c>
      <c r="H41" s="399">
        <v>0</v>
      </c>
      <c r="I41" s="298">
        <v>0</v>
      </c>
      <c r="J41" s="299">
        <v>0</v>
      </c>
      <c r="K41" s="300">
        <v>0</v>
      </c>
      <c r="L41" s="405">
        <f t="shared" si="23"/>
        <v>0</v>
      </c>
      <c r="M41" s="357">
        <f t="shared" si="24"/>
        <v>0</v>
      </c>
      <c r="N41" s="301">
        <v>0</v>
      </c>
      <c r="O41" s="298">
        <v>0</v>
      </c>
      <c r="P41" s="302">
        <v>0</v>
      </c>
      <c r="Q41" s="413">
        <f t="shared" ca="1" si="25"/>
        <v>0</v>
      </c>
      <c r="R41" s="303">
        <f ca="1">ROUND(SUM(R21,R30,R34,R36:R39)*0.0063,0)</f>
        <v>0</v>
      </c>
      <c r="S41" s="339">
        <f t="shared" ca="1" si="27"/>
        <v>0</v>
      </c>
    </row>
    <row r="42" spans="1:20" s="134" customFormat="1">
      <c r="A42" s="395" t="s">
        <v>153</v>
      </c>
      <c r="B42" s="216">
        <f>SUM(B36:B41)</f>
        <v>0</v>
      </c>
      <c r="C42" s="217">
        <f t="shared" ref="C42:R42" si="28">SUM(C36:C41)</f>
        <v>0</v>
      </c>
      <c r="D42" s="218">
        <f t="shared" si="28"/>
        <v>0</v>
      </c>
      <c r="E42" s="401">
        <f t="shared" si="28"/>
        <v>0</v>
      </c>
      <c r="F42" s="214">
        <f t="shared" si="28"/>
        <v>0</v>
      </c>
      <c r="G42" s="350">
        <f t="shared" si="28"/>
        <v>0</v>
      </c>
      <c r="H42" s="401">
        <f>SUM(H36:H41)</f>
        <v>0</v>
      </c>
      <c r="I42" s="219">
        <f t="shared" si="28"/>
        <v>0</v>
      </c>
      <c r="J42" s="220">
        <f t="shared" si="28"/>
        <v>0</v>
      </c>
      <c r="K42" s="221">
        <f t="shared" si="28"/>
        <v>0</v>
      </c>
      <c r="L42" s="407">
        <f t="shared" si="28"/>
        <v>0</v>
      </c>
      <c r="M42" s="360">
        <f t="shared" si="28"/>
        <v>0</v>
      </c>
      <c r="N42" s="222">
        <f t="shared" si="28"/>
        <v>0</v>
      </c>
      <c r="O42" s="219">
        <f t="shared" si="28"/>
        <v>0</v>
      </c>
      <c r="P42" s="223">
        <f t="shared" si="28"/>
        <v>0</v>
      </c>
      <c r="Q42" s="416">
        <f t="shared" ca="1" si="28"/>
        <v>0</v>
      </c>
      <c r="R42" s="209">
        <f t="shared" ca="1" si="28"/>
        <v>0</v>
      </c>
      <c r="S42" s="383">
        <f ca="1">SUM(S36:S41)</f>
        <v>0</v>
      </c>
      <c r="T42" s="189"/>
    </row>
    <row r="43" spans="1:20" s="134" customFormat="1" ht="16.2" thickBot="1">
      <c r="A43" s="393" t="s">
        <v>154</v>
      </c>
      <c r="B43" s="208">
        <f>SUM(B42,B34,B30,B21)</f>
        <v>0</v>
      </c>
      <c r="C43" s="208">
        <f t="shared" ref="C43:R43" si="29">SUM(C42,C34,C30,C21)</f>
        <v>0</v>
      </c>
      <c r="D43" s="208">
        <f t="shared" si="29"/>
        <v>0</v>
      </c>
      <c r="E43" s="381">
        <f t="shared" si="29"/>
        <v>0</v>
      </c>
      <c r="F43" s="208">
        <f t="shared" si="29"/>
        <v>0</v>
      </c>
      <c r="G43" s="348">
        <f t="shared" si="29"/>
        <v>0</v>
      </c>
      <c r="H43" s="381">
        <f>SUM(H42,H34,H30,H21)</f>
        <v>0</v>
      </c>
      <c r="I43" s="208">
        <f t="shared" si="29"/>
        <v>0</v>
      </c>
      <c r="J43" s="208">
        <f t="shared" si="29"/>
        <v>0</v>
      </c>
      <c r="K43" s="208">
        <f t="shared" si="29"/>
        <v>0</v>
      </c>
      <c r="L43" s="381">
        <f t="shared" si="29"/>
        <v>0</v>
      </c>
      <c r="M43" s="358">
        <f t="shared" si="29"/>
        <v>0</v>
      </c>
      <c r="N43" s="208">
        <f t="shared" si="29"/>
        <v>0</v>
      </c>
      <c r="O43" s="208">
        <f t="shared" si="29"/>
        <v>0</v>
      </c>
      <c r="P43" s="208">
        <f t="shared" si="29"/>
        <v>0</v>
      </c>
      <c r="Q43" s="414">
        <f t="shared" ca="1" si="29"/>
        <v>0</v>
      </c>
      <c r="R43" s="208">
        <f t="shared" ca="1" si="29"/>
        <v>0</v>
      </c>
      <c r="S43" s="381">
        <f ca="1">SUM(S42,S34,S30,S21)</f>
        <v>0</v>
      </c>
      <c r="T43" s="189"/>
    </row>
    <row r="44" spans="1:20" ht="16.2" thickTop="1">
      <c r="A44" s="93" t="s">
        <v>155</v>
      </c>
      <c r="B44" s="213"/>
      <c r="C44" s="213"/>
      <c r="D44" s="213"/>
      <c r="E44" s="213"/>
      <c r="F44" s="213"/>
      <c r="G44" s="353"/>
      <c r="H44" s="213"/>
      <c r="I44" s="213"/>
      <c r="J44" s="213"/>
      <c r="K44" s="213"/>
      <c r="L44" s="213"/>
      <c r="M44" s="363"/>
      <c r="N44" s="213"/>
      <c r="O44" s="213"/>
      <c r="P44" s="213"/>
      <c r="Q44" s="377"/>
      <c r="R44" s="213"/>
      <c r="S44" s="213"/>
    </row>
    <row r="45" spans="1:20">
      <c r="A45" s="391" t="s">
        <v>156</v>
      </c>
      <c r="B45" s="294">
        <v>0</v>
      </c>
      <c r="C45" s="295">
        <v>0</v>
      </c>
      <c r="D45" s="296">
        <v>0</v>
      </c>
      <c r="E45" s="399">
        <v>0</v>
      </c>
      <c r="F45" s="297">
        <v>0</v>
      </c>
      <c r="G45" s="347">
        <f>H45-F45</f>
        <v>0</v>
      </c>
      <c r="H45" s="399">
        <v>0</v>
      </c>
      <c r="I45" s="298">
        <v>0</v>
      </c>
      <c r="J45" s="299">
        <v>0</v>
      </c>
      <c r="K45" s="300">
        <v>0</v>
      </c>
      <c r="L45" s="405">
        <f>SUM(I45:K45)</f>
        <v>0</v>
      </c>
      <c r="M45" s="357">
        <f t="shared" ref="M45:M46" si="30">F45+L45</f>
        <v>0</v>
      </c>
      <c r="N45" s="301">
        <v>0</v>
      </c>
      <c r="O45" s="298">
        <v>0</v>
      </c>
      <c r="P45" s="302">
        <v>0</v>
      </c>
      <c r="Q45" s="413">
        <f t="shared" ref="Q45:Q46" ca="1" si="31">IF(ISNA(S$2)=TRUE,0,OFFSET(Q45,0,S$2))</f>
        <v>0</v>
      </c>
      <c r="R45" s="303">
        <f t="shared" ref="R45:R46" ca="1" si="32">H45+Q45</f>
        <v>0</v>
      </c>
      <c r="S45" s="339">
        <f ca="1">R45-H45</f>
        <v>0</v>
      </c>
    </row>
    <row r="46" spans="1:20">
      <c r="A46" s="392" t="s">
        <v>157</v>
      </c>
      <c r="B46" s="294">
        <v>0</v>
      </c>
      <c r="C46" s="295">
        <v>0</v>
      </c>
      <c r="D46" s="296">
        <v>0</v>
      </c>
      <c r="E46" s="399">
        <v>0</v>
      </c>
      <c r="F46" s="297">
        <v>0</v>
      </c>
      <c r="G46" s="347">
        <f>H46-F46</f>
        <v>0</v>
      </c>
      <c r="H46" s="399">
        <v>0</v>
      </c>
      <c r="I46" s="298">
        <v>0</v>
      </c>
      <c r="J46" s="299">
        <v>0</v>
      </c>
      <c r="K46" s="300">
        <v>0</v>
      </c>
      <c r="L46" s="405">
        <f>SUM(I46:K46)</f>
        <v>0</v>
      </c>
      <c r="M46" s="357">
        <f t="shared" si="30"/>
        <v>0</v>
      </c>
      <c r="N46" s="301">
        <v>0</v>
      </c>
      <c r="O46" s="298">
        <v>0</v>
      </c>
      <c r="P46" s="302">
        <v>0</v>
      </c>
      <c r="Q46" s="413">
        <f t="shared" ca="1" si="31"/>
        <v>0</v>
      </c>
      <c r="R46" s="303">
        <f t="shared" ca="1" si="32"/>
        <v>0</v>
      </c>
      <c r="S46" s="339">
        <f ca="1">R46-H46</f>
        <v>0</v>
      </c>
    </row>
    <row r="47" spans="1:20" s="134" customFormat="1">
      <c r="A47" s="398" t="s">
        <v>158</v>
      </c>
      <c r="B47" s="216">
        <f>SUM(B45:B46)</f>
        <v>0</v>
      </c>
      <c r="C47" s="217">
        <f t="shared" ref="C47:R47" si="33">SUM(C45:C46)</f>
        <v>0</v>
      </c>
      <c r="D47" s="218">
        <f t="shared" si="33"/>
        <v>0</v>
      </c>
      <c r="E47" s="403">
        <f t="shared" si="33"/>
        <v>0</v>
      </c>
      <c r="F47" s="215">
        <f t="shared" si="33"/>
        <v>0</v>
      </c>
      <c r="G47" s="354">
        <f t="shared" si="33"/>
        <v>0</v>
      </c>
      <c r="H47" s="403">
        <f>SUM(H45:H46)</f>
        <v>0</v>
      </c>
      <c r="I47" s="219">
        <f t="shared" si="33"/>
        <v>0</v>
      </c>
      <c r="J47" s="220">
        <f t="shared" si="33"/>
        <v>0</v>
      </c>
      <c r="K47" s="221">
        <f t="shared" si="33"/>
        <v>0</v>
      </c>
      <c r="L47" s="409">
        <f t="shared" si="33"/>
        <v>0</v>
      </c>
      <c r="M47" s="364">
        <f t="shared" si="33"/>
        <v>0</v>
      </c>
      <c r="N47" s="222">
        <f t="shared" si="33"/>
        <v>0</v>
      </c>
      <c r="O47" s="219">
        <f t="shared" si="33"/>
        <v>0</v>
      </c>
      <c r="P47" s="223">
        <f t="shared" si="33"/>
        <v>0</v>
      </c>
      <c r="Q47" s="418">
        <f t="shared" ca="1" si="33"/>
        <v>0</v>
      </c>
      <c r="R47" s="210">
        <f t="shared" ca="1" si="33"/>
        <v>0</v>
      </c>
      <c r="S47" s="386">
        <f ca="1">SUM(S45:S46)</f>
        <v>0</v>
      </c>
      <c r="T47" s="189"/>
    </row>
    <row r="48" spans="1:20" s="134" customFormat="1" ht="16.2" thickBot="1">
      <c r="A48" s="393" t="s">
        <v>159</v>
      </c>
      <c r="B48" s="208">
        <f>SUM(B12,B43,B47)</f>
        <v>0</v>
      </c>
      <c r="C48" s="208">
        <f t="shared" ref="C48:R48" si="34">SUM(C12,C43,C47)</f>
        <v>0</v>
      </c>
      <c r="D48" s="208">
        <f t="shared" si="34"/>
        <v>0</v>
      </c>
      <c r="E48" s="381">
        <f t="shared" si="34"/>
        <v>0</v>
      </c>
      <c r="F48" s="208">
        <f t="shared" si="34"/>
        <v>0</v>
      </c>
      <c r="G48" s="348">
        <f t="shared" si="34"/>
        <v>0</v>
      </c>
      <c r="H48" s="381">
        <f>SUM(H12,H43,H47)</f>
        <v>0</v>
      </c>
      <c r="I48" s="208">
        <f t="shared" si="34"/>
        <v>0</v>
      </c>
      <c r="J48" s="208">
        <f t="shared" si="34"/>
        <v>0</v>
      </c>
      <c r="K48" s="208">
        <f t="shared" si="34"/>
        <v>0</v>
      </c>
      <c r="L48" s="381">
        <f t="shared" si="34"/>
        <v>0</v>
      </c>
      <c r="M48" s="358">
        <f t="shared" si="34"/>
        <v>0</v>
      </c>
      <c r="N48" s="208">
        <f t="shared" si="34"/>
        <v>0</v>
      </c>
      <c r="O48" s="208">
        <f t="shared" si="34"/>
        <v>0</v>
      </c>
      <c r="P48" s="208">
        <f t="shared" si="34"/>
        <v>0</v>
      </c>
      <c r="Q48" s="414">
        <f t="shared" ca="1" si="34"/>
        <v>0</v>
      </c>
      <c r="R48" s="208">
        <f t="shared" ca="1" si="34"/>
        <v>0</v>
      </c>
      <c r="S48" s="381">
        <f ca="1">SUM(S12,S43,S47)</f>
        <v>0</v>
      </c>
      <c r="T48" s="189"/>
    </row>
    <row r="49" spans="1:1" ht="16.2" thickTop="1">
      <c r="A49" s="103"/>
    </row>
    <row r="50" spans="1:1">
      <c r="A50" s="329"/>
    </row>
    <row r="51" spans="1:1">
      <c r="A51" s="109"/>
    </row>
  </sheetData>
  <dataValidations count="2">
    <dataValidation type="list" allowBlank="1" showInputMessage="1" showErrorMessage="1" sqref="R2" xr:uid="{B2A92AF5-E262-4417-B3AB-291F1897367C}">
      <formula1>$N$4:$P$4</formula1>
    </dataValidation>
    <dataValidation type="list" showInputMessage="1" showErrorMessage="1" sqref="R1" xr:uid="{A365A544-9EC3-47B9-9FB1-52D968F8AF56}">
      <formula1>"Approved,Denied"</formula1>
    </dataValidation>
  </dataValidations>
  <pageMargins left="0.7" right="0.7" top="0.75" bottom="0.75" header="0.3" footer="0.3"/>
  <ignoredErrors>
    <ignoredError sqref="L8:L46" formulaRange="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BF7FA-A3EB-48E4-88E7-0C481E111C4E}">
  <sheetPr codeName="FundBalanceSht">
    <tabColor theme="4" tint="0.39997558519241921"/>
  </sheetPr>
  <dimension ref="A1:H1000"/>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ColWidth="8.88671875" defaultRowHeight="15.6"/>
  <cols>
    <col min="1" max="1" width="5.109375" style="458" customWidth="1"/>
    <col min="2" max="3" width="19" style="458" customWidth="1"/>
    <col min="4" max="4" width="14.33203125" style="138" customWidth="1"/>
    <col min="5" max="5" width="5.44140625" style="138" customWidth="1"/>
    <col min="6" max="6" width="14.33203125" style="138" customWidth="1"/>
    <col min="7" max="7" width="5.44140625" style="138" customWidth="1"/>
    <col min="8" max="8" width="14.33203125" style="138" customWidth="1"/>
    <col min="9" max="16384" width="8.88671875" style="458"/>
  </cols>
  <sheetData>
    <row r="1" spans="1:8">
      <c r="A1" s="134" t="s">
        <v>1801</v>
      </c>
      <c r="D1" s="458"/>
      <c r="E1" s="458"/>
      <c r="F1" s="458"/>
      <c r="G1" s="458"/>
      <c r="H1" s="458"/>
    </row>
    <row r="2" spans="1:8">
      <c r="A2" s="504">
        <v>44196</v>
      </c>
      <c r="B2" s="504"/>
      <c r="D2" s="458"/>
      <c r="E2" s="458"/>
      <c r="F2" s="458"/>
      <c r="G2" s="458"/>
      <c r="H2" s="458"/>
    </row>
    <row r="3" spans="1:8">
      <c r="A3" s="134"/>
      <c r="D3" s="135" t="s">
        <v>111</v>
      </c>
      <c r="E3" s="458"/>
      <c r="F3" s="135" t="s">
        <v>167</v>
      </c>
      <c r="G3" s="458"/>
      <c r="H3" s="135" t="s">
        <v>1355</v>
      </c>
    </row>
    <row r="4" spans="1:8">
      <c r="D4" s="136">
        <v>44013</v>
      </c>
      <c r="E4" s="458"/>
      <c r="F4" s="136">
        <v>44196</v>
      </c>
      <c r="G4" s="458"/>
      <c r="H4" s="136">
        <v>44377</v>
      </c>
    </row>
    <row r="5" spans="1:8">
      <c r="A5" s="505" t="s">
        <v>3</v>
      </c>
      <c r="B5" s="505"/>
      <c r="C5" s="505"/>
      <c r="D5" s="458"/>
      <c r="E5" s="458"/>
      <c r="F5" s="458"/>
      <c r="G5" s="458"/>
      <c r="H5" s="458"/>
    </row>
    <row r="7" spans="1:8" ht="16.2" thickBot="1">
      <c r="A7" s="134" t="s">
        <v>1356</v>
      </c>
      <c r="D7" s="137">
        <v>0</v>
      </c>
      <c r="F7" s="137">
        <f>D7</f>
        <v>0</v>
      </c>
      <c r="H7" s="137">
        <f>D7</f>
        <v>0</v>
      </c>
    </row>
    <row r="8" spans="1:8" ht="16.2" thickTop="1"/>
    <row r="9" spans="1:8">
      <c r="A9" s="134" t="s">
        <v>1353</v>
      </c>
      <c r="D9" s="507">
        <v>-144861</v>
      </c>
      <c r="F9" s="507">
        <v>-72430</v>
      </c>
      <c r="H9" s="139">
        <v>0</v>
      </c>
    </row>
    <row r="11" spans="1:8">
      <c r="A11" s="134" t="s">
        <v>1354</v>
      </c>
      <c r="D11" s="507">
        <v>117705</v>
      </c>
      <c r="F11" s="507">
        <v>50265.38</v>
      </c>
      <c r="H11" s="139">
        <v>0</v>
      </c>
    </row>
    <row r="13" spans="1:8">
      <c r="A13" s="134" t="s">
        <v>1357</v>
      </c>
    </row>
    <row r="14" spans="1:8">
      <c r="A14" s="134" t="s">
        <v>1740</v>
      </c>
      <c r="B14" s="458" t="s">
        <v>808</v>
      </c>
      <c r="D14" s="227">
        <v>27156</v>
      </c>
      <c r="F14" s="227">
        <v>56611</v>
      </c>
    </row>
    <row r="15" spans="1:8">
      <c r="A15" s="459"/>
      <c r="D15" s="139"/>
    </row>
    <row r="16" spans="1:8">
      <c r="A16" s="459"/>
      <c r="B16" s="109" t="s">
        <v>1591</v>
      </c>
      <c r="D16" s="76">
        <f>SUM(D13:D15)</f>
        <v>27156</v>
      </c>
      <c r="F16" s="76">
        <f>SUM(F13:F15)</f>
        <v>56611</v>
      </c>
      <c r="H16" s="76">
        <f>SUM(H13:H15)</f>
        <v>0</v>
      </c>
    </row>
    <row r="18" spans="1:8" ht="16.2" thickBot="1">
      <c r="A18" s="134" t="s">
        <v>1358</v>
      </c>
      <c r="D18" s="140">
        <f>SUM(D7,D9,D11,D16)</f>
        <v>0</v>
      </c>
      <c r="F18" s="140">
        <f>SUM(F7,F9,F11,F16)</f>
        <v>34446.379999999997</v>
      </c>
      <c r="H18" s="140">
        <f>SUM(H7,H9,H11,H16)</f>
        <v>0</v>
      </c>
    </row>
    <row r="19" spans="1:8" ht="16.2" thickTop="1"/>
    <row r="20" spans="1:8">
      <c r="A20" s="134" t="s">
        <v>1359</v>
      </c>
    </row>
    <row r="21" spans="1:8">
      <c r="A21" s="141"/>
      <c r="D21" s="139"/>
    </row>
    <row r="22" spans="1:8">
      <c r="B22" s="109" t="s">
        <v>1592</v>
      </c>
      <c r="D22" s="76">
        <f>SUM(D20:D21)</f>
        <v>0</v>
      </c>
      <c r="F22" s="76">
        <f>SUM(F20:F21)</f>
        <v>0</v>
      </c>
      <c r="H22" s="76">
        <f>SUM(H20:H21)</f>
        <v>0</v>
      </c>
    </row>
    <row r="24" spans="1:8" ht="16.2" thickBot="1">
      <c r="A24" s="134" t="s">
        <v>1360</v>
      </c>
      <c r="D24" s="137">
        <f>D18+D22</f>
        <v>0</v>
      </c>
      <c r="F24" s="137">
        <f>F18+F22</f>
        <v>34446.379999999997</v>
      </c>
      <c r="H24" s="137">
        <f>H18+H22</f>
        <v>0</v>
      </c>
    </row>
    <row r="25" spans="1:8" ht="16.2" thickTop="1">
      <c r="A25" s="142"/>
      <c r="B25" s="142"/>
      <c r="C25" s="142"/>
      <c r="D25" s="139"/>
      <c r="E25" s="139"/>
      <c r="F25" s="139"/>
      <c r="G25" s="139"/>
      <c r="H25" s="139"/>
    </row>
    <row r="26" spans="1:8">
      <c r="D26" s="458"/>
      <c r="E26" s="458"/>
      <c r="F26" s="458"/>
      <c r="G26" s="458"/>
      <c r="H26" s="458"/>
    </row>
    <row r="27" spans="1:8">
      <c r="D27" s="458"/>
      <c r="E27" s="458"/>
      <c r="F27" s="458"/>
      <c r="G27" s="458"/>
      <c r="H27" s="458"/>
    </row>
    <row r="28" spans="1:8">
      <c r="D28" s="458"/>
      <c r="E28" s="458"/>
      <c r="F28" s="458"/>
      <c r="G28" s="458"/>
      <c r="H28" s="458"/>
    </row>
    <row r="29" spans="1:8">
      <c r="D29" s="458"/>
      <c r="E29" s="458"/>
      <c r="F29" s="458"/>
      <c r="G29" s="458"/>
      <c r="H29" s="458"/>
    </row>
    <row r="30" spans="1:8">
      <c r="D30" s="458"/>
      <c r="E30" s="458"/>
      <c r="F30" s="458"/>
      <c r="G30" s="458"/>
      <c r="H30" s="458"/>
    </row>
    <row r="31" spans="1:8">
      <c r="D31" s="458"/>
      <c r="E31" s="458"/>
      <c r="F31" s="458"/>
      <c r="G31" s="458"/>
      <c r="H31" s="458"/>
    </row>
    <row r="32" spans="1:8">
      <c r="D32" s="458"/>
      <c r="E32" s="458"/>
      <c r="F32" s="458"/>
      <c r="G32" s="458"/>
      <c r="H32" s="458"/>
    </row>
    <row r="33" spans="4:8">
      <c r="D33" s="458"/>
      <c r="E33" s="458"/>
      <c r="F33" s="458"/>
      <c r="G33" s="458"/>
      <c r="H33" s="458"/>
    </row>
    <row r="34" spans="4:8">
      <c r="D34" s="458"/>
      <c r="E34" s="458"/>
      <c r="F34" s="458"/>
      <c r="G34" s="458"/>
      <c r="H34" s="458"/>
    </row>
    <row r="35" spans="4:8">
      <c r="D35" s="458"/>
      <c r="E35" s="458"/>
      <c r="F35" s="458"/>
      <c r="G35" s="458"/>
      <c r="H35" s="458"/>
    </row>
    <row r="36" spans="4:8">
      <c r="D36" s="458"/>
      <c r="E36" s="458"/>
      <c r="F36" s="458"/>
      <c r="G36" s="458"/>
      <c r="H36" s="458"/>
    </row>
    <row r="37" spans="4:8">
      <c r="D37" s="458"/>
      <c r="E37" s="458"/>
      <c r="F37" s="458"/>
      <c r="G37" s="458"/>
      <c r="H37" s="458"/>
    </row>
    <row r="38" spans="4:8">
      <c r="D38" s="458"/>
      <c r="E38" s="458"/>
      <c r="F38" s="458"/>
      <c r="G38" s="458"/>
      <c r="H38" s="458"/>
    </row>
    <row r="39" spans="4:8">
      <c r="D39" s="458"/>
      <c r="E39" s="458"/>
      <c r="F39" s="458"/>
      <c r="G39" s="458"/>
      <c r="H39" s="458"/>
    </row>
    <row r="40" spans="4:8">
      <c r="D40" s="458"/>
      <c r="E40" s="458"/>
      <c r="F40" s="458"/>
      <c r="G40" s="458"/>
      <c r="H40" s="458"/>
    </row>
    <row r="41" spans="4:8">
      <c r="D41" s="458"/>
      <c r="E41" s="458"/>
      <c r="F41" s="458"/>
      <c r="G41" s="458"/>
      <c r="H41" s="458"/>
    </row>
    <row r="42" spans="4:8">
      <c r="D42" s="458"/>
      <c r="E42" s="458"/>
      <c r="F42" s="458"/>
      <c r="G42" s="458"/>
      <c r="H42" s="458"/>
    </row>
    <row r="43" spans="4:8">
      <c r="D43" s="458"/>
      <c r="E43" s="458"/>
      <c r="F43" s="458"/>
      <c r="G43" s="458"/>
      <c r="H43" s="458"/>
    </row>
    <row r="44" spans="4:8">
      <c r="D44" s="458"/>
      <c r="E44" s="458"/>
      <c r="F44" s="458"/>
      <c r="G44" s="458"/>
      <c r="H44" s="458"/>
    </row>
    <row r="45" spans="4:8">
      <c r="D45" s="458"/>
      <c r="E45" s="458"/>
      <c r="F45" s="458"/>
      <c r="G45" s="458"/>
      <c r="H45" s="458"/>
    </row>
    <row r="46" spans="4:8">
      <c r="D46" s="458"/>
      <c r="E46" s="458"/>
      <c r="F46" s="458"/>
      <c r="G46" s="458"/>
      <c r="H46" s="458"/>
    </row>
    <row r="47" spans="4:8">
      <c r="D47" s="458"/>
      <c r="E47" s="458"/>
      <c r="F47" s="458"/>
      <c r="G47" s="458"/>
      <c r="H47" s="458"/>
    </row>
    <row r="48" spans="4:8">
      <c r="D48" s="458"/>
      <c r="E48" s="458"/>
      <c r="F48" s="458"/>
      <c r="G48" s="458"/>
      <c r="H48" s="458"/>
    </row>
    <row r="49" spans="4:8">
      <c r="D49" s="458"/>
      <c r="E49" s="458"/>
      <c r="F49" s="458"/>
      <c r="G49" s="458"/>
      <c r="H49" s="458"/>
    </row>
    <row r="50" spans="4:8">
      <c r="D50" s="458"/>
      <c r="E50" s="458"/>
      <c r="F50" s="458"/>
      <c r="G50" s="458"/>
      <c r="H50" s="458"/>
    </row>
    <row r="51" spans="4:8">
      <c r="D51" s="458"/>
      <c r="E51" s="458"/>
      <c r="F51" s="458"/>
      <c r="G51" s="458"/>
      <c r="H51" s="458"/>
    </row>
    <row r="52" spans="4:8">
      <c r="D52" s="458"/>
      <c r="E52" s="458"/>
      <c r="F52" s="458"/>
      <c r="G52" s="458"/>
      <c r="H52" s="458"/>
    </row>
    <row r="53" spans="4:8">
      <c r="D53" s="458"/>
      <c r="E53" s="458"/>
      <c r="F53" s="458"/>
      <c r="G53" s="458"/>
      <c r="H53" s="458"/>
    </row>
    <row r="54" spans="4:8">
      <c r="D54" s="458"/>
      <c r="E54" s="458"/>
      <c r="F54" s="458"/>
      <c r="G54" s="458"/>
      <c r="H54" s="458"/>
    </row>
    <row r="55" spans="4:8">
      <c r="D55" s="458"/>
      <c r="E55" s="458"/>
      <c r="F55" s="458"/>
      <c r="G55" s="458"/>
      <c r="H55" s="458"/>
    </row>
    <row r="56" spans="4:8">
      <c r="D56" s="458"/>
      <c r="E56" s="458"/>
      <c r="F56" s="458"/>
      <c r="G56" s="458"/>
      <c r="H56" s="458"/>
    </row>
    <row r="57" spans="4:8">
      <c r="D57" s="458"/>
      <c r="E57" s="458"/>
      <c r="F57" s="458"/>
      <c r="G57" s="458"/>
      <c r="H57" s="458"/>
    </row>
    <row r="58" spans="4:8">
      <c r="D58" s="458"/>
      <c r="E58" s="458"/>
      <c r="F58" s="458"/>
      <c r="G58" s="458"/>
      <c r="H58" s="458"/>
    </row>
    <row r="59" spans="4:8">
      <c r="D59" s="458"/>
      <c r="E59" s="458"/>
      <c r="F59" s="458"/>
      <c r="G59" s="458"/>
      <c r="H59" s="458"/>
    </row>
    <row r="60" spans="4:8">
      <c r="D60" s="458"/>
      <c r="E60" s="458"/>
      <c r="F60" s="458"/>
      <c r="G60" s="458"/>
      <c r="H60" s="458"/>
    </row>
    <row r="61" spans="4:8">
      <c r="D61" s="458"/>
      <c r="E61" s="458"/>
      <c r="F61" s="458"/>
      <c r="G61" s="458"/>
      <c r="H61" s="458"/>
    </row>
    <row r="62" spans="4:8">
      <c r="D62" s="458"/>
      <c r="E62" s="458"/>
      <c r="F62" s="458"/>
      <c r="G62" s="458"/>
      <c r="H62" s="458"/>
    </row>
    <row r="63" spans="4:8">
      <c r="D63" s="458"/>
      <c r="E63" s="458"/>
      <c r="F63" s="458"/>
      <c r="G63" s="458"/>
      <c r="H63" s="458"/>
    </row>
    <row r="64" spans="4:8">
      <c r="D64" s="458"/>
      <c r="E64" s="458"/>
      <c r="F64" s="458"/>
      <c r="G64" s="458"/>
      <c r="H64" s="458"/>
    </row>
    <row r="65" spans="4:8">
      <c r="D65" s="458"/>
      <c r="E65" s="458"/>
      <c r="F65" s="458"/>
      <c r="G65" s="458"/>
      <c r="H65" s="458"/>
    </row>
    <row r="66" spans="4:8">
      <c r="D66" s="458"/>
      <c r="E66" s="458"/>
      <c r="F66" s="458"/>
      <c r="G66" s="458"/>
      <c r="H66" s="458"/>
    </row>
    <row r="67" spans="4:8">
      <c r="D67" s="458"/>
      <c r="E67" s="458"/>
      <c r="F67" s="458"/>
      <c r="G67" s="458"/>
      <c r="H67" s="458"/>
    </row>
    <row r="68" spans="4:8">
      <c r="D68" s="458"/>
      <c r="E68" s="458"/>
      <c r="F68" s="458"/>
      <c r="G68" s="458"/>
      <c r="H68" s="458"/>
    </row>
    <row r="69" spans="4:8">
      <c r="D69" s="458"/>
      <c r="E69" s="458"/>
      <c r="F69" s="458"/>
      <c r="G69" s="458"/>
      <c r="H69" s="458"/>
    </row>
    <row r="70" spans="4:8">
      <c r="D70" s="458"/>
      <c r="E70" s="458"/>
      <c r="F70" s="458"/>
      <c r="G70" s="458"/>
      <c r="H70" s="458"/>
    </row>
    <row r="71" spans="4:8">
      <c r="D71" s="458"/>
      <c r="E71" s="458"/>
      <c r="F71" s="458"/>
      <c r="G71" s="458"/>
      <c r="H71" s="458"/>
    </row>
    <row r="72" spans="4:8">
      <c r="D72" s="458"/>
      <c r="E72" s="458"/>
      <c r="F72" s="458"/>
      <c r="G72" s="458"/>
      <c r="H72" s="458"/>
    </row>
    <row r="73" spans="4:8">
      <c r="D73" s="458"/>
      <c r="E73" s="458"/>
      <c r="F73" s="458"/>
      <c r="G73" s="458"/>
      <c r="H73" s="458"/>
    </row>
    <row r="74" spans="4:8">
      <c r="D74" s="458"/>
      <c r="E74" s="458"/>
      <c r="F74" s="458"/>
      <c r="G74" s="458"/>
      <c r="H74" s="458"/>
    </row>
    <row r="75" spans="4:8">
      <c r="D75" s="458"/>
      <c r="E75" s="458"/>
      <c r="F75" s="458"/>
      <c r="G75" s="458"/>
      <c r="H75" s="458"/>
    </row>
    <row r="76" spans="4:8">
      <c r="D76" s="458"/>
      <c r="E76" s="458"/>
      <c r="F76" s="458"/>
      <c r="G76" s="458"/>
      <c r="H76" s="458"/>
    </row>
    <row r="77" spans="4:8">
      <c r="D77" s="458"/>
      <c r="E77" s="458"/>
      <c r="F77" s="458"/>
      <c r="G77" s="458"/>
      <c r="H77" s="458"/>
    </row>
    <row r="78" spans="4:8">
      <c r="D78" s="458"/>
      <c r="E78" s="458"/>
      <c r="F78" s="458"/>
      <c r="G78" s="458"/>
      <c r="H78" s="458"/>
    </row>
    <row r="79" spans="4:8">
      <c r="D79" s="458"/>
      <c r="E79" s="458"/>
      <c r="F79" s="458"/>
      <c r="G79" s="458"/>
      <c r="H79" s="458"/>
    </row>
    <row r="80" spans="4:8">
      <c r="D80" s="458"/>
      <c r="E80" s="458"/>
      <c r="F80" s="458"/>
      <c r="G80" s="458"/>
      <c r="H80" s="458"/>
    </row>
    <row r="81" spans="4:8">
      <c r="D81" s="458"/>
      <c r="E81" s="458"/>
      <c r="F81" s="458"/>
      <c r="G81" s="458"/>
      <c r="H81" s="458"/>
    </row>
    <row r="82" spans="4:8">
      <c r="D82" s="458"/>
      <c r="E82" s="458"/>
      <c r="F82" s="458"/>
      <c r="G82" s="458"/>
      <c r="H82" s="458"/>
    </row>
    <row r="83" spans="4:8">
      <c r="D83" s="458"/>
      <c r="E83" s="458"/>
      <c r="F83" s="458"/>
      <c r="G83" s="458"/>
      <c r="H83" s="458"/>
    </row>
    <row r="84" spans="4:8">
      <c r="D84" s="458"/>
      <c r="E84" s="458"/>
      <c r="F84" s="458"/>
      <c r="G84" s="458"/>
      <c r="H84" s="458"/>
    </row>
    <row r="85" spans="4:8">
      <c r="D85" s="458"/>
      <c r="E85" s="458"/>
      <c r="F85" s="458"/>
      <c r="G85" s="458"/>
      <c r="H85" s="458"/>
    </row>
    <row r="86" spans="4:8">
      <c r="D86" s="458"/>
      <c r="E86" s="458"/>
      <c r="F86" s="458"/>
      <c r="G86" s="458"/>
      <c r="H86" s="458"/>
    </row>
    <row r="87" spans="4:8">
      <c r="D87" s="458"/>
      <c r="E87" s="458"/>
      <c r="F87" s="458"/>
      <c r="G87" s="458"/>
      <c r="H87" s="458"/>
    </row>
    <row r="88" spans="4:8">
      <c r="D88" s="458"/>
      <c r="E88" s="458"/>
      <c r="F88" s="458"/>
      <c r="G88" s="458"/>
      <c r="H88" s="458"/>
    </row>
    <row r="89" spans="4:8">
      <c r="D89" s="458"/>
      <c r="E89" s="458"/>
      <c r="F89" s="458"/>
      <c r="G89" s="458"/>
      <c r="H89" s="458"/>
    </row>
    <row r="90" spans="4:8">
      <c r="D90" s="458"/>
      <c r="E90" s="458"/>
      <c r="F90" s="458"/>
      <c r="G90" s="458"/>
      <c r="H90" s="458"/>
    </row>
    <row r="91" spans="4:8">
      <c r="D91" s="458"/>
      <c r="E91" s="458"/>
      <c r="F91" s="458"/>
      <c r="G91" s="458"/>
      <c r="H91" s="458"/>
    </row>
    <row r="92" spans="4:8">
      <c r="D92" s="458"/>
      <c r="E92" s="458"/>
      <c r="F92" s="458"/>
      <c r="G92" s="458"/>
      <c r="H92" s="458"/>
    </row>
    <row r="93" spans="4:8">
      <c r="D93" s="458"/>
      <c r="E93" s="458"/>
      <c r="F93" s="458"/>
      <c r="G93" s="458"/>
      <c r="H93" s="458"/>
    </row>
    <row r="94" spans="4:8">
      <c r="D94" s="458"/>
      <c r="E94" s="458"/>
      <c r="F94" s="458"/>
      <c r="G94" s="458"/>
      <c r="H94" s="458"/>
    </row>
    <row r="95" spans="4:8">
      <c r="D95" s="458"/>
      <c r="E95" s="458"/>
      <c r="F95" s="458"/>
      <c r="G95" s="458"/>
      <c r="H95" s="458"/>
    </row>
    <row r="96" spans="4:8">
      <c r="D96" s="458"/>
      <c r="E96" s="458"/>
      <c r="F96" s="458"/>
      <c r="G96" s="458"/>
      <c r="H96" s="458"/>
    </row>
    <row r="97" spans="4:8">
      <c r="D97" s="458"/>
      <c r="E97" s="458"/>
      <c r="F97" s="458"/>
      <c r="G97" s="458"/>
      <c r="H97" s="458"/>
    </row>
    <row r="98" spans="4:8">
      <c r="D98" s="458"/>
      <c r="E98" s="458"/>
      <c r="F98" s="458"/>
      <c r="G98" s="458"/>
      <c r="H98" s="458"/>
    </row>
    <row r="99" spans="4:8">
      <c r="D99" s="458"/>
      <c r="E99" s="458"/>
      <c r="F99" s="458"/>
      <c r="G99" s="458"/>
      <c r="H99" s="458"/>
    </row>
    <row r="100" spans="4:8">
      <c r="D100" s="458"/>
      <c r="E100" s="458"/>
      <c r="F100" s="458"/>
      <c r="G100" s="458"/>
      <c r="H100" s="458"/>
    </row>
    <row r="101" spans="4:8">
      <c r="D101" s="458"/>
      <c r="E101" s="458"/>
      <c r="F101" s="458"/>
      <c r="G101" s="458"/>
      <c r="H101" s="458"/>
    </row>
    <row r="102" spans="4:8">
      <c r="D102" s="458"/>
      <c r="E102" s="458"/>
      <c r="F102" s="458"/>
      <c r="G102" s="458"/>
      <c r="H102" s="458"/>
    </row>
    <row r="103" spans="4:8">
      <c r="D103" s="458"/>
      <c r="E103" s="458"/>
      <c r="F103" s="458"/>
      <c r="G103" s="458"/>
      <c r="H103" s="458"/>
    </row>
    <row r="104" spans="4:8">
      <c r="D104" s="458"/>
      <c r="E104" s="458"/>
      <c r="F104" s="458"/>
      <c r="G104" s="458"/>
      <c r="H104" s="458"/>
    </row>
    <row r="105" spans="4:8">
      <c r="D105" s="458"/>
      <c r="E105" s="458"/>
      <c r="F105" s="458"/>
      <c r="G105" s="458"/>
      <c r="H105" s="458"/>
    </row>
    <row r="106" spans="4:8">
      <c r="D106" s="458"/>
      <c r="E106" s="458"/>
      <c r="F106" s="458"/>
      <c r="G106" s="458"/>
      <c r="H106" s="458"/>
    </row>
    <row r="107" spans="4:8">
      <c r="D107" s="458"/>
      <c r="E107" s="458"/>
      <c r="F107" s="458"/>
      <c r="G107" s="458"/>
      <c r="H107" s="458"/>
    </row>
    <row r="108" spans="4:8">
      <c r="D108" s="458"/>
      <c r="E108" s="458"/>
      <c r="F108" s="458"/>
      <c r="G108" s="458"/>
      <c r="H108" s="458"/>
    </row>
    <row r="109" spans="4:8">
      <c r="D109" s="458"/>
      <c r="E109" s="458"/>
      <c r="F109" s="458"/>
      <c r="G109" s="458"/>
      <c r="H109" s="458"/>
    </row>
    <row r="110" spans="4:8">
      <c r="D110" s="458"/>
      <c r="E110" s="458"/>
      <c r="F110" s="458"/>
      <c r="G110" s="458"/>
      <c r="H110" s="458"/>
    </row>
    <row r="111" spans="4:8">
      <c r="D111" s="458"/>
      <c r="E111" s="458"/>
      <c r="F111" s="458"/>
      <c r="G111" s="458"/>
      <c r="H111" s="458"/>
    </row>
    <row r="112" spans="4:8">
      <c r="D112" s="458"/>
      <c r="E112" s="458"/>
      <c r="F112" s="458"/>
      <c r="G112" s="458"/>
      <c r="H112" s="458"/>
    </row>
    <row r="113" spans="4:8">
      <c r="D113" s="458"/>
      <c r="E113" s="458"/>
      <c r="F113" s="458"/>
      <c r="G113" s="458"/>
      <c r="H113" s="458"/>
    </row>
    <row r="114" spans="4:8">
      <c r="D114" s="458"/>
      <c r="E114" s="458"/>
      <c r="F114" s="458"/>
      <c r="G114" s="458"/>
      <c r="H114" s="458"/>
    </row>
    <row r="115" spans="4:8">
      <c r="D115" s="458"/>
      <c r="E115" s="458"/>
      <c r="F115" s="458"/>
      <c r="G115" s="458"/>
      <c r="H115" s="458"/>
    </row>
    <row r="116" spans="4:8">
      <c r="D116" s="458"/>
      <c r="E116" s="458"/>
      <c r="F116" s="458"/>
      <c r="G116" s="458"/>
      <c r="H116" s="458"/>
    </row>
    <row r="117" spans="4:8">
      <c r="D117" s="458"/>
      <c r="E117" s="458"/>
      <c r="F117" s="458"/>
      <c r="G117" s="458"/>
      <c r="H117" s="458"/>
    </row>
    <row r="118" spans="4:8">
      <c r="D118" s="458"/>
      <c r="E118" s="458"/>
      <c r="F118" s="458"/>
      <c r="G118" s="458"/>
      <c r="H118" s="458"/>
    </row>
    <row r="119" spans="4:8">
      <c r="D119" s="458"/>
      <c r="E119" s="458"/>
      <c r="F119" s="458"/>
      <c r="G119" s="458"/>
      <c r="H119" s="458"/>
    </row>
    <row r="120" spans="4:8">
      <c r="D120" s="458"/>
      <c r="E120" s="458"/>
      <c r="F120" s="458"/>
      <c r="G120" s="458"/>
      <c r="H120" s="458"/>
    </row>
    <row r="121" spans="4:8">
      <c r="D121" s="458"/>
      <c r="E121" s="458"/>
      <c r="F121" s="458"/>
      <c r="G121" s="458"/>
      <c r="H121" s="458"/>
    </row>
    <row r="122" spans="4:8">
      <c r="D122" s="458"/>
      <c r="E122" s="458"/>
      <c r="F122" s="458"/>
      <c r="G122" s="458"/>
      <c r="H122" s="458"/>
    </row>
    <row r="123" spans="4:8">
      <c r="D123" s="458"/>
      <c r="E123" s="458"/>
      <c r="F123" s="458"/>
      <c r="G123" s="458"/>
      <c r="H123" s="458"/>
    </row>
    <row r="124" spans="4:8">
      <c r="D124" s="458"/>
      <c r="E124" s="458"/>
      <c r="F124" s="458"/>
      <c r="G124" s="458"/>
      <c r="H124" s="458"/>
    </row>
    <row r="125" spans="4:8">
      <c r="D125" s="458"/>
      <c r="E125" s="458"/>
      <c r="F125" s="458"/>
      <c r="G125" s="458"/>
      <c r="H125" s="458"/>
    </row>
    <row r="126" spans="4:8">
      <c r="D126" s="458"/>
      <c r="E126" s="458"/>
      <c r="F126" s="458"/>
      <c r="G126" s="458"/>
      <c r="H126" s="458"/>
    </row>
    <row r="127" spans="4:8">
      <c r="D127" s="458"/>
      <c r="E127" s="458"/>
      <c r="F127" s="458"/>
      <c r="G127" s="458"/>
      <c r="H127" s="458"/>
    </row>
    <row r="128" spans="4:8">
      <c r="D128" s="458"/>
      <c r="E128" s="458"/>
      <c r="F128" s="458"/>
      <c r="G128" s="458"/>
      <c r="H128" s="458"/>
    </row>
    <row r="129" spans="4:8">
      <c r="D129" s="458"/>
      <c r="E129" s="458"/>
      <c r="F129" s="458"/>
      <c r="G129" s="458"/>
      <c r="H129" s="458"/>
    </row>
    <row r="130" spans="4:8">
      <c r="D130" s="458"/>
      <c r="E130" s="458"/>
      <c r="F130" s="458"/>
      <c r="G130" s="458"/>
      <c r="H130" s="458"/>
    </row>
    <row r="131" spans="4:8">
      <c r="D131" s="458"/>
      <c r="E131" s="458"/>
      <c r="F131" s="458"/>
      <c r="G131" s="458"/>
      <c r="H131" s="458"/>
    </row>
    <row r="132" spans="4:8">
      <c r="D132" s="458"/>
      <c r="E132" s="458"/>
      <c r="F132" s="458"/>
      <c r="G132" s="458"/>
      <c r="H132" s="458"/>
    </row>
    <row r="133" spans="4:8">
      <c r="D133" s="458"/>
      <c r="E133" s="458"/>
      <c r="F133" s="458"/>
      <c r="G133" s="458"/>
      <c r="H133" s="458"/>
    </row>
    <row r="134" spans="4:8">
      <c r="D134" s="458"/>
      <c r="E134" s="458"/>
      <c r="F134" s="458"/>
      <c r="G134" s="458"/>
      <c r="H134" s="458"/>
    </row>
    <row r="135" spans="4:8">
      <c r="D135" s="458"/>
      <c r="E135" s="458"/>
      <c r="F135" s="458"/>
      <c r="G135" s="458"/>
      <c r="H135" s="458"/>
    </row>
    <row r="136" spans="4:8">
      <c r="D136" s="458"/>
      <c r="E136" s="458"/>
      <c r="F136" s="458"/>
      <c r="G136" s="458"/>
      <c r="H136" s="458"/>
    </row>
    <row r="137" spans="4:8">
      <c r="D137" s="458"/>
      <c r="E137" s="458"/>
      <c r="F137" s="458"/>
      <c r="G137" s="458"/>
      <c r="H137" s="458"/>
    </row>
    <row r="138" spans="4:8">
      <c r="D138" s="458"/>
      <c r="E138" s="458"/>
      <c r="F138" s="458"/>
      <c r="G138" s="458"/>
      <c r="H138" s="458"/>
    </row>
    <row r="139" spans="4:8">
      <c r="D139" s="458"/>
      <c r="E139" s="458"/>
      <c r="F139" s="458"/>
      <c r="G139" s="458"/>
      <c r="H139" s="458"/>
    </row>
    <row r="140" spans="4:8">
      <c r="D140" s="458"/>
      <c r="E140" s="458"/>
      <c r="F140" s="458"/>
      <c r="G140" s="458"/>
      <c r="H140" s="458"/>
    </row>
    <row r="141" spans="4:8">
      <c r="D141" s="458"/>
      <c r="E141" s="458"/>
      <c r="F141" s="458"/>
      <c r="G141" s="458"/>
      <c r="H141" s="458"/>
    </row>
    <row r="142" spans="4:8">
      <c r="D142" s="458"/>
      <c r="E142" s="458"/>
      <c r="F142" s="458"/>
      <c r="G142" s="458"/>
      <c r="H142" s="458"/>
    </row>
    <row r="143" spans="4:8">
      <c r="D143" s="458"/>
      <c r="E143" s="458"/>
      <c r="F143" s="458"/>
      <c r="G143" s="458"/>
      <c r="H143" s="458"/>
    </row>
    <row r="144" spans="4:8">
      <c r="D144" s="458"/>
      <c r="E144" s="458"/>
      <c r="F144" s="458"/>
      <c r="G144" s="458"/>
      <c r="H144" s="458"/>
    </row>
    <row r="145" spans="4:8">
      <c r="D145" s="458"/>
      <c r="E145" s="458"/>
      <c r="F145" s="458"/>
      <c r="G145" s="458"/>
      <c r="H145" s="458"/>
    </row>
    <row r="146" spans="4:8">
      <c r="D146" s="458"/>
      <c r="E146" s="458"/>
      <c r="F146" s="458"/>
      <c r="G146" s="458"/>
      <c r="H146" s="458"/>
    </row>
    <row r="147" spans="4:8">
      <c r="D147" s="458"/>
      <c r="E147" s="458"/>
      <c r="F147" s="458"/>
      <c r="G147" s="458"/>
      <c r="H147" s="458"/>
    </row>
    <row r="148" spans="4:8">
      <c r="D148" s="458"/>
      <c r="E148" s="458"/>
      <c r="F148" s="458"/>
      <c r="G148" s="458"/>
      <c r="H148" s="458"/>
    </row>
    <row r="149" spans="4:8">
      <c r="D149" s="458"/>
      <c r="E149" s="458"/>
      <c r="F149" s="458"/>
      <c r="G149" s="458"/>
      <c r="H149" s="458"/>
    </row>
    <row r="150" spans="4:8">
      <c r="D150" s="458"/>
      <c r="E150" s="458"/>
      <c r="F150" s="458"/>
      <c r="G150" s="458"/>
      <c r="H150" s="458"/>
    </row>
    <row r="151" spans="4:8">
      <c r="D151" s="458"/>
      <c r="E151" s="458"/>
      <c r="F151" s="458"/>
      <c r="G151" s="458"/>
      <c r="H151" s="458"/>
    </row>
    <row r="152" spans="4:8">
      <c r="D152" s="458"/>
      <c r="E152" s="458"/>
      <c r="F152" s="458"/>
      <c r="G152" s="458"/>
      <c r="H152" s="458"/>
    </row>
    <row r="153" spans="4:8">
      <c r="D153" s="458"/>
      <c r="E153" s="458"/>
      <c r="F153" s="458"/>
      <c r="G153" s="458"/>
      <c r="H153" s="458"/>
    </row>
    <row r="154" spans="4:8">
      <c r="D154" s="458"/>
      <c r="E154" s="458"/>
      <c r="F154" s="458"/>
      <c r="G154" s="458"/>
      <c r="H154" s="458"/>
    </row>
    <row r="155" spans="4:8">
      <c r="D155" s="458"/>
      <c r="E155" s="458"/>
      <c r="F155" s="458"/>
      <c r="G155" s="458"/>
      <c r="H155" s="458"/>
    </row>
    <row r="156" spans="4:8">
      <c r="D156" s="458"/>
      <c r="E156" s="458"/>
      <c r="F156" s="458"/>
      <c r="G156" s="458"/>
      <c r="H156" s="458"/>
    </row>
    <row r="157" spans="4:8">
      <c r="D157" s="458"/>
      <c r="E157" s="458"/>
      <c r="F157" s="458"/>
      <c r="G157" s="458"/>
      <c r="H157" s="458"/>
    </row>
    <row r="158" spans="4:8">
      <c r="D158" s="458"/>
      <c r="E158" s="458"/>
      <c r="F158" s="458"/>
      <c r="G158" s="458"/>
      <c r="H158" s="458"/>
    </row>
    <row r="159" spans="4:8">
      <c r="D159" s="458"/>
      <c r="E159" s="458"/>
      <c r="F159" s="458"/>
      <c r="G159" s="458"/>
      <c r="H159" s="458"/>
    </row>
    <row r="160" spans="4:8">
      <c r="D160" s="458"/>
      <c r="E160" s="458"/>
      <c r="F160" s="458"/>
      <c r="G160" s="458"/>
      <c r="H160" s="458"/>
    </row>
    <row r="161" spans="4:8">
      <c r="D161" s="458"/>
      <c r="E161" s="458"/>
      <c r="F161" s="458"/>
      <c r="G161" s="458"/>
      <c r="H161" s="458"/>
    </row>
    <row r="162" spans="4:8">
      <c r="D162" s="458"/>
      <c r="E162" s="458"/>
      <c r="F162" s="458"/>
      <c r="G162" s="458"/>
      <c r="H162" s="458"/>
    </row>
    <row r="163" spans="4:8">
      <c r="D163" s="458"/>
      <c r="E163" s="458"/>
      <c r="F163" s="458"/>
      <c r="G163" s="458"/>
      <c r="H163" s="458"/>
    </row>
    <row r="164" spans="4:8">
      <c r="D164" s="458"/>
      <c r="E164" s="458"/>
      <c r="F164" s="458"/>
      <c r="G164" s="458"/>
      <c r="H164" s="458"/>
    </row>
    <row r="165" spans="4:8">
      <c r="D165" s="458"/>
      <c r="E165" s="458"/>
      <c r="F165" s="458"/>
      <c r="G165" s="458"/>
      <c r="H165" s="458"/>
    </row>
    <row r="166" spans="4:8">
      <c r="D166" s="458"/>
      <c r="E166" s="458"/>
      <c r="F166" s="458"/>
      <c r="G166" s="458"/>
      <c r="H166" s="458"/>
    </row>
    <row r="167" spans="4:8">
      <c r="D167" s="458"/>
      <c r="E167" s="458"/>
      <c r="F167" s="458"/>
      <c r="G167" s="458"/>
      <c r="H167" s="458"/>
    </row>
    <row r="168" spans="4:8">
      <c r="D168" s="458"/>
      <c r="E168" s="458"/>
      <c r="F168" s="458"/>
      <c r="G168" s="458"/>
      <c r="H168" s="458"/>
    </row>
    <row r="169" spans="4:8">
      <c r="D169" s="458"/>
      <c r="E169" s="458"/>
      <c r="F169" s="458"/>
      <c r="G169" s="458"/>
      <c r="H169" s="458"/>
    </row>
    <row r="170" spans="4:8">
      <c r="D170" s="458"/>
      <c r="E170" s="458"/>
      <c r="F170" s="458"/>
      <c r="G170" s="458"/>
      <c r="H170" s="458"/>
    </row>
    <row r="171" spans="4:8">
      <c r="D171" s="458"/>
      <c r="E171" s="458"/>
      <c r="F171" s="458"/>
      <c r="G171" s="458"/>
      <c r="H171" s="458"/>
    </row>
    <row r="172" spans="4:8">
      <c r="D172" s="458"/>
      <c r="E172" s="458"/>
      <c r="F172" s="458"/>
      <c r="G172" s="458"/>
      <c r="H172" s="458"/>
    </row>
    <row r="173" spans="4:8">
      <c r="D173" s="458"/>
      <c r="E173" s="458"/>
      <c r="F173" s="458"/>
      <c r="G173" s="458"/>
      <c r="H173" s="458"/>
    </row>
    <row r="174" spans="4:8">
      <c r="D174" s="458"/>
      <c r="E174" s="458"/>
      <c r="F174" s="458"/>
      <c r="G174" s="458"/>
      <c r="H174" s="458"/>
    </row>
    <row r="175" spans="4:8">
      <c r="D175" s="458"/>
      <c r="E175" s="458"/>
      <c r="F175" s="458"/>
      <c r="G175" s="458"/>
      <c r="H175" s="458"/>
    </row>
    <row r="176" spans="4:8">
      <c r="D176" s="458"/>
      <c r="E176" s="458"/>
      <c r="F176" s="458"/>
      <c r="G176" s="458"/>
      <c r="H176" s="458"/>
    </row>
    <row r="177" spans="4:8">
      <c r="D177" s="458"/>
      <c r="E177" s="458"/>
      <c r="F177" s="458"/>
      <c r="G177" s="458"/>
      <c r="H177" s="458"/>
    </row>
    <row r="178" spans="4:8">
      <c r="D178" s="458"/>
      <c r="E178" s="458"/>
      <c r="F178" s="458"/>
      <c r="G178" s="458"/>
      <c r="H178" s="458"/>
    </row>
    <row r="179" spans="4:8">
      <c r="D179" s="458"/>
      <c r="E179" s="458"/>
      <c r="F179" s="458"/>
      <c r="G179" s="458"/>
      <c r="H179" s="458"/>
    </row>
    <row r="180" spans="4:8">
      <c r="D180" s="458"/>
      <c r="E180" s="458"/>
      <c r="F180" s="458"/>
      <c r="G180" s="458"/>
      <c r="H180" s="458"/>
    </row>
    <row r="181" spans="4:8">
      <c r="D181" s="458"/>
      <c r="E181" s="458"/>
      <c r="F181" s="458"/>
      <c r="G181" s="458"/>
      <c r="H181" s="458"/>
    </row>
    <row r="182" spans="4:8">
      <c r="D182" s="458"/>
      <c r="E182" s="458"/>
      <c r="F182" s="458"/>
      <c r="G182" s="458"/>
      <c r="H182" s="458"/>
    </row>
    <row r="183" spans="4:8">
      <c r="D183" s="458"/>
      <c r="E183" s="458"/>
      <c r="F183" s="458"/>
      <c r="G183" s="458"/>
      <c r="H183" s="458"/>
    </row>
    <row r="184" spans="4:8">
      <c r="D184" s="458"/>
      <c r="E184" s="458"/>
      <c r="F184" s="458"/>
      <c r="G184" s="458"/>
      <c r="H184" s="458"/>
    </row>
    <row r="185" spans="4:8">
      <c r="D185" s="458"/>
      <c r="E185" s="458"/>
      <c r="F185" s="458"/>
      <c r="G185" s="458"/>
      <c r="H185" s="458"/>
    </row>
    <row r="186" spans="4:8">
      <c r="D186" s="458"/>
      <c r="E186" s="458"/>
      <c r="F186" s="458"/>
      <c r="G186" s="458"/>
      <c r="H186" s="458"/>
    </row>
    <row r="187" spans="4:8">
      <c r="D187" s="458"/>
      <c r="E187" s="458"/>
      <c r="F187" s="458"/>
      <c r="G187" s="458"/>
      <c r="H187" s="458"/>
    </row>
    <row r="188" spans="4:8">
      <c r="D188" s="458"/>
      <c r="E188" s="458"/>
      <c r="F188" s="458"/>
      <c r="G188" s="458"/>
      <c r="H188" s="458"/>
    </row>
    <row r="189" spans="4:8">
      <c r="D189" s="458"/>
      <c r="E189" s="458"/>
      <c r="F189" s="458"/>
      <c r="G189" s="458"/>
      <c r="H189" s="458"/>
    </row>
    <row r="190" spans="4:8">
      <c r="D190" s="458"/>
      <c r="E190" s="458"/>
      <c r="F190" s="458"/>
      <c r="G190" s="458"/>
      <c r="H190" s="458"/>
    </row>
    <row r="191" spans="4:8">
      <c r="D191" s="458"/>
      <c r="E191" s="458"/>
      <c r="F191" s="458"/>
      <c r="G191" s="458"/>
      <c r="H191" s="458"/>
    </row>
    <row r="192" spans="4:8">
      <c r="D192" s="458"/>
      <c r="E192" s="458"/>
      <c r="F192" s="458"/>
      <c r="G192" s="458"/>
      <c r="H192" s="458"/>
    </row>
    <row r="193" spans="4:8">
      <c r="D193" s="458"/>
      <c r="E193" s="458"/>
      <c r="F193" s="458"/>
      <c r="G193" s="458"/>
      <c r="H193" s="458"/>
    </row>
    <row r="194" spans="4:8">
      <c r="D194" s="458"/>
      <c r="E194" s="458"/>
      <c r="F194" s="458"/>
      <c r="G194" s="458"/>
      <c r="H194" s="458"/>
    </row>
    <row r="195" spans="4:8">
      <c r="D195" s="458"/>
      <c r="E195" s="458"/>
      <c r="F195" s="458"/>
      <c r="G195" s="458"/>
      <c r="H195" s="458"/>
    </row>
    <row r="196" spans="4:8">
      <c r="D196" s="458"/>
      <c r="E196" s="458"/>
      <c r="F196" s="458"/>
      <c r="G196" s="458"/>
      <c r="H196" s="458"/>
    </row>
    <row r="197" spans="4:8">
      <c r="D197" s="458"/>
      <c r="E197" s="458"/>
      <c r="F197" s="458"/>
      <c r="G197" s="458"/>
      <c r="H197" s="458"/>
    </row>
    <row r="198" spans="4:8">
      <c r="D198" s="458"/>
      <c r="E198" s="458"/>
      <c r="F198" s="458"/>
      <c r="G198" s="458"/>
      <c r="H198" s="458"/>
    </row>
    <row r="199" spans="4:8">
      <c r="D199" s="458"/>
      <c r="E199" s="458"/>
      <c r="F199" s="458"/>
      <c r="G199" s="458"/>
      <c r="H199" s="458"/>
    </row>
    <row r="200" spans="4:8">
      <c r="D200" s="458"/>
      <c r="E200" s="458"/>
      <c r="F200" s="458"/>
      <c r="G200" s="458"/>
      <c r="H200" s="458"/>
    </row>
    <row r="201" spans="4:8">
      <c r="D201" s="458"/>
      <c r="E201" s="458"/>
      <c r="F201" s="458"/>
      <c r="G201" s="458"/>
      <c r="H201" s="458"/>
    </row>
    <row r="202" spans="4:8">
      <c r="D202" s="458"/>
      <c r="E202" s="458"/>
      <c r="F202" s="458"/>
      <c r="G202" s="458"/>
      <c r="H202" s="458"/>
    </row>
    <row r="203" spans="4:8">
      <c r="D203" s="458"/>
      <c r="E203" s="458"/>
      <c r="F203" s="458"/>
      <c r="G203" s="458"/>
      <c r="H203" s="458"/>
    </row>
    <row r="204" spans="4:8">
      <c r="D204" s="458"/>
      <c r="E204" s="458"/>
      <c r="F204" s="458"/>
      <c r="G204" s="458"/>
      <c r="H204" s="458"/>
    </row>
    <row r="205" spans="4:8">
      <c r="D205" s="458"/>
      <c r="E205" s="458"/>
      <c r="F205" s="458"/>
      <c r="G205" s="458"/>
      <c r="H205" s="458"/>
    </row>
    <row r="206" spans="4:8">
      <c r="D206" s="458"/>
      <c r="E206" s="458"/>
      <c r="F206" s="458"/>
      <c r="G206" s="458"/>
      <c r="H206" s="458"/>
    </row>
    <row r="207" spans="4:8">
      <c r="D207" s="458"/>
      <c r="E207" s="458"/>
      <c r="F207" s="458"/>
      <c r="G207" s="458"/>
      <c r="H207" s="458"/>
    </row>
    <row r="208" spans="4:8">
      <c r="D208" s="458"/>
      <c r="E208" s="458"/>
      <c r="F208" s="458"/>
      <c r="G208" s="458"/>
      <c r="H208" s="458"/>
    </row>
    <row r="209" spans="4:8">
      <c r="D209" s="458"/>
      <c r="E209" s="458"/>
      <c r="F209" s="458"/>
      <c r="G209" s="458"/>
      <c r="H209" s="458"/>
    </row>
    <row r="210" spans="4:8">
      <c r="D210" s="458"/>
      <c r="E210" s="458"/>
      <c r="F210" s="458"/>
      <c r="G210" s="458"/>
      <c r="H210" s="458"/>
    </row>
    <row r="211" spans="4:8">
      <c r="D211" s="458"/>
      <c r="E211" s="458"/>
      <c r="F211" s="458"/>
      <c r="G211" s="458"/>
      <c r="H211" s="458"/>
    </row>
    <row r="212" spans="4:8">
      <c r="D212" s="458"/>
      <c r="E212" s="458"/>
      <c r="F212" s="458"/>
      <c r="G212" s="458"/>
      <c r="H212" s="458"/>
    </row>
    <row r="213" spans="4:8">
      <c r="D213" s="458"/>
      <c r="E213" s="458"/>
      <c r="F213" s="458"/>
      <c r="G213" s="458"/>
      <c r="H213" s="458"/>
    </row>
    <row r="214" spans="4:8">
      <c r="D214" s="458"/>
      <c r="E214" s="458"/>
      <c r="F214" s="458"/>
      <c r="G214" s="458"/>
      <c r="H214" s="458"/>
    </row>
    <row r="215" spans="4:8">
      <c r="D215" s="458"/>
      <c r="E215" s="458"/>
      <c r="F215" s="458"/>
      <c r="G215" s="458"/>
      <c r="H215" s="458"/>
    </row>
    <row r="216" spans="4:8">
      <c r="D216" s="458"/>
      <c r="E216" s="458"/>
      <c r="F216" s="458"/>
      <c r="G216" s="458"/>
      <c r="H216" s="458"/>
    </row>
    <row r="217" spans="4:8">
      <c r="D217" s="458"/>
      <c r="E217" s="458"/>
      <c r="F217" s="458"/>
      <c r="G217" s="458"/>
      <c r="H217" s="458"/>
    </row>
    <row r="218" spans="4:8">
      <c r="D218" s="458"/>
      <c r="E218" s="458"/>
      <c r="F218" s="458"/>
      <c r="G218" s="458"/>
      <c r="H218" s="458"/>
    </row>
    <row r="219" spans="4:8">
      <c r="D219" s="458"/>
      <c r="E219" s="458"/>
      <c r="F219" s="458"/>
      <c r="G219" s="458"/>
      <c r="H219" s="458"/>
    </row>
    <row r="220" spans="4:8">
      <c r="D220" s="458"/>
      <c r="E220" s="458"/>
      <c r="F220" s="458"/>
      <c r="G220" s="458"/>
      <c r="H220" s="458"/>
    </row>
    <row r="221" spans="4:8">
      <c r="D221" s="458"/>
      <c r="E221" s="458"/>
      <c r="F221" s="458"/>
      <c r="G221" s="458"/>
      <c r="H221" s="458"/>
    </row>
    <row r="222" spans="4:8">
      <c r="D222" s="458"/>
      <c r="E222" s="458"/>
      <c r="F222" s="458"/>
      <c r="G222" s="458"/>
      <c r="H222" s="458"/>
    </row>
    <row r="223" spans="4:8">
      <c r="D223" s="458"/>
      <c r="E223" s="458"/>
      <c r="F223" s="458"/>
      <c r="G223" s="458"/>
      <c r="H223" s="458"/>
    </row>
    <row r="224" spans="4:8">
      <c r="D224" s="458"/>
      <c r="E224" s="458"/>
      <c r="F224" s="458"/>
      <c r="G224" s="458"/>
      <c r="H224" s="458"/>
    </row>
    <row r="225" spans="4:8">
      <c r="D225" s="458"/>
      <c r="E225" s="458"/>
      <c r="F225" s="458"/>
      <c r="G225" s="458"/>
      <c r="H225" s="458"/>
    </row>
    <row r="226" spans="4:8">
      <c r="D226" s="458"/>
      <c r="E226" s="458"/>
      <c r="F226" s="458"/>
      <c r="G226" s="458"/>
      <c r="H226" s="458"/>
    </row>
    <row r="227" spans="4:8">
      <c r="D227" s="458"/>
      <c r="E227" s="458"/>
      <c r="F227" s="458"/>
      <c r="G227" s="458"/>
      <c r="H227" s="458"/>
    </row>
    <row r="228" spans="4:8">
      <c r="D228" s="458"/>
      <c r="E228" s="458"/>
      <c r="F228" s="458"/>
      <c r="G228" s="458"/>
      <c r="H228" s="458"/>
    </row>
    <row r="229" spans="4:8">
      <c r="D229" s="458"/>
      <c r="E229" s="458"/>
      <c r="F229" s="458"/>
      <c r="G229" s="458"/>
      <c r="H229" s="458"/>
    </row>
    <row r="230" spans="4:8">
      <c r="D230" s="458"/>
      <c r="E230" s="458"/>
      <c r="F230" s="458"/>
      <c r="G230" s="458"/>
      <c r="H230" s="458"/>
    </row>
    <row r="231" spans="4:8">
      <c r="D231" s="458"/>
      <c r="E231" s="458"/>
      <c r="F231" s="458"/>
      <c r="G231" s="458"/>
      <c r="H231" s="458"/>
    </row>
    <row r="232" spans="4:8">
      <c r="D232" s="458"/>
      <c r="E232" s="458"/>
      <c r="F232" s="458"/>
      <c r="G232" s="458"/>
      <c r="H232" s="458"/>
    </row>
    <row r="233" spans="4:8">
      <c r="D233" s="458"/>
      <c r="E233" s="458"/>
      <c r="F233" s="458"/>
      <c r="G233" s="458"/>
      <c r="H233" s="458"/>
    </row>
    <row r="234" spans="4:8">
      <c r="D234" s="458"/>
      <c r="E234" s="458"/>
      <c r="F234" s="458"/>
      <c r="G234" s="458"/>
      <c r="H234" s="458"/>
    </row>
    <row r="235" spans="4:8">
      <c r="D235" s="458"/>
      <c r="E235" s="458"/>
      <c r="F235" s="458"/>
      <c r="G235" s="458"/>
      <c r="H235" s="458"/>
    </row>
    <row r="236" spans="4:8">
      <c r="D236" s="458"/>
      <c r="E236" s="458"/>
      <c r="F236" s="458"/>
      <c r="G236" s="458"/>
      <c r="H236" s="458"/>
    </row>
    <row r="237" spans="4:8">
      <c r="D237" s="458"/>
      <c r="E237" s="458"/>
      <c r="F237" s="458"/>
      <c r="G237" s="458"/>
      <c r="H237" s="458"/>
    </row>
    <row r="238" spans="4:8">
      <c r="D238" s="458"/>
      <c r="E238" s="458"/>
      <c r="F238" s="458"/>
      <c r="G238" s="458"/>
      <c r="H238" s="458"/>
    </row>
    <row r="239" spans="4:8">
      <c r="D239" s="458"/>
      <c r="E239" s="458"/>
      <c r="F239" s="458"/>
      <c r="G239" s="458"/>
      <c r="H239" s="458"/>
    </row>
    <row r="240" spans="4:8">
      <c r="D240" s="458"/>
      <c r="E240" s="458"/>
      <c r="F240" s="458"/>
      <c r="G240" s="458"/>
      <c r="H240" s="458"/>
    </row>
    <row r="241" spans="4:8">
      <c r="D241" s="458"/>
      <c r="E241" s="458"/>
      <c r="F241" s="458"/>
      <c r="G241" s="458"/>
      <c r="H241" s="458"/>
    </row>
    <row r="242" spans="4:8">
      <c r="D242" s="458"/>
      <c r="E242" s="458"/>
      <c r="F242" s="458"/>
      <c r="G242" s="458"/>
      <c r="H242" s="458"/>
    </row>
    <row r="243" spans="4:8">
      <c r="D243" s="458"/>
      <c r="E243" s="458"/>
      <c r="F243" s="458"/>
      <c r="G243" s="458"/>
      <c r="H243" s="458"/>
    </row>
    <row r="244" spans="4:8">
      <c r="D244" s="458"/>
      <c r="E244" s="458"/>
      <c r="F244" s="458"/>
      <c r="G244" s="458"/>
      <c r="H244" s="458"/>
    </row>
    <row r="245" spans="4:8">
      <c r="D245" s="458"/>
      <c r="E245" s="458"/>
      <c r="F245" s="458"/>
      <c r="G245" s="458"/>
      <c r="H245" s="458"/>
    </row>
    <row r="246" spans="4:8">
      <c r="D246" s="458"/>
      <c r="E246" s="458"/>
      <c r="F246" s="458"/>
      <c r="G246" s="458"/>
      <c r="H246" s="458"/>
    </row>
    <row r="247" spans="4:8">
      <c r="D247" s="458"/>
      <c r="E247" s="458"/>
      <c r="F247" s="458"/>
      <c r="G247" s="458"/>
      <c r="H247" s="458"/>
    </row>
    <row r="248" spans="4:8">
      <c r="D248" s="458"/>
      <c r="E248" s="458"/>
      <c r="F248" s="458"/>
      <c r="G248" s="458"/>
      <c r="H248" s="458"/>
    </row>
    <row r="249" spans="4:8">
      <c r="D249" s="458"/>
      <c r="E249" s="458"/>
      <c r="F249" s="458"/>
      <c r="G249" s="458"/>
      <c r="H249" s="458"/>
    </row>
    <row r="250" spans="4:8">
      <c r="D250" s="458"/>
      <c r="E250" s="458"/>
      <c r="F250" s="458"/>
      <c r="G250" s="458"/>
      <c r="H250" s="458"/>
    </row>
    <row r="251" spans="4:8">
      <c r="D251" s="458"/>
      <c r="E251" s="458"/>
      <c r="F251" s="458"/>
      <c r="G251" s="458"/>
      <c r="H251" s="458"/>
    </row>
    <row r="252" spans="4:8">
      <c r="D252" s="458"/>
      <c r="E252" s="458"/>
      <c r="F252" s="458"/>
      <c r="G252" s="458"/>
      <c r="H252" s="458"/>
    </row>
    <row r="253" spans="4:8">
      <c r="D253" s="458"/>
      <c r="E253" s="458"/>
      <c r="F253" s="458"/>
      <c r="G253" s="458"/>
      <c r="H253" s="458"/>
    </row>
    <row r="254" spans="4:8">
      <c r="D254" s="458"/>
      <c r="E254" s="458"/>
      <c r="F254" s="458"/>
      <c r="G254" s="458"/>
      <c r="H254" s="458"/>
    </row>
    <row r="255" spans="4:8">
      <c r="D255" s="458"/>
      <c r="E255" s="458"/>
      <c r="F255" s="458"/>
      <c r="G255" s="458"/>
      <c r="H255" s="458"/>
    </row>
    <row r="256" spans="4:8">
      <c r="D256" s="458"/>
      <c r="E256" s="458"/>
      <c r="F256" s="458"/>
      <c r="G256" s="458"/>
      <c r="H256" s="458"/>
    </row>
    <row r="257" spans="4:8">
      <c r="D257" s="458"/>
      <c r="E257" s="458"/>
      <c r="F257" s="458"/>
      <c r="G257" s="458"/>
      <c r="H257" s="458"/>
    </row>
    <row r="258" spans="4:8">
      <c r="D258" s="458"/>
      <c r="E258" s="458"/>
      <c r="F258" s="458"/>
      <c r="G258" s="458"/>
      <c r="H258" s="458"/>
    </row>
    <row r="259" spans="4:8">
      <c r="D259" s="458"/>
      <c r="E259" s="458"/>
      <c r="F259" s="458"/>
      <c r="G259" s="458"/>
      <c r="H259" s="458"/>
    </row>
    <row r="260" spans="4:8">
      <c r="D260" s="458"/>
      <c r="E260" s="458"/>
      <c r="F260" s="458"/>
      <c r="G260" s="458"/>
      <c r="H260" s="458"/>
    </row>
    <row r="261" spans="4:8">
      <c r="D261" s="458"/>
      <c r="E261" s="458"/>
      <c r="F261" s="458"/>
      <c r="G261" s="458"/>
      <c r="H261" s="458"/>
    </row>
    <row r="262" spans="4:8">
      <c r="D262" s="458"/>
      <c r="E262" s="458"/>
      <c r="F262" s="458"/>
      <c r="G262" s="458"/>
      <c r="H262" s="458"/>
    </row>
    <row r="263" spans="4:8">
      <c r="D263" s="458"/>
      <c r="E263" s="458"/>
      <c r="F263" s="458"/>
      <c r="G263" s="458"/>
      <c r="H263" s="458"/>
    </row>
    <row r="264" spans="4:8">
      <c r="D264" s="458"/>
      <c r="E264" s="458"/>
      <c r="F264" s="458"/>
      <c r="G264" s="458"/>
      <c r="H264" s="458"/>
    </row>
    <row r="265" spans="4:8">
      <c r="D265" s="458"/>
      <c r="E265" s="458"/>
      <c r="F265" s="458"/>
      <c r="G265" s="458"/>
      <c r="H265" s="458"/>
    </row>
    <row r="266" spans="4:8">
      <c r="D266" s="458"/>
      <c r="E266" s="458"/>
      <c r="F266" s="458"/>
      <c r="G266" s="458"/>
      <c r="H266" s="458"/>
    </row>
    <row r="267" spans="4:8">
      <c r="D267" s="458"/>
      <c r="E267" s="458"/>
      <c r="F267" s="458"/>
      <c r="G267" s="458"/>
      <c r="H267" s="458"/>
    </row>
    <row r="268" spans="4:8">
      <c r="D268" s="458"/>
      <c r="E268" s="458"/>
      <c r="F268" s="458"/>
      <c r="G268" s="458"/>
      <c r="H268" s="458"/>
    </row>
    <row r="269" spans="4:8">
      <c r="D269" s="458"/>
      <c r="E269" s="458"/>
      <c r="F269" s="458"/>
      <c r="G269" s="458"/>
      <c r="H269" s="458"/>
    </row>
    <row r="270" spans="4:8">
      <c r="D270" s="458"/>
      <c r="E270" s="458"/>
      <c r="F270" s="458"/>
      <c r="G270" s="458"/>
      <c r="H270" s="458"/>
    </row>
    <row r="271" spans="4:8">
      <c r="D271" s="458"/>
      <c r="E271" s="458"/>
      <c r="F271" s="458"/>
      <c r="G271" s="458"/>
      <c r="H271" s="458"/>
    </row>
    <row r="272" spans="4:8">
      <c r="D272" s="458"/>
      <c r="E272" s="458"/>
      <c r="F272" s="458"/>
      <c r="G272" s="458"/>
      <c r="H272" s="458"/>
    </row>
    <row r="273" spans="4:8">
      <c r="D273" s="458"/>
      <c r="E273" s="458"/>
      <c r="F273" s="458"/>
      <c r="G273" s="458"/>
      <c r="H273" s="458"/>
    </row>
    <row r="274" spans="4:8">
      <c r="D274" s="458"/>
      <c r="E274" s="458"/>
      <c r="F274" s="458"/>
      <c r="G274" s="458"/>
      <c r="H274" s="458"/>
    </row>
    <row r="275" spans="4:8">
      <c r="D275" s="458"/>
      <c r="E275" s="458"/>
      <c r="F275" s="458"/>
      <c r="G275" s="458"/>
      <c r="H275" s="458"/>
    </row>
    <row r="276" spans="4:8">
      <c r="D276" s="458"/>
      <c r="E276" s="458"/>
      <c r="F276" s="458"/>
      <c r="G276" s="458"/>
      <c r="H276" s="458"/>
    </row>
    <row r="277" spans="4:8">
      <c r="D277" s="458"/>
      <c r="E277" s="458"/>
      <c r="F277" s="458"/>
      <c r="G277" s="458"/>
      <c r="H277" s="458"/>
    </row>
    <row r="278" spans="4:8">
      <c r="D278" s="458"/>
      <c r="E278" s="458"/>
      <c r="F278" s="458"/>
      <c r="G278" s="458"/>
      <c r="H278" s="458"/>
    </row>
    <row r="279" spans="4:8">
      <c r="D279" s="458"/>
      <c r="E279" s="458"/>
      <c r="F279" s="458"/>
      <c r="G279" s="458"/>
      <c r="H279" s="458"/>
    </row>
    <row r="280" spans="4:8">
      <c r="D280" s="458"/>
      <c r="E280" s="458"/>
      <c r="F280" s="458"/>
      <c r="G280" s="458"/>
      <c r="H280" s="458"/>
    </row>
    <row r="281" spans="4:8">
      <c r="D281" s="458"/>
      <c r="E281" s="458"/>
      <c r="F281" s="458"/>
      <c r="G281" s="458"/>
      <c r="H281" s="458"/>
    </row>
    <row r="282" spans="4:8">
      <c r="D282" s="458"/>
      <c r="E282" s="458"/>
      <c r="F282" s="458"/>
      <c r="G282" s="458"/>
      <c r="H282" s="458"/>
    </row>
    <row r="283" spans="4:8">
      <c r="D283" s="458"/>
      <c r="E283" s="458"/>
      <c r="F283" s="458"/>
      <c r="G283" s="458"/>
      <c r="H283" s="458"/>
    </row>
    <row r="284" spans="4:8">
      <c r="D284" s="458"/>
      <c r="E284" s="458"/>
      <c r="F284" s="458"/>
      <c r="G284" s="458"/>
      <c r="H284" s="458"/>
    </row>
    <row r="285" spans="4:8">
      <c r="D285" s="458"/>
      <c r="E285" s="458"/>
      <c r="F285" s="458"/>
      <c r="G285" s="458"/>
      <c r="H285" s="458"/>
    </row>
    <row r="286" spans="4:8">
      <c r="D286" s="458"/>
      <c r="E286" s="458"/>
      <c r="F286" s="458"/>
      <c r="G286" s="458"/>
      <c r="H286" s="458"/>
    </row>
    <row r="287" spans="4:8">
      <c r="D287" s="458"/>
      <c r="E287" s="458"/>
      <c r="F287" s="458"/>
      <c r="G287" s="458"/>
      <c r="H287" s="458"/>
    </row>
    <row r="288" spans="4:8">
      <c r="D288" s="458"/>
      <c r="E288" s="458"/>
      <c r="F288" s="458"/>
      <c r="G288" s="458"/>
      <c r="H288" s="458"/>
    </row>
    <row r="289" spans="4:8">
      <c r="D289" s="458"/>
      <c r="E289" s="458"/>
      <c r="F289" s="458"/>
      <c r="G289" s="458"/>
      <c r="H289" s="458"/>
    </row>
    <row r="290" spans="4:8">
      <c r="D290" s="458"/>
      <c r="E290" s="458"/>
      <c r="F290" s="458"/>
      <c r="G290" s="458"/>
      <c r="H290" s="458"/>
    </row>
    <row r="291" spans="4:8">
      <c r="D291" s="458"/>
      <c r="E291" s="458"/>
      <c r="F291" s="458"/>
      <c r="G291" s="458"/>
      <c r="H291" s="458"/>
    </row>
    <row r="292" spans="4:8">
      <c r="D292" s="458"/>
      <c r="E292" s="458"/>
      <c r="F292" s="458"/>
      <c r="G292" s="458"/>
      <c r="H292" s="458"/>
    </row>
    <row r="293" spans="4:8">
      <c r="D293" s="458"/>
      <c r="E293" s="458"/>
      <c r="F293" s="458"/>
      <c r="G293" s="458"/>
      <c r="H293" s="458"/>
    </row>
    <row r="294" spans="4:8">
      <c r="D294" s="458"/>
      <c r="E294" s="458"/>
      <c r="F294" s="458"/>
      <c r="G294" s="458"/>
      <c r="H294" s="458"/>
    </row>
    <row r="295" spans="4:8">
      <c r="D295" s="458"/>
      <c r="E295" s="458"/>
      <c r="F295" s="458"/>
      <c r="G295" s="458"/>
      <c r="H295" s="458"/>
    </row>
    <row r="296" spans="4:8">
      <c r="D296" s="458"/>
      <c r="E296" s="458"/>
      <c r="F296" s="458"/>
      <c r="G296" s="458"/>
      <c r="H296" s="458"/>
    </row>
    <row r="297" spans="4:8">
      <c r="D297" s="458"/>
      <c r="E297" s="458"/>
      <c r="F297" s="458"/>
      <c r="G297" s="458"/>
      <c r="H297" s="458"/>
    </row>
    <row r="298" spans="4:8">
      <c r="D298" s="458"/>
      <c r="E298" s="458"/>
      <c r="F298" s="458"/>
      <c r="G298" s="458"/>
      <c r="H298" s="458"/>
    </row>
    <row r="299" spans="4:8">
      <c r="D299" s="458"/>
      <c r="E299" s="458"/>
      <c r="F299" s="458"/>
      <c r="G299" s="458"/>
      <c r="H299" s="458"/>
    </row>
    <row r="300" spans="4:8">
      <c r="D300" s="458"/>
      <c r="E300" s="458"/>
      <c r="F300" s="458"/>
      <c r="G300" s="458"/>
      <c r="H300" s="458"/>
    </row>
    <row r="301" spans="4:8">
      <c r="D301" s="458"/>
      <c r="E301" s="458"/>
      <c r="F301" s="458"/>
      <c r="G301" s="458"/>
      <c r="H301" s="458"/>
    </row>
    <row r="302" spans="4:8">
      <c r="D302" s="458"/>
      <c r="E302" s="458"/>
      <c r="F302" s="458"/>
      <c r="G302" s="458"/>
      <c r="H302" s="458"/>
    </row>
    <row r="303" spans="4:8">
      <c r="D303" s="458"/>
      <c r="E303" s="458"/>
      <c r="F303" s="458"/>
      <c r="G303" s="458"/>
      <c r="H303" s="458"/>
    </row>
    <row r="304" spans="4:8">
      <c r="D304" s="458"/>
      <c r="E304" s="458"/>
      <c r="F304" s="458"/>
      <c r="G304" s="458"/>
      <c r="H304" s="458"/>
    </row>
    <row r="305" spans="4:8">
      <c r="D305" s="458"/>
      <c r="E305" s="458"/>
      <c r="F305" s="458"/>
      <c r="G305" s="458"/>
      <c r="H305" s="458"/>
    </row>
    <row r="306" spans="4:8">
      <c r="D306" s="458"/>
      <c r="E306" s="458"/>
      <c r="F306" s="458"/>
      <c r="G306" s="458"/>
      <c r="H306" s="458"/>
    </row>
    <row r="307" spans="4:8">
      <c r="D307" s="458"/>
      <c r="E307" s="458"/>
      <c r="F307" s="458"/>
      <c r="G307" s="458"/>
      <c r="H307" s="458"/>
    </row>
    <row r="308" spans="4:8">
      <c r="D308" s="458"/>
      <c r="E308" s="458"/>
      <c r="F308" s="458"/>
      <c r="G308" s="458"/>
      <c r="H308" s="458"/>
    </row>
    <row r="309" spans="4:8">
      <c r="D309" s="458"/>
      <c r="E309" s="458"/>
      <c r="F309" s="458"/>
      <c r="G309" s="458"/>
      <c r="H309" s="458"/>
    </row>
    <row r="310" spans="4:8">
      <c r="D310" s="458"/>
      <c r="E310" s="458"/>
      <c r="F310" s="458"/>
      <c r="G310" s="458"/>
      <c r="H310" s="458"/>
    </row>
    <row r="311" spans="4:8">
      <c r="D311" s="458"/>
      <c r="E311" s="458"/>
      <c r="F311" s="458"/>
      <c r="G311" s="458"/>
      <c r="H311" s="458"/>
    </row>
    <row r="312" spans="4:8">
      <c r="D312" s="458"/>
      <c r="E312" s="458"/>
      <c r="F312" s="458"/>
      <c r="G312" s="458"/>
      <c r="H312" s="458"/>
    </row>
    <row r="313" spans="4:8">
      <c r="D313" s="458"/>
      <c r="E313" s="458"/>
      <c r="F313" s="458"/>
      <c r="G313" s="458"/>
      <c r="H313" s="458"/>
    </row>
    <row r="314" spans="4:8">
      <c r="D314" s="458"/>
      <c r="E314" s="458"/>
      <c r="F314" s="458"/>
      <c r="G314" s="458"/>
      <c r="H314" s="458"/>
    </row>
    <row r="315" spans="4:8">
      <c r="D315" s="458"/>
      <c r="E315" s="458"/>
      <c r="F315" s="458"/>
      <c r="G315" s="458"/>
      <c r="H315" s="458"/>
    </row>
    <row r="316" spans="4:8">
      <c r="D316" s="458"/>
      <c r="E316" s="458"/>
      <c r="F316" s="458"/>
      <c r="G316" s="458"/>
      <c r="H316" s="458"/>
    </row>
    <row r="317" spans="4:8">
      <c r="D317" s="458"/>
      <c r="E317" s="458"/>
      <c r="F317" s="458"/>
      <c r="G317" s="458"/>
      <c r="H317" s="458"/>
    </row>
    <row r="318" spans="4:8">
      <c r="D318" s="458"/>
      <c r="E318" s="458"/>
      <c r="F318" s="458"/>
      <c r="G318" s="458"/>
      <c r="H318" s="458"/>
    </row>
    <row r="319" spans="4:8">
      <c r="D319" s="458"/>
      <c r="E319" s="458"/>
      <c r="F319" s="458"/>
      <c r="G319" s="458"/>
      <c r="H319" s="458"/>
    </row>
    <row r="320" spans="4:8">
      <c r="D320" s="458"/>
      <c r="E320" s="458"/>
      <c r="F320" s="458"/>
      <c r="G320" s="458"/>
      <c r="H320" s="458"/>
    </row>
    <row r="321" spans="4:8">
      <c r="D321" s="458"/>
      <c r="E321" s="458"/>
      <c r="F321" s="458"/>
      <c r="G321" s="458"/>
      <c r="H321" s="458"/>
    </row>
    <row r="322" spans="4:8">
      <c r="D322" s="458"/>
      <c r="E322" s="458"/>
      <c r="F322" s="458"/>
      <c r="G322" s="458"/>
      <c r="H322" s="458"/>
    </row>
    <row r="323" spans="4:8">
      <c r="D323" s="458"/>
      <c r="E323" s="458"/>
      <c r="F323" s="458"/>
      <c r="G323" s="458"/>
      <c r="H323" s="458"/>
    </row>
    <row r="324" spans="4:8">
      <c r="D324" s="458"/>
      <c r="E324" s="458"/>
      <c r="F324" s="458"/>
      <c r="G324" s="458"/>
      <c r="H324" s="458"/>
    </row>
    <row r="325" spans="4:8">
      <c r="D325" s="458"/>
      <c r="E325" s="458"/>
      <c r="F325" s="458"/>
      <c r="G325" s="458"/>
      <c r="H325" s="458"/>
    </row>
    <row r="326" spans="4:8">
      <c r="D326" s="458"/>
      <c r="E326" s="458"/>
      <c r="F326" s="458"/>
      <c r="G326" s="458"/>
      <c r="H326" s="458"/>
    </row>
    <row r="327" spans="4:8">
      <c r="D327" s="458"/>
      <c r="E327" s="458"/>
      <c r="F327" s="458"/>
      <c r="G327" s="458"/>
      <c r="H327" s="458"/>
    </row>
    <row r="328" spans="4:8">
      <c r="D328" s="458"/>
      <c r="E328" s="458"/>
      <c r="F328" s="458"/>
      <c r="G328" s="458"/>
      <c r="H328" s="458"/>
    </row>
    <row r="329" spans="4:8">
      <c r="D329" s="458"/>
      <c r="E329" s="458"/>
      <c r="F329" s="458"/>
      <c r="G329" s="458"/>
      <c r="H329" s="458"/>
    </row>
    <row r="330" spans="4:8">
      <c r="D330" s="458"/>
      <c r="E330" s="458"/>
      <c r="F330" s="458"/>
      <c r="G330" s="458"/>
      <c r="H330" s="458"/>
    </row>
    <row r="331" spans="4:8">
      <c r="D331" s="458"/>
      <c r="E331" s="458"/>
      <c r="F331" s="458"/>
      <c r="G331" s="458"/>
      <c r="H331" s="458"/>
    </row>
    <row r="332" spans="4:8">
      <c r="D332" s="458"/>
      <c r="E332" s="458"/>
      <c r="F332" s="458"/>
      <c r="G332" s="458"/>
      <c r="H332" s="458"/>
    </row>
    <row r="333" spans="4:8">
      <c r="D333" s="458"/>
      <c r="E333" s="458"/>
      <c r="F333" s="458"/>
      <c r="G333" s="458"/>
      <c r="H333" s="458"/>
    </row>
    <row r="334" spans="4:8">
      <c r="D334" s="458"/>
      <c r="E334" s="458"/>
      <c r="F334" s="458"/>
      <c r="G334" s="458"/>
      <c r="H334" s="458"/>
    </row>
    <row r="335" spans="4:8">
      <c r="D335" s="458"/>
      <c r="E335" s="458"/>
      <c r="F335" s="458"/>
      <c r="G335" s="458"/>
      <c r="H335" s="458"/>
    </row>
    <row r="336" spans="4:8">
      <c r="D336" s="458"/>
      <c r="E336" s="458"/>
      <c r="F336" s="458"/>
      <c r="G336" s="458"/>
      <c r="H336" s="458"/>
    </row>
    <row r="337" spans="4:8">
      <c r="D337" s="458"/>
      <c r="E337" s="458"/>
      <c r="F337" s="458"/>
      <c r="G337" s="458"/>
      <c r="H337" s="458"/>
    </row>
    <row r="338" spans="4:8">
      <c r="D338" s="458"/>
      <c r="E338" s="458"/>
      <c r="F338" s="458"/>
      <c r="G338" s="458"/>
      <c r="H338" s="458"/>
    </row>
    <row r="339" spans="4:8">
      <c r="D339" s="458"/>
      <c r="E339" s="458"/>
      <c r="F339" s="458"/>
      <c r="G339" s="458"/>
      <c r="H339" s="458"/>
    </row>
    <row r="340" spans="4:8">
      <c r="D340" s="458"/>
      <c r="E340" s="458"/>
      <c r="F340" s="458"/>
      <c r="G340" s="458"/>
      <c r="H340" s="458"/>
    </row>
    <row r="341" spans="4:8">
      <c r="D341" s="458"/>
      <c r="E341" s="458"/>
      <c r="F341" s="458"/>
      <c r="G341" s="458"/>
      <c r="H341" s="458"/>
    </row>
    <row r="342" spans="4:8">
      <c r="D342" s="458"/>
      <c r="E342" s="458"/>
      <c r="F342" s="458"/>
      <c r="G342" s="458"/>
      <c r="H342" s="458"/>
    </row>
    <row r="343" spans="4:8">
      <c r="D343" s="458"/>
      <c r="E343" s="458"/>
      <c r="F343" s="458"/>
      <c r="G343" s="458"/>
      <c r="H343" s="458"/>
    </row>
    <row r="344" spans="4:8">
      <c r="D344" s="458"/>
      <c r="E344" s="458"/>
      <c r="F344" s="458"/>
      <c r="G344" s="458"/>
      <c r="H344" s="458"/>
    </row>
    <row r="345" spans="4:8">
      <c r="D345" s="458"/>
      <c r="E345" s="458"/>
      <c r="F345" s="458"/>
      <c r="G345" s="458"/>
      <c r="H345" s="458"/>
    </row>
    <row r="346" spans="4:8">
      <c r="D346" s="458"/>
      <c r="E346" s="458"/>
      <c r="F346" s="458"/>
      <c r="G346" s="458"/>
      <c r="H346" s="458"/>
    </row>
    <row r="347" spans="4:8">
      <c r="D347" s="458"/>
      <c r="E347" s="458"/>
      <c r="F347" s="458"/>
      <c r="G347" s="458"/>
      <c r="H347" s="458"/>
    </row>
    <row r="348" spans="4:8">
      <c r="D348" s="458"/>
      <c r="E348" s="458"/>
      <c r="F348" s="458"/>
      <c r="G348" s="458"/>
      <c r="H348" s="458"/>
    </row>
    <row r="349" spans="4:8">
      <c r="D349" s="458"/>
      <c r="E349" s="458"/>
      <c r="F349" s="458"/>
      <c r="G349" s="458"/>
      <c r="H349" s="458"/>
    </row>
    <row r="350" spans="4:8">
      <c r="D350" s="458"/>
      <c r="E350" s="458"/>
      <c r="F350" s="458"/>
      <c r="G350" s="458"/>
      <c r="H350" s="458"/>
    </row>
    <row r="351" spans="4:8">
      <c r="D351" s="458"/>
      <c r="E351" s="458"/>
      <c r="F351" s="458"/>
      <c r="G351" s="458"/>
      <c r="H351" s="458"/>
    </row>
    <row r="352" spans="4:8">
      <c r="D352" s="458"/>
      <c r="E352" s="458"/>
      <c r="F352" s="458"/>
      <c r="G352" s="458"/>
      <c r="H352" s="458"/>
    </row>
    <row r="353" spans="4:8">
      <c r="D353" s="458"/>
      <c r="E353" s="458"/>
      <c r="F353" s="458"/>
      <c r="G353" s="458"/>
      <c r="H353" s="458"/>
    </row>
    <row r="354" spans="4:8">
      <c r="D354" s="458"/>
      <c r="E354" s="458"/>
      <c r="F354" s="458"/>
      <c r="G354" s="458"/>
      <c r="H354" s="458"/>
    </row>
    <row r="355" spans="4:8">
      <c r="D355" s="458"/>
      <c r="E355" s="458"/>
      <c r="F355" s="458"/>
      <c r="G355" s="458"/>
      <c r="H355" s="458"/>
    </row>
    <row r="356" spans="4:8">
      <c r="D356" s="458"/>
      <c r="E356" s="458"/>
      <c r="F356" s="458"/>
      <c r="G356" s="458"/>
      <c r="H356" s="458"/>
    </row>
    <row r="357" spans="4:8">
      <c r="D357" s="458"/>
      <c r="E357" s="458"/>
      <c r="F357" s="458"/>
      <c r="G357" s="458"/>
      <c r="H357" s="458"/>
    </row>
    <row r="358" spans="4:8">
      <c r="D358" s="458"/>
      <c r="E358" s="458"/>
      <c r="F358" s="458"/>
      <c r="G358" s="458"/>
      <c r="H358" s="458"/>
    </row>
    <row r="359" spans="4:8">
      <c r="D359" s="458"/>
      <c r="E359" s="458"/>
      <c r="F359" s="458"/>
      <c r="G359" s="458"/>
      <c r="H359" s="458"/>
    </row>
    <row r="360" spans="4:8">
      <c r="D360" s="458"/>
      <c r="E360" s="458"/>
      <c r="F360" s="458"/>
      <c r="G360" s="458"/>
      <c r="H360" s="458"/>
    </row>
    <row r="361" spans="4:8">
      <c r="D361" s="458"/>
      <c r="E361" s="458"/>
      <c r="F361" s="458"/>
      <c r="G361" s="458"/>
      <c r="H361" s="458"/>
    </row>
    <row r="362" spans="4:8">
      <c r="D362" s="458"/>
      <c r="E362" s="458"/>
      <c r="F362" s="458"/>
      <c r="G362" s="458"/>
      <c r="H362" s="458"/>
    </row>
    <row r="363" spans="4:8">
      <c r="D363" s="458"/>
      <c r="E363" s="458"/>
      <c r="F363" s="458"/>
      <c r="G363" s="458"/>
      <c r="H363" s="458"/>
    </row>
    <row r="364" spans="4:8">
      <c r="D364" s="458"/>
      <c r="E364" s="458"/>
      <c r="F364" s="458"/>
      <c r="G364" s="458"/>
      <c r="H364" s="458"/>
    </row>
    <row r="365" spans="4:8">
      <c r="D365" s="458"/>
      <c r="E365" s="458"/>
      <c r="F365" s="458"/>
      <c r="G365" s="458"/>
      <c r="H365" s="458"/>
    </row>
    <row r="366" spans="4:8">
      <c r="D366" s="458"/>
      <c r="E366" s="458"/>
      <c r="F366" s="458"/>
      <c r="G366" s="458"/>
      <c r="H366" s="458"/>
    </row>
    <row r="367" spans="4:8">
      <c r="D367" s="458"/>
      <c r="E367" s="458"/>
      <c r="F367" s="458"/>
      <c r="G367" s="458"/>
      <c r="H367" s="458"/>
    </row>
    <row r="368" spans="4:8">
      <c r="D368" s="458"/>
      <c r="E368" s="458"/>
      <c r="F368" s="458"/>
      <c r="G368" s="458"/>
      <c r="H368" s="458"/>
    </row>
    <row r="369" spans="4:8">
      <c r="D369" s="458"/>
      <c r="E369" s="458"/>
      <c r="F369" s="458"/>
      <c r="G369" s="458"/>
      <c r="H369" s="458"/>
    </row>
    <row r="370" spans="4:8">
      <c r="D370" s="458"/>
      <c r="E370" s="458"/>
      <c r="F370" s="458"/>
      <c r="G370" s="458"/>
      <c r="H370" s="458"/>
    </row>
    <row r="371" spans="4:8">
      <c r="D371" s="458"/>
      <c r="E371" s="458"/>
      <c r="F371" s="458"/>
      <c r="G371" s="458"/>
      <c r="H371" s="458"/>
    </row>
    <row r="372" spans="4:8">
      <c r="D372" s="458"/>
      <c r="E372" s="458"/>
      <c r="F372" s="458"/>
      <c r="G372" s="458"/>
      <c r="H372" s="458"/>
    </row>
    <row r="373" spans="4:8">
      <c r="D373" s="458"/>
      <c r="E373" s="458"/>
      <c r="F373" s="458"/>
      <c r="G373" s="458"/>
      <c r="H373" s="458"/>
    </row>
    <row r="374" spans="4:8">
      <c r="D374" s="458"/>
      <c r="E374" s="458"/>
      <c r="F374" s="458"/>
      <c r="G374" s="458"/>
      <c r="H374" s="458"/>
    </row>
    <row r="375" spans="4:8">
      <c r="D375" s="458"/>
      <c r="E375" s="458"/>
      <c r="F375" s="458"/>
      <c r="G375" s="458"/>
      <c r="H375" s="458"/>
    </row>
    <row r="376" spans="4:8">
      <c r="D376" s="458"/>
      <c r="E376" s="458"/>
      <c r="F376" s="458"/>
      <c r="G376" s="458"/>
      <c r="H376" s="458"/>
    </row>
    <row r="377" spans="4:8">
      <c r="D377" s="458"/>
      <c r="E377" s="458"/>
      <c r="F377" s="458"/>
      <c r="G377" s="458"/>
      <c r="H377" s="458"/>
    </row>
    <row r="378" spans="4:8">
      <c r="D378" s="458"/>
      <c r="E378" s="458"/>
      <c r="F378" s="458"/>
      <c r="G378" s="458"/>
      <c r="H378" s="458"/>
    </row>
    <row r="379" spans="4:8">
      <c r="D379" s="458"/>
      <c r="E379" s="458"/>
      <c r="F379" s="458"/>
      <c r="G379" s="458"/>
      <c r="H379" s="458"/>
    </row>
    <row r="380" spans="4:8">
      <c r="D380" s="458"/>
      <c r="E380" s="458"/>
      <c r="F380" s="458"/>
      <c r="G380" s="458"/>
      <c r="H380" s="458"/>
    </row>
    <row r="381" spans="4:8">
      <c r="D381" s="458"/>
      <c r="E381" s="458"/>
      <c r="F381" s="458"/>
      <c r="G381" s="458"/>
      <c r="H381" s="458"/>
    </row>
    <row r="382" spans="4:8">
      <c r="D382" s="458"/>
      <c r="E382" s="458"/>
      <c r="F382" s="458"/>
      <c r="G382" s="458"/>
      <c r="H382" s="458"/>
    </row>
    <row r="383" spans="4:8">
      <c r="D383" s="458"/>
      <c r="E383" s="458"/>
      <c r="F383" s="458"/>
      <c r="G383" s="458"/>
      <c r="H383" s="458"/>
    </row>
    <row r="384" spans="4:8">
      <c r="D384" s="458"/>
      <c r="E384" s="458"/>
      <c r="F384" s="458"/>
      <c r="G384" s="458"/>
      <c r="H384" s="458"/>
    </row>
    <row r="385" spans="4:8">
      <c r="D385" s="458"/>
      <c r="E385" s="458"/>
      <c r="F385" s="458"/>
      <c r="G385" s="458"/>
      <c r="H385" s="458"/>
    </row>
    <row r="386" spans="4:8">
      <c r="D386" s="458"/>
      <c r="E386" s="458"/>
      <c r="F386" s="458"/>
      <c r="G386" s="458"/>
      <c r="H386" s="458"/>
    </row>
    <row r="387" spans="4:8">
      <c r="D387" s="458"/>
      <c r="E387" s="458"/>
      <c r="F387" s="458"/>
      <c r="G387" s="458"/>
      <c r="H387" s="458"/>
    </row>
    <row r="388" spans="4:8">
      <c r="D388" s="458"/>
      <c r="E388" s="458"/>
      <c r="F388" s="458"/>
      <c r="G388" s="458"/>
      <c r="H388" s="458"/>
    </row>
    <row r="389" spans="4:8">
      <c r="D389" s="458"/>
      <c r="E389" s="458"/>
      <c r="F389" s="458"/>
      <c r="G389" s="458"/>
      <c r="H389" s="458"/>
    </row>
    <row r="390" spans="4:8">
      <c r="D390" s="458"/>
      <c r="E390" s="458"/>
      <c r="F390" s="458"/>
      <c r="G390" s="458"/>
      <c r="H390" s="458"/>
    </row>
    <row r="391" spans="4:8">
      <c r="D391" s="458"/>
      <c r="E391" s="458"/>
      <c r="F391" s="458"/>
      <c r="G391" s="458"/>
      <c r="H391" s="458"/>
    </row>
    <row r="392" spans="4:8">
      <c r="D392" s="458"/>
      <c r="E392" s="458"/>
      <c r="F392" s="458"/>
      <c r="G392" s="458"/>
      <c r="H392" s="458"/>
    </row>
    <row r="393" spans="4:8">
      <c r="D393" s="458"/>
      <c r="E393" s="458"/>
      <c r="F393" s="458"/>
      <c r="G393" s="458"/>
      <c r="H393" s="458"/>
    </row>
    <row r="394" spans="4:8">
      <c r="D394" s="458"/>
      <c r="E394" s="458"/>
      <c r="F394" s="458"/>
      <c r="G394" s="458"/>
      <c r="H394" s="458"/>
    </row>
    <row r="395" spans="4:8">
      <c r="D395" s="458"/>
      <c r="E395" s="458"/>
      <c r="F395" s="458"/>
      <c r="G395" s="458"/>
      <c r="H395" s="458"/>
    </row>
    <row r="396" spans="4:8">
      <c r="D396" s="458"/>
      <c r="E396" s="458"/>
      <c r="F396" s="458"/>
      <c r="G396" s="458"/>
      <c r="H396" s="458"/>
    </row>
    <row r="397" spans="4:8">
      <c r="D397" s="458"/>
      <c r="E397" s="458"/>
      <c r="F397" s="458"/>
      <c r="G397" s="458"/>
      <c r="H397" s="458"/>
    </row>
    <row r="398" spans="4:8">
      <c r="D398" s="458"/>
      <c r="E398" s="458"/>
      <c r="F398" s="458"/>
      <c r="G398" s="458"/>
      <c r="H398" s="458"/>
    </row>
    <row r="399" spans="4:8">
      <c r="D399" s="458"/>
      <c r="E399" s="458"/>
      <c r="F399" s="458"/>
      <c r="G399" s="458"/>
      <c r="H399" s="458"/>
    </row>
    <row r="400" spans="4:8">
      <c r="D400" s="458"/>
      <c r="E400" s="458"/>
      <c r="F400" s="458"/>
      <c r="G400" s="458"/>
      <c r="H400" s="458"/>
    </row>
    <row r="401" spans="4:8">
      <c r="D401" s="458"/>
      <c r="E401" s="458"/>
      <c r="F401" s="458"/>
      <c r="G401" s="458"/>
      <c r="H401" s="458"/>
    </row>
    <row r="402" spans="4:8">
      <c r="D402" s="458"/>
      <c r="E402" s="458"/>
      <c r="F402" s="458"/>
      <c r="G402" s="458"/>
      <c r="H402" s="458"/>
    </row>
    <row r="403" spans="4:8">
      <c r="D403" s="458"/>
      <c r="E403" s="458"/>
      <c r="F403" s="458"/>
      <c r="G403" s="458"/>
      <c r="H403" s="458"/>
    </row>
    <row r="404" spans="4:8">
      <c r="D404" s="458"/>
      <c r="E404" s="458"/>
      <c r="F404" s="458"/>
      <c r="G404" s="458"/>
      <c r="H404" s="458"/>
    </row>
    <row r="405" spans="4:8">
      <c r="D405" s="458"/>
      <c r="E405" s="458"/>
      <c r="F405" s="458"/>
      <c r="G405" s="458"/>
      <c r="H405" s="458"/>
    </row>
    <row r="406" spans="4:8">
      <c r="D406" s="458"/>
      <c r="E406" s="458"/>
      <c r="F406" s="458"/>
      <c r="G406" s="458"/>
      <c r="H406" s="458"/>
    </row>
    <row r="407" spans="4:8">
      <c r="D407" s="458"/>
      <c r="E407" s="458"/>
      <c r="F407" s="458"/>
      <c r="G407" s="458"/>
      <c r="H407" s="458"/>
    </row>
    <row r="408" spans="4:8">
      <c r="D408" s="458"/>
      <c r="E408" s="458"/>
      <c r="F408" s="458"/>
      <c r="G408" s="458"/>
      <c r="H408" s="458"/>
    </row>
    <row r="409" spans="4:8">
      <c r="D409" s="458"/>
      <c r="E409" s="458"/>
      <c r="F409" s="458"/>
      <c r="G409" s="458"/>
      <c r="H409" s="458"/>
    </row>
    <row r="410" spans="4:8">
      <c r="D410" s="458"/>
      <c r="E410" s="458"/>
      <c r="F410" s="458"/>
      <c r="G410" s="458"/>
      <c r="H410" s="458"/>
    </row>
    <row r="411" spans="4:8">
      <c r="D411" s="458"/>
      <c r="E411" s="458"/>
      <c r="F411" s="458"/>
      <c r="G411" s="458"/>
      <c r="H411" s="458"/>
    </row>
    <row r="412" spans="4:8">
      <c r="D412" s="458"/>
      <c r="E412" s="458"/>
      <c r="F412" s="458"/>
      <c r="G412" s="458"/>
      <c r="H412" s="458"/>
    </row>
    <row r="413" spans="4:8">
      <c r="D413" s="458"/>
      <c r="E413" s="458"/>
      <c r="F413" s="458"/>
      <c r="G413" s="458"/>
      <c r="H413" s="458"/>
    </row>
    <row r="414" spans="4:8">
      <c r="D414" s="458"/>
      <c r="E414" s="458"/>
      <c r="F414" s="458"/>
      <c r="G414" s="458"/>
      <c r="H414" s="458"/>
    </row>
    <row r="415" spans="4:8">
      <c r="D415" s="458"/>
      <c r="E415" s="458"/>
      <c r="F415" s="458"/>
      <c r="G415" s="458"/>
      <c r="H415" s="458"/>
    </row>
    <row r="416" spans="4:8">
      <c r="D416" s="458"/>
      <c r="E416" s="458"/>
      <c r="F416" s="458"/>
      <c r="G416" s="458"/>
      <c r="H416" s="458"/>
    </row>
    <row r="417" spans="4:8">
      <c r="D417" s="458"/>
      <c r="E417" s="458"/>
      <c r="F417" s="458"/>
      <c r="G417" s="458"/>
      <c r="H417" s="458"/>
    </row>
    <row r="418" spans="4:8">
      <c r="D418" s="458"/>
      <c r="E418" s="458"/>
      <c r="F418" s="458"/>
      <c r="G418" s="458"/>
      <c r="H418" s="458"/>
    </row>
    <row r="419" spans="4:8">
      <c r="D419" s="458"/>
      <c r="E419" s="458"/>
      <c r="F419" s="458"/>
      <c r="G419" s="458"/>
      <c r="H419" s="458"/>
    </row>
    <row r="420" spans="4:8">
      <c r="D420" s="458"/>
      <c r="E420" s="458"/>
      <c r="F420" s="458"/>
      <c r="G420" s="458"/>
      <c r="H420" s="458"/>
    </row>
    <row r="421" spans="4:8">
      <c r="D421" s="458"/>
      <c r="E421" s="458"/>
      <c r="F421" s="458"/>
      <c r="G421" s="458"/>
      <c r="H421" s="458"/>
    </row>
    <row r="422" spans="4:8">
      <c r="D422" s="458"/>
      <c r="E422" s="458"/>
      <c r="F422" s="458"/>
      <c r="G422" s="458"/>
      <c r="H422" s="458"/>
    </row>
    <row r="423" spans="4:8">
      <c r="D423" s="458"/>
      <c r="E423" s="458"/>
      <c r="F423" s="458"/>
      <c r="G423" s="458"/>
      <c r="H423" s="458"/>
    </row>
    <row r="424" spans="4:8">
      <c r="D424" s="458"/>
      <c r="E424" s="458"/>
      <c r="F424" s="458"/>
      <c r="G424" s="458"/>
      <c r="H424" s="458"/>
    </row>
    <row r="425" spans="4:8">
      <c r="D425" s="458"/>
      <c r="E425" s="458"/>
      <c r="F425" s="458"/>
      <c r="G425" s="458"/>
      <c r="H425" s="458"/>
    </row>
    <row r="426" spans="4:8">
      <c r="D426" s="458"/>
      <c r="E426" s="458"/>
      <c r="F426" s="458"/>
      <c r="G426" s="458"/>
      <c r="H426" s="458"/>
    </row>
    <row r="427" spans="4:8">
      <c r="D427" s="458"/>
      <c r="E427" s="458"/>
      <c r="F427" s="458"/>
      <c r="G427" s="458"/>
      <c r="H427" s="458"/>
    </row>
    <row r="428" spans="4:8">
      <c r="D428" s="458"/>
      <c r="E428" s="458"/>
      <c r="F428" s="458"/>
      <c r="G428" s="458"/>
      <c r="H428" s="458"/>
    </row>
    <row r="429" spans="4:8">
      <c r="D429" s="458"/>
      <c r="E429" s="458"/>
      <c r="F429" s="458"/>
      <c r="G429" s="458"/>
      <c r="H429" s="458"/>
    </row>
    <row r="430" spans="4:8">
      <c r="D430" s="458"/>
      <c r="E430" s="458"/>
      <c r="F430" s="458"/>
      <c r="G430" s="458"/>
      <c r="H430" s="458"/>
    </row>
    <row r="431" spans="4:8">
      <c r="D431" s="458"/>
      <c r="E431" s="458"/>
      <c r="F431" s="458"/>
      <c r="G431" s="458"/>
      <c r="H431" s="458"/>
    </row>
    <row r="432" spans="4:8">
      <c r="D432" s="458"/>
      <c r="E432" s="458"/>
      <c r="F432" s="458"/>
      <c r="G432" s="458"/>
      <c r="H432" s="458"/>
    </row>
    <row r="433" spans="4:8">
      <c r="D433" s="458"/>
      <c r="E433" s="458"/>
      <c r="F433" s="458"/>
      <c r="G433" s="458"/>
      <c r="H433" s="458"/>
    </row>
    <row r="434" spans="4:8">
      <c r="D434" s="458"/>
      <c r="E434" s="458"/>
      <c r="F434" s="458"/>
      <c r="G434" s="458"/>
      <c r="H434" s="458"/>
    </row>
    <row r="435" spans="4:8">
      <c r="D435" s="458"/>
      <c r="E435" s="458"/>
      <c r="F435" s="458"/>
      <c r="G435" s="458"/>
      <c r="H435" s="458"/>
    </row>
    <row r="436" spans="4:8">
      <c r="D436" s="458"/>
      <c r="E436" s="458"/>
      <c r="F436" s="458"/>
      <c r="G436" s="458"/>
      <c r="H436" s="458"/>
    </row>
    <row r="437" spans="4:8">
      <c r="D437" s="458"/>
      <c r="E437" s="458"/>
      <c r="F437" s="458"/>
      <c r="G437" s="458"/>
      <c r="H437" s="458"/>
    </row>
    <row r="438" spans="4:8">
      <c r="D438" s="458"/>
      <c r="E438" s="458"/>
      <c r="F438" s="458"/>
      <c r="G438" s="458"/>
      <c r="H438" s="458"/>
    </row>
    <row r="439" spans="4:8">
      <c r="D439" s="458"/>
      <c r="E439" s="458"/>
      <c r="F439" s="458"/>
      <c r="G439" s="458"/>
      <c r="H439" s="458"/>
    </row>
    <row r="440" spans="4:8">
      <c r="D440" s="458"/>
      <c r="E440" s="458"/>
      <c r="F440" s="458"/>
      <c r="G440" s="458"/>
      <c r="H440" s="458"/>
    </row>
    <row r="441" spans="4:8">
      <c r="D441" s="458"/>
      <c r="E441" s="458"/>
      <c r="F441" s="458"/>
      <c r="G441" s="458"/>
      <c r="H441" s="458"/>
    </row>
    <row r="442" spans="4:8">
      <c r="D442" s="458"/>
      <c r="E442" s="458"/>
      <c r="F442" s="458"/>
      <c r="G442" s="458"/>
      <c r="H442" s="458"/>
    </row>
    <row r="443" spans="4:8">
      <c r="D443" s="458"/>
      <c r="E443" s="458"/>
      <c r="F443" s="458"/>
      <c r="G443" s="458"/>
      <c r="H443" s="458"/>
    </row>
    <row r="444" spans="4:8">
      <c r="D444" s="458"/>
      <c r="E444" s="458"/>
      <c r="F444" s="458"/>
      <c r="G444" s="458"/>
      <c r="H444" s="458"/>
    </row>
    <row r="445" spans="4:8">
      <c r="D445" s="458"/>
      <c r="E445" s="458"/>
      <c r="F445" s="458"/>
      <c r="G445" s="458"/>
      <c r="H445" s="458"/>
    </row>
    <row r="446" spans="4:8">
      <c r="D446" s="458"/>
      <c r="E446" s="458"/>
      <c r="F446" s="458"/>
      <c r="G446" s="458"/>
      <c r="H446" s="458"/>
    </row>
    <row r="447" spans="4:8">
      <c r="D447" s="458"/>
      <c r="E447" s="458"/>
      <c r="F447" s="458"/>
      <c r="G447" s="458"/>
      <c r="H447" s="458"/>
    </row>
    <row r="448" spans="4:8">
      <c r="D448" s="458"/>
      <c r="E448" s="458"/>
      <c r="F448" s="458"/>
      <c r="G448" s="458"/>
      <c r="H448" s="458"/>
    </row>
    <row r="449" spans="4:8">
      <c r="D449" s="458"/>
      <c r="E449" s="458"/>
      <c r="F449" s="458"/>
      <c r="G449" s="458"/>
      <c r="H449" s="458"/>
    </row>
    <row r="450" spans="4:8">
      <c r="D450" s="458"/>
      <c r="E450" s="458"/>
      <c r="F450" s="458"/>
      <c r="G450" s="458"/>
      <c r="H450" s="458"/>
    </row>
    <row r="451" spans="4:8">
      <c r="D451" s="458"/>
      <c r="E451" s="458"/>
      <c r="F451" s="458"/>
      <c r="G451" s="458"/>
      <c r="H451" s="458"/>
    </row>
    <row r="452" spans="4:8">
      <c r="D452" s="458"/>
      <c r="E452" s="458"/>
      <c r="F452" s="458"/>
      <c r="G452" s="458"/>
      <c r="H452" s="458"/>
    </row>
    <row r="453" spans="4:8">
      <c r="D453" s="458"/>
      <c r="E453" s="458"/>
      <c r="F453" s="458"/>
      <c r="G453" s="458"/>
      <c r="H453" s="458"/>
    </row>
    <row r="454" spans="4:8">
      <c r="D454" s="458"/>
      <c r="E454" s="458"/>
      <c r="F454" s="458"/>
      <c r="G454" s="458"/>
      <c r="H454" s="458"/>
    </row>
    <row r="455" spans="4:8">
      <c r="D455" s="458"/>
      <c r="E455" s="458"/>
      <c r="F455" s="458"/>
      <c r="G455" s="458"/>
      <c r="H455" s="458"/>
    </row>
    <row r="456" spans="4:8">
      <c r="D456" s="458"/>
      <c r="E456" s="458"/>
      <c r="F456" s="458"/>
      <c r="G456" s="458"/>
      <c r="H456" s="458"/>
    </row>
    <row r="457" spans="4:8">
      <c r="D457" s="458"/>
      <c r="E457" s="458"/>
      <c r="F457" s="458"/>
      <c r="G457" s="458"/>
      <c r="H457" s="458"/>
    </row>
    <row r="458" spans="4:8">
      <c r="D458" s="458"/>
      <c r="E458" s="458"/>
      <c r="F458" s="458"/>
      <c r="G458" s="458"/>
      <c r="H458" s="458"/>
    </row>
    <row r="459" spans="4:8">
      <c r="D459" s="458"/>
      <c r="E459" s="458"/>
      <c r="F459" s="458"/>
      <c r="G459" s="458"/>
      <c r="H459" s="458"/>
    </row>
    <row r="460" spans="4:8">
      <c r="D460" s="458"/>
      <c r="E460" s="458"/>
      <c r="F460" s="458"/>
      <c r="G460" s="458"/>
      <c r="H460" s="458"/>
    </row>
    <row r="461" spans="4:8">
      <c r="D461" s="458"/>
      <c r="E461" s="458"/>
      <c r="F461" s="458"/>
      <c r="G461" s="458"/>
      <c r="H461" s="458"/>
    </row>
    <row r="462" spans="4:8">
      <c r="D462" s="458"/>
      <c r="E462" s="458"/>
      <c r="F462" s="458"/>
      <c r="G462" s="458"/>
      <c r="H462" s="458"/>
    </row>
    <row r="463" spans="4:8">
      <c r="D463" s="458"/>
      <c r="E463" s="458"/>
      <c r="F463" s="458"/>
      <c r="G463" s="458"/>
      <c r="H463" s="458"/>
    </row>
    <row r="464" spans="4:8">
      <c r="D464" s="458"/>
      <c r="E464" s="458"/>
      <c r="F464" s="458"/>
      <c r="G464" s="458"/>
      <c r="H464" s="458"/>
    </row>
    <row r="465" spans="4:8">
      <c r="D465" s="458"/>
      <c r="E465" s="458"/>
      <c r="F465" s="458"/>
      <c r="G465" s="458"/>
      <c r="H465" s="458"/>
    </row>
    <row r="466" spans="4:8">
      <c r="D466" s="458"/>
      <c r="E466" s="458"/>
      <c r="F466" s="458"/>
      <c r="G466" s="458"/>
      <c r="H466" s="458"/>
    </row>
    <row r="467" spans="4:8">
      <c r="D467" s="458"/>
      <c r="E467" s="458"/>
      <c r="F467" s="458"/>
      <c r="G467" s="458"/>
      <c r="H467" s="458"/>
    </row>
    <row r="468" spans="4:8">
      <c r="D468" s="458"/>
      <c r="E468" s="458"/>
      <c r="F468" s="458"/>
      <c r="G468" s="458"/>
      <c r="H468" s="458"/>
    </row>
    <row r="469" spans="4:8">
      <c r="D469" s="458"/>
      <c r="E469" s="458"/>
      <c r="F469" s="458"/>
      <c r="G469" s="458"/>
      <c r="H469" s="458"/>
    </row>
    <row r="470" spans="4:8">
      <c r="D470" s="458"/>
      <c r="E470" s="458"/>
      <c r="F470" s="458"/>
      <c r="G470" s="458"/>
      <c r="H470" s="458"/>
    </row>
    <row r="471" spans="4:8">
      <c r="D471" s="458"/>
      <c r="E471" s="458"/>
      <c r="F471" s="458"/>
      <c r="G471" s="458"/>
      <c r="H471" s="458"/>
    </row>
    <row r="472" spans="4:8">
      <c r="D472" s="458"/>
      <c r="E472" s="458"/>
      <c r="F472" s="458"/>
      <c r="G472" s="458"/>
      <c r="H472" s="458"/>
    </row>
    <row r="473" spans="4:8">
      <c r="D473" s="458"/>
      <c r="E473" s="458"/>
      <c r="F473" s="458"/>
      <c r="G473" s="458"/>
      <c r="H473" s="458"/>
    </row>
    <row r="474" spans="4:8">
      <c r="D474" s="458"/>
      <c r="E474" s="458"/>
      <c r="F474" s="458"/>
      <c r="G474" s="458"/>
      <c r="H474" s="458"/>
    </row>
    <row r="475" spans="4:8">
      <c r="D475" s="458"/>
      <c r="E475" s="458"/>
      <c r="F475" s="458"/>
      <c r="G475" s="458"/>
      <c r="H475" s="458"/>
    </row>
    <row r="476" spans="4:8">
      <c r="D476" s="458"/>
      <c r="E476" s="458"/>
      <c r="F476" s="458"/>
      <c r="G476" s="458"/>
      <c r="H476" s="458"/>
    </row>
    <row r="477" spans="4:8">
      <c r="D477" s="458"/>
      <c r="E477" s="458"/>
      <c r="F477" s="458"/>
      <c r="G477" s="458"/>
      <c r="H477" s="458"/>
    </row>
    <row r="478" spans="4:8">
      <c r="D478" s="458"/>
      <c r="E478" s="458"/>
      <c r="F478" s="458"/>
      <c r="G478" s="458"/>
      <c r="H478" s="458"/>
    </row>
    <row r="479" spans="4:8">
      <c r="D479" s="458"/>
      <c r="E479" s="458"/>
      <c r="F479" s="458"/>
      <c r="G479" s="458"/>
      <c r="H479" s="458"/>
    </row>
    <row r="480" spans="4:8">
      <c r="D480" s="458"/>
      <c r="E480" s="458"/>
      <c r="F480" s="458"/>
      <c r="G480" s="458"/>
      <c r="H480" s="458"/>
    </row>
    <row r="481" spans="4:8">
      <c r="D481" s="458"/>
      <c r="E481" s="458"/>
      <c r="F481" s="458"/>
      <c r="G481" s="458"/>
      <c r="H481" s="458"/>
    </row>
    <row r="482" spans="4:8">
      <c r="D482" s="458"/>
      <c r="E482" s="458"/>
      <c r="F482" s="458"/>
      <c r="G482" s="458"/>
      <c r="H482" s="458"/>
    </row>
    <row r="483" spans="4:8">
      <c r="D483" s="458"/>
      <c r="E483" s="458"/>
      <c r="F483" s="458"/>
      <c r="G483" s="458"/>
      <c r="H483" s="458"/>
    </row>
    <row r="484" spans="4:8">
      <c r="D484" s="458"/>
      <c r="E484" s="458"/>
      <c r="F484" s="458"/>
      <c r="G484" s="458"/>
      <c r="H484" s="458"/>
    </row>
    <row r="485" spans="4:8">
      <c r="D485" s="458"/>
      <c r="E485" s="458"/>
      <c r="F485" s="458"/>
      <c r="G485" s="458"/>
      <c r="H485" s="458"/>
    </row>
    <row r="486" spans="4:8">
      <c r="D486" s="458"/>
      <c r="E486" s="458"/>
      <c r="F486" s="458"/>
      <c r="G486" s="458"/>
      <c r="H486" s="458"/>
    </row>
    <row r="487" spans="4:8">
      <c r="D487" s="458"/>
      <c r="E487" s="458"/>
      <c r="F487" s="458"/>
      <c r="G487" s="458"/>
      <c r="H487" s="458"/>
    </row>
    <row r="488" spans="4:8">
      <c r="D488" s="458"/>
      <c r="E488" s="458"/>
      <c r="F488" s="458"/>
      <c r="G488" s="458"/>
      <c r="H488" s="458"/>
    </row>
    <row r="489" spans="4:8">
      <c r="D489" s="458"/>
      <c r="E489" s="458"/>
      <c r="F489" s="458"/>
      <c r="G489" s="458"/>
      <c r="H489" s="458"/>
    </row>
    <row r="490" spans="4:8">
      <c r="D490" s="458"/>
      <c r="E490" s="458"/>
      <c r="F490" s="458"/>
      <c r="G490" s="458"/>
      <c r="H490" s="458"/>
    </row>
    <row r="491" spans="4:8">
      <c r="D491" s="458"/>
      <c r="E491" s="458"/>
      <c r="F491" s="458"/>
      <c r="G491" s="458"/>
      <c r="H491" s="458"/>
    </row>
    <row r="492" spans="4:8">
      <c r="D492" s="458"/>
      <c r="E492" s="458"/>
      <c r="F492" s="458"/>
      <c r="G492" s="458"/>
      <c r="H492" s="458"/>
    </row>
    <row r="493" spans="4:8">
      <c r="D493" s="458"/>
      <c r="E493" s="458"/>
      <c r="F493" s="458"/>
      <c r="G493" s="458"/>
      <c r="H493" s="458"/>
    </row>
    <row r="494" spans="4:8">
      <c r="D494" s="458"/>
      <c r="E494" s="458"/>
      <c r="F494" s="458"/>
      <c r="G494" s="458"/>
      <c r="H494" s="458"/>
    </row>
    <row r="495" spans="4:8">
      <c r="D495" s="458"/>
      <c r="E495" s="458"/>
      <c r="F495" s="458"/>
      <c r="G495" s="458"/>
      <c r="H495" s="458"/>
    </row>
    <row r="496" spans="4:8">
      <c r="D496" s="458"/>
      <c r="E496" s="458"/>
      <c r="F496" s="458"/>
      <c r="G496" s="458"/>
      <c r="H496" s="458"/>
    </row>
    <row r="497" spans="4:8">
      <c r="D497" s="458"/>
      <c r="E497" s="458"/>
      <c r="F497" s="458"/>
      <c r="G497" s="458"/>
      <c r="H497" s="458"/>
    </row>
    <row r="498" spans="4:8">
      <c r="D498" s="458"/>
      <c r="E498" s="458"/>
      <c r="F498" s="458"/>
      <c r="G498" s="458"/>
      <c r="H498" s="458"/>
    </row>
    <row r="499" spans="4:8">
      <c r="D499" s="458"/>
      <c r="E499" s="458"/>
      <c r="F499" s="458"/>
      <c r="G499" s="458"/>
      <c r="H499" s="458"/>
    </row>
    <row r="500" spans="4:8">
      <c r="D500" s="458"/>
      <c r="E500" s="458"/>
      <c r="F500" s="458"/>
      <c r="G500" s="458"/>
      <c r="H500" s="458"/>
    </row>
    <row r="501" spans="4:8">
      <c r="D501" s="458"/>
      <c r="E501" s="458"/>
      <c r="F501" s="458"/>
      <c r="G501" s="458"/>
      <c r="H501" s="458"/>
    </row>
    <row r="502" spans="4:8">
      <c r="D502" s="458"/>
      <c r="E502" s="458"/>
      <c r="F502" s="458"/>
      <c r="G502" s="458"/>
      <c r="H502" s="458"/>
    </row>
    <row r="503" spans="4:8">
      <c r="D503" s="458"/>
      <c r="E503" s="458"/>
      <c r="F503" s="458"/>
      <c r="G503" s="458"/>
      <c r="H503" s="458"/>
    </row>
    <row r="504" spans="4:8">
      <c r="D504" s="458"/>
      <c r="E504" s="458"/>
      <c r="F504" s="458"/>
      <c r="G504" s="458"/>
      <c r="H504" s="458"/>
    </row>
    <row r="505" spans="4:8">
      <c r="D505" s="458"/>
      <c r="E505" s="458"/>
      <c r="F505" s="458"/>
      <c r="G505" s="458"/>
      <c r="H505" s="458"/>
    </row>
    <row r="506" spans="4:8">
      <c r="D506" s="458"/>
      <c r="E506" s="458"/>
      <c r="F506" s="458"/>
      <c r="G506" s="458"/>
      <c r="H506" s="458"/>
    </row>
    <row r="507" spans="4:8">
      <c r="D507" s="458"/>
      <c r="E507" s="458"/>
      <c r="F507" s="458"/>
      <c r="G507" s="458"/>
      <c r="H507" s="458"/>
    </row>
    <row r="508" spans="4:8">
      <c r="D508" s="458"/>
      <c r="E508" s="458"/>
      <c r="F508" s="458"/>
      <c r="G508" s="458"/>
      <c r="H508" s="458"/>
    </row>
    <row r="509" spans="4:8">
      <c r="D509" s="458"/>
      <c r="E509" s="458"/>
      <c r="F509" s="458"/>
      <c r="G509" s="458"/>
      <c r="H509" s="458"/>
    </row>
    <row r="510" spans="4:8">
      <c r="D510" s="458"/>
      <c r="E510" s="458"/>
      <c r="F510" s="458"/>
      <c r="G510" s="458"/>
      <c r="H510" s="458"/>
    </row>
    <row r="511" spans="4:8">
      <c r="D511" s="458"/>
      <c r="E511" s="458"/>
      <c r="F511" s="458"/>
      <c r="G511" s="458"/>
      <c r="H511" s="458"/>
    </row>
    <row r="512" spans="4:8">
      <c r="D512" s="458"/>
      <c r="E512" s="458"/>
      <c r="F512" s="458"/>
      <c r="G512" s="458"/>
      <c r="H512" s="458"/>
    </row>
    <row r="513" spans="4:8">
      <c r="D513" s="458"/>
      <c r="E513" s="458"/>
      <c r="F513" s="458"/>
      <c r="G513" s="458"/>
      <c r="H513" s="458"/>
    </row>
    <row r="514" spans="4:8">
      <c r="D514" s="458"/>
      <c r="E514" s="458"/>
      <c r="F514" s="458"/>
      <c r="G514" s="458"/>
      <c r="H514" s="458"/>
    </row>
    <row r="515" spans="4:8">
      <c r="D515" s="458"/>
      <c r="E515" s="458"/>
      <c r="F515" s="458"/>
      <c r="G515" s="458"/>
      <c r="H515" s="458"/>
    </row>
    <row r="516" spans="4:8">
      <c r="D516" s="458"/>
      <c r="E516" s="458"/>
      <c r="F516" s="458"/>
      <c r="G516" s="458"/>
      <c r="H516" s="458"/>
    </row>
    <row r="517" spans="4:8">
      <c r="D517" s="458"/>
      <c r="E517" s="458"/>
      <c r="F517" s="458"/>
      <c r="G517" s="458"/>
      <c r="H517" s="458"/>
    </row>
    <row r="518" spans="4:8">
      <c r="D518" s="458"/>
      <c r="E518" s="458"/>
      <c r="F518" s="458"/>
      <c r="G518" s="458"/>
      <c r="H518" s="458"/>
    </row>
    <row r="519" spans="4:8">
      <c r="D519" s="458"/>
      <c r="E519" s="458"/>
      <c r="F519" s="458"/>
      <c r="G519" s="458"/>
      <c r="H519" s="458"/>
    </row>
    <row r="520" spans="4:8">
      <c r="D520" s="458"/>
      <c r="E520" s="458"/>
      <c r="F520" s="458"/>
      <c r="G520" s="458"/>
      <c r="H520" s="458"/>
    </row>
    <row r="521" spans="4:8">
      <c r="D521" s="458"/>
      <c r="E521" s="458"/>
      <c r="F521" s="458"/>
      <c r="G521" s="458"/>
      <c r="H521" s="458"/>
    </row>
    <row r="522" spans="4:8">
      <c r="D522" s="458"/>
      <c r="E522" s="458"/>
      <c r="F522" s="458"/>
      <c r="G522" s="458"/>
      <c r="H522" s="458"/>
    </row>
    <row r="523" spans="4:8">
      <c r="D523" s="458"/>
      <c r="E523" s="458"/>
      <c r="F523" s="458"/>
      <c r="G523" s="458"/>
      <c r="H523" s="458"/>
    </row>
    <row r="524" spans="4:8">
      <c r="D524" s="458"/>
      <c r="E524" s="458"/>
      <c r="F524" s="458"/>
      <c r="G524" s="458"/>
      <c r="H524" s="458"/>
    </row>
    <row r="525" spans="4:8">
      <c r="D525" s="458"/>
      <c r="E525" s="458"/>
      <c r="F525" s="458"/>
      <c r="G525" s="458"/>
      <c r="H525" s="458"/>
    </row>
    <row r="526" spans="4:8">
      <c r="D526" s="458"/>
      <c r="E526" s="458"/>
      <c r="F526" s="458"/>
      <c r="G526" s="458"/>
      <c r="H526" s="458"/>
    </row>
    <row r="527" spans="4:8">
      <c r="D527" s="458"/>
      <c r="E527" s="458"/>
      <c r="F527" s="458"/>
      <c r="G527" s="458"/>
      <c r="H527" s="458"/>
    </row>
    <row r="528" spans="4:8">
      <c r="D528" s="458"/>
      <c r="E528" s="458"/>
      <c r="F528" s="458"/>
      <c r="G528" s="458"/>
      <c r="H528" s="458"/>
    </row>
    <row r="529" spans="4:8">
      <c r="D529" s="458"/>
      <c r="E529" s="458"/>
      <c r="F529" s="458"/>
      <c r="G529" s="458"/>
      <c r="H529" s="458"/>
    </row>
    <row r="530" spans="4:8">
      <c r="D530" s="458"/>
      <c r="E530" s="458"/>
      <c r="F530" s="458"/>
      <c r="G530" s="458"/>
      <c r="H530" s="458"/>
    </row>
    <row r="531" spans="4:8">
      <c r="D531" s="458"/>
      <c r="E531" s="458"/>
      <c r="F531" s="458"/>
      <c r="G531" s="458"/>
      <c r="H531" s="458"/>
    </row>
    <row r="532" spans="4:8">
      <c r="D532" s="458"/>
      <c r="E532" s="458"/>
      <c r="F532" s="458"/>
      <c r="G532" s="458"/>
      <c r="H532" s="458"/>
    </row>
    <row r="533" spans="4:8">
      <c r="D533" s="458"/>
      <c r="E533" s="458"/>
      <c r="F533" s="458"/>
      <c r="G533" s="458"/>
      <c r="H533" s="458"/>
    </row>
    <row r="534" spans="4:8">
      <c r="D534" s="458"/>
      <c r="E534" s="458"/>
      <c r="F534" s="458"/>
      <c r="G534" s="458"/>
      <c r="H534" s="458"/>
    </row>
    <row r="535" spans="4:8">
      <c r="D535" s="458"/>
      <c r="E535" s="458"/>
      <c r="F535" s="458"/>
      <c r="G535" s="458"/>
      <c r="H535" s="458"/>
    </row>
    <row r="536" spans="4:8">
      <c r="D536" s="458"/>
      <c r="E536" s="458"/>
      <c r="F536" s="458"/>
      <c r="G536" s="458"/>
      <c r="H536" s="458"/>
    </row>
    <row r="537" spans="4:8">
      <c r="D537" s="458"/>
      <c r="E537" s="458"/>
      <c r="F537" s="458"/>
      <c r="G537" s="458"/>
      <c r="H537" s="458"/>
    </row>
    <row r="538" spans="4:8">
      <c r="D538" s="458"/>
      <c r="E538" s="458"/>
      <c r="F538" s="458"/>
      <c r="G538" s="458"/>
      <c r="H538" s="458"/>
    </row>
    <row r="539" spans="4:8">
      <c r="D539" s="458"/>
      <c r="E539" s="458"/>
      <c r="F539" s="458"/>
      <c r="G539" s="458"/>
      <c r="H539" s="458"/>
    </row>
    <row r="540" spans="4:8">
      <c r="D540" s="458"/>
      <c r="E540" s="458"/>
      <c r="F540" s="458"/>
      <c r="G540" s="458"/>
      <c r="H540" s="458"/>
    </row>
    <row r="541" spans="4:8">
      <c r="D541" s="458"/>
      <c r="E541" s="458"/>
      <c r="F541" s="458"/>
      <c r="G541" s="458"/>
      <c r="H541" s="458"/>
    </row>
    <row r="542" spans="4:8">
      <c r="D542" s="458"/>
      <c r="E542" s="458"/>
      <c r="F542" s="458"/>
      <c r="G542" s="458"/>
      <c r="H542" s="458"/>
    </row>
    <row r="543" spans="4:8">
      <c r="D543" s="458"/>
      <c r="E543" s="458"/>
      <c r="F543" s="458"/>
      <c r="G543" s="458"/>
      <c r="H543" s="458"/>
    </row>
    <row r="544" spans="4:8">
      <c r="D544" s="458"/>
      <c r="E544" s="458"/>
      <c r="F544" s="458"/>
      <c r="G544" s="458"/>
      <c r="H544" s="458"/>
    </row>
    <row r="545" spans="4:8">
      <c r="D545" s="458"/>
      <c r="E545" s="458"/>
      <c r="F545" s="458"/>
      <c r="G545" s="458"/>
      <c r="H545" s="458"/>
    </row>
    <row r="546" spans="4:8">
      <c r="D546" s="458"/>
      <c r="E546" s="458"/>
      <c r="F546" s="458"/>
      <c r="G546" s="458"/>
      <c r="H546" s="458"/>
    </row>
    <row r="547" spans="4:8">
      <c r="D547" s="458"/>
      <c r="E547" s="458"/>
      <c r="F547" s="458"/>
      <c r="G547" s="458"/>
      <c r="H547" s="458"/>
    </row>
    <row r="548" spans="4:8">
      <c r="D548" s="458"/>
      <c r="E548" s="458"/>
      <c r="F548" s="458"/>
      <c r="G548" s="458"/>
      <c r="H548" s="458"/>
    </row>
    <row r="549" spans="4:8">
      <c r="D549" s="458"/>
      <c r="E549" s="458"/>
      <c r="F549" s="458"/>
      <c r="G549" s="458"/>
      <c r="H549" s="458"/>
    </row>
    <row r="550" spans="4:8">
      <c r="D550" s="458"/>
      <c r="E550" s="458"/>
      <c r="F550" s="458"/>
      <c r="G550" s="458"/>
      <c r="H550" s="458"/>
    </row>
    <row r="551" spans="4:8">
      <c r="D551" s="458"/>
      <c r="E551" s="458"/>
      <c r="F551" s="458"/>
      <c r="G551" s="458"/>
      <c r="H551" s="458"/>
    </row>
    <row r="552" spans="4:8">
      <c r="D552" s="458"/>
      <c r="E552" s="458"/>
      <c r="F552" s="458"/>
      <c r="G552" s="458"/>
      <c r="H552" s="458"/>
    </row>
    <row r="553" spans="4:8">
      <c r="D553" s="458"/>
      <c r="E553" s="458"/>
      <c r="F553" s="458"/>
      <c r="G553" s="458"/>
      <c r="H553" s="458"/>
    </row>
    <row r="554" spans="4:8">
      <c r="D554" s="458"/>
      <c r="E554" s="458"/>
      <c r="F554" s="458"/>
      <c r="G554" s="458"/>
      <c r="H554" s="458"/>
    </row>
    <row r="555" spans="4:8">
      <c r="D555" s="458"/>
      <c r="E555" s="458"/>
      <c r="F555" s="458"/>
      <c r="G555" s="458"/>
      <c r="H555" s="458"/>
    </row>
    <row r="556" spans="4:8">
      <c r="D556" s="458"/>
      <c r="E556" s="458"/>
      <c r="F556" s="458"/>
      <c r="G556" s="458"/>
      <c r="H556" s="458"/>
    </row>
    <row r="557" spans="4:8">
      <c r="D557" s="458"/>
      <c r="E557" s="458"/>
      <c r="F557" s="458"/>
      <c r="G557" s="458"/>
      <c r="H557" s="458"/>
    </row>
    <row r="558" spans="4:8">
      <c r="D558" s="458"/>
      <c r="E558" s="458"/>
      <c r="F558" s="458"/>
      <c r="G558" s="458"/>
      <c r="H558" s="458"/>
    </row>
    <row r="559" spans="4:8">
      <c r="D559" s="458"/>
      <c r="E559" s="458"/>
      <c r="F559" s="458"/>
      <c r="G559" s="458"/>
      <c r="H559" s="458"/>
    </row>
    <row r="560" spans="4:8">
      <c r="D560" s="458"/>
      <c r="E560" s="458"/>
      <c r="F560" s="458"/>
      <c r="G560" s="458"/>
      <c r="H560" s="458"/>
    </row>
    <row r="561" spans="4:8">
      <c r="D561" s="458"/>
      <c r="E561" s="458"/>
      <c r="F561" s="458"/>
      <c r="G561" s="458"/>
      <c r="H561" s="458"/>
    </row>
    <row r="562" spans="4:8">
      <c r="D562" s="458"/>
      <c r="E562" s="458"/>
      <c r="F562" s="458"/>
      <c r="G562" s="458"/>
      <c r="H562" s="458"/>
    </row>
    <row r="563" spans="4:8">
      <c r="D563" s="458"/>
      <c r="E563" s="458"/>
      <c r="F563" s="458"/>
      <c r="G563" s="458"/>
      <c r="H563" s="458"/>
    </row>
    <row r="564" spans="4:8">
      <c r="D564" s="458"/>
      <c r="E564" s="458"/>
      <c r="F564" s="458"/>
      <c r="G564" s="458"/>
      <c r="H564" s="458"/>
    </row>
    <row r="565" spans="4:8">
      <c r="D565" s="458"/>
      <c r="E565" s="458"/>
      <c r="F565" s="458"/>
      <c r="G565" s="458"/>
      <c r="H565" s="458"/>
    </row>
    <row r="566" spans="4:8">
      <c r="D566" s="458"/>
      <c r="E566" s="458"/>
      <c r="F566" s="458"/>
      <c r="G566" s="458"/>
      <c r="H566" s="458"/>
    </row>
    <row r="567" spans="4:8">
      <c r="D567" s="458"/>
      <c r="E567" s="458"/>
      <c r="F567" s="458"/>
      <c r="G567" s="458"/>
      <c r="H567" s="458"/>
    </row>
    <row r="568" spans="4:8">
      <c r="D568" s="458"/>
      <c r="E568" s="458"/>
      <c r="F568" s="458"/>
      <c r="G568" s="458"/>
      <c r="H568" s="458"/>
    </row>
    <row r="569" spans="4:8">
      <c r="D569" s="458"/>
      <c r="E569" s="458"/>
      <c r="F569" s="458"/>
      <c r="G569" s="458"/>
      <c r="H569" s="458"/>
    </row>
    <row r="570" spans="4:8">
      <c r="D570" s="458"/>
      <c r="E570" s="458"/>
      <c r="F570" s="458"/>
      <c r="G570" s="458"/>
      <c r="H570" s="458"/>
    </row>
    <row r="571" spans="4:8">
      <c r="D571" s="458"/>
      <c r="E571" s="458"/>
      <c r="F571" s="458"/>
      <c r="G571" s="458"/>
      <c r="H571" s="458"/>
    </row>
    <row r="572" spans="4:8">
      <c r="D572" s="458"/>
      <c r="E572" s="458"/>
      <c r="F572" s="458"/>
      <c r="G572" s="458"/>
      <c r="H572" s="458"/>
    </row>
    <row r="573" spans="4:8">
      <c r="D573" s="458"/>
      <c r="E573" s="458"/>
      <c r="F573" s="458"/>
      <c r="G573" s="458"/>
      <c r="H573" s="458"/>
    </row>
    <row r="574" spans="4:8">
      <c r="D574" s="458"/>
      <c r="E574" s="458"/>
      <c r="F574" s="458"/>
      <c r="G574" s="458"/>
      <c r="H574" s="458"/>
    </row>
    <row r="575" spans="4:8">
      <c r="D575" s="458"/>
      <c r="E575" s="458"/>
      <c r="F575" s="458"/>
      <c r="G575" s="458"/>
      <c r="H575" s="458"/>
    </row>
    <row r="576" spans="4:8">
      <c r="D576" s="458"/>
      <c r="E576" s="458"/>
      <c r="F576" s="458"/>
      <c r="G576" s="458"/>
      <c r="H576" s="458"/>
    </row>
    <row r="577" spans="4:8">
      <c r="D577" s="458"/>
      <c r="E577" s="458"/>
      <c r="F577" s="458"/>
      <c r="G577" s="458"/>
      <c r="H577" s="458"/>
    </row>
    <row r="578" spans="4:8">
      <c r="D578" s="458"/>
      <c r="E578" s="458"/>
      <c r="F578" s="458"/>
      <c r="G578" s="458"/>
      <c r="H578" s="458"/>
    </row>
    <row r="579" spans="4:8">
      <c r="D579" s="458"/>
      <c r="E579" s="458"/>
      <c r="F579" s="458"/>
      <c r="G579" s="458"/>
      <c r="H579" s="458"/>
    </row>
    <row r="580" spans="4:8">
      <c r="D580" s="458"/>
      <c r="E580" s="458"/>
      <c r="F580" s="458"/>
      <c r="G580" s="458"/>
      <c r="H580" s="458"/>
    </row>
    <row r="581" spans="4:8">
      <c r="D581" s="458"/>
      <c r="E581" s="458"/>
      <c r="F581" s="458"/>
      <c r="G581" s="458"/>
      <c r="H581" s="458"/>
    </row>
    <row r="582" spans="4:8">
      <c r="D582" s="458"/>
      <c r="E582" s="458"/>
      <c r="F582" s="458"/>
      <c r="G582" s="458"/>
      <c r="H582" s="458"/>
    </row>
    <row r="583" spans="4:8">
      <c r="D583" s="458"/>
      <c r="E583" s="458"/>
      <c r="F583" s="458"/>
      <c r="G583" s="458"/>
      <c r="H583" s="458"/>
    </row>
    <row r="584" spans="4:8">
      <c r="D584" s="458"/>
      <c r="E584" s="458"/>
      <c r="F584" s="458"/>
      <c r="G584" s="458"/>
      <c r="H584" s="458"/>
    </row>
    <row r="585" spans="4:8">
      <c r="D585" s="458"/>
      <c r="E585" s="458"/>
      <c r="F585" s="458"/>
      <c r="G585" s="458"/>
      <c r="H585" s="458"/>
    </row>
    <row r="586" spans="4:8">
      <c r="D586" s="458"/>
      <c r="E586" s="458"/>
      <c r="F586" s="458"/>
      <c r="G586" s="458"/>
      <c r="H586" s="458"/>
    </row>
    <row r="587" spans="4:8">
      <c r="D587" s="458"/>
      <c r="E587" s="458"/>
      <c r="F587" s="458"/>
      <c r="G587" s="458"/>
      <c r="H587" s="458"/>
    </row>
    <row r="588" spans="4:8">
      <c r="D588" s="458"/>
      <c r="E588" s="458"/>
      <c r="F588" s="458"/>
      <c r="G588" s="458"/>
      <c r="H588" s="458"/>
    </row>
    <row r="589" spans="4:8">
      <c r="D589" s="458"/>
      <c r="E589" s="458"/>
      <c r="F589" s="458"/>
      <c r="G589" s="458"/>
      <c r="H589" s="458"/>
    </row>
    <row r="590" spans="4:8">
      <c r="D590" s="458"/>
      <c r="E590" s="458"/>
      <c r="F590" s="458"/>
      <c r="G590" s="458"/>
      <c r="H590" s="458"/>
    </row>
    <row r="591" spans="4:8">
      <c r="D591" s="458"/>
      <c r="E591" s="458"/>
      <c r="F591" s="458"/>
      <c r="G591" s="458"/>
      <c r="H591" s="458"/>
    </row>
    <row r="592" spans="4:8">
      <c r="D592" s="458"/>
      <c r="E592" s="458"/>
      <c r="F592" s="458"/>
      <c r="G592" s="458"/>
      <c r="H592" s="458"/>
    </row>
    <row r="593" spans="4:8">
      <c r="D593" s="458"/>
      <c r="E593" s="458"/>
      <c r="F593" s="458"/>
      <c r="G593" s="458"/>
      <c r="H593" s="458"/>
    </row>
    <row r="594" spans="4:8">
      <c r="D594" s="458"/>
      <c r="E594" s="458"/>
      <c r="F594" s="458"/>
      <c r="G594" s="458"/>
      <c r="H594" s="458"/>
    </row>
    <row r="595" spans="4:8">
      <c r="D595" s="458"/>
      <c r="E595" s="458"/>
      <c r="F595" s="458"/>
      <c r="G595" s="458"/>
      <c r="H595" s="458"/>
    </row>
    <row r="596" spans="4:8">
      <c r="D596" s="458"/>
      <c r="E596" s="458"/>
      <c r="F596" s="458"/>
      <c r="G596" s="458"/>
      <c r="H596" s="458"/>
    </row>
    <row r="597" spans="4:8">
      <c r="D597" s="458"/>
      <c r="E597" s="458"/>
      <c r="F597" s="458"/>
      <c r="G597" s="458"/>
      <c r="H597" s="458"/>
    </row>
    <row r="598" spans="4:8">
      <c r="D598" s="458"/>
      <c r="E598" s="458"/>
      <c r="F598" s="458"/>
      <c r="G598" s="458"/>
      <c r="H598" s="458"/>
    </row>
    <row r="599" spans="4:8">
      <c r="D599" s="458"/>
      <c r="E599" s="458"/>
      <c r="F599" s="458"/>
      <c r="G599" s="458"/>
      <c r="H599" s="458"/>
    </row>
    <row r="600" spans="4:8">
      <c r="D600" s="458"/>
      <c r="E600" s="458"/>
      <c r="F600" s="458"/>
      <c r="G600" s="458"/>
      <c r="H600" s="458"/>
    </row>
    <row r="601" spans="4:8">
      <c r="D601" s="458"/>
      <c r="E601" s="458"/>
      <c r="F601" s="458"/>
      <c r="G601" s="458"/>
      <c r="H601" s="458"/>
    </row>
    <row r="602" spans="4:8">
      <c r="D602" s="458"/>
      <c r="E602" s="458"/>
      <c r="F602" s="458"/>
      <c r="G602" s="458"/>
      <c r="H602" s="458"/>
    </row>
    <row r="603" spans="4:8">
      <c r="D603" s="458"/>
      <c r="E603" s="458"/>
      <c r="F603" s="458"/>
      <c r="G603" s="458"/>
      <c r="H603" s="458"/>
    </row>
    <row r="604" spans="4:8">
      <c r="D604" s="458"/>
      <c r="E604" s="458"/>
      <c r="F604" s="458"/>
      <c r="G604" s="458"/>
      <c r="H604" s="458"/>
    </row>
    <row r="605" spans="4:8">
      <c r="D605" s="458"/>
      <c r="E605" s="458"/>
      <c r="F605" s="458"/>
      <c r="G605" s="458"/>
      <c r="H605" s="458"/>
    </row>
    <row r="606" spans="4:8">
      <c r="D606" s="458"/>
      <c r="E606" s="458"/>
      <c r="F606" s="458"/>
      <c r="G606" s="458"/>
      <c r="H606" s="458"/>
    </row>
    <row r="607" spans="4:8">
      <c r="D607" s="458"/>
      <c r="E607" s="458"/>
      <c r="F607" s="458"/>
      <c r="G607" s="458"/>
      <c r="H607" s="458"/>
    </row>
    <row r="608" spans="4:8">
      <c r="D608" s="458"/>
      <c r="E608" s="458"/>
      <c r="F608" s="458"/>
      <c r="G608" s="458"/>
      <c r="H608" s="458"/>
    </row>
    <row r="609" spans="4:8">
      <c r="D609" s="458"/>
      <c r="E609" s="458"/>
      <c r="F609" s="458"/>
      <c r="G609" s="458"/>
      <c r="H609" s="458"/>
    </row>
    <row r="610" spans="4:8">
      <c r="D610" s="458"/>
      <c r="E610" s="458"/>
      <c r="F610" s="458"/>
      <c r="G610" s="458"/>
      <c r="H610" s="458"/>
    </row>
    <row r="611" spans="4:8">
      <c r="D611" s="458"/>
      <c r="E611" s="458"/>
      <c r="F611" s="458"/>
      <c r="G611" s="458"/>
      <c r="H611" s="458"/>
    </row>
    <row r="612" spans="4:8">
      <c r="D612" s="458"/>
      <c r="E612" s="458"/>
      <c r="F612" s="458"/>
      <c r="G612" s="458"/>
      <c r="H612" s="458"/>
    </row>
    <row r="613" spans="4:8">
      <c r="D613" s="458"/>
      <c r="E613" s="458"/>
      <c r="F613" s="458"/>
      <c r="G613" s="458"/>
      <c r="H613" s="458"/>
    </row>
    <row r="614" spans="4:8">
      <c r="D614" s="458"/>
      <c r="E614" s="458"/>
      <c r="F614" s="458"/>
      <c r="G614" s="458"/>
      <c r="H614" s="458"/>
    </row>
    <row r="615" spans="4:8">
      <c r="D615" s="458"/>
      <c r="E615" s="458"/>
      <c r="F615" s="458"/>
      <c r="G615" s="458"/>
      <c r="H615" s="458"/>
    </row>
    <row r="616" spans="4:8">
      <c r="D616" s="458"/>
      <c r="E616" s="458"/>
      <c r="F616" s="458"/>
      <c r="G616" s="458"/>
      <c r="H616" s="458"/>
    </row>
    <row r="617" spans="4:8">
      <c r="D617" s="458"/>
      <c r="E617" s="458"/>
      <c r="F617" s="458"/>
      <c r="G617" s="458"/>
      <c r="H617" s="458"/>
    </row>
    <row r="618" spans="4:8">
      <c r="D618" s="458"/>
      <c r="E618" s="458"/>
      <c r="F618" s="458"/>
      <c r="G618" s="458"/>
      <c r="H618" s="458"/>
    </row>
    <row r="619" spans="4:8">
      <c r="D619" s="458"/>
      <c r="E619" s="458"/>
      <c r="F619" s="458"/>
      <c r="G619" s="458"/>
      <c r="H619" s="458"/>
    </row>
    <row r="620" spans="4:8">
      <c r="D620" s="458"/>
      <c r="E620" s="458"/>
      <c r="F620" s="458"/>
      <c r="G620" s="458"/>
      <c r="H620" s="458"/>
    </row>
    <row r="621" spans="4:8">
      <c r="D621" s="458"/>
      <c r="E621" s="458"/>
      <c r="F621" s="458"/>
      <c r="G621" s="458"/>
      <c r="H621" s="458"/>
    </row>
    <row r="622" spans="4:8">
      <c r="D622" s="458"/>
      <c r="E622" s="458"/>
      <c r="F622" s="458"/>
      <c r="G622" s="458"/>
      <c r="H622" s="458"/>
    </row>
    <row r="623" spans="4:8">
      <c r="D623" s="458"/>
      <c r="E623" s="458"/>
      <c r="F623" s="458"/>
      <c r="G623" s="458"/>
      <c r="H623" s="458"/>
    </row>
    <row r="624" spans="4:8">
      <c r="D624" s="458"/>
      <c r="E624" s="458"/>
      <c r="F624" s="458"/>
      <c r="G624" s="458"/>
      <c r="H624" s="458"/>
    </row>
    <row r="625" spans="4:8">
      <c r="D625" s="458"/>
      <c r="E625" s="458"/>
      <c r="F625" s="458"/>
      <c r="G625" s="458"/>
      <c r="H625" s="458"/>
    </row>
    <row r="626" spans="4:8">
      <c r="D626" s="458"/>
      <c r="E626" s="458"/>
      <c r="F626" s="458"/>
      <c r="G626" s="458"/>
      <c r="H626" s="458"/>
    </row>
    <row r="627" spans="4:8">
      <c r="D627" s="458"/>
      <c r="E627" s="458"/>
      <c r="F627" s="458"/>
      <c r="G627" s="458"/>
      <c r="H627" s="458"/>
    </row>
    <row r="628" spans="4:8">
      <c r="D628" s="458"/>
      <c r="E628" s="458"/>
      <c r="F628" s="458"/>
      <c r="G628" s="458"/>
      <c r="H628" s="458"/>
    </row>
    <row r="629" spans="4:8">
      <c r="D629" s="458"/>
      <c r="E629" s="458"/>
      <c r="F629" s="458"/>
      <c r="G629" s="458"/>
      <c r="H629" s="458"/>
    </row>
    <row r="630" spans="4:8">
      <c r="D630" s="458"/>
      <c r="E630" s="458"/>
      <c r="F630" s="458"/>
      <c r="G630" s="458"/>
      <c r="H630" s="458"/>
    </row>
    <row r="631" spans="4:8">
      <c r="D631" s="458"/>
      <c r="E631" s="458"/>
      <c r="F631" s="458"/>
      <c r="G631" s="458"/>
      <c r="H631" s="458"/>
    </row>
    <row r="632" spans="4:8">
      <c r="D632" s="458"/>
      <c r="E632" s="458"/>
      <c r="F632" s="458"/>
      <c r="G632" s="458"/>
      <c r="H632" s="458"/>
    </row>
    <row r="633" spans="4:8">
      <c r="D633" s="458"/>
      <c r="E633" s="458"/>
      <c r="F633" s="458"/>
      <c r="G633" s="458"/>
      <c r="H633" s="458"/>
    </row>
    <row r="634" spans="4:8">
      <c r="D634" s="458"/>
      <c r="E634" s="458"/>
      <c r="F634" s="458"/>
      <c r="G634" s="458"/>
      <c r="H634" s="458"/>
    </row>
    <row r="635" spans="4:8">
      <c r="D635" s="458"/>
      <c r="E635" s="458"/>
      <c r="F635" s="458"/>
      <c r="G635" s="458"/>
      <c r="H635" s="458"/>
    </row>
    <row r="636" spans="4:8">
      <c r="D636" s="458"/>
      <c r="E636" s="458"/>
      <c r="F636" s="458"/>
      <c r="G636" s="458"/>
      <c r="H636" s="458"/>
    </row>
    <row r="637" spans="4:8">
      <c r="D637" s="458"/>
      <c r="E637" s="458"/>
      <c r="F637" s="458"/>
      <c r="G637" s="458"/>
      <c r="H637" s="458"/>
    </row>
    <row r="638" spans="4:8">
      <c r="D638" s="458"/>
      <c r="E638" s="458"/>
      <c r="F638" s="458"/>
      <c r="G638" s="458"/>
      <c r="H638" s="458"/>
    </row>
    <row r="639" spans="4:8">
      <c r="D639" s="458"/>
      <c r="E639" s="458"/>
      <c r="F639" s="458"/>
      <c r="G639" s="458"/>
      <c r="H639" s="458"/>
    </row>
    <row r="640" spans="4:8">
      <c r="D640" s="458"/>
      <c r="E640" s="458"/>
      <c r="F640" s="458"/>
      <c r="G640" s="458"/>
      <c r="H640" s="458"/>
    </row>
    <row r="641" spans="4:8">
      <c r="D641" s="458"/>
      <c r="E641" s="458"/>
      <c r="F641" s="458"/>
      <c r="G641" s="458"/>
      <c r="H641" s="458"/>
    </row>
    <row r="642" spans="4:8">
      <c r="D642" s="458"/>
      <c r="E642" s="458"/>
      <c r="F642" s="458"/>
      <c r="G642" s="458"/>
      <c r="H642" s="458"/>
    </row>
    <row r="643" spans="4:8">
      <c r="D643" s="458"/>
      <c r="E643" s="458"/>
      <c r="F643" s="458"/>
      <c r="G643" s="458"/>
      <c r="H643" s="458"/>
    </row>
    <row r="644" spans="4:8">
      <c r="D644" s="458"/>
      <c r="E644" s="458"/>
      <c r="F644" s="458"/>
      <c r="G644" s="458"/>
      <c r="H644" s="458"/>
    </row>
    <row r="645" spans="4:8">
      <c r="D645" s="458"/>
      <c r="E645" s="458"/>
      <c r="F645" s="458"/>
      <c r="G645" s="458"/>
      <c r="H645" s="458"/>
    </row>
    <row r="646" spans="4:8">
      <c r="D646" s="458"/>
      <c r="E646" s="458"/>
      <c r="F646" s="458"/>
      <c r="G646" s="458"/>
      <c r="H646" s="458"/>
    </row>
    <row r="647" spans="4:8">
      <c r="D647" s="458"/>
      <c r="E647" s="458"/>
      <c r="F647" s="458"/>
      <c r="G647" s="458"/>
      <c r="H647" s="458"/>
    </row>
    <row r="648" spans="4:8">
      <c r="D648" s="458"/>
      <c r="E648" s="458"/>
      <c r="F648" s="458"/>
      <c r="G648" s="458"/>
      <c r="H648" s="458"/>
    </row>
    <row r="649" spans="4:8">
      <c r="D649" s="458"/>
      <c r="E649" s="458"/>
      <c r="F649" s="458"/>
      <c r="G649" s="458"/>
      <c r="H649" s="458"/>
    </row>
    <row r="650" spans="4:8">
      <c r="D650" s="458"/>
      <c r="E650" s="458"/>
      <c r="F650" s="458"/>
      <c r="G650" s="458"/>
      <c r="H650" s="458"/>
    </row>
    <row r="651" spans="4:8">
      <c r="D651" s="458"/>
      <c r="E651" s="458"/>
      <c r="F651" s="458"/>
      <c r="G651" s="458"/>
      <c r="H651" s="458"/>
    </row>
    <row r="652" spans="4:8">
      <c r="D652" s="458"/>
      <c r="E652" s="458"/>
      <c r="F652" s="458"/>
      <c r="G652" s="458"/>
      <c r="H652" s="458"/>
    </row>
    <row r="653" spans="4:8">
      <c r="D653" s="458"/>
      <c r="E653" s="458"/>
      <c r="F653" s="458"/>
      <c r="G653" s="458"/>
      <c r="H653" s="458"/>
    </row>
    <row r="654" spans="4:8">
      <c r="D654" s="458"/>
      <c r="E654" s="458"/>
      <c r="F654" s="458"/>
      <c r="G654" s="458"/>
      <c r="H654" s="458"/>
    </row>
    <row r="655" spans="4:8">
      <c r="D655" s="458"/>
      <c r="E655" s="458"/>
      <c r="F655" s="458"/>
      <c r="G655" s="458"/>
      <c r="H655" s="458"/>
    </row>
    <row r="656" spans="4:8">
      <c r="D656" s="458"/>
      <c r="E656" s="458"/>
      <c r="F656" s="458"/>
      <c r="G656" s="458"/>
      <c r="H656" s="458"/>
    </row>
    <row r="657" spans="4:8">
      <c r="D657" s="458"/>
      <c r="E657" s="458"/>
      <c r="F657" s="458"/>
      <c r="G657" s="458"/>
      <c r="H657" s="458"/>
    </row>
    <row r="658" spans="4:8">
      <c r="D658" s="458"/>
      <c r="E658" s="458"/>
      <c r="F658" s="458"/>
      <c r="G658" s="458"/>
      <c r="H658" s="458"/>
    </row>
    <row r="659" spans="4:8">
      <c r="D659" s="458"/>
      <c r="E659" s="458"/>
      <c r="F659" s="458"/>
      <c r="G659" s="458"/>
      <c r="H659" s="458"/>
    </row>
    <row r="660" spans="4:8">
      <c r="D660" s="458"/>
      <c r="E660" s="458"/>
      <c r="F660" s="458"/>
      <c r="G660" s="458"/>
      <c r="H660" s="458"/>
    </row>
    <row r="661" spans="4:8">
      <c r="D661" s="458"/>
      <c r="E661" s="458"/>
      <c r="F661" s="458"/>
      <c r="G661" s="458"/>
      <c r="H661" s="458"/>
    </row>
    <row r="662" spans="4:8">
      <c r="D662" s="458"/>
      <c r="E662" s="458"/>
      <c r="F662" s="458"/>
      <c r="G662" s="458"/>
      <c r="H662" s="458"/>
    </row>
    <row r="663" spans="4:8">
      <c r="D663" s="458"/>
      <c r="E663" s="458"/>
      <c r="F663" s="458"/>
      <c r="G663" s="458"/>
      <c r="H663" s="458"/>
    </row>
    <row r="664" spans="4:8">
      <c r="D664" s="458"/>
      <c r="E664" s="458"/>
      <c r="F664" s="458"/>
      <c r="G664" s="458"/>
      <c r="H664" s="458"/>
    </row>
    <row r="665" spans="4:8">
      <c r="D665" s="458"/>
      <c r="E665" s="458"/>
      <c r="F665" s="458"/>
      <c r="G665" s="458"/>
      <c r="H665" s="458"/>
    </row>
    <row r="666" spans="4:8">
      <c r="D666" s="458"/>
      <c r="E666" s="458"/>
      <c r="F666" s="458"/>
      <c r="G666" s="458"/>
      <c r="H666" s="458"/>
    </row>
    <row r="667" spans="4:8">
      <c r="D667" s="458"/>
      <c r="E667" s="458"/>
      <c r="F667" s="458"/>
      <c r="G667" s="458"/>
      <c r="H667" s="458"/>
    </row>
    <row r="668" spans="4:8">
      <c r="D668" s="458"/>
      <c r="E668" s="458"/>
      <c r="F668" s="458"/>
      <c r="G668" s="458"/>
      <c r="H668" s="458"/>
    </row>
    <row r="669" spans="4:8">
      <c r="D669" s="458"/>
      <c r="E669" s="458"/>
      <c r="F669" s="458"/>
      <c r="G669" s="458"/>
      <c r="H669" s="458"/>
    </row>
    <row r="670" spans="4:8">
      <c r="D670" s="458"/>
      <c r="E670" s="458"/>
      <c r="F670" s="458"/>
      <c r="G670" s="458"/>
      <c r="H670" s="458"/>
    </row>
    <row r="671" spans="4:8">
      <c r="D671" s="458"/>
      <c r="E671" s="458"/>
      <c r="F671" s="458"/>
      <c r="G671" s="458"/>
      <c r="H671" s="458"/>
    </row>
    <row r="672" spans="4:8">
      <c r="D672" s="458"/>
      <c r="E672" s="458"/>
      <c r="F672" s="458"/>
      <c r="G672" s="458"/>
      <c r="H672" s="458"/>
    </row>
    <row r="673" spans="4:8">
      <c r="D673" s="458"/>
      <c r="E673" s="458"/>
      <c r="F673" s="458"/>
      <c r="G673" s="458"/>
      <c r="H673" s="458"/>
    </row>
    <row r="674" spans="4:8">
      <c r="D674" s="458"/>
      <c r="E674" s="458"/>
      <c r="F674" s="458"/>
      <c r="G674" s="458"/>
      <c r="H674" s="458"/>
    </row>
    <row r="675" spans="4:8">
      <c r="D675" s="458"/>
      <c r="E675" s="458"/>
      <c r="F675" s="458"/>
      <c r="G675" s="458"/>
      <c r="H675" s="458"/>
    </row>
    <row r="676" spans="4:8">
      <c r="D676" s="458"/>
      <c r="E676" s="458"/>
      <c r="F676" s="458"/>
      <c r="G676" s="458"/>
      <c r="H676" s="458"/>
    </row>
    <row r="677" spans="4:8">
      <c r="D677" s="458"/>
      <c r="E677" s="458"/>
      <c r="F677" s="458"/>
      <c r="G677" s="458"/>
      <c r="H677" s="458"/>
    </row>
    <row r="678" spans="4:8">
      <c r="D678" s="458"/>
      <c r="E678" s="458"/>
      <c r="F678" s="458"/>
      <c r="G678" s="458"/>
      <c r="H678" s="458"/>
    </row>
    <row r="679" spans="4:8">
      <c r="D679" s="458"/>
      <c r="E679" s="458"/>
      <c r="F679" s="458"/>
      <c r="G679" s="458"/>
      <c r="H679" s="458"/>
    </row>
    <row r="680" spans="4:8">
      <c r="D680" s="458"/>
      <c r="E680" s="458"/>
      <c r="F680" s="458"/>
      <c r="G680" s="458"/>
      <c r="H680" s="458"/>
    </row>
    <row r="681" spans="4:8">
      <c r="D681" s="458"/>
      <c r="E681" s="458"/>
      <c r="F681" s="458"/>
      <c r="G681" s="458"/>
      <c r="H681" s="458"/>
    </row>
    <row r="682" spans="4:8">
      <c r="D682" s="458"/>
      <c r="E682" s="458"/>
      <c r="F682" s="458"/>
      <c r="G682" s="458"/>
      <c r="H682" s="458"/>
    </row>
    <row r="683" spans="4:8">
      <c r="D683" s="458"/>
      <c r="E683" s="458"/>
      <c r="F683" s="458"/>
      <c r="G683" s="458"/>
      <c r="H683" s="458"/>
    </row>
    <row r="684" spans="4:8">
      <c r="D684" s="458"/>
      <c r="E684" s="458"/>
      <c r="F684" s="458"/>
      <c r="G684" s="458"/>
      <c r="H684" s="458"/>
    </row>
    <row r="685" spans="4:8">
      <c r="D685" s="458"/>
      <c r="E685" s="458"/>
      <c r="F685" s="458"/>
      <c r="G685" s="458"/>
      <c r="H685" s="458"/>
    </row>
    <row r="686" spans="4:8">
      <c r="D686" s="458"/>
      <c r="E686" s="458"/>
      <c r="F686" s="458"/>
      <c r="G686" s="458"/>
      <c r="H686" s="458"/>
    </row>
    <row r="687" spans="4:8">
      <c r="D687" s="458"/>
      <c r="E687" s="458"/>
      <c r="F687" s="458"/>
      <c r="G687" s="458"/>
      <c r="H687" s="458"/>
    </row>
    <row r="688" spans="4:8">
      <c r="D688" s="458"/>
      <c r="E688" s="458"/>
      <c r="F688" s="458"/>
      <c r="G688" s="458"/>
      <c r="H688" s="458"/>
    </row>
    <row r="689" spans="4:8">
      <c r="D689" s="458"/>
      <c r="E689" s="458"/>
      <c r="F689" s="458"/>
      <c r="G689" s="458"/>
      <c r="H689" s="458"/>
    </row>
    <row r="690" spans="4:8">
      <c r="D690" s="458"/>
      <c r="E690" s="458"/>
      <c r="F690" s="458"/>
      <c r="G690" s="458"/>
      <c r="H690" s="458"/>
    </row>
    <row r="691" spans="4:8">
      <c r="D691" s="458"/>
      <c r="E691" s="458"/>
      <c r="F691" s="458"/>
      <c r="G691" s="458"/>
      <c r="H691" s="458"/>
    </row>
    <row r="692" spans="4:8">
      <c r="D692" s="458"/>
      <c r="E692" s="458"/>
      <c r="F692" s="458"/>
      <c r="G692" s="458"/>
      <c r="H692" s="458"/>
    </row>
    <row r="693" spans="4:8">
      <c r="D693" s="458"/>
      <c r="E693" s="458"/>
      <c r="F693" s="458"/>
      <c r="G693" s="458"/>
      <c r="H693" s="458"/>
    </row>
    <row r="694" spans="4:8">
      <c r="D694" s="458"/>
      <c r="E694" s="458"/>
      <c r="F694" s="458"/>
      <c r="G694" s="458"/>
      <c r="H694" s="458"/>
    </row>
    <row r="695" spans="4:8">
      <c r="D695" s="458"/>
      <c r="E695" s="458"/>
      <c r="F695" s="458"/>
      <c r="G695" s="458"/>
      <c r="H695" s="458"/>
    </row>
    <row r="696" spans="4:8">
      <c r="D696" s="458"/>
      <c r="E696" s="458"/>
      <c r="F696" s="458"/>
      <c r="G696" s="458"/>
      <c r="H696" s="458"/>
    </row>
    <row r="697" spans="4:8">
      <c r="D697" s="458"/>
      <c r="E697" s="458"/>
      <c r="F697" s="458"/>
      <c r="G697" s="458"/>
      <c r="H697" s="458"/>
    </row>
    <row r="698" spans="4:8">
      <c r="D698" s="458"/>
      <c r="E698" s="458"/>
      <c r="F698" s="458"/>
      <c r="G698" s="458"/>
      <c r="H698" s="458"/>
    </row>
    <row r="699" spans="4:8">
      <c r="D699" s="458"/>
      <c r="E699" s="458"/>
      <c r="F699" s="458"/>
      <c r="G699" s="458"/>
      <c r="H699" s="458"/>
    </row>
    <row r="700" spans="4:8">
      <c r="D700" s="458"/>
      <c r="E700" s="458"/>
      <c r="F700" s="458"/>
      <c r="G700" s="458"/>
      <c r="H700" s="458"/>
    </row>
    <row r="701" spans="4:8">
      <c r="D701" s="458"/>
      <c r="E701" s="458"/>
      <c r="F701" s="458"/>
      <c r="G701" s="458"/>
      <c r="H701" s="458"/>
    </row>
    <row r="702" spans="4:8">
      <c r="D702" s="458"/>
      <c r="E702" s="458"/>
      <c r="F702" s="458"/>
      <c r="G702" s="458"/>
      <c r="H702" s="458"/>
    </row>
    <row r="703" spans="4:8">
      <c r="D703" s="458"/>
      <c r="E703" s="458"/>
      <c r="F703" s="458"/>
      <c r="G703" s="458"/>
      <c r="H703" s="458"/>
    </row>
    <row r="704" spans="4:8">
      <c r="D704" s="458"/>
      <c r="E704" s="458"/>
      <c r="F704" s="458"/>
      <c r="G704" s="458"/>
      <c r="H704" s="458"/>
    </row>
    <row r="705" spans="4:8">
      <c r="D705" s="458"/>
      <c r="E705" s="458"/>
      <c r="F705" s="458"/>
      <c r="G705" s="458"/>
      <c r="H705" s="458"/>
    </row>
    <row r="706" spans="4:8">
      <c r="D706" s="458"/>
      <c r="E706" s="458"/>
      <c r="F706" s="458"/>
      <c r="G706" s="458"/>
      <c r="H706" s="458"/>
    </row>
    <row r="707" spans="4:8">
      <c r="D707" s="458"/>
      <c r="E707" s="458"/>
      <c r="F707" s="458"/>
      <c r="G707" s="458"/>
      <c r="H707" s="458"/>
    </row>
    <row r="708" spans="4:8">
      <c r="D708" s="458"/>
      <c r="E708" s="458"/>
      <c r="F708" s="458"/>
      <c r="G708" s="458"/>
      <c r="H708" s="458"/>
    </row>
    <row r="709" spans="4:8">
      <c r="D709" s="458"/>
      <c r="E709" s="458"/>
      <c r="F709" s="458"/>
      <c r="G709" s="458"/>
      <c r="H709" s="458"/>
    </row>
    <row r="710" spans="4:8">
      <c r="D710" s="458"/>
      <c r="E710" s="458"/>
      <c r="F710" s="458"/>
      <c r="G710" s="458"/>
      <c r="H710" s="458"/>
    </row>
    <row r="711" spans="4:8">
      <c r="D711" s="458"/>
      <c r="E711" s="458"/>
      <c r="F711" s="458"/>
      <c r="G711" s="458"/>
      <c r="H711" s="458"/>
    </row>
    <row r="712" spans="4:8">
      <c r="D712" s="458"/>
      <c r="E712" s="458"/>
      <c r="F712" s="458"/>
      <c r="G712" s="458"/>
      <c r="H712" s="458"/>
    </row>
    <row r="713" spans="4:8">
      <c r="D713" s="458"/>
      <c r="E713" s="458"/>
      <c r="F713" s="458"/>
      <c r="G713" s="458"/>
      <c r="H713" s="458"/>
    </row>
    <row r="714" spans="4:8">
      <c r="D714" s="458"/>
      <c r="E714" s="458"/>
      <c r="F714" s="458"/>
      <c r="G714" s="458"/>
      <c r="H714" s="458"/>
    </row>
    <row r="715" spans="4:8">
      <c r="D715" s="458"/>
      <c r="E715" s="458"/>
      <c r="F715" s="458"/>
      <c r="G715" s="458"/>
      <c r="H715" s="458"/>
    </row>
    <row r="716" spans="4:8">
      <c r="D716" s="458"/>
      <c r="E716" s="458"/>
      <c r="F716" s="458"/>
      <c r="G716" s="458"/>
      <c r="H716" s="458"/>
    </row>
    <row r="717" spans="4:8">
      <c r="D717" s="458"/>
      <c r="E717" s="458"/>
      <c r="F717" s="458"/>
      <c r="G717" s="458"/>
      <c r="H717" s="458"/>
    </row>
    <row r="718" spans="4:8">
      <c r="D718" s="458"/>
      <c r="E718" s="458"/>
      <c r="F718" s="458"/>
      <c r="G718" s="458"/>
      <c r="H718" s="458"/>
    </row>
    <row r="719" spans="4:8">
      <c r="D719" s="458"/>
      <c r="E719" s="458"/>
      <c r="F719" s="458"/>
      <c r="G719" s="458"/>
      <c r="H719" s="458"/>
    </row>
    <row r="720" spans="4:8">
      <c r="D720" s="458"/>
      <c r="E720" s="458"/>
      <c r="F720" s="458"/>
      <c r="G720" s="458"/>
      <c r="H720" s="458"/>
    </row>
    <row r="721" spans="4:8">
      <c r="D721" s="458"/>
      <c r="E721" s="458"/>
      <c r="F721" s="458"/>
      <c r="G721" s="458"/>
      <c r="H721" s="458"/>
    </row>
    <row r="722" spans="4:8">
      <c r="D722" s="458"/>
      <c r="E722" s="458"/>
      <c r="F722" s="458"/>
      <c r="G722" s="458"/>
      <c r="H722" s="458"/>
    </row>
    <row r="723" spans="4:8">
      <c r="D723" s="458"/>
      <c r="E723" s="458"/>
      <c r="F723" s="458"/>
      <c r="G723" s="458"/>
      <c r="H723" s="458"/>
    </row>
    <row r="724" spans="4:8">
      <c r="D724" s="458"/>
      <c r="E724" s="458"/>
      <c r="F724" s="458"/>
      <c r="G724" s="458"/>
      <c r="H724" s="458"/>
    </row>
    <row r="725" spans="4:8">
      <c r="D725" s="458"/>
      <c r="E725" s="458"/>
      <c r="F725" s="458"/>
      <c r="G725" s="458"/>
      <c r="H725" s="458"/>
    </row>
    <row r="726" spans="4:8">
      <c r="D726" s="458"/>
      <c r="E726" s="458"/>
      <c r="F726" s="458"/>
      <c r="G726" s="458"/>
      <c r="H726" s="458"/>
    </row>
    <row r="727" spans="4:8">
      <c r="D727" s="458"/>
      <c r="E727" s="458"/>
      <c r="F727" s="458"/>
      <c r="G727" s="458"/>
      <c r="H727" s="458"/>
    </row>
    <row r="728" spans="4:8">
      <c r="D728" s="458"/>
      <c r="E728" s="458"/>
      <c r="F728" s="458"/>
      <c r="G728" s="458"/>
      <c r="H728" s="458"/>
    </row>
    <row r="729" spans="4:8">
      <c r="D729" s="458"/>
      <c r="E729" s="458"/>
      <c r="F729" s="458"/>
      <c r="G729" s="458"/>
      <c r="H729" s="458"/>
    </row>
    <row r="730" spans="4:8">
      <c r="D730" s="458"/>
      <c r="E730" s="458"/>
      <c r="F730" s="458"/>
      <c r="G730" s="458"/>
      <c r="H730" s="458"/>
    </row>
    <row r="731" spans="4:8">
      <c r="D731" s="458"/>
      <c r="E731" s="458"/>
      <c r="F731" s="458"/>
      <c r="G731" s="458"/>
      <c r="H731" s="458"/>
    </row>
    <row r="732" spans="4:8">
      <c r="D732" s="458"/>
      <c r="E732" s="458"/>
      <c r="F732" s="458"/>
      <c r="G732" s="458"/>
      <c r="H732" s="458"/>
    </row>
    <row r="733" spans="4:8">
      <c r="D733" s="458"/>
      <c r="E733" s="458"/>
      <c r="F733" s="458"/>
      <c r="G733" s="458"/>
      <c r="H733" s="458"/>
    </row>
    <row r="734" spans="4:8">
      <c r="D734" s="458"/>
      <c r="E734" s="458"/>
      <c r="F734" s="458"/>
      <c r="G734" s="458"/>
      <c r="H734" s="458"/>
    </row>
    <row r="735" spans="4:8">
      <c r="D735" s="458"/>
      <c r="E735" s="458"/>
      <c r="F735" s="458"/>
      <c r="G735" s="458"/>
      <c r="H735" s="458"/>
    </row>
    <row r="736" spans="4:8">
      <c r="D736" s="458"/>
      <c r="E736" s="458"/>
      <c r="F736" s="458"/>
      <c r="G736" s="458"/>
      <c r="H736" s="458"/>
    </row>
    <row r="737" spans="4:8">
      <c r="D737" s="458"/>
      <c r="E737" s="458"/>
      <c r="F737" s="458"/>
      <c r="G737" s="458"/>
      <c r="H737" s="458"/>
    </row>
    <row r="738" spans="4:8">
      <c r="D738" s="458"/>
      <c r="E738" s="458"/>
      <c r="F738" s="458"/>
      <c r="G738" s="458"/>
      <c r="H738" s="458"/>
    </row>
    <row r="739" spans="4:8">
      <c r="D739" s="458"/>
      <c r="E739" s="458"/>
      <c r="F739" s="458"/>
      <c r="G739" s="458"/>
      <c r="H739" s="458"/>
    </row>
    <row r="740" spans="4:8">
      <c r="D740" s="458"/>
      <c r="E740" s="458"/>
      <c r="F740" s="458"/>
      <c r="G740" s="458"/>
      <c r="H740" s="458"/>
    </row>
    <row r="741" spans="4:8">
      <c r="D741" s="458"/>
      <c r="E741" s="458"/>
      <c r="F741" s="458"/>
      <c r="G741" s="458"/>
      <c r="H741" s="458"/>
    </row>
    <row r="742" spans="4:8">
      <c r="D742" s="458"/>
      <c r="E742" s="458"/>
      <c r="F742" s="458"/>
      <c r="G742" s="458"/>
      <c r="H742" s="458"/>
    </row>
    <row r="743" spans="4:8">
      <c r="D743" s="458"/>
      <c r="E743" s="458"/>
      <c r="F743" s="458"/>
      <c r="G743" s="458"/>
      <c r="H743" s="458"/>
    </row>
    <row r="744" spans="4:8">
      <c r="D744" s="458"/>
      <c r="E744" s="458"/>
      <c r="F744" s="458"/>
      <c r="G744" s="458"/>
      <c r="H744" s="458"/>
    </row>
    <row r="745" spans="4:8">
      <c r="D745" s="458"/>
      <c r="E745" s="458"/>
      <c r="F745" s="458"/>
      <c r="G745" s="458"/>
      <c r="H745" s="458"/>
    </row>
    <row r="746" spans="4:8">
      <c r="D746" s="458"/>
      <c r="E746" s="458"/>
      <c r="F746" s="458"/>
      <c r="G746" s="458"/>
      <c r="H746" s="458"/>
    </row>
    <row r="747" spans="4:8">
      <c r="D747" s="458"/>
      <c r="E747" s="458"/>
      <c r="F747" s="458"/>
      <c r="G747" s="458"/>
      <c r="H747" s="458"/>
    </row>
    <row r="748" spans="4:8">
      <c r="D748" s="458"/>
      <c r="E748" s="458"/>
      <c r="F748" s="458"/>
      <c r="G748" s="458"/>
      <c r="H748" s="458"/>
    </row>
    <row r="749" spans="4:8">
      <c r="D749" s="458"/>
      <c r="E749" s="458"/>
      <c r="F749" s="458"/>
      <c r="G749" s="458"/>
      <c r="H749" s="458"/>
    </row>
    <row r="750" spans="4:8">
      <c r="D750" s="458"/>
      <c r="E750" s="458"/>
      <c r="F750" s="458"/>
      <c r="G750" s="458"/>
      <c r="H750" s="458"/>
    </row>
    <row r="751" spans="4:8">
      <c r="D751" s="458"/>
      <c r="E751" s="458"/>
      <c r="F751" s="458"/>
      <c r="G751" s="458"/>
      <c r="H751" s="458"/>
    </row>
    <row r="752" spans="4:8">
      <c r="D752" s="458"/>
      <c r="E752" s="458"/>
      <c r="F752" s="458"/>
      <c r="G752" s="458"/>
      <c r="H752" s="458"/>
    </row>
    <row r="753" spans="4:8">
      <c r="D753" s="458"/>
      <c r="E753" s="458"/>
      <c r="F753" s="458"/>
      <c r="G753" s="458"/>
      <c r="H753" s="458"/>
    </row>
    <row r="754" spans="4:8">
      <c r="D754" s="458"/>
      <c r="E754" s="458"/>
      <c r="F754" s="458"/>
      <c r="G754" s="458"/>
      <c r="H754" s="458"/>
    </row>
    <row r="755" spans="4:8">
      <c r="D755" s="458"/>
      <c r="E755" s="458"/>
      <c r="F755" s="458"/>
      <c r="G755" s="458"/>
      <c r="H755" s="458"/>
    </row>
    <row r="756" spans="4:8">
      <c r="D756" s="458"/>
      <c r="E756" s="458"/>
      <c r="F756" s="458"/>
      <c r="G756" s="458"/>
      <c r="H756" s="458"/>
    </row>
    <row r="757" spans="4:8">
      <c r="D757" s="458"/>
      <c r="E757" s="458"/>
      <c r="F757" s="458"/>
      <c r="G757" s="458"/>
      <c r="H757" s="458"/>
    </row>
    <row r="758" spans="4:8">
      <c r="D758" s="458"/>
      <c r="E758" s="458"/>
      <c r="F758" s="458"/>
      <c r="G758" s="458"/>
      <c r="H758" s="458"/>
    </row>
    <row r="759" spans="4:8">
      <c r="D759" s="458"/>
      <c r="E759" s="458"/>
      <c r="F759" s="458"/>
      <c r="G759" s="458"/>
      <c r="H759" s="458"/>
    </row>
    <row r="760" spans="4:8">
      <c r="D760" s="458"/>
      <c r="E760" s="458"/>
      <c r="F760" s="458"/>
      <c r="G760" s="458"/>
      <c r="H760" s="458"/>
    </row>
    <row r="761" spans="4:8">
      <c r="D761" s="458"/>
      <c r="E761" s="458"/>
      <c r="F761" s="458"/>
      <c r="G761" s="458"/>
      <c r="H761" s="458"/>
    </row>
    <row r="762" spans="4:8">
      <c r="D762" s="458"/>
      <c r="E762" s="458"/>
      <c r="F762" s="458"/>
      <c r="G762" s="458"/>
      <c r="H762" s="458"/>
    </row>
    <row r="763" spans="4:8">
      <c r="D763" s="458"/>
      <c r="E763" s="458"/>
      <c r="F763" s="458"/>
      <c r="G763" s="458"/>
      <c r="H763" s="458"/>
    </row>
    <row r="764" spans="4:8">
      <c r="D764" s="458"/>
      <c r="E764" s="458"/>
      <c r="F764" s="458"/>
      <c r="G764" s="458"/>
      <c r="H764" s="458"/>
    </row>
    <row r="765" spans="4:8">
      <c r="D765" s="458"/>
      <c r="E765" s="458"/>
      <c r="F765" s="458"/>
      <c r="G765" s="458"/>
      <c r="H765" s="458"/>
    </row>
    <row r="766" spans="4:8">
      <c r="D766" s="458"/>
      <c r="E766" s="458"/>
      <c r="F766" s="458"/>
      <c r="G766" s="458"/>
      <c r="H766" s="458"/>
    </row>
    <row r="767" spans="4:8">
      <c r="D767" s="458"/>
      <c r="E767" s="458"/>
      <c r="F767" s="458"/>
      <c r="G767" s="458"/>
      <c r="H767" s="458"/>
    </row>
    <row r="768" spans="4:8">
      <c r="D768" s="458"/>
      <c r="E768" s="458"/>
      <c r="F768" s="458"/>
      <c r="G768" s="458"/>
      <c r="H768" s="458"/>
    </row>
    <row r="769" spans="4:8">
      <c r="D769" s="458"/>
      <c r="E769" s="458"/>
      <c r="F769" s="458"/>
      <c r="G769" s="458"/>
      <c r="H769" s="458"/>
    </row>
    <row r="770" spans="4:8">
      <c r="D770" s="458"/>
      <c r="E770" s="458"/>
      <c r="F770" s="458"/>
      <c r="G770" s="458"/>
      <c r="H770" s="458"/>
    </row>
    <row r="771" spans="4:8">
      <c r="D771" s="458"/>
      <c r="E771" s="458"/>
      <c r="F771" s="458"/>
      <c r="G771" s="458"/>
      <c r="H771" s="458"/>
    </row>
    <row r="772" spans="4:8">
      <c r="D772" s="458"/>
      <c r="E772" s="458"/>
      <c r="F772" s="458"/>
      <c r="G772" s="458"/>
      <c r="H772" s="458"/>
    </row>
    <row r="773" spans="4:8">
      <c r="D773" s="458"/>
      <c r="E773" s="458"/>
      <c r="F773" s="458"/>
      <c r="G773" s="458"/>
      <c r="H773" s="458"/>
    </row>
    <row r="774" spans="4:8">
      <c r="D774" s="458"/>
      <c r="E774" s="458"/>
      <c r="F774" s="458"/>
      <c r="G774" s="458"/>
      <c r="H774" s="458"/>
    </row>
    <row r="775" spans="4:8">
      <c r="D775" s="458"/>
      <c r="E775" s="458"/>
      <c r="F775" s="458"/>
      <c r="G775" s="458"/>
      <c r="H775" s="458"/>
    </row>
    <row r="776" spans="4:8">
      <c r="D776" s="458"/>
      <c r="E776" s="458"/>
      <c r="F776" s="458"/>
      <c r="G776" s="458"/>
      <c r="H776" s="458"/>
    </row>
    <row r="777" spans="4:8">
      <c r="D777" s="458"/>
      <c r="E777" s="458"/>
      <c r="F777" s="458"/>
      <c r="G777" s="458"/>
      <c r="H777" s="458"/>
    </row>
    <row r="778" spans="4:8">
      <c r="D778" s="458"/>
      <c r="E778" s="458"/>
      <c r="F778" s="458"/>
      <c r="G778" s="458"/>
      <c r="H778" s="458"/>
    </row>
    <row r="779" spans="4:8">
      <c r="D779" s="458"/>
      <c r="E779" s="458"/>
      <c r="F779" s="458"/>
      <c r="G779" s="458"/>
      <c r="H779" s="458"/>
    </row>
    <row r="780" spans="4:8">
      <c r="D780" s="458"/>
      <c r="E780" s="458"/>
      <c r="F780" s="458"/>
      <c r="G780" s="458"/>
      <c r="H780" s="458"/>
    </row>
    <row r="781" spans="4:8">
      <c r="D781" s="458"/>
      <c r="E781" s="458"/>
      <c r="F781" s="458"/>
      <c r="G781" s="458"/>
      <c r="H781" s="458"/>
    </row>
    <row r="782" spans="4:8">
      <c r="D782" s="458"/>
      <c r="E782" s="458"/>
      <c r="F782" s="458"/>
      <c r="G782" s="458"/>
      <c r="H782" s="458"/>
    </row>
    <row r="783" spans="4:8">
      <c r="D783" s="458"/>
      <c r="E783" s="458"/>
      <c r="F783" s="458"/>
      <c r="G783" s="458"/>
      <c r="H783" s="458"/>
    </row>
    <row r="784" spans="4:8">
      <c r="D784" s="458"/>
      <c r="E784" s="458"/>
      <c r="F784" s="458"/>
      <c r="G784" s="458"/>
      <c r="H784" s="458"/>
    </row>
    <row r="785" spans="4:8">
      <c r="D785" s="458"/>
      <c r="E785" s="458"/>
      <c r="F785" s="458"/>
      <c r="G785" s="458"/>
      <c r="H785" s="458"/>
    </row>
    <row r="786" spans="4:8">
      <c r="D786" s="458"/>
      <c r="E786" s="458"/>
      <c r="F786" s="458"/>
      <c r="G786" s="458"/>
      <c r="H786" s="458"/>
    </row>
    <row r="787" spans="4:8">
      <c r="D787" s="458"/>
      <c r="E787" s="458"/>
      <c r="F787" s="458"/>
      <c r="G787" s="458"/>
      <c r="H787" s="458"/>
    </row>
    <row r="788" spans="4:8">
      <c r="D788" s="458"/>
      <c r="E788" s="458"/>
      <c r="F788" s="458"/>
      <c r="G788" s="458"/>
      <c r="H788" s="458"/>
    </row>
    <row r="789" spans="4:8">
      <c r="D789" s="458"/>
      <c r="E789" s="458"/>
      <c r="F789" s="458"/>
      <c r="G789" s="458"/>
      <c r="H789" s="458"/>
    </row>
    <row r="790" spans="4:8">
      <c r="D790" s="458"/>
      <c r="E790" s="458"/>
      <c r="F790" s="458"/>
      <c r="G790" s="458"/>
      <c r="H790" s="458"/>
    </row>
    <row r="791" spans="4:8">
      <c r="D791" s="458"/>
      <c r="E791" s="458"/>
      <c r="F791" s="458"/>
      <c r="G791" s="458"/>
      <c r="H791" s="458"/>
    </row>
    <row r="792" spans="4:8">
      <c r="D792" s="458"/>
      <c r="E792" s="458"/>
      <c r="F792" s="458"/>
      <c r="G792" s="458"/>
      <c r="H792" s="458"/>
    </row>
    <row r="793" spans="4:8">
      <c r="D793" s="458"/>
      <c r="E793" s="458"/>
      <c r="F793" s="458"/>
      <c r="G793" s="458"/>
      <c r="H793" s="458"/>
    </row>
    <row r="794" spans="4:8">
      <c r="D794" s="458"/>
      <c r="E794" s="458"/>
      <c r="F794" s="458"/>
      <c r="G794" s="458"/>
      <c r="H794" s="458"/>
    </row>
    <row r="795" spans="4:8">
      <c r="D795" s="458"/>
      <c r="E795" s="458"/>
      <c r="F795" s="458"/>
      <c r="G795" s="458"/>
      <c r="H795" s="458"/>
    </row>
    <row r="796" spans="4:8">
      <c r="D796" s="458"/>
      <c r="E796" s="458"/>
      <c r="F796" s="458"/>
      <c r="G796" s="458"/>
      <c r="H796" s="458"/>
    </row>
    <row r="797" spans="4:8">
      <c r="D797" s="458"/>
      <c r="E797" s="458"/>
      <c r="F797" s="458"/>
      <c r="G797" s="458"/>
      <c r="H797" s="458"/>
    </row>
    <row r="798" spans="4:8">
      <c r="D798" s="458"/>
      <c r="E798" s="458"/>
      <c r="F798" s="458"/>
      <c r="G798" s="458"/>
      <c r="H798" s="458"/>
    </row>
    <row r="799" spans="4:8">
      <c r="D799" s="458"/>
      <c r="E799" s="458"/>
      <c r="F799" s="458"/>
      <c r="G799" s="458"/>
      <c r="H799" s="458"/>
    </row>
    <row r="800" spans="4:8">
      <c r="D800" s="458"/>
      <c r="E800" s="458"/>
      <c r="F800" s="458"/>
      <c r="G800" s="458"/>
      <c r="H800" s="458"/>
    </row>
    <row r="801" spans="4:8">
      <c r="D801" s="458"/>
      <c r="E801" s="458"/>
      <c r="F801" s="458"/>
      <c r="G801" s="458"/>
      <c r="H801" s="458"/>
    </row>
    <row r="802" spans="4:8">
      <c r="D802" s="458"/>
      <c r="E802" s="458"/>
      <c r="F802" s="458"/>
      <c r="G802" s="458"/>
      <c r="H802" s="458"/>
    </row>
    <row r="803" spans="4:8">
      <c r="D803" s="458"/>
      <c r="E803" s="458"/>
      <c r="F803" s="458"/>
      <c r="G803" s="458"/>
      <c r="H803" s="458"/>
    </row>
    <row r="804" spans="4:8">
      <c r="D804" s="458"/>
      <c r="E804" s="458"/>
      <c r="F804" s="458"/>
      <c r="G804" s="458"/>
      <c r="H804" s="458"/>
    </row>
    <row r="805" spans="4:8">
      <c r="D805" s="458"/>
      <c r="E805" s="458"/>
      <c r="F805" s="458"/>
      <c r="G805" s="458"/>
      <c r="H805" s="458"/>
    </row>
    <row r="806" spans="4:8">
      <c r="D806" s="458"/>
      <c r="E806" s="458"/>
      <c r="F806" s="458"/>
      <c r="G806" s="458"/>
      <c r="H806" s="458"/>
    </row>
    <row r="807" spans="4:8">
      <c r="D807" s="458"/>
      <c r="E807" s="458"/>
      <c r="F807" s="458"/>
      <c r="G807" s="458"/>
      <c r="H807" s="458"/>
    </row>
    <row r="808" spans="4:8">
      <c r="D808" s="458"/>
      <c r="E808" s="458"/>
      <c r="F808" s="458"/>
      <c r="G808" s="458"/>
      <c r="H808" s="458"/>
    </row>
    <row r="809" spans="4:8">
      <c r="D809" s="458"/>
      <c r="E809" s="458"/>
      <c r="F809" s="458"/>
      <c r="G809" s="458"/>
      <c r="H809" s="458"/>
    </row>
    <row r="810" spans="4:8">
      <c r="D810" s="458"/>
      <c r="E810" s="458"/>
      <c r="F810" s="458"/>
      <c r="G810" s="458"/>
      <c r="H810" s="458"/>
    </row>
    <row r="811" spans="4:8">
      <c r="D811" s="458"/>
      <c r="E811" s="458"/>
      <c r="F811" s="458"/>
      <c r="G811" s="458"/>
      <c r="H811" s="458"/>
    </row>
    <row r="812" spans="4:8">
      <c r="D812" s="458"/>
      <c r="E812" s="458"/>
      <c r="F812" s="458"/>
      <c r="G812" s="458"/>
      <c r="H812" s="458"/>
    </row>
    <row r="813" spans="4:8">
      <c r="D813" s="458"/>
      <c r="E813" s="458"/>
      <c r="F813" s="458"/>
      <c r="G813" s="458"/>
      <c r="H813" s="458"/>
    </row>
    <row r="814" spans="4:8">
      <c r="D814" s="458"/>
      <c r="E814" s="458"/>
      <c r="F814" s="458"/>
      <c r="G814" s="458"/>
      <c r="H814" s="458"/>
    </row>
    <row r="815" spans="4:8">
      <c r="D815" s="458"/>
      <c r="E815" s="458"/>
      <c r="F815" s="458"/>
      <c r="G815" s="458"/>
      <c r="H815" s="458"/>
    </row>
    <row r="816" spans="4:8">
      <c r="D816" s="458"/>
      <c r="E816" s="458"/>
      <c r="F816" s="458"/>
      <c r="G816" s="458"/>
      <c r="H816" s="458"/>
    </row>
    <row r="817" spans="4:8">
      <c r="D817" s="458"/>
      <c r="E817" s="458"/>
      <c r="F817" s="458"/>
      <c r="G817" s="458"/>
      <c r="H817" s="458"/>
    </row>
    <row r="818" spans="4:8">
      <c r="D818" s="458"/>
      <c r="E818" s="458"/>
      <c r="F818" s="458"/>
      <c r="G818" s="458"/>
      <c r="H818" s="458"/>
    </row>
    <row r="819" spans="4:8">
      <c r="D819" s="458"/>
      <c r="E819" s="458"/>
      <c r="F819" s="458"/>
      <c r="G819" s="458"/>
      <c r="H819" s="458"/>
    </row>
    <row r="820" spans="4:8">
      <c r="D820" s="458"/>
      <c r="E820" s="458"/>
      <c r="F820" s="458"/>
      <c r="G820" s="458"/>
      <c r="H820" s="458"/>
    </row>
    <row r="821" spans="4:8">
      <c r="D821" s="458"/>
      <c r="E821" s="458"/>
      <c r="F821" s="458"/>
      <c r="G821" s="458"/>
      <c r="H821" s="458"/>
    </row>
    <row r="822" spans="4:8">
      <c r="D822" s="458"/>
      <c r="E822" s="458"/>
      <c r="F822" s="458"/>
      <c r="G822" s="458"/>
      <c r="H822" s="458"/>
    </row>
    <row r="823" spans="4:8">
      <c r="D823" s="458"/>
      <c r="E823" s="458"/>
      <c r="F823" s="458"/>
      <c r="G823" s="458"/>
      <c r="H823" s="458"/>
    </row>
    <row r="824" spans="4:8">
      <c r="D824" s="458"/>
      <c r="E824" s="458"/>
      <c r="F824" s="458"/>
      <c r="G824" s="458"/>
      <c r="H824" s="458"/>
    </row>
    <row r="825" spans="4:8">
      <c r="D825" s="458"/>
      <c r="E825" s="458"/>
      <c r="F825" s="458"/>
      <c r="G825" s="458"/>
      <c r="H825" s="458"/>
    </row>
    <row r="826" spans="4:8">
      <c r="D826" s="458"/>
      <c r="E826" s="458"/>
      <c r="F826" s="458"/>
      <c r="G826" s="458"/>
      <c r="H826" s="458"/>
    </row>
    <row r="827" spans="4:8">
      <c r="D827" s="458"/>
      <c r="E827" s="458"/>
      <c r="F827" s="458"/>
      <c r="G827" s="458"/>
      <c r="H827" s="458"/>
    </row>
    <row r="828" spans="4:8">
      <c r="D828" s="458"/>
      <c r="E828" s="458"/>
      <c r="F828" s="458"/>
      <c r="G828" s="458"/>
      <c r="H828" s="458"/>
    </row>
    <row r="829" spans="4:8">
      <c r="D829" s="458"/>
      <c r="E829" s="458"/>
      <c r="F829" s="458"/>
      <c r="G829" s="458"/>
      <c r="H829" s="458"/>
    </row>
    <row r="830" spans="4:8">
      <c r="D830" s="458"/>
      <c r="E830" s="458"/>
      <c r="F830" s="458"/>
      <c r="G830" s="458"/>
      <c r="H830" s="458"/>
    </row>
    <row r="831" spans="4:8">
      <c r="D831" s="458"/>
      <c r="E831" s="458"/>
      <c r="F831" s="458"/>
      <c r="G831" s="458"/>
      <c r="H831" s="458"/>
    </row>
    <row r="832" spans="4:8">
      <c r="D832" s="458"/>
      <c r="E832" s="458"/>
      <c r="F832" s="458"/>
      <c r="G832" s="458"/>
      <c r="H832" s="458"/>
    </row>
    <row r="833" spans="4:8">
      <c r="D833" s="458"/>
      <c r="E833" s="458"/>
      <c r="F833" s="458"/>
      <c r="G833" s="458"/>
      <c r="H833" s="458"/>
    </row>
    <row r="834" spans="4:8">
      <c r="D834" s="458"/>
      <c r="E834" s="458"/>
      <c r="F834" s="458"/>
      <c r="G834" s="458"/>
      <c r="H834" s="458"/>
    </row>
    <row r="835" spans="4:8">
      <c r="D835" s="458"/>
      <c r="E835" s="458"/>
      <c r="F835" s="458"/>
      <c r="G835" s="458"/>
      <c r="H835" s="458"/>
    </row>
    <row r="836" spans="4:8">
      <c r="D836" s="458"/>
      <c r="E836" s="458"/>
      <c r="F836" s="458"/>
      <c r="G836" s="458"/>
      <c r="H836" s="458"/>
    </row>
    <row r="837" spans="4:8">
      <c r="D837" s="458"/>
      <c r="E837" s="458"/>
      <c r="F837" s="458"/>
      <c r="G837" s="458"/>
      <c r="H837" s="458"/>
    </row>
    <row r="838" spans="4:8">
      <c r="D838" s="458"/>
      <c r="E838" s="458"/>
      <c r="F838" s="458"/>
      <c r="G838" s="458"/>
      <c r="H838" s="458"/>
    </row>
    <row r="839" spans="4:8">
      <c r="D839" s="458"/>
      <c r="E839" s="458"/>
      <c r="F839" s="458"/>
      <c r="G839" s="458"/>
      <c r="H839" s="458"/>
    </row>
    <row r="840" spans="4:8">
      <c r="D840" s="458"/>
      <c r="E840" s="458"/>
      <c r="F840" s="458"/>
      <c r="G840" s="458"/>
      <c r="H840" s="458"/>
    </row>
    <row r="841" spans="4:8">
      <c r="D841" s="458"/>
      <c r="E841" s="458"/>
      <c r="F841" s="458"/>
      <c r="G841" s="458"/>
      <c r="H841" s="458"/>
    </row>
    <row r="842" spans="4:8">
      <c r="D842" s="458"/>
      <c r="E842" s="458"/>
      <c r="F842" s="458"/>
      <c r="G842" s="458"/>
      <c r="H842" s="458"/>
    </row>
    <row r="843" spans="4:8">
      <c r="D843" s="458"/>
      <c r="E843" s="458"/>
      <c r="F843" s="458"/>
      <c r="G843" s="458"/>
      <c r="H843" s="458"/>
    </row>
    <row r="844" spans="4:8">
      <c r="D844" s="458"/>
      <c r="E844" s="458"/>
      <c r="F844" s="458"/>
      <c r="G844" s="458"/>
      <c r="H844" s="458"/>
    </row>
    <row r="845" spans="4:8">
      <c r="D845" s="458"/>
      <c r="E845" s="458"/>
      <c r="F845" s="458"/>
      <c r="G845" s="458"/>
      <c r="H845" s="458"/>
    </row>
    <row r="846" spans="4:8">
      <c r="D846" s="458"/>
      <c r="E846" s="458"/>
      <c r="F846" s="458"/>
      <c r="G846" s="458"/>
      <c r="H846" s="458"/>
    </row>
    <row r="847" spans="4:8">
      <c r="D847" s="458"/>
      <c r="E847" s="458"/>
      <c r="F847" s="458"/>
      <c r="G847" s="458"/>
      <c r="H847" s="458"/>
    </row>
    <row r="848" spans="4:8">
      <c r="D848" s="458"/>
      <c r="E848" s="458"/>
      <c r="F848" s="458"/>
      <c r="G848" s="458"/>
      <c r="H848" s="458"/>
    </row>
    <row r="849" spans="4:8">
      <c r="D849" s="458"/>
      <c r="E849" s="458"/>
      <c r="F849" s="458"/>
      <c r="G849" s="458"/>
      <c r="H849" s="458"/>
    </row>
    <row r="850" spans="4:8">
      <c r="D850" s="458"/>
      <c r="E850" s="458"/>
      <c r="F850" s="458"/>
      <c r="G850" s="458"/>
      <c r="H850" s="458"/>
    </row>
    <row r="851" spans="4:8">
      <c r="D851" s="458"/>
      <c r="E851" s="458"/>
      <c r="F851" s="458"/>
      <c r="G851" s="458"/>
      <c r="H851" s="458"/>
    </row>
    <row r="852" spans="4:8">
      <c r="D852" s="458"/>
      <c r="E852" s="458"/>
      <c r="F852" s="458"/>
      <c r="G852" s="458"/>
      <c r="H852" s="458"/>
    </row>
    <row r="853" spans="4:8">
      <c r="D853" s="458"/>
      <c r="E853" s="458"/>
      <c r="F853" s="458"/>
      <c r="G853" s="458"/>
      <c r="H853" s="458"/>
    </row>
    <row r="854" spans="4:8">
      <c r="D854" s="458"/>
      <c r="E854" s="458"/>
      <c r="F854" s="458"/>
      <c r="G854" s="458"/>
      <c r="H854" s="458"/>
    </row>
    <row r="855" spans="4:8">
      <c r="D855" s="458"/>
      <c r="E855" s="458"/>
      <c r="F855" s="458"/>
      <c r="G855" s="458"/>
      <c r="H855" s="458"/>
    </row>
    <row r="856" spans="4:8">
      <c r="D856" s="458"/>
      <c r="E856" s="458"/>
      <c r="F856" s="458"/>
      <c r="G856" s="458"/>
      <c r="H856" s="458"/>
    </row>
    <row r="857" spans="4:8">
      <c r="D857" s="458"/>
      <c r="E857" s="458"/>
      <c r="F857" s="458"/>
      <c r="G857" s="458"/>
      <c r="H857" s="458"/>
    </row>
    <row r="858" spans="4:8">
      <c r="D858" s="458"/>
      <c r="E858" s="458"/>
      <c r="F858" s="458"/>
      <c r="G858" s="458"/>
      <c r="H858" s="458"/>
    </row>
    <row r="859" spans="4:8">
      <c r="D859" s="458"/>
      <c r="E859" s="458"/>
      <c r="F859" s="458"/>
      <c r="G859" s="458"/>
      <c r="H859" s="458"/>
    </row>
    <row r="860" spans="4:8">
      <c r="D860" s="458"/>
      <c r="E860" s="458"/>
      <c r="F860" s="458"/>
      <c r="G860" s="458"/>
      <c r="H860" s="458"/>
    </row>
    <row r="861" spans="4:8">
      <c r="D861" s="458"/>
      <c r="E861" s="458"/>
      <c r="F861" s="458"/>
      <c r="G861" s="458"/>
      <c r="H861" s="458"/>
    </row>
    <row r="862" spans="4:8">
      <c r="D862" s="458"/>
      <c r="E862" s="458"/>
      <c r="F862" s="458"/>
      <c r="G862" s="458"/>
      <c r="H862" s="458"/>
    </row>
    <row r="863" spans="4:8">
      <c r="D863" s="458"/>
      <c r="E863" s="458"/>
      <c r="F863" s="458"/>
      <c r="G863" s="458"/>
      <c r="H863" s="458"/>
    </row>
    <row r="864" spans="4:8">
      <c r="D864" s="458"/>
      <c r="E864" s="458"/>
      <c r="F864" s="458"/>
      <c r="G864" s="458"/>
      <c r="H864" s="458"/>
    </row>
    <row r="865" spans="4:8">
      <c r="D865" s="458"/>
      <c r="E865" s="458"/>
      <c r="F865" s="458"/>
      <c r="G865" s="458"/>
      <c r="H865" s="458"/>
    </row>
    <row r="866" spans="4:8">
      <c r="D866" s="458"/>
      <c r="E866" s="458"/>
      <c r="F866" s="458"/>
      <c r="G866" s="458"/>
      <c r="H866" s="458"/>
    </row>
    <row r="867" spans="4:8">
      <c r="D867" s="458"/>
      <c r="E867" s="458"/>
      <c r="F867" s="458"/>
      <c r="G867" s="458"/>
      <c r="H867" s="458"/>
    </row>
    <row r="868" spans="4:8">
      <c r="D868" s="458"/>
      <c r="E868" s="458"/>
      <c r="F868" s="458"/>
      <c r="G868" s="458"/>
      <c r="H868" s="458"/>
    </row>
    <row r="869" spans="4:8">
      <c r="D869" s="458"/>
      <c r="E869" s="458"/>
      <c r="F869" s="458"/>
      <c r="G869" s="458"/>
      <c r="H869" s="458"/>
    </row>
    <row r="870" spans="4:8">
      <c r="D870" s="458"/>
      <c r="E870" s="458"/>
      <c r="F870" s="458"/>
      <c r="G870" s="458"/>
      <c r="H870" s="458"/>
    </row>
    <row r="871" spans="4:8">
      <c r="D871" s="458"/>
      <c r="E871" s="458"/>
      <c r="F871" s="458"/>
      <c r="G871" s="458"/>
      <c r="H871" s="458"/>
    </row>
    <row r="872" spans="4:8">
      <c r="D872" s="458"/>
      <c r="E872" s="458"/>
      <c r="F872" s="458"/>
      <c r="G872" s="458"/>
      <c r="H872" s="458"/>
    </row>
    <row r="873" spans="4:8">
      <c r="D873" s="458"/>
      <c r="E873" s="458"/>
      <c r="F873" s="458"/>
      <c r="G873" s="458"/>
      <c r="H873" s="458"/>
    </row>
    <row r="874" spans="4:8">
      <c r="D874" s="458"/>
      <c r="E874" s="458"/>
      <c r="F874" s="458"/>
      <c r="G874" s="458"/>
      <c r="H874" s="458"/>
    </row>
    <row r="875" spans="4:8">
      <c r="D875" s="458"/>
      <c r="E875" s="458"/>
      <c r="F875" s="458"/>
      <c r="G875" s="458"/>
      <c r="H875" s="458"/>
    </row>
    <row r="876" spans="4:8">
      <c r="D876" s="458"/>
      <c r="E876" s="458"/>
      <c r="F876" s="458"/>
      <c r="G876" s="458"/>
      <c r="H876" s="458"/>
    </row>
    <row r="877" spans="4:8">
      <c r="D877" s="458"/>
      <c r="E877" s="458"/>
      <c r="F877" s="458"/>
      <c r="G877" s="458"/>
      <c r="H877" s="458"/>
    </row>
    <row r="878" spans="4:8">
      <c r="D878" s="458"/>
      <c r="E878" s="458"/>
      <c r="F878" s="458"/>
      <c r="G878" s="458"/>
      <c r="H878" s="458"/>
    </row>
    <row r="879" spans="4:8">
      <c r="D879" s="458"/>
      <c r="E879" s="458"/>
      <c r="F879" s="458"/>
      <c r="G879" s="458"/>
      <c r="H879" s="458"/>
    </row>
    <row r="880" spans="4:8">
      <c r="D880" s="458"/>
      <c r="E880" s="458"/>
      <c r="F880" s="458"/>
      <c r="G880" s="458"/>
      <c r="H880" s="458"/>
    </row>
    <row r="881" spans="4:8">
      <c r="D881" s="458"/>
      <c r="E881" s="458"/>
      <c r="F881" s="458"/>
      <c r="G881" s="458"/>
      <c r="H881" s="458"/>
    </row>
    <row r="882" spans="4:8">
      <c r="D882" s="458"/>
      <c r="E882" s="458"/>
      <c r="F882" s="458"/>
      <c r="G882" s="458"/>
      <c r="H882" s="458"/>
    </row>
    <row r="883" spans="4:8">
      <c r="D883" s="458"/>
      <c r="E883" s="458"/>
      <c r="F883" s="458"/>
      <c r="G883" s="458"/>
      <c r="H883" s="458"/>
    </row>
    <row r="884" spans="4:8">
      <c r="D884" s="458"/>
      <c r="E884" s="458"/>
      <c r="F884" s="458"/>
      <c r="G884" s="458"/>
      <c r="H884" s="458"/>
    </row>
    <row r="885" spans="4:8">
      <c r="D885" s="458"/>
      <c r="E885" s="458"/>
      <c r="F885" s="458"/>
      <c r="G885" s="458"/>
      <c r="H885" s="458"/>
    </row>
    <row r="886" spans="4:8">
      <c r="D886" s="458"/>
      <c r="E886" s="458"/>
      <c r="F886" s="458"/>
      <c r="G886" s="458"/>
      <c r="H886" s="458"/>
    </row>
    <row r="887" spans="4:8">
      <c r="D887" s="458"/>
      <c r="E887" s="458"/>
      <c r="F887" s="458"/>
      <c r="G887" s="458"/>
      <c r="H887" s="458"/>
    </row>
    <row r="888" spans="4:8">
      <c r="D888" s="458"/>
      <c r="E888" s="458"/>
      <c r="F888" s="458"/>
      <c r="G888" s="458"/>
      <c r="H888" s="458"/>
    </row>
    <row r="889" spans="4:8">
      <c r="D889" s="458"/>
      <c r="E889" s="458"/>
      <c r="F889" s="458"/>
      <c r="G889" s="458"/>
      <c r="H889" s="458"/>
    </row>
    <row r="890" spans="4:8">
      <c r="D890" s="458"/>
      <c r="E890" s="458"/>
      <c r="F890" s="458"/>
      <c r="G890" s="458"/>
      <c r="H890" s="458"/>
    </row>
    <row r="891" spans="4:8">
      <c r="D891" s="458"/>
      <c r="E891" s="458"/>
      <c r="F891" s="458"/>
      <c r="G891" s="458"/>
      <c r="H891" s="458"/>
    </row>
    <row r="892" spans="4:8">
      <c r="D892" s="458"/>
      <c r="E892" s="458"/>
      <c r="F892" s="458"/>
      <c r="G892" s="458"/>
      <c r="H892" s="458"/>
    </row>
    <row r="893" spans="4:8">
      <c r="D893" s="458"/>
      <c r="E893" s="458"/>
      <c r="F893" s="458"/>
      <c r="G893" s="458"/>
      <c r="H893" s="458"/>
    </row>
    <row r="894" spans="4:8">
      <c r="D894" s="458"/>
      <c r="E894" s="458"/>
      <c r="F894" s="458"/>
      <c r="G894" s="458"/>
      <c r="H894" s="458"/>
    </row>
    <row r="895" spans="4:8">
      <c r="D895" s="458"/>
      <c r="E895" s="458"/>
      <c r="F895" s="458"/>
      <c r="G895" s="458"/>
      <c r="H895" s="458"/>
    </row>
    <row r="896" spans="4:8">
      <c r="D896" s="458"/>
      <c r="E896" s="458"/>
      <c r="F896" s="458"/>
      <c r="G896" s="458"/>
      <c r="H896" s="458"/>
    </row>
    <row r="897" spans="4:8">
      <c r="D897" s="458"/>
      <c r="E897" s="458"/>
      <c r="F897" s="458"/>
      <c r="G897" s="458"/>
      <c r="H897" s="458"/>
    </row>
    <row r="898" spans="4:8">
      <c r="D898" s="458"/>
      <c r="E898" s="458"/>
      <c r="F898" s="458"/>
      <c r="G898" s="458"/>
      <c r="H898" s="458"/>
    </row>
    <row r="899" spans="4:8">
      <c r="D899" s="458"/>
      <c r="E899" s="458"/>
      <c r="F899" s="458"/>
      <c r="G899" s="458"/>
      <c r="H899" s="458"/>
    </row>
    <row r="900" spans="4:8">
      <c r="D900" s="458"/>
      <c r="E900" s="458"/>
      <c r="F900" s="458"/>
      <c r="G900" s="458"/>
      <c r="H900" s="458"/>
    </row>
    <row r="901" spans="4:8">
      <c r="D901" s="458"/>
      <c r="E901" s="458"/>
      <c r="F901" s="458"/>
      <c r="G901" s="458"/>
      <c r="H901" s="458"/>
    </row>
    <row r="902" spans="4:8">
      <c r="D902" s="458"/>
      <c r="E902" s="458"/>
      <c r="F902" s="458"/>
      <c r="G902" s="458"/>
      <c r="H902" s="458"/>
    </row>
    <row r="903" spans="4:8">
      <c r="D903" s="458"/>
      <c r="E903" s="458"/>
      <c r="F903" s="458"/>
      <c r="G903" s="458"/>
      <c r="H903" s="458"/>
    </row>
    <row r="904" spans="4:8">
      <c r="D904" s="458"/>
      <c r="E904" s="458"/>
      <c r="F904" s="458"/>
      <c r="G904" s="458"/>
      <c r="H904" s="458"/>
    </row>
    <row r="905" spans="4:8">
      <c r="D905" s="458"/>
      <c r="E905" s="458"/>
      <c r="F905" s="458"/>
      <c r="G905" s="458"/>
      <c r="H905" s="458"/>
    </row>
    <row r="906" spans="4:8">
      <c r="D906" s="458"/>
      <c r="E906" s="458"/>
      <c r="F906" s="458"/>
      <c r="G906" s="458"/>
      <c r="H906" s="458"/>
    </row>
    <row r="907" spans="4:8">
      <c r="D907" s="458"/>
      <c r="E907" s="458"/>
      <c r="F907" s="458"/>
      <c r="G907" s="458"/>
      <c r="H907" s="458"/>
    </row>
    <row r="908" spans="4:8">
      <c r="D908" s="458"/>
      <c r="E908" s="458"/>
      <c r="F908" s="458"/>
      <c r="G908" s="458"/>
      <c r="H908" s="458"/>
    </row>
    <row r="909" spans="4:8">
      <c r="D909" s="458"/>
      <c r="E909" s="458"/>
      <c r="F909" s="458"/>
      <c r="G909" s="458"/>
      <c r="H909" s="458"/>
    </row>
    <row r="910" spans="4:8">
      <c r="D910" s="458"/>
      <c r="E910" s="458"/>
      <c r="F910" s="458"/>
      <c r="G910" s="458"/>
      <c r="H910" s="458"/>
    </row>
    <row r="911" spans="4:8">
      <c r="D911" s="458"/>
      <c r="E911" s="458"/>
      <c r="F911" s="458"/>
      <c r="G911" s="458"/>
      <c r="H911" s="458"/>
    </row>
    <row r="912" spans="4:8">
      <c r="D912" s="458"/>
      <c r="E912" s="458"/>
      <c r="F912" s="458"/>
      <c r="G912" s="458"/>
      <c r="H912" s="458"/>
    </row>
    <row r="913" spans="4:8">
      <c r="D913" s="458"/>
      <c r="E913" s="458"/>
      <c r="F913" s="458"/>
      <c r="G913" s="458"/>
      <c r="H913" s="458"/>
    </row>
    <row r="914" spans="4:8">
      <c r="D914" s="458"/>
      <c r="E914" s="458"/>
      <c r="F914" s="458"/>
      <c r="G914" s="458"/>
      <c r="H914" s="458"/>
    </row>
    <row r="915" spans="4:8">
      <c r="D915" s="458"/>
      <c r="E915" s="458"/>
      <c r="F915" s="458"/>
      <c r="G915" s="458"/>
      <c r="H915" s="458"/>
    </row>
    <row r="916" spans="4:8">
      <c r="D916" s="458"/>
      <c r="E916" s="458"/>
      <c r="F916" s="458"/>
      <c r="G916" s="458"/>
      <c r="H916" s="458"/>
    </row>
    <row r="917" spans="4:8">
      <c r="D917" s="458"/>
      <c r="E917" s="458"/>
      <c r="F917" s="458"/>
      <c r="G917" s="458"/>
      <c r="H917" s="458"/>
    </row>
    <row r="918" spans="4:8">
      <c r="D918" s="458"/>
      <c r="E918" s="458"/>
      <c r="F918" s="458"/>
      <c r="G918" s="458"/>
      <c r="H918" s="458"/>
    </row>
    <row r="919" spans="4:8">
      <c r="D919" s="458"/>
      <c r="E919" s="458"/>
      <c r="F919" s="458"/>
      <c r="G919" s="458"/>
      <c r="H919" s="458"/>
    </row>
    <row r="920" spans="4:8">
      <c r="D920" s="458"/>
      <c r="E920" s="458"/>
      <c r="F920" s="458"/>
      <c r="G920" s="458"/>
      <c r="H920" s="458"/>
    </row>
    <row r="921" spans="4:8">
      <c r="D921" s="458"/>
      <c r="E921" s="458"/>
      <c r="F921" s="458"/>
      <c r="G921" s="458"/>
      <c r="H921" s="458"/>
    </row>
    <row r="922" spans="4:8">
      <c r="D922" s="458"/>
      <c r="E922" s="458"/>
      <c r="F922" s="458"/>
      <c r="G922" s="458"/>
      <c r="H922" s="458"/>
    </row>
    <row r="923" spans="4:8">
      <c r="D923" s="458"/>
      <c r="E923" s="458"/>
      <c r="F923" s="458"/>
      <c r="G923" s="458"/>
      <c r="H923" s="458"/>
    </row>
    <row r="924" spans="4:8">
      <c r="D924" s="458"/>
      <c r="E924" s="458"/>
      <c r="F924" s="458"/>
      <c r="G924" s="458"/>
      <c r="H924" s="458"/>
    </row>
    <row r="925" spans="4:8">
      <c r="D925" s="458"/>
      <c r="E925" s="458"/>
      <c r="F925" s="458"/>
      <c r="G925" s="458"/>
      <c r="H925" s="458"/>
    </row>
    <row r="926" spans="4:8">
      <c r="D926" s="458"/>
      <c r="E926" s="458"/>
      <c r="F926" s="458"/>
      <c r="G926" s="458"/>
      <c r="H926" s="458"/>
    </row>
    <row r="927" spans="4:8">
      <c r="D927" s="458"/>
      <c r="E927" s="458"/>
      <c r="F927" s="458"/>
      <c r="G927" s="458"/>
      <c r="H927" s="458"/>
    </row>
    <row r="928" spans="4:8">
      <c r="D928" s="458"/>
      <c r="E928" s="458"/>
      <c r="F928" s="458"/>
      <c r="G928" s="458"/>
      <c r="H928" s="458"/>
    </row>
    <row r="929" spans="4:8">
      <c r="D929" s="458"/>
      <c r="E929" s="458"/>
      <c r="F929" s="458"/>
      <c r="G929" s="458"/>
      <c r="H929" s="458"/>
    </row>
    <row r="930" spans="4:8">
      <c r="D930" s="458"/>
      <c r="E930" s="458"/>
      <c r="F930" s="458"/>
      <c r="G930" s="458"/>
      <c r="H930" s="458"/>
    </row>
    <row r="931" spans="4:8">
      <c r="D931" s="458"/>
      <c r="E931" s="458"/>
      <c r="F931" s="458"/>
      <c r="G931" s="458"/>
      <c r="H931" s="458"/>
    </row>
    <row r="932" spans="4:8">
      <c r="D932" s="458"/>
      <c r="E932" s="458"/>
      <c r="F932" s="458"/>
      <c r="G932" s="458"/>
      <c r="H932" s="458"/>
    </row>
    <row r="933" spans="4:8">
      <c r="D933" s="458"/>
      <c r="E933" s="458"/>
      <c r="F933" s="458"/>
      <c r="G933" s="458"/>
      <c r="H933" s="458"/>
    </row>
    <row r="934" spans="4:8">
      <c r="D934" s="458"/>
      <c r="E934" s="458"/>
      <c r="F934" s="458"/>
      <c r="G934" s="458"/>
      <c r="H934" s="458"/>
    </row>
    <row r="935" spans="4:8">
      <c r="D935" s="458"/>
      <c r="E935" s="458"/>
      <c r="F935" s="458"/>
      <c r="G935" s="458"/>
      <c r="H935" s="458"/>
    </row>
    <row r="936" spans="4:8">
      <c r="D936" s="458"/>
      <c r="E936" s="458"/>
      <c r="F936" s="458"/>
      <c r="G936" s="458"/>
      <c r="H936" s="458"/>
    </row>
    <row r="937" spans="4:8">
      <c r="D937" s="458"/>
      <c r="E937" s="458"/>
      <c r="F937" s="458"/>
      <c r="G937" s="458"/>
      <c r="H937" s="458"/>
    </row>
    <row r="938" spans="4:8">
      <c r="D938" s="458"/>
      <c r="E938" s="458"/>
      <c r="F938" s="458"/>
      <c r="G938" s="458"/>
      <c r="H938" s="458"/>
    </row>
    <row r="939" spans="4:8">
      <c r="D939" s="458"/>
      <c r="E939" s="458"/>
      <c r="F939" s="458"/>
      <c r="G939" s="458"/>
      <c r="H939" s="458"/>
    </row>
    <row r="940" spans="4:8">
      <c r="D940" s="458"/>
      <c r="E940" s="458"/>
      <c r="F940" s="458"/>
      <c r="G940" s="458"/>
      <c r="H940" s="458"/>
    </row>
    <row r="941" spans="4:8">
      <c r="D941" s="458"/>
      <c r="E941" s="458"/>
      <c r="F941" s="458"/>
      <c r="G941" s="458"/>
      <c r="H941" s="458"/>
    </row>
    <row r="942" spans="4:8">
      <c r="D942" s="458"/>
      <c r="E942" s="458"/>
      <c r="F942" s="458"/>
      <c r="G942" s="458"/>
      <c r="H942" s="458"/>
    </row>
    <row r="943" spans="4:8">
      <c r="D943" s="458"/>
      <c r="E943" s="458"/>
      <c r="F943" s="458"/>
      <c r="G943" s="458"/>
      <c r="H943" s="458"/>
    </row>
    <row r="944" spans="4:8">
      <c r="D944" s="458"/>
      <c r="E944" s="458"/>
      <c r="F944" s="458"/>
      <c r="G944" s="458"/>
      <c r="H944" s="458"/>
    </row>
    <row r="945" spans="4:8">
      <c r="D945" s="458"/>
      <c r="E945" s="458"/>
      <c r="F945" s="458"/>
      <c r="G945" s="458"/>
      <c r="H945" s="458"/>
    </row>
    <row r="946" spans="4:8">
      <c r="D946" s="458"/>
      <c r="E946" s="458"/>
      <c r="F946" s="458"/>
      <c r="G946" s="458"/>
      <c r="H946" s="458"/>
    </row>
    <row r="947" spans="4:8">
      <c r="D947" s="458"/>
      <c r="E947" s="458"/>
      <c r="F947" s="458"/>
      <c r="G947" s="458"/>
      <c r="H947" s="458"/>
    </row>
    <row r="948" spans="4:8">
      <c r="D948" s="458"/>
      <c r="E948" s="458"/>
      <c r="F948" s="458"/>
      <c r="G948" s="458"/>
      <c r="H948" s="458"/>
    </row>
    <row r="949" spans="4:8">
      <c r="D949" s="458"/>
      <c r="E949" s="458"/>
      <c r="F949" s="458"/>
      <c r="G949" s="458"/>
      <c r="H949" s="458"/>
    </row>
    <row r="950" spans="4:8">
      <c r="D950" s="458"/>
      <c r="E950" s="458"/>
      <c r="F950" s="458"/>
      <c r="G950" s="458"/>
      <c r="H950" s="458"/>
    </row>
    <row r="951" spans="4:8">
      <c r="D951" s="458"/>
      <c r="E951" s="458"/>
      <c r="F951" s="458"/>
      <c r="G951" s="458"/>
      <c r="H951" s="458"/>
    </row>
    <row r="952" spans="4:8">
      <c r="D952" s="458"/>
      <c r="E952" s="458"/>
      <c r="F952" s="458"/>
      <c r="G952" s="458"/>
      <c r="H952" s="458"/>
    </row>
    <row r="953" spans="4:8">
      <c r="D953" s="458"/>
      <c r="E953" s="458"/>
      <c r="F953" s="458"/>
      <c r="G953" s="458"/>
      <c r="H953" s="458"/>
    </row>
    <row r="954" spans="4:8">
      <c r="D954" s="458"/>
      <c r="E954" s="458"/>
      <c r="F954" s="458"/>
      <c r="G954" s="458"/>
      <c r="H954" s="458"/>
    </row>
    <row r="955" spans="4:8">
      <c r="D955" s="458"/>
      <c r="E955" s="458"/>
      <c r="F955" s="458"/>
      <c r="G955" s="458"/>
      <c r="H955" s="458"/>
    </row>
    <row r="956" spans="4:8">
      <c r="D956" s="458"/>
      <c r="E956" s="458"/>
      <c r="F956" s="458"/>
      <c r="G956" s="458"/>
      <c r="H956" s="458"/>
    </row>
    <row r="957" spans="4:8">
      <c r="D957" s="458"/>
      <c r="E957" s="458"/>
      <c r="F957" s="458"/>
      <c r="G957" s="458"/>
      <c r="H957" s="458"/>
    </row>
    <row r="958" spans="4:8">
      <c r="D958" s="458"/>
      <c r="E958" s="458"/>
      <c r="F958" s="458"/>
      <c r="G958" s="458"/>
      <c r="H958" s="458"/>
    </row>
    <row r="959" spans="4:8">
      <c r="D959" s="458"/>
      <c r="E959" s="458"/>
      <c r="F959" s="458"/>
      <c r="G959" s="458"/>
      <c r="H959" s="458"/>
    </row>
    <row r="960" spans="4:8">
      <c r="D960" s="458"/>
      <c r="E960" s="458"/>
      <c r="F960" s="458"/>
      <c r="G960" s="458"/>
      <c r="H960" s="458"/>
    </row>
    <row r="961" spans="4:8">
      <c r="D961" s="458"/>
      <c r="E961" s="458"/>
      <c r="F961" s="458"/>
      <c r="G961" s="458"/>
      <c r="H961" s="458"/>
    </row>
    <row r="962" spans="4:8">
      <c r="D962" s="458"/>
      <c r="E962" s="458"/>
      <c r="F962" s="458"/>
      <c r="G962" s="458"/>
      <c r="H962" s="458"/>
    </row>
    <row r="963" spans="4:8">
      <c r="D963" s="458"/>
      <c r="E963" s="458"/>
      <c r="F963" s="458"/>
      <c r="G963" s="458"/>
      <c r="H963" s="458"/>
    </row>
    <row r="964" spans="4:8">
      <c r="D964" s="458"/>
      <c r="E964" s="458"/>
      <c r="F964" s="458"/>
      <c r="G964" s="458"/>
      <c r="H964" s="458"/>
    </row>
    <row r="965" spans="4:8">
      <c r="D965" s="458"/>
      <c r="E965" s="458"/>
      <c r="F965" s="458"/>
      <c r="G965" s="458"/>
      <c r="H965" s="458"/>
    </row>
    <row r="966" spans="4:8">
      <c r="D966" s="458"/>
      <c r="E966" s="458"/>
      <c r="F966" s="458"/>
      <c r="G966" s="458"/>
      <c r="H966" s="458"/>
    </row>
    <row r="967" spans="4:8">
      <c r="D967" s="458"/>
      <c r="E967" s="458"/>
      <c r="F967" s="458"/>
      <c r="G967" s="458"/>
      <c r="H967" s="458"/>
    </row>
    <row r="968" spans="4:8">
      <c r="D968" s="458"/>
      <c r="E968" s="458"/>
      <c r="F968" s="458"/>
      <c r="G968" s="458"/>
      <c r="H968" s="458"/>
    </row>
    <row r="969" spans="4:8">
      <c r="D969" s="458"/>
      <c r="E969" s="458"/>
      <c r="F969" s="458"/>
      <c r="G969" s="458"/>
      <c r="H969" s="458"/>
    </row>
    <row r="970" spans="4:8">
      <c r="D970" s="458"/>
      <c r="E970" s="458"/>
      <c r="F970" s="458"/>
      <c r="G970" s="458"/>
      <c r="H970" s="458"/>
    </row>
    <row r="971" spans="4:8">
      <c r="D971" s="458"/>
      <c r="E971" s="458"/>
      <c r="F971" s="458"/>
      <c r="G971" s="458"/>
      <c r="H971" s="458"/>
    </row>
    <row r="972" spans="4:8">
      <c r="D972" s="458"/>
      <c r="E972" s="458"/>
      <c r="F972" s="458"/>
      <c r="G972" s="458"/>
      <c r="H972" s="458"/>
    </row>
    <row r="973" spans="4:8">
      <c r="D973" s="458"/>
      <c r="E973" s="458"/>
      <c r="F973" s="458"/>
      <c r="G973" s="458"/>
      <c r="H973" s="458"/>
    </row>
    <row r="974" spans="4:8">
      <c r="D974" s="458"/>
      <c r="E974" s="458"/>
      <c r="F974" s="458"/>
      <c r="G974" s="458"/>
      <c r="H974" s="458"/>
    </row>
    <row r="975" spans="4:8">
      <c r="D975" s="458"/>
      <c r="E975" s="458"/>
      <c r="F975" s="458"/>
      <c r="G975" s="458"/>
      <c r="H975" s="458"/>
    </row>
    <row r="976" spans="4:8">
      <c r="D976" s="458"/>
      <c r="E976" s="458"/>
      <c r="F976" s="458"/>
      <c r="G976" s="458"/>
      <c r="H976" s="458"/>
    </row>
    <row r="977" spans="4:8">
      <c r="D977" s="458"/>
      <c r="E977" s="458"/>
      <c r="F977" s="458"/>
      <c r="G977" s="458"/>
      <c r="H977" s="458"/>
    </row>
    <row r="978" spans="4:8">
      <c r="D978" s="458"/>
      <c r="E978" s="458"/>
      <c r="F978" s="458"/>
      <c r="G978" s="458"/>
      <c r="H978" s="458"/>
    </row>
    <row r="979" spans="4:8">
      <c r="D979" s="458"/>
      <c r="E979" s="458"/>
      <c r="F979" s="458"/>
      <c r="G979" s="458"/>
      <c r="H979" s="458"/>
    </row>
    <row r="980" spans="4:8">
      <c r="D980" s="458"/>
      <c r="E980" s="458"/>
      <c r="F980" s="458"/>
      <c r="G980" s="458"/>
      <c r="H980" s="458"/>
    </row>
    <row r="981" spans="4:8">
      <c r="D981" s="458"/>
      <c r="E981" s="458"/>
      <c r="F981" s="458"/>
      <c r="G981" s="458"/>
      <c r="H981" s="458"/>
    </row>
    <row r="982" spans="4:8">
      <c r="D982" s="458"/>
      <c r="E982" s="458"/>
      <c r="F982" s="458"/>
      <c r="G982" s="458"/>
      <c r="H982" s="458"/>
    </row>
    <row r="983" spans="4:8">
      <c r="D983" s="458"/>
      <c r="E983" s="458"/>
      <c r="F983" s="458"/>
      <c r="G983" s="458"/>
      <c r="H983" s="458"/>
    </row>
    <row r="984" spans="4:8">
      <c r="D984" s="458"/>
      <c r="E984" s="458"/>
      <c r="F984" s="458"/>
      <c r="G984" s="458"/>
      <c r="H984" s="458"/>
    </row>
    <row r="985" spans="4:8">
      <c r="D985" s="458"/>
      <c r="E985" s="458"/>
      <c r="F985" s="458"/>
      <c r="G985" s="458"/>
      <c r="H985" s="458"/>
    </row>
    <row r="986" spans="4:8">
      <c r="D986" s="458"/>
      <c r="E986" s="458"/>
      <c r="F986" s="458"/>
      <c r="G986" s="458"/>
      <c r="H986" s="458"/>
    </row>
    <row r="987" spans="4:8">
      <c r="D987" s="458"/>
      <c r="E987" s="458"/>
      <c r="F987" s="458"/>
      <c r="G987" s="458"/>
      <c r="H987" s="458"/>
    </row>
    <row r="988" spans="4:8">
      <c r="D988" s="458"/>
      <c r="E988" s="458"/>
      <c r="F988" s="458"/>
      <c r="G988" s="458"/>
      <c r="H988" s="458"/>
    </row>
    <row r="989" spans="4:8">
      <c r="D989" s="458"/>
      <c r="E989" s="458"/>
      <c r="F989" s="458"/>
      <c r="G989" s="458"/>
      <c r="H989" s="458"/>
    </row>
    <row r="990" spans="4:8">
      <c r="D990" s="458"/>
      <c r="E990" s="458"/>
      <c r="F990" s="458"/>
      <c r="G990" s="458"/>
      <c r="H990" s="458"/>
    </row>
    <row r="991" spans="4:8">
      <c r="D991" s="458"/>
      <c r="E991" s="458"/>
      <c r="F991" s="458"/>
      <c r="G991" s="458"/>
      <c r="H991" s="458"/>
    </row>
    <row r="992" spans="4:8">
      <c r="D992" s="458"/>
      <c r="E992" s="458"/>
      <c r="F992" s="458"/>
      <c r="G992" s="458"/>
      <c r="H992" s="458"/>
    </row>
    <row r="993" spans="4:8">
      <c r="D993" s="458"/>
      <c r="E993" s="458"/>
      <c r="F993" s="458"/>
      <c r="G993" s="458"/>
      <c r="H993" s="458"/>
    </row>
    <row r="994" spans="4:8">
      <c r="D994" s="458"/>
      <c r="E994" s="458"/>
      <c r="F994" s="458"/>
      <c r="G994" s="458"/>
      <c r="H994" s="458"/>
    </row>
    <row r="995" spans="4:8">
      <c r="D995" s="458"/>
      <c r="E995" s="458"/>
      <c r="F995" s="458"/>
      <c r="G995" s="458"/>
      <c r="H995" s="458"/>
    </row>
    <row r="996" spans="4:8">
      <c r="D996" s="458"/>
      <c r="E996" s="458"/>
      <c r="F996" s="458"/>
      <c r="G996" s="458"/>
      <c r="H996" s="458"/>
    </row>
    <row r="997" spans="4:8">
      <c r="D997" s="458"/>
      <c r="E997" s="458"/>
      <c r="F997" s="458"/>
      <c r="G997" s="458"/>
      <c r="H997" s="458"/>
    </row>
    <row r="998" spans="4:8">
      <c r="D998" s="458"/>
      <c r="E998" s="458"/>
      <c r="F998" s="458"/>
      <c r="G998" s="458"/>
      <c r="H998" s="458"/>
    </row>
    <row r="999" spans="4:8">
      <c r="D999" s="458"/>
      <c r="E999" s="458"/>
      <c r="F999" s="458"/>
      <c r="G999" s="458"/>
      <c r="H999" s="458"/>
    </row>
    <row r="1000" spans="4:8">
      <c r="D1000" s="458"/>
      <c r="E1000" s="458"/>
      <c r="F1000" s="458"/>
      <c r="G1000" s="458"/>
      <c r="H1000" s="458"/>
    </row>
  </sheetData>
  <mergeCells count="2">
    <mergeCell ref="A2:B2"/>
    <mergeCell ref="A5:C5"/>
  </mergeCells>
  <conditionalFormatting sqref="D7 F7 H7">
    <cfRule type="cellIs" dxfId="36" priority="260" operat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BCF71-821B-4CDF-BEF1-B94DAEEB8972}">
  <sheetPr codeName="RevExpAll">
    <tabColor theme="4" tint="0.39997558519241921"/>
  </sheetPr>
  <dimension ref="A1:J46"/>
  <sheetViews>
    <sheetView showGridLines="0" showRowColHeaders="0" workbookViewId="0">
      <pane xSplit="1" ySplit="4" topLeftCell="B5" activePane="bottomRight" state="frozen"/>
      <selection pane="topRight" activeCell="B1" sqref="B1"/>
      <selection pane="bottomLeft" activeCell="A5" sqref="A5"/>
      <selection pane="bottomRight"/>
    </sheetView>
  </sheetViews>
  <sheetFormatPr defaultColWidth="8.88671875" defaultRowHeight="15.6"/>
  <cols>
    <col min="1" max="1" width="15.88671875" style="183" bestFit="1" customWidth="1"/>
    <col min="2" max="3" width="17.21875" style="181" bestFit="1" customWidth="1"/>
    <col min="4" max="5" width="16.33203125" style="181" bestFit="1" customWidth="1"/>
    <col min="6" max="6" width="15" style="182" bestFit="1" customWidth="1"/>
    <col min="7" max="7" width="17.5546875" style="181" bestFit="1" customWidth="1"/>
    <col min="8" max="8" width="14.6640625" style="181" bestFit="1" customWidth="1"/>
    <col min="9" max="9" width="8.44140625" style="182" bestFit="1" customWidth="1"/>
    <col min="10" max="10" width="11.5546875" style="458" bestFit="1" customWidth="1"/>
    <col min="11" max="16384" width="8.88671875" style="458"/>
  </cols>
  <sheetData>
    <row r="1" spans="1:10">
      <c r="A1" s="179">
        <v>44196</v>
      </c>
      <c r="B1" s="506" t="s">
        <v>1801</v>
      </c>
      <c r="C1" s="506"/>
      <c r="D1" s="506"/>
      <c r="E1" s="506"/>
      <c r="F1" s="506"/>
      <c r="G1" s="506"/>
      <c r="H1" s="506"/>
      <c r="I1" s="506"/>
    </row>
    <row r="2" spans="1:10">
      <c r="A2" s="144"/>
      <c r="B2" s="506" t="s">
        <v>1806</v>
      </c>
      <c r="C2" s="506"/>
      <c r="D2" s="506"/>
      <c r="E2" s="506"/>
      <c r="F2" s="506"/>
      <c r="G2" s="506"/>
      <c r="H2" s="506"/>
      <c r="I2" s="506"/>
    </row>
    <row r="3" spans="1:10">
      <c r="A3" s="145"/>
      <c r="B3" s="146" t="s">
        <v>111</v>
      </c>
      <c r="C3" s="147" t="s">
        <v>114</v>
      </c>
      <c r="D3" s="148" t="s">
        <v>1807</v>
      </c>
      <c r="E3" s="149" t="s">
        <v>114</v>
      </c>
      <c r="F3" s="150" t="s">
        <v>1808</v>
      </c>
      <c r="G3" s="148" t="s">
        <v>1809</v>
      </c>
      <c r="H3" s="151" t="s">
        <v>1811</v>
      </c>
      <c r="I3" s="150" t="s">
        <v>112</v>
      </c>
    </row>
    <row r="4" spans="1:10">
      <c r="A4" s="192" t="s">
        <v>1352</v>
      </c>
      <c r="B4" s="174" t="s">
        <v>1353</v>
      </c>
      <c r="C4" s="175" t="s">
        <v>1353</v>
      </c>
      <c r="D4" s="176" t="s">
        <v>1354</v>
      </c>
      <c r="E4" s="176" t="s">
        <v>1354</v>
      </c>
      <c r="F4" s="177" t="s">
        <v>116</v>
      </c>
      <c r="G4" s="176" t="s">
        <v>1810</v>
      </c>
      <c r="H4" s="178" t="s">
        <v>1812</v>
      </c>
      <c r="I4" s="177" t="s">
        <v>1813</v>
      </c>
    </row>
    <row r="5" spans="1:10">
      <c r="A5" s="449" t="s">
        <v>808</v>
      </c>
      <c r="B5" s="450">
        <v>-144861</v>
      </c>
      <c r="C5" s="451">
        <v>-72430</v>
      </c>
      <c r="D5" s="452">
        <v>35740</v>
      </c>
      <c r="E5" s="452">
        <v>50265.38</v>
      </c>
      <c r="F5" s="508">
        <v>0.40639999999999998</v>
      </c>
      <c r="G5" s="452">
        <v>56611</v>
      </c>
      <c r="H5" s="451">
        <v>34446.379999999997</v>
      </c>
      <c r="I5" s="509">
        <v>-0.23780000000000001</v>
      </c>
    </row>
    <row r="6" spans="1:10">
      <c r="A6" s="454" t="s">
        <v>1739</v>
      </c>
      <c r="B6" s="455">
        <f ca="1">SUM($B$5:$B$1048576)</f>
        <v>-4534149300</v>
      </c>
      <c r="C6" s="456">
        <f ca="1">SUM($C$5:$C$1048576)</f>
        <v>-2259816000</v>
      </c>
      <c r="D6" s="457">
        <f ca="1">SUM($D$5:$D$1048576)</f>
        <v>1111514000</v>
      </c>
      <c r="E6" s="457">
        <f ca="1">SUM($E$5:$E$1048576)</f>
        <v>1558226780.0010092</v>
      </c>
      <c r="F6" s="510">
        <v>-0.29680000000000001</v>
      </c>
      <c r="G6" s="457">
        <f ca="1">SUM($G$5:$G$1048576)</f>
        <v>1743618800</v>
      </c>
      <c r="H6" s="456">
        <f ca="1">SUM(H5:$H$1048576)</f>
        <v>1057503865.9998653</v>
      </c>
      <c r="I6" s="511">
        <v>-3.4000000000000002E-2</v>
      </c>
    </row>
    <row r="7" spans="1:10">
      <c r="A7" s="458"/>
      <c r="B7" s="458"/>
      <c r="C7" s="458"/>
      <c r="D7" s="458"/>
      <c r="E7" s="458"/>
      <c r="F7" s="458"/>
      <c r="G7" s="458"/>
      <c r="H7" s="458"/>
      <c r="I7" s="458"/>
      <c r="J7" s="195"/>
    </row>
    <row r="8" spans="1:10">
      <c r="A8" s="458"/>
      <c r="B8" s="458"/>
      <c r="C8" s="458"/>
      <c r="D8" s="458"/>
      <c r="E8" s="458"/>
      <c r="F8" s="458"/>
      <c r="G8" s="458"/>
      <c r="H8" s="458"/>
      <c r="I8" s="458"/>
    </row>
    <row r="9" spans="1:10">
      <c r="A9" s="458"/>
      <c r="B9" s="458"/>
      <c r="C9" s="458"/>
      <c r="D9" s="458"/>
      <c r="E9" s="458"/>
      <c r="F9" s="458"/>
      <c r="G9" s="458"/>
      <c r="H9" s="458"/>
      <c r="I9" s="458"/>
    </row>
    <row r="10" spans="1:10">
      <c r="A10" s="458"/>
      <c r="B10" s="458"/>
      <c r="C10" s="458"/>
      <c r="D10" s="458"/>
      <c r="E10" s="458"/>
      <c r="F10" s="458"/>
      <c r="G10" s="458"/>
      <c r="H10" s="458"/>
      <c r="I10" s="458"/>
    </row>
    <row r="11" spans="1:10">
      <c r="A11" s="458"/>
      <c r="B11" s="458"/>
      <c r="C11" s="458"/>
      <c r="D11" s="458"/>
      <c r="E11" s="458"/>
      <c r="F11" s="458"/>
      <c r="G11" s="458"/>
      <c r="H11" s="458"/>
      <c r="I11" s="458"/>
    </row>
    <row r="12" spans="1:10">
      <c r="A12" s="458"/>
      <c r="B12" s="458"/>
      <c r="C12" s="458"/>
      <c r="D12" s="458"/>
      <c r="E12" s="458"/>
      <c r="F12" s="458"/>
      <c r="G12" s="458"/>
      <c r="H12" s="458"/>
      <c r="I12" s="458"/>
    </row>
    <row r="13" spans="1:10">
      <c r="A13" s="458"/>
      <c r="B13" s="458"/>
      <c r="C13" s="458"/>
      <c r="D13" s="458"/>
      <c r="E13" s="458"/>
      <c r="F13" s="458"/>
      <c r="G13" s="458"/>
      <c r="H13" s="458"/>
      <c r="I13" s="458"/>
    </row>
    <row r="14" spans="1:10">
      <c r="A14" s="458"/>
      <c r="B14" s="458"/>
      <c r="C14" s="458"/>
      <c r="D14" s="458"/>
      <c r="E14" s="458"/>
      <c r="F14" s="458"/>
      <c r="G14" s="458"/>
      <c r="H14" s="458"/>
      <c r="I14" s="458"/>
    </row>
    <row r="15" spans="1:10">
      <c r="A15" s="458"/>
      <c r="B15" s="458"/>
      <c r="C15" s="458"/>
      <c r="D15" s="458"/>
      <c r="E15" s="458"/>
      <c r="F15" s="458"/>
      <c r="G15" s="458"/>
      <c r="H15" s="458"/>
      <c r="I15" s="458"/>
    </row>
    <row r="16" spans="1:10">
      <c r="A16" s="458"/>
      <c r="B16" s="458"/>
      <c r="C16" s="458"/>
      <c r="D16" s="458"/>
      <c r="E16" s="458"/>
      <c r="F16" s="458"/>
      <c r="G16" s="458"/>
      <c r="H16" s="458"/>
      <c r="I16" s="458"/>
    </row>
    <row r="17" s="458" customFormat="1"/>
    <row r="18" s="458" customFormat="1"/>
    <row r="19" s="458" customFormat="1"/>
    <row r="20" s="458" customFormat="1"/>
    <row r="21" s="458" customFormat="1"/>
    <row r="22" s="458" customFormat="1"/>
    <row r="23" s="458" customFormat="1"/>
    <row r="24" s="458" customFormat="1"/>
    <row r="25" s="458" customFormat="1"/>
    <row r="26" s="458" customFormat="1"/>
    <row r="27" s="458" customFormat="1"/>
    <row r="28" s="458" customFormat="1"/>
    <row r="29" s="458" customFormat="1"/>
    <row r="30" s="458" customFormat="1"/>
    <row r="31" s="458" customFormat="1"/>
    <row r="32" s="458" customFormat="1"/>
    <row r="33" spans="1:9">
      <c r="A33" s="458"/>
      <c r="B33" s="458"/>
      <c r="C33" s="458"/>
      <c r="D33" s="458"/>
      <c r="E33" s="458"/>
      <c r="F33" s="458"/>
      <c r="G33" s="458"/>
      <c r="H33" s="458"/>
      <c r="I33" s="458"/>
    </row>
    <row r="34" spans="1:9">
      <c r="A34" s="458"/>
      <c r="B34" s="458"/>
      <c r="C34" s="458"/>
      <c r="D34" s="458"/>
      <c r="E34" s="458"/>
      <c r="F34" s="458"/>
      <c r="G34" s="458"/>
      <c r="H34" s="458"/>
      <c r="I34" s="458"/>
    </row>
    <row r="35" spans="1:9">
      <c r="A35" s="458"/>
      <c r="B35" s="458"/>
      <c r="C35" s="458"/>
      <c r="D35" s="458"/>
      <c r="E35" s="458"/>
      <c r="F35" s="458"/>
      <c r="G35" s="458"/>
      <c r="H35" s="458"/>
      <c r="I35" s="458"/>
    </row>
    <row r="36" spans="1:9">
      <c r="A36" s="180"/>
      <c r="B36" s="326"/>
      <c r="C36" s="326"/>
      <c r="D36" s="326"/>
      <c r="E36" s="326"/>
    </row>
    <row r="37" spans="1:9">
      <c r="A37" s="180"/>
      <c r="B37" s="326"/>
      <c r="C37" s="326"/>
      <c r="D37" s="326"/>
      <c r="E37" s="326"/>
    </row>
    <row r="38" spans="1:9">
      <c r="A38" s="180"/>
      <c r="B38" s="326"/>
      <c r="C38" s="326"/>
      <c r="D38" s="326"/>
      <c r="E38" s="326"/>
    </row>
    <row r="39" spans="1:9">
      <c r="A39" s="180"/>
      <c r="B39" s="326"/>
      <c r="C39" s="326"/>
      <c r="D39" s="326"/>
      <c r="E39" s="326"/>
    </row>
    <row r="40" spans="1:9">
      <c r="A40" s="180"/>
      <c r="B40" s="326"/>
      <c r="C40" s="326"/>
      <c r="D40" s="326"/>
      <c r="E40" s="326"/>
    </row>
    <row r="41" spans="1:9">
      <c r="A41" s="180"/>
    </row>
    <row r="42" spans="1:9">
      <c r="A42" s="180"/>
    </row>
    <row r="43" spans="1:9">
      <c r="A43" s="180"/>
    </row>
    <row r="44" spans="1:9">
      <c r="A44" s="180"/>
    </row>
    <row r="45" spans="1:9">
      <c r="A45" s="180"/>
    </row>
    <row r="46" spans="1:9">
      <c r="A46" s="180"/>
    </row>
  </sheetData>
  <mergeCells count="2">
    <mergeCell ref="B1:I1"/>
    <mergeCell ref="B2:I2"/>
  </mergeCells>
  <hyperlinks>
    <hyperlink ref="A5" location="'KVCU Operations'!A1" tooltip="KVCU Operations" display="KVCU Operations" xr:uid="{EC11F751-A150-46D8-B6A2-E9D0E1D48B34}"/>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DCA56-EC90-4A4F-B918-702696FB5280}">
  <sheetPr codeName="Enhancements">
    <tabColor theme="9" tint="0.79998168889431442"/>
  </sheetPr>
  <dimension ref="A1:L51"/>
  <sheetViews>
    <sheetView showGridLines="0" showRowColHeaders="0" workbookViewId="0">
      <pane xSplit="1" ySplit="6" topLeftCell="B7" activePane="bottomRight" state="frozen"/>
      <selection pane="topRight" activeCell="B1" sqref="B1"/>
      <selection pane="bottomLeft" activeCell="A7" sqref="A7"/>
      <selection pane="bottomRight"/>
    </sheetView>
  </sheetViews>
  <sheetFormatPr defaultColWidth="8.88671875" defaultRowHeight="15.6" outlineLevelRow="1"/>
  <cols>
    <col min="1" max="1" width="30.6640625" style="110" customWidth="1"/>
    <col min="2" max="2" width="15.6640625" style="458" bestFit="1" customWidth="1"/>
    <col min="3" max="12" width="15.5546875" style="458" customWidth="1"/>
    <col min="13" max="16384" width="8.88671875" style="458"/>
  </cols>
  <sheetData>
    <row r="1" spans="1:12">
      <c r="A1" s="200" t="str" cm="1">
        <f t="array" ref="A1">CCName(rngABCC)</f>
        <v>CU Student Government - Proper</v>
      </c>
    </row>
    <row r="2" spans="1:12">
      <c r="A2" s="200" t="str">
        <f>_xlfn.CONCAT("FY ",rngABFY," Enhancements")</f>
        <v>FY 22 Enhancements</v>
      </c>
    </row>
    <row r="3" spans="1:12">
      <c r="A3" s="200"/>
      <c r="B3" s="225" t="s">
        <v>1660</v>
      </c>
      <c r="C3" s="225" t="s">
        <v>1661</v>
      </c>
      <c r="D3" s="225" t="s">
        <v>1662</v>
      </c>
      <c r="E3" s="225" t="s">
        <v>1663</v>
      </c>
      <c r="F3" s="225" t="s">
        <v>1664</v>
      </c>
      <c r="G3" s="225" t="s">
        <v>1665</v>
      </c>
      <c r="H3" s="225" t="s">
        <v>1666</v>
      </c>
      <c r="I3" s="225" t="s">
        <v>1667</v>
      </c>
      <c r="J3" s="225" t="s">
        <v>1717</v>
      </c>
      <c r="K3" s="225" t="s">
        <v>1718</v>
      </c>
      <c r="L3" s="225" t="s">
        <v>1739</v>
      </c>
    </row>
    <row r="4" spans="1:12" s="442" customFormat="1" ht="70.05" customHeight="1">
      <c r="A4" s="441" t="s">
        <v>1659</v>
      </c>
      <c r="B4" s="440"/>
      <c r="C4" s="440"/>
      <c r="D4" s="440"/>
      <c r="E4" s="440"/>
      <c r="F4" s="440"/>
      <c r="G4" s="440"/>
      <c r="H4" s="440"/>
      <c r="I4" s="440"/>
      <c r="J4" s="440"/>
      <c r="K4" s="440"/>
    </row>
    <row r="5" spans="1:12" s="432" customFormat="1" ht="49.95" customHeight="1">
      <c r="A5" s="431" t="s">
        <v>1658</v>
      </c>
      <c r="B5" s="430"/>
      <c r="C5" s="430"/>
      <c r="D5" s="430"/>
      <c r="E5" s="430"/>
      <c r="F5" s="430"/>
      <c r="G5" s="430"/>
      <c r="H5" s="430"/>
      <c r="I5" s="430"/>
      <c r="J5" s="430"/>
      <c r="K5" s="430"/>
    </row>
    <row r="6" spans="1:12">
      <c r="A6" s="325" t="s">
        <v>1619</v>
      </c>
      <c r="B6" s="324"/>
      <c r="C6" s="324"/>
      <c r="D6" s="324"/>
      <c r="E6" s="324"/>
      <c r="F6" s="324"/>
      <c r="G6" s="324"/>
      <c r="H6" s="324"/>
      <c r="I6" s="324"/>
      <c r="J6" s="324"/>
      <c r="K6" s="324"/>
    </row>
    <row r="7" spans="1:12">
      <c r="A7" s="211" t="s">
        <v>120</v>
      </c>
      <c r="B7" s="142"/>
      <c r="C7" s="142"/>
      <c r="D7" s="142"/>
      <c r="E7" s="142"/>
      <c r="F7" s="142"/>
      <c r="G7" s="142"/>
      <c r="H7" s="142"/>
      <c r="I7" s="142"/>
      <c r="J7" s="142"/>
      <c r="K7" s="142"/>
      <c r="L7" s="142"/>
    </row>
    <row r="8" spans="1:12" outlineLevel="1">
      <c r="A8" s="212" t="s">
        <v>121</v>
      </c>
      <c r="B8" s="227">
        <v>0</v>
      </c>
      <c r="C8" s="227">
        <v>0</v>
      </c>
      <c r="D8" s="227">
        <v>0</v>
      </c>
      <c r="E8" s="227">
        <v>0</v>
      </c>
      <c r="F8" s="227">
        <v>0</v>
      </c>
      <c r="G8" s="227">
        <v>0</v>
      </c>
      <c r="H8" s="227">
        <v>0</v>
      </c>
      <c r="I8" s="227">
        <v>0</v>
      </c>
      <c r="J8" s="227">
        <v>0</v>
      </c>
      <c r="K8" s="227">
        <v>0</v>
      </c>
      <c r="L8" s="227">
        <f>SUM(B8:K8)</f>
        <v>0</v>
      </c>
    </row>
    <row r="9" spans="1:12" outlineLevel="1">
      <c r="A9" s="205" t="s">
        <v>122</v>
      </c>
      <c r="B9" s="227">
        <v>0</v>
      </c>
      <c r="C9" s="227">
        <v>0</v>
      </c>
      <c r="D9" s="227">
        <v>0</v>
      </c>
      <c r="E9" s="227">
        <v>0</v>
      </c>
      <c r="F9" s="227">
        <v>0</v>
      </c>
      <c r="G9" s="227">
        <v>0</v>
      </c>
      <c r="H9" s="227">
        <v>0</v>
      </c>
      <c r="I9" s="227">
        <v>0</v>
      </c>
      <c r="J9" s="227">
        <v>0</v>
      </c>
      <c r="K9" s="227">
        <v>0</v>
      </c>
      <c r="L9" s="227">
        <f t="shared" ref="L9:L11" si="0">SUM(B9:K9)</f>
        <v>0</v>
      </c>
    </row>
    <row r="10" spans="1:12" outlineLevel="1">
      <c r="A10" s="205" t="s">
        <v>123</v>
      </c>
      <c r="B10" s="227">
        <v>0</v>
      </c>
      <c r="C10" s="227">
        <v>0</v>
      </c>
      <c r="D10" s="227">
        <v>0</v>
      </c>
      <c r="E10" s="227">
        <v>0</v>
      </c>
      <c r="F10" s="227">
        <v>0</v>
      </c>
      <c r="G10" s="227">
        <v>0</v>
      </c>
      <c r="H10" s="227">
        <v>0</v>
      </c>
      <c r="I10" s="227">
        <v>0</v>
      </c>
      <c r="J10" s="227">
        <v>0</v>
      </c>
      <c r="K10" s="227">
        <v>0</v>
      </c>
      <c r="L10" s="227">
        <f t="shared" si="0"/>
        <v>0</v>
      </c>
    </row>
    <row r="11" spans="1:12" outlineLevel="1">
      <c r="A11" s="212" t="s">
        <v>124</v>
      </c>
      <c r="B11" s="227">
        <v>0</v>
      </c>
      <c r="C11" s="227">
        <v>0</v>
      </c>
      <c r="D11" s="227">
        <v>0</v>
      </c>
      <c r="E11" s="227">
        <v>0</v>
      </c>
      <c r="F11" s="227">
        <v>0</v>
      </c>
      <c r="G11" s="227">
        <v>0</v>
      </c>
      <c r="H11" s="227">
        <v>0</v>
      </c>
      <c r="I11" s="227">
        <v>0</v>
      </c>
      <c r="J11" s="227">
        <v>0</v>
      </c>
      <c r="K11" s="227">
        <v>0</v>
      </c>
      <c r="L11" s="227">
        <f t="shared" si="0"/>
        <v>0</v>
      </c>
    </row>
    <row r="12" spans="1:12" ht="16.2" thickBot="1">
      <c r="A12" s="3" t="s">
        <v>125</v>
      </c>
      <c r="B12" s="226">
        <f>SUM(B8:B11)</f>
        <v>0</v>
      </c>
      <c r="C12" s="226">
        <f t="shared" ref="C12:I12" si="1">SUM(C8:C11)</f>
        <v>0</v>
      </c>
      <c r="D12" s="226">
        <f t="shared" si="1"/>
        <v>0</v>
      </c>
      <c r="E12" s="226">
        <f t="shared" si="1"/>
        <v>0</v>
      </c>
      <c r="F12" s="226">
        <f t="shared" si="1"/>
        <v>0</v>
      </c>
      <c r="G12" s="226">
        <f t="shared" si="1"/>
        <v>0</v>
      </c>
      <c r="H12" s="226">
        <f t="shared" si="1"/>
        <v>0</v>
      </c>
      <c r="I12" s="226">
        <f t="shared" si="1"/>
        <v>0</v>
      </c>
      <c r="J12" s="226">
        <f t="shared" ref="J12:K12" si="2">SUM(J8:J11)</f>
        <v>0</v>
      </c>
      <c r="K12" s="226">
        <f t="shared" si="2"/>
        <v>0</v>
      </c>
      <c r="L12" s="226">
        <f t="shared" ref="L12" si="3">SUM(L8:L11)</f>
        <v>0</v>
      </c>
    </row>
    <row r="13" spans="1:12" ht="16.2" thickTop="1">
      <c r="A13" s="52"/>
    </row>
    <row r="14" spans="1:12">
      <c r="A14" s="211" t="s">
        <v>126</v>
      </c>
      <c r="B14" s="142"/>
      <c r="C14" s="142"/>
      <c r="D14" s="142"/>
      <c r="E14" s="142"/>
      <c r="F14" s="142"/>
      <c r="G14" s="142"/>
      <c r="H14" s="142"/>
      <c r="I14" s="142"/>
      <c r="J14" s="142"/>
      <c r="K14" s="142"/>
      <c r="L14" s="142"/>
    </row>
    <row r="15" spans="1:12" outlineLevel="1">
      <c r="A15" s="212" t="s">
        <v>127</v>
      </c>
      <c r="B15" s="227">
        <v>0</v>
      </c>
      <c r="C15" s="227">
        <v>0</v>
      </c>
      <c r="D15" s="227">
        <v>0</v>
      </c>
      <c r="E15" s="227">
        <v>0</v>
      </c>
      <c r="F15" s="227">
        <v>0</v>
      </c>
      <c r="G15" s="227">
        <v>0</v>
      </c>
      <c r="H15" s="227">
        <v>0</v>
      </c>
      <c r="I15" s="227">
        <v>0</v>
      </c>
      <c r="J15" s="227">
        <v>0</v>
      </c>
      <c r="K15" s="227">
        <v>0</v>
      </c>
      <c r="L15" s="227">
        <f t="shared" ref="L15:L20" si="4">SUM(B15:K15)</f>
        <v>0</v>
      </c>
    </row>
    <row r="16" spans="1:12" outlineLevel="1">
      <c r="A16" s="205" t="s">
        <v>128</v>
      </c>
      <c r="B16" s="227">
        <v>0</v>
      </c>
      <c r="C16" s="227">
        <v>0</v>
      </c>
      <c r="D16" s="227">
        <v>0</v>
      </c>
      <c r="E16" s="227">
        <v>0</v>
      </c>
      <c r="F16" s="227">
        <v>0</v>
      </c>
      <c r="G16" s="227">
        <v>0</v>
      </c>
      <c r="H16" s="227">
        <v>0</v>
      </c>
      <c r="I16" s="227">
        <v>0</v>
      </c>
      <c r="J16" s="227">
        <v>0</v>
      </c>
      <c r="K16" s="227">
        <v>0</v>
      </c>
      <c r="L16" s="227">
        <f t="shared" si="4"/>
        <v>0</v>
      </c>
    </row>
    <row r="17" spans="1:12" outlineLevel="1">
      <c r="A17" s="206" t="s">
        <v>129</v>
      </c>
      <c r="B17" s="313">
        <v>0</v>
      </c>
      <c r="C17" s="313">
        <v>0</v>
      </c>
      <c r="D17" s="313">
        <v>0</v>
      </c>
      <c r="E17" s="313">
        <v>0</v>
      </c>
      <c r="F17" s="313">
        <v>0</v>
      </c>
      <c r="G17" s="313">
        <v>0</v>
      </c>
      <c r="H17" s="313">
        <v>0</v>
      </c>
      <c r="I17" s="313">
        <v>0</v>
      </c>
      <c r="J17" s="313">
        <v>0</v>
      </c>
      <c r="K17" s="313">
        <v>0</v>
      </c>
      <c r="L17" s="313">
        <f t="shared" si="4"/>
        <v>0</v>
      </c>
    </row>
    <row r="18" spans="1:12" outlineLevel="1">
      <c r="A18" s="205" t="s">
        <v>130</v>
      </c>
      <c r="B18" s="227">
        <v>0</v>
      </c>
      <c r="C18" s="227">
        <v>0</v>
      </c>
      <c r="D18" s="227">
        <v>0</v>
      </c>
      <c r="E18" s="227">
        <v>0</v>
      </c>
      <c r="F18" s="227">
        <v>0</v>
      </c>
      <c r="G18" s="227">
        <v>0</v>
      </c>
      <c r="H18" s="227">
        <v>0</v>
      </c>
      <c r="I18" s="227">
        <v>0</v>
      </c>
      <c r="J18" s="227">
        <v>0</v>
      </c>
      <c r="K18" s="227">
        <v>0</v>
      </c>
      <c r="L18" s="227">
        <f t="shared" si="4"/>
        <v>0</v>
      </c>
    </row>
    <row r="19" spans="1:12" outlineLevel="1">
      <c r="A19" s="205" t="s">
        <v>131</v>
      </c>
      <c r="B19" s="227">
        <v>0</v>
      </c>
      <c r="C19" s="227">
        <v>0</v>
      </c>
      <c r="D19" s="227">
        <v>0</v>
      </c>
      <c r="E19" s="227">
        <v>0</v>
      </c>
      <c r="F19" s="227">
        <v>0</v>
      </c>
      <c r="G19" s="227">
        <v>0</v>
      </c>
      <c r="H19" s="227">
        <v>0</v>
      </c>
      <c r="I19" s="227">
        <v>0</v>
      </c>
      <c r="J19" s="227">
        <v>0</v>
      </c>
      <c r="K19" s="227">
        <v>0</v>
      </c>
      <c r="L19" s="227">
        <f t="shared" si="4"/>
        <v>0</v>
      </c>
    </row>
    <row r="20" spans="1:12" outlineLevel="1">
      <c r="A20" s="212" t="s">
        <v>132</v>
      </c>
      <c r="B20" s="227">
        <v>0</v>
      </c>
      <c r="C20" s="227">
        <v>0</v>
      </c>
      <c r="D20" s="227">
        <v>0</v>
      </c>
      <c r="E20" s="227">
        <v>0</v>
      </c>
      <c r="F20" s="227">
        <v>0</v>
      </c>
      <c r="G20" s="227">
        <v>0</v>
      </c>
      <c r="H20" s="227">
        <v>0</v>
      </c>
      <c r="I20" s="227">
        <v>0</v>
      </c>
      <c r="J20" s="227">
        <v>0</v>
      </c>
      <c r="K20" s="227">
        <v>0</v>
      </c>
      <c r="L20" s="227">
        <f t="shared" si="4"/>
        <v>0</v>
      </c>
    </row>
    <row r="21" spans="1:12">
      <c r="A21" s="67" t="s">
        <v>133</v>
      </c>
      <c r="B21" s="76">
        <f>SUM(B15:B20)</f>
        <v>0</v>
      </c>
      <c r="C21" s="76">
        <f t="shared" ref="C21:I21" si="5">SUM(C15:C20)</f>
        <v>0</v>
      </c>
      <c r="D21" s="76">
        <f t="shared" si="5"/>
        <v>0</v>
      </c>
      <c r="E21" s="76">
        <f t="shared" si="5"/>
        <v>0</v>
      </c>
      <c r="F21" s="76">
        <f t="shared" si="5"/>
        <v>0</v>
      </c>
      <c r="G21" s="76">
        <f t="shared" si="5"/>
        <v>0</v>
      </c>
      <c r="H21" s="76">
        <f t="shared" si="5"/>
        <v>0</v>
      </c>
      <c r="I21" s="76">
        <f t="shared" si="5"/>
        <v>0</v>
      </c>
      <c r="J21" s="76">
        <f t="shared" ref="J21:K21" si="6">SUM(J15:J20)</f>
        <v>0</v>
      </c>
      <c r="K21" s="76">
        <f t="shared" si="6"/>
        <v>0</v>
      </c>
      <c r="L21" s="76">
        <f t="shared" ref="L21" si="7">SUM(L15:L20)</f>
        <v>0</v>
      </c>
    </row>
    <row r="22" spans="1:12">
      <c r="A22" s="211" t="s">
        <v>134</v>
      </c>
      <c r="B22" s="142"/>
      <c r="C22" s="142"/>
      <c r="D22" s="142"/>
      <c r="E22" s="142"/>
      <c r="F22" s="142"/>
      <c r="G22" s="142"/>
      <c r="H22" s="142"/>
      <c r="I22" s="142"/>
      <c r="J22" s="142"/>
      <c r="K22" s="142"/>
      <c r="L22" s="142"/>
    </row>
    <row r="23" spans="1:12" outlineLevel="1">
      <c r="A23" s="206" t="s">
        <v>135</v>
      </c>
      <c r="B23" s="323">
        <v>0</v>
      </c>
      <c r="C23" s="323">
        <v>0</v>
      </c>
      <c r="D23" s="323">
        <v>0</v>
      </c>
      <c r="E23" s="323">
        <v>0</v>
      </c>
      <c r="F23" s="323">
        <v>0</v>
      </c>
      <c r="G23" s="323">
        <v>0</v>
      </c>
      <c r="H23" s="323">
        <v>0</v>
      </c>
      <c r="I23" s="323">
        <v>0</v>
      </c>
      <c r="J23" s="323">
        <v>0</v>
      </c>
      <c r="K23" s="323">
        <v>0</v>
      </c>
      <c r="L23" s="323">
        <f t="shared" ref="L23:L29" si="8">SUM(B23:K23)</f>
        <v>0</v>
      </c>
    </row>
    <row r="24" spans="1:12" outlineLevel="1">
      <c r="A24" s="205" t="s">
        <v>136</v>
      </c>
      <c r="B24" s="227">
        <v>0</v>
      </c>
      <c r="C24" s="227">
        <v>0</v>
      </c>
      <c r="D24" s="227">
        <v>0</v>
      </c>
      <c r="E24" s="227">
        <v>0</v>
      </c>
      <c r="F24" s="227">
        <v>0</v>
      </c>
      <c r="G24" s="227">
        <v>0</v>
      </c>
      <c r="H24" s="227">
        <v>0</v>
      </c>
      <c r="I24" s="227">
        <v>0</v>
      </c>
      <c r="J24" s="227">
        <v>0</v>
      </c>
      <c r="K24" s="227">
        <v>0</v>
      </c>
      <c r="L24" s="227">
        <f t="shared" si="8"/>
        <v>0</v>
      </c>
    </row>
    <row r="25" spans="1:12" outlineLevel="1">
      <c r="A25" s="205" t="s">
        <v>137</v>
      </c>
      <c r="B25" s="227">
        <v>0</v>
      </c>
      <c r="C25" s="227">
        <v>0</v>
      </c>
      <c r="D25" s="227">
        <v>0</v>
      </c>
      <c r="E25" s="227">
        <v>0</v>
      </c>
      <c r="F25" s="227">
        <v>0</v>
      </c>
      <c r="G25" s="227">
        <v>0</v>
      </c>
      <c r="H25" s="227">
        <v>0</v>
      </c>
      <c r="I25" s="227">
        <v>0</v>
      </c>
      <c r="J25" s="227">
        <v>0</v>
      </c>
      <c r="K25" s="227">
        <v>0</v>
      </c>
      <c r="L25" s="227">
        <f t="shared" si="8"/>
        <v>0</v>
      </c>
    </row>
    <row r="26" spans="1:12" outlineLevel="1">
      <c r="A26" s="205" t="s">
        <v>138</v>
      </c>
      <c r="B26" s="227">
        <v>0</v>
      </c>
      <c r="C26" s="227">
        <v>0</v>
      </c>
      <c r="D26" s="227">
        <v>0</v>
      </c>
      <c r="E26" s="227">
        <v>0</v>
      </c>
      <c r="F26" s="227">
        <v>0</v>
      </c>
      <c r="G26" s="227">
        <v>0</v>
      </c>
      <c r="H26" s="227">
        <v>0</v>
      </c>
      <c r="I26" s="227">
        <v>0</v>
      </c>
      <c r="J26" s="227">
        <v>0</v>
      </c>
      <c r="K26" s="227">
        <v>0</v>
      </c>
      <c r="L26" s="227">
        <f t="shared" si="8"/>
        <v>0</v>
      </c>
    </row>
    <row r="27" spans="1:12" outlineLevel="1">
      <c r="A27" s="205" t="s">
        <v>139</v>
      </c>
      <c r="B27" s="227">
        <v>0</v>
      </c>
      <c r="C27" s="227">
        <v>0</v>
      </c>
      <c r="D27" s="227">
        <v>0</v>
      </c>
      <c r="E27" s="227">
        <v>0</v>
      </c>
      <c r="F27" s="227">
        <v>0</v>
      </c>
      <c r="G27" s="227">
        <v>0</v>
      </c>
      <c r="H27" s="227">
        <v>0</v>
      </c>
      <c r="I27" s="227">
        <v>0</v>
      </c>
      <c r="J27" s="227">
        <v>0</v>
      </c>
      <c r="K27" s="227">
        <v>0</v>
      </c>
      <c r="L27" s="227">
        <f t="shared" si="8"/>
        <v>0</v>
      </c>
    </row>
    <row r="28" spans="1:12" outlineLevel="1">
      <c r="A28" s="205" t="s">
        <v>140</v>
      </c>
      <c r="B28" s="227">
        <v>0</v>
      </c>
      <c r="C28" s="227">
        <v>0</v>
      </c>
      <c r="D28" s="227">
        <v>0</v>
      </c>
      <c r="E28" s="227">
        <v>0</v>
      </c>
      <c r="F28" s="227">
        <v>0</v>
      </c>
      <c r="G28" s="227">
        <v>0</v>
      </c>
      <c r="H28" s="227">
        <v>0</v>
      </c>
      <c r="I28" s="227">
        <v>0</v>
      </c>
      <c r="J28" s="227">
        <v>0</v>
      </c>
      <c r="K28" s="227">
        <v>0</v>
      </c>
      <c r="L28" s="227">
        <f t="shared" si="8"/>
        <v>0</v>
      </c>
    </row>
    <row r="29" spans="1:12" outlineLevel="1">
      <c r="A29" s="212" t="s">
        <v>141</v>
      </c>
      <c r="B29" s="227">
        <v>0</v>
      </c>
      <c r="C29" s="227">
        <v>0</v>
      </c>
      <c r="D29" s="227">
        <v>0</v>
      </c>
      <c r="E29" s="227">
        <v>0</v>
      </c>
      <c r="F29" s="227">
        <v>0</v>
      </c>
      <c r="G29" s="227">
        <v>0</v>
      </c>
      <c r="H29" s="227">
        <v>0</v>
      </c>
      <c r="I29" s="227">
        <v>0</v>
      </c>
      <c r="J29" s="227">
        <v>0</v>
      </c>
      <c r="K29" s="227">
        <v>0</v>
      </c>
      <c r="L29" s="227">
        <f t="shared" si="8"/>
        <v>0</v>
      </c>
    </row>
    <row r="30" spans="1:12">
      <c r="A30" s="67" t="s">
        <v>142</v>
      </c>
      <c r="B30" s="76">
        <f>SUM(B23:B29)</f>
        <v>0</v>
      </c>
      <c r="C30" s="76">
        <f t="shared" ref="C30:I30" si="9">SUM(C23:C29)</f>
        <v>0</v>
      </c>
      <c r="D30" s="76">
        <f t="shared" si="9"/>
        <v>0</v>
      </c>
      <c r="E30" s="76">
        <f t="shared" si="9"/>
        <v>0</v>
      </c>
      <c r="F30" s="76">
        <f t="shared" si="9"/>
        <v>0</v>
      </c>
      <c r="G30" s="76">
        <f t="shared" si="9"/>
        <v>0</v>
      </c>
      <c r="H30" s="76">
        <f t="shared" si="9"/>
        <v>0</v>
      </c>
      <c r="I30" s="76">
        <f t="shared" si="9"/>
        <v>0</v>
      </c>
      <c r="J30" s="76">
        <f t="shared" ref="J30:K30" si="10">SUM(J23:J29)</f>
        <v>0</v>
      </c>
      <c r="K30" s="76">
        <f t="shared" si="10"/>
        <v>0</v>
      </c>
      <c r="L30" s="76">
        <f t="shared" ref="L30" si="11">SUM(L23:L29)</f>
        <v>0</v>
      </c>
    </row>
    <row r="31" spans="1:12">
      <c r="A31" s="211" t="s">
        <v>143</v>
      </c>
      <c r="B31" s="142"/>
      <c r="C31" s="142"/>
      <c r="D31" s="142"/>
      <c r="E31" s="142"/>
      <c r="F31" s="142"/>
      <c r="G31" s="142"/>
      <c r="H31" s="142"/>
      <c r="I31" s="142"/>
      <c r="J31" s="142"/>
      <c r="K31" s="142"/>
      <c r="L31" s="142"/>
    </row>
    <row r="32" spans="1:12" outlineLevel="1">
      <c r="A32" s="212" t="s">
        <v>144</v>
      </c>
      <c r="B32" s="227">
        <v>0</v>
      </c>
      <c r="C32" s="227">
        <v>0</v>
      </c>
      <c r="D32" s="227">
        <v>0</v>
      </c>
      <c r="E32" s="227">
        <v>0</v>
      </c>
      <c r="F32" s="227">
        <v>0</v>
      </c>
      <c r="G32" s="227">
        <v>0</v>
      </c>
      <c r="H32" s="227">
        <v>0</v>
      </c>
      <c r="I32" s="227">
        <v>0</v>
      </c>
      <c r="J32" s="227">
        <v>0</v>
      </c>
      <c r="K32" s="227">
        <v>0</v>
      </c>
      <c r="L32" s="227">
        <f t="shared" ref="L32:L33" si="12">SUM(B32:K32)</f>
        <v>0</v>
      </c>
    </row>
    <row r="33" spans="1:12" outlineLevel="1">
      <c r="A33" s="212" t="s">
        <v>145</v>
      </c>
      <c r="B33" s="227">
        <v>0</v>
      </c>
      <c r="C33" s="227">
        <v>0</v>
      </c>
      <c r="D33" s="227">
        <v>0</v>
      </c>
      <c r="E33" s="227">
        <v>0</v>
      </c>
      <c r="F33" s="227">
        <v>0</v>
      </c>
      <c r="G33" s="227">
        <v>0</v>
      </c>
      <c r="H33" s="227">
        <v>0</v>
      </c>
      <c r="I33" s="227">
        <v>0</v>
      </c>
      <c r="J33" s="227">
        <v>0</v>
      </c>
      <c r="K33" s="227">
        <v>0</v>
      </c>
      <c r="L33" s="227">
        <f t="shared" si="12"/>
        <v>0</v>
      </c>
    </row>
    <row r="34" spans="1:12">
      <c r="A34" s="67" t="s">
        <v>146</v>
      </c>
      <c r="B34" s="76">
        <f>SUM(B32:B33)</f>
        <v>0</v>
      </c>
      <c r="C34" s="76">
        <f t="shared" ref="C34:I34" si="13">SUM(C32:C33)</f>
        <v>0</v>
      </c>
      <c r="D34" s="76">
        <f t="shared" si="13"/>
        <v>0</v>
      </c>
      <c r="E34" s="76">
        <f t="shared" si="13"/>
        <v>0</v>
      </c>
      <c r="F34" s="76">
        <f t="shared" si="13"/>
        <v>0</v>
      </c>
      <c r="G34" s="76">
        <f t="shared" si="13"/>
        <v>0</v>
      </c>
      <c r="H34" s="76">
        <f t="shared" si="13"/>
        <v>0</v>
      </c>
      <c r="I34" s="76">
        <f t="shared" si="13"/>
        <v>0</v>
      </c>
      <c r="J34" s="76">
        <f t="shared" ref="J34:K34" si="14">SUM(J32:J33)</f>
        <v>0</v>
      </c>
      <c r="K34" s="76">
        <f t="shared" si="14"/>
        <v>0</v>
      </c>
      <c r="L34" s="76">
        <f t="shared" ref="L34" si="15">SUM(L32:L33)</f>
        <v>0</v>
      </c>
    </row>
    <row r="35" spans="1:12">
      <c r="A35" s="211" t="s">
        <v>147</v>
      </c>
      <c r="B35" s="142"/>
      <c r="C35" s="142"/>
      <c r="D35" s="142"/>
      <c r="E35" s="142"/>
      <c r="F35" s="142"/>
      <c r="G35" s="142"/>
      <c r="H35" s="142"/>
      <c r="I35" s="142"/>
      <c r="J35" s="142"/>
      <c r="K35" s="142"/>
      <c r="L35" s="142"/>
    </row>
    <row r="36" spans="1:12" outlineLevel="1">
      <c r="A36" s="212" t="s">
        <v>148</v>
      </c>
      <c r="B36" s="227">
        <v>0</v>
      </c>
      <c r="C36" s="227">
        <v>0</v>
      </c>
      <c r="D36" s="227">
        <v>0</v>
      </c>
      <c r="E36" s="227">
        <v>0</v>
      </c>
      <c r="F36" s="227">
        <v>0</v>
      </c>
      <c r="G36" s="227">
        <v>0</v>
      </c>
      <c r="H36" s="227">
        <v>0</v>
      </c>
      <c r="I36" s="227">
        <v>0</v>
      </c>
      <c r="J36" s="227">
        <v>0</v>
      </c>
      <c r="K36" s="227">
        <v>0</v>
      </c>
      <c r="L36" s="227">
        <f t="shared" ref="L36:L41" si="16">SUM(B36:K36)</f>
        <v>0</v>
      </c>
    </row>
    <row r="37" spans="1:12" outlineLevel="1">
      <c r="A37" s="205" t="s">
        <v>149</v>
      </c>
      <c r="B37" s="227">
        <v>0</v>
      </c>
      <c r="C37" s="227">
        <v>0</v>
      </c>
      <c r="D37" s="227">
        <v>0</v>
      </c>
      <c r="E37" s="227">
        <v>0</v>
      </c>
      <c r="F37" s="227">
        <v>0</v>
      </c>
      <c r="G37" s="227">
        <v>0</v>
      </c>
      <c r="H37" s="227">
        <v>0</v>
      </c>
      <c r="I37" s="227">
        <v>0</v>
      </c>
      <c r="J37" s="227">
        <v>0</v>
      </c>
      <c r="K37" s="227">
        <v>0</v>
      </c>
      <c r="L37" s="227">
        <f t="shared" si="16"/>
        <v>0</v>
      </c>
    </row>
    <row r="38" spans="1:12" outlineLevel="1">
      <c r="A38" s="205" t="s">
        <v>33</v>
      </c>
      <c r="B38" s="227">
        <v>0</v>
      </c>
      <c r="C38" s="227">
        <v>0</v>
      </c>
      <c r="D38" s="227">
        <v>0</v>
      </c>
      <c r="E38" s="227">
        <v>0</v>
      </c>
      <c r="F38" s="227">
        <v>0</v>
      </c>
      <c r="G38" s="227">
        <v>0</v>
      </c>
      <c r="H38" s="227">
        <v>0</v>
      </c>
      <c r="I38" s="227">
        <v>0</v>
      </c>
      <c r="J38" s="227">
        <v>0</v>
      </c>
      <c r="K38" s="227">
        <v>0</v>
      </c>
      <c r="L38" s="227">
        <f t="shared" si="16"/>
        <v>0</v>
      </c>
    </row>
    <row r="39" spans="1:12" outlineLevel="1">
      <c r="A39" s="206" t="s">
        <v>150</v>
      </c>
      <c r="B39" s="313">
        <v>0</v>
      </c>
      <c r="C39" s="313">
        <v>0</v>
      </c>
      <c r="D39" s="313">
        <v>0</v>
      </c>
      <c r="E39" s="313">
        <v>0</v>
      </c>
      <c r="F39" s="313">
        <v>0</v>
      </c>
      <c r="G39" s="313">
        <v>0</v>
      </c>
      <c r="H39" s="313">
        <v>0</v>
      </c>
      <c r="I39" s="313">
        <v>0</v>
      </c>
      <c r="J39" s="313">
        <v>0</v>
      </c>
      <c r="K39" s="313">
        <v>0</v>
      </c>
      <c r="L39" s="313">
        <f t="shared" si="16"/>
        <v>0</v>
      </c>
    </row>
    <row r="40" spans="1:12" outlineLevel="1">
      <c r="A40" s="205" t="s">
        <v>151</v>
      </c>
      <c r="B40" s="227">
        <v>0</v>
      </c>
      <c r="C40" s="227">
        <v>0</v>
      </c>
      <c r="D40" s="227">
        <v>0</v>
      </c>
      <c r="E40" s="227">
        <v>0</v>
      </c>
      <c r="F40" s="227">
        <v>0</v>
      </c>
      <c r="G40" s="227">
        <v>0</v>
      </c>
      <c r="H40" s="227">
        <v>0</v>
      </c>
      <c r="I40" s="227">
        <v>0</v>
      </c>
      <c r="J40" s="227">
        <v>0</v>
      </c>
      <c r="K40" s="227">
        <v>0</v>
      </c>
      <c r="L40" s="227">
        <f t="shared" si="16"/>
        <v>0</v>
      </c>
    </row>
    <row r="41" spans="1:12" outlineLevel="1">
      <c r="A41" s="212" t="s">
        <v>152</v>
      </c>
      <c r="B41" s="227">
        <v>0</v>
      </c>
      <c r="C41" s="227">
        <v>0</v>
      </c>
      <c r="D41" s="227">
        <v>0</v>
      </c>
      <c r="E41" s="227">
        <v>0</v>
      </c>
      <c r="F41" s="227">
        <v>0</v>
      </c>
      <c r="G41" s="227">
        <v>0</v>
      </c>
      <c r="H41" s="227">
        <v>0</v>
      </c>
      <c r="I41" s="227">
        <v>0</v>
      </c>
      <c r="J41" s="227">
        <v>0</v>
      </c>
      <c r="K41" s="227">
        <v>0</v>
      </c>
      <c r="L41" s="227">
        <f t="shared" si="16"/>
        <v>0</v>
      </c>
    </row>
    <row r="42" spans="1:12">
      <c r="A42" s="67" t="s">
        <v>153</v>
      </c>
      <c r="B42" s="76">
        <f>SUM(B36:B41)</f>
        <v>0</v>
      </c>
      <c r="C42" s="76">
        <f t="shared" ref="C42:I42" si="17">SUM(C36:C41)</f>
        <v>0</v>
      </c>
      <c r="D42" s="76">
        <f t="shared" si="17"/>
        <v>0</v>
      </c>
      <c r="E42" s="76">
        <f t="shared" si="17"/>
        <v>0</v>
      </c>
      <c r="F42" s="76">
        <f t="shared" si="17"/>
        <v>0</v>
      </c>
      <c r="G42" s="76">
        <f t="shared" si="17"/>
        <v>0</v>
      </c>
      <c r="H42" s="76">
        <f t="shared" si="17"/>
        <v>0</v>
      </c>
      <c r="I42" s="76">
        <f t="shared" si="17"/>
        <v>0</v>
      </c>
      <c r="J42" s="76">
        <f t="shared" ref="J42:K42" si="18">SUM(J36:J41)</f>
        <v>0</v>
      </c>
      <c r="K42" s="76">
        <f t="shared" si="18"/>
        <v>0</v>
      </c>
      <c r="L42" s="76">
        <f t="shared" ref="L42" si="19">SUM(L36:L41)</f>
        <v>0</v>
      </c>
    </row>
    <row r="43" spans="1:12" ht="16.2" thickBot="1">
      <c r="A43" s="3" t="s">
        <v>154</v>
      </c>
      <c r="B43" s="226">
        <f>SUM(B21,B30,B34,B42)</f>
        <v>0</v>
      </c>
      <c r="C43" s="226">
        <f t="shared" ref="C43:I43" si="20">SUM(C21,C30,C34,C42)</f>
        <v>0</v>
      </c>
      <c r="D43" s="226">
        <f t="shared" si="20"/>
        <v>0</v>
      </c>
      <c r="E43" s="226">
        <f t="shared" si="20"/>
        <v>0</v>
      </c>
      <c r="F43" s="226">
        <f t="shared" si="20"/>
        <v>0</v>
      </c>
      <c r="G43" s="226">
        <f t="shared" si="20"/>
        <v>0</v>
      </c>
      <c r="H43" s="226">
        <f t="shared" si="20"/>
        <v>0</v>
      </c>
      <c r="I43" s="226">
        <f t="shared" si="20"/>
        <v>0</v>
      </c>
      <c r="J43" s="226">
        <f t="shared" ref="J43:K43" si="21">SUM(J21,J30,J34,J42)</f>
        <v>0</v>
      </c>
      <c r="K43" s="226">
        <f t="shared" si="21"/>
        <v>0</v>
      </c>
      <c r="L43" s="226">
        <f t="shared" ref="L43" si="22">SUM(L21,L30,L34,L42)</f>
        <v>0</v>
      </c>
    </row>
    <row r="44" spans="1:12" ht="16.2" thickTop="1">
      <c r="A44" s="211" t="s">
        <v>155</v>
      </c>
      <c r="B44" s="142"/>
      <c r="C44" s="142"/>
      <c r="D44" s="142"/>
      <c r="E44" s="142"/>
      <c r="F44" s="142"/>
      <c r="G44" s="142"/>
      <c r="H44" s="142"/>
      <c r="I44" s="142"/>
      <c r="J44" s="142"/>
      <c r="K44" s="142"/>
      <c r="L44" s="142"/>
    </row>
    <row r="45" spans="1:12" outlineLevel="1">
      <c r="A45" s="212" t="s">
        <v>156</v>
      </c>
      <c r="B45" s="227">
        <v>0</v>
      </c>
      <c r="C45" s="227">
        <v>0</v>
      </c>
      <c r="D45" s="227">
        <v>0</v>
      </c>
      <c r="E45" s="227">
        <v>0</v>
      </c>
      <c r="F45" s="227">
        <v>0</v>
      </c>
      <c r="G45" s="227">
        <v>0</v>
      </c>
      <c r="H45" s="227">
        <v>0</v>
      </c>
      <c r="I45" s="227">
        <v>0</v>
      </c>
      <c r="J45" s="227">
        <v>0</v>
      </c>
      <c r="K45" s="227">
        <v>0</v>
      </c>
      <c r="L45" s="227">
        <f t="shared" ref="L45:L46" si="23">SUM(B45:K45)</f>
        <v>0</v>
      </c>
    </row>
    <row r="46" spans="1:12" outlineLevel="1">
      <c r="A46" s="212" t="s">
        <v>157</v>
      </c>
      <c r="B46" s="227">
        <v>0</v>
      </c>
      <c r="C46" s="227">
        <v>0</v>
      </c>
      <c r="D46" s="227">
        <v>0</v>
      </c>
      <c r="E46" s="227">
        <v>0</v>
      </c>
      <c r="F46" s="227">
        <v>0</v>
      </c>
      <c r="G46" s="227">
        <v>0</v>
      </c>
      <c r="H46" s="227">
        <v>0</v>
      </c>
      <c r="I46" s="227">
        <v>0</v>
      </c>
      <c r="J46" s="227">
        <v>0</v>
      </c>
      <c r="K46" s="227">
        <v>0</v>
      </c>
      <c r="L46" s="227">
        <f t="shared" si="23"/>
        <v>0</v>
      </c>
    </row>
    <row r="47" spans="1:12">
      <c r="A47" s="67" t="s">
        <v>158</v>
      </c>
      <c r="B47" s="76">
        <f>SUM(B45:B46)</f>
        <v>0</v>
      </c>
      <c r="C47" s="76">
        <f t="shared" ref="C47:I47" si="24">SUM(C45:C46)</f>
        <v>0</v>
      </c>
      <c r="D47" s="76">
        <f t="shared" si="24"/>
        <v>0</v>
      </c>
      <c r="E47" s="76">
        <f t="shared" si="24"/>
        <v>0</v>
      </c>
      <c r="F47" s="76">
        <f t="shared" si="24"/>
        <v>0</v>
      </c>
      <c r="G47" s="76">
        <f t="shared" si="24"/>
        <v>0</v>
      </c>
      <c r="H47" s="76">
        <f t="shared" si="24"/>
        <v>0</v>
      </c>
      <c r="I47" s="76">
        <f t="shared" si="24"/>
        <v>0</v>
      </c>
      <c r="J47" s="76">
        <f t="shared" ref="J47:K47" si="25">SUM(J45:J46)</f>
        <v>0</v>
      </c>
      <c r="K47" s="76">
        <f t="shared" si="25"/>
        <v>0</v>
      </c>
      <c r="L47" s="76">
        <f t="shared" ref="L47" si="26">SUM(L45:L46)</f>
        <v>0</v>
      </c>
    </row>
    <row r="48" spans="1:12" ht="16.2" thickBot="1">
      <c r="A48" s="3" t="s">
        <v>159</v>
      </c>
      <c r="B48" s="226">
        <f>SUM(B12,B43,B47)</f>
        <v>0</v>
      </c>
      <c r="C48" s="226">
        <f t="shared" ref="C48:I48" si="27">SUM(C12,C43,C47)</f>
        <v>0</v>
      </c>
      <c r="D48" s="226">
        <f t="shared" si="27"/>
        <v>0</v>
      </c>
      <c r="E48" s="226">
        <f t="shared" si="27"/>
        <v>0</v>
      </c>
      <c r="F48" s="226">
        <f t="shared" si="27"/>
        <v>0</v>
      </c>
      <c r="G48" s="226">
        <f t="shared" si="27"/>
        <v>0</v>
      </c>
      <c r="H48" s="226">
        <f t="shared" si="27"/>
        <v>0</v>
      </c>
      <c r="I48" s="226">
        <f t="shared" si="27"/>
        <v>0</v>
      </c>
      <c r="J48" s="226">
        <f t="shared" ref="J48:K48" si="28">SUM(J12,J43,J47)</f>
        <v>0</v>
      </c>
      <c r="K48" s="226">
        <f t="shared" si="28"/>
        <v>0</v>
      </c>
      <c r="L48" s="226">
        <f t="shared" ref="L48" si="29">SUM(L12,L43,L47)</f>
        <v>0</v>
      </c>
    </row>
    <row r="49" spans="1:1" ht="16.2" thickTop="1">
      <c r="A49" s="167"/>
    </row>
    <row r="50" spans="1:1">
      <c r="A50" s="458"/>
    </row>
    <row r="51" spans="1:1">
      <c r="A51" s="109"/>
    </row>
  </sheetData>
  <phoneticPr fontId="2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8B9C0-4DBC-43BB-8A21-9069D4C51437}">
  <sheetPr codeName="RollUp">
    <pageSetUpPr fitToPage="1"/>
  </sheetPr>
  <dimension ref="A1:V61"/>
  <sheetViews>
    <sheetView showGridLines="0" workbookViewId="0">
      <pane xSplit="1" ySplit="6" topLeftCell="B7" activePane="bottomRight" state="frozen"/>
      <selection pane="topRight" activeCell="B1" sqref="B1"/>
      <selection pane="bottomLeft" activeCell="A7" sqref="A7"/>
      <selection pane="bottomRight" activeCell="O48" sqref="O48"/>
    </sheetView>
  </sheetViews>
  <sheetFormatPr defaultColWidth="8.88671875" defaultRowHeight="15.6" outlineLevelRow="1" outlineLevelCol="1"/>
  <cols>
    <col min="1" max="1" width="32.77734375" style="110" customWidth="1"/>
    <col min="2" max="2" width="16.6640625" style="109" customWidth="1"/>
    <col min="3" max="5" width="16.6640625" style="109" hidden="1" customWidth="1" outlineLevel="1"/>
    <col min="6" max="6" width="16.6640625" style="458" customWidth="1" collapsed="1"/>
    <col min="7" max="7" width="16.6640625" style="106" customWidth="1"/>
    <col min="8" max="8" width="16.6640625" style="458" customWidth="1"/>
    <col min="9" max="11" width="16.6640625" style="108" hidden="1" customWidth="1" outlineLevel="1"/>
    <col min="12" max="12" width="16.6640625" style="458" customWidth="1" collapsed="1"/>
    <col min="13" max="13" width="16.6640625" style="106" customWidth="1"/>
    <col min="14" max="14" width="2.6640625" style="106" customWidth="1"/>
    <col min="15" max="15" width="8.88671875" style="458"/>
    <col min="16" max="16" width="16.6640625" style="458" customWidth="1"/>
    <col min="17" max="17" width="16.6640625" style="458" bestFit="1" customWidth="1" collapsed="1"/>
    <col min="18" max="19" width="15" style="458" customWidth="1"/>
    <col min="20" max="21" width="16.77734375" style="458" customWidth="1"/>
    <col min="22" max="22" width="15" style="458" customWidth="1" collapsed="1"/>
    <col min="23" max="16384" width="8.88671875" style="458"/>
  </cols>
  <sheetData>
    <row r="1" spans="1:15">
      <c r="A1" s="1">
        <v>44196</v>
      </c>
      <c r="B1" s="498" t="s">
        <v>1801</v>
      </c>
      <c r="C1" s="498"/>
      <c r="D1" s="498"/>
      <c r="E1" s="498"/>
      <c r="F1" s="498"/>
      <c r="G1" s="498"/>
      <c r="H1" s="498"/>
      <c r="I1" s="498"/>
      <c r="J1" s="498"/>
      <c r="K1" s="498"/>
      <c r="L1" s="498"/>
      <c r="M1" s="498"/>
      <c r="N1" s="498"/>
    </row>
    <row r="2" spans="1:15">
      <c r="A2" s="458"/>
      <c r="B2" s="499" t="s">
        <v>1594</v>
      </c>
      <c r="C2" s="499"/>
      <c r="D2" s="499"/>
      <c r="E2" s="499"/>
      <c r="F2" s="499"/>
      <c r="G2" s="499"/>
      <c r="H2" s="499"/>
      <c r="I2" s="499"/>
      <c r="J2" s="499"/>
      <c r="K2" s="499"/>
      <c r="L2" s="499"/>
      <c r="M2" s="499"/>
      <c r="N2" s="499"/>
    </row>
    <row r="3" spans="1:15" ht="14.4" customHeight="1">
      <c r="A3" s="458"/>
      <c r="B3" s="17" t="s">
        <v>102</v>
      </c>
      <c r="C3" s="17"/>
      <c r="D3" s="17"/>
      <c r="E3" s="17"/>
      <c r="F3" s="17" t="s">
        <v>103</v>
      </c>
      <c r="G3" s="18" t="s">
        <v>104</v>
      </c>
      <c r="H3" s="17" t="s">
        <v>105</v>
      </c>
      <c r="I3" s="19"/>
      <c r="J3" s="19"/>
      <c r="K3" s="20"/>
      <c r="L3" s="17" t="s">
        <v>106</v>
      </c>
      <c r="M3" s="21" t="s">
        <v>107</v>
      </c>
      <c r="N3" s="500" t="s">
        <v>108</v>
      </c>
      <c r="O3" s="2"/>
    </row>
    <row r="4" spans="1:15">
      <c r="A4" s="22"/>
      <c r="B4" s="23" t="s">
        <v>1802</v>
      </c>
      <c r="C4" s="23" t="s">
        <v>1803</v>
      </c>
      <c r="D4" s="23" t="s">
        <v>1804</v>
      </c>
      <c r="E4" s="23" t="s">
        <v>1805</v>
      </c>
      <c r="F4" s="23" t="s">
        <v>109</v>
      </c>
      <c r="G4" s="24"/>
      <c r="H4" s="23" t="s">
        <v>1802</v>
      </c>
      <c r="I4" s="23" t="s">
        <v>1803</v>
      </c>
      <c r="J4" s="23" t="s">
        <v>1804</v>
      </c>
      <c r="K4" s="23" t="s">
        <v>1805</v>
      </c>
      <c r="L4" s="23" t="s">
        <v>110</v>
      </c>
      <c r="M4" s="25" t="s">
        <v>110</v>
      </c>
      <c r="N4" s="501"/>
      <c r="O4" s="2"/>
    </row>
    <row r="5" spans="1:15">
      <c r="A5" s="26"/>
      <c r="B5" s="23" t="s">
        <v>111</v>
      </c>
      <c r="C5" s="23" t="s">
        <v>111</v>
      </c>
      <c r="D5" s="23" t="s">
        <v>111</v>
      </c>
      <c r="E5" s="23" t="s">
        <v>111</v>
      </c>
      <c r="F5" s="23" t="s">
        <v>112</v>
      </c>
      <c r="G5" s="24" t="s">
        <v>113</v>
      </c>
      <c r="H5" s="23" t="s">
        <v>114</v>
      </c>
      <c r="I5" s="23" t="s">
        <v>114</v>
      </c>
      <c r="J5" s="23" t="s">
        <v>114</v>
      </c>
      <c r="K5" s="23" t="s">
        <v>114</v>
      </c>
      <c r="L5" s="23" t="s">
        <v>115</v>
      </c>
      <c r="M5" s="25" t="s">
        <v>116</v>
      </c>
      <c r="N5" s="501"/>
      <c r="O5" s="2"/>
    </row>
    <row r="6" spans="1:15">
      <c r="A6" s="27"/>
      <c r="B6" s="28"/>
      <c r="C6" s="28"/>
      <c r="D6" s="28"/>
      <c r="E6" s="28"/>
      <c r="F6" s="28" t="s">
        <v>1595</v>
      </c>
      <c r="G6" s="29" t="s">
        <v>117</v>
      </c>
      <c r="H6" s="28"/>
      <c r="I6" s="30"/>
      <c r="J6" s="30"/>
      <c r="K6" s="31"/>
      <c r="L6" s="28" t="s">
        <v>118</v>
      </c>
      <c r="M6" s="32" t="s">
        <v>119</v>
      </c>
      <c r="N6" s="502"/>
      <c r="O6" s="2"/>
    </row>
    <row r="7" spans="1:15">
      <c r="A7" s="33" t="s">
        <v>120</v>
      </c>
      <c r="B7" s="34"/>
      <c r="C7" s="34"/>
      <c r="D7" s="34"/>
      <c r="E7" s="34"/>
      <c r="F7" s="35"/>
      <c r="G7" s="36"/>
      <c r="H7" s="37"/>
      <c r="I7" s="38"/>
      <c r="J7" s="38"/>
      <c r="K7" s="20"/>
      <c r="L7" s="37"/>
      <c r="M7" s="21"/>
      <c r="N7" s="39"/>
      <c r="O7" s="2"/>
    </row>
    <row r="8" spans="1:15" ht="14.4" hidden="1" customHeight="1" outlineLevel="1">
      <c r="A8" s="40" t="s">
        <v>121</v>
      </c>
      <c r="B8" s="228">
        <f>RollUpSum(8,2)</f>
        <v>-144861</v>
      </c>
      <c r="C8" s="229">
        <f>RollUpSum(8,3)</f>
        <v>-147042</v>
      </c>
      <c r="D8" s="230">
        <f>RollUpSum(8,4)</f>
        <v>-145841</v>
      </c>
      <c r="E8" s="231">
        <f>RollUpSum(8,5)</f>
        <v>-143892</v>
      </c>
      <c r="F8" s="253" cm="1">
        <f t="array" ref="F8">SeasonalBud(B8,G8)</f>
        <v>-72430</v>
      </c>
      <c r="G8" s="41" cm="1">
        <f t="array" ref="G8">SeasonalBudPct(B8:E8,H8:K8)</f>
        <v>0.49999885720293563</v>
      </c>
      <c r="H8" s="249">
        <f>RollUpSum(8,8)</f>
        <v>-72430</v>
      </c>
      <c r="I8" s="250">
        <f>RollUpSum(8,9)</f>
        <v>-73521</v>
      </c>
      <c r="J8" s="251">
        <f>RollUpSum(8,10)</f>
        <v>-72920</v>
      </c>
      <c r="K8" s="252">
        <f>RollUpSum(8,11)</f>
        <v>-71946</v>
      </c>
      <c r="L8" s="253" cm="1">
        <f t="array" ref="L8">BudgetDolVariance(F8,H8)</f>
        <v>0</v>
      </c>
      <c r="M8" s="42" cm="1">
        <f t="array" ref="M8">BudgetPctVariance(F8,H8)</f>
        <v>0</v>
      </c>
      <c r="N8" s="43"/>
      <c r="O8" s="2"/>
    </row>
    <row r="9" spans="1:15" ht="14.4" hidden="1" customHeight="1" outlineLevel="1">
      <c r="A9" s="44" t="s">
        <v>122</v>
      </c>
      <c r="B9" s="232">
        <f>RollUpSum(9,2)</f>
        <v>0</v>
      </c>
      <c r="C9" s="233">
        <f>RollUpSum(9,3)</f>
        <v>0</v>
      </c>
      <c r="D9" s="234">
        <f>RollUpSum(9,4)</f>
        <v>0</v>
      </c>
      <c r="E9" s="235">
        <f>RollUpSum(9,5)</f>
        <v>0</v>
      </c>
      <c r="F9" s="276" t="str" cm="1">
        <f t="array" ref="F9">SeasonalBud(B9,G9)</f>
        <v/>
      </c>
      <c r="G9" s="45" t="str" cm="1">
        <f t="array" ref="G9">SeasonalBudPct(B9:E9,H9:K9)</f>
        <v/>
      </c>
      <c r="H9" s="254">
        <f>RollUpSum(9,8)</f>
        <v>0</v>
      </c>
      <c r="I9" s="255">
        <f>RollUpSum(9,9)</f>
        <v>0</v>
      </c>
      <c r="J9" s="256">
        <f>RollUpSum(9,10)</f>
        <v>0</v>
      </c>
      <c r="K9" s="257">
        <f>RollUpSum(9,11)</f>
        <v>0</v>
      </c>
      <c r="L9" s="258" t="str" cm="1">
        <f t="array" ref="L9">BudgetDolVariance(F9,H9)</f>
        <v/>
      </c>
      <c r="M9" s="46" t="str" cm="1">
        <f t="array" ref="M9">BudgetPctVariance(F9,H9)</f>
        <v/>
      </c>
      <c r="N9" s="47"/>
      <c r="O9" s="2"/>
    </row>
    <row r="10" spans="1:15" ht="14.4" hidden="1" customHeight="1" outlineLevel="1">
      <c r="A10" s="44" t="s">
        <v>123</v>
      </c>
      <c r="B10" s="232">
        <f>RollUpSum(10,2)</f>
        <v>0</v>
      </c>
      <c r="C10" s="233">
        <f>RollUpSum(10,3)</f>
        <v>0</v>
      </c>
      <c r="D10" s="234">
        <f>RollUpSum(10,4)</f>
        <v>0</v>
      </c>
      <c r="E10" s="235">
        <f>RollUpSum(10,5)</f>
        <v>0</v>
      </c>
      <c r="F10" s="276" t="str" cm="1">
        <f t="array" ref="F10">SeasonalBud(B10,G10)</f>
        <v/>
      </c>
      <c r="G10" s="45" t="str" cm="1">
        <f t="array" ref="G10">SeasonalBudPct(B10:E10,H10:K10)</f>
        <v/>
      </c>
      <c r="H10" s="254">
        <f>RollUpSum(10,8)</f>
        <v>0</v>
      </c>
      <c r="I10" s="255">
        <f>RollUpSum(10,9)</f>
        <v>0</v>
      </c>
      <c r="J10" s="256">
        <f>RollUpSum(10,10)</f>
        <v>0</v>
      </c>
      <c r="K10" s="257">
        <f>RollUpSum(10,11)</f>
        <v>0</v>
      </c>
      <c r="L10" s="258" t="str" cm="1">
        <f t="array" ref="L10">BudgetDolVariance(F10,H10)</f>
        <v/>
      </c>
      <c r="M10" s="46" t="str" cm="1">
        <f t="array" ref="M10">BudgetPctVariance(F10,H10)</f>
        <v/>
      </c>
      <c r="N10" s="47"/>
      <c r="O10" s="2"/>
    </row>
    <row r="11" spans="1:15" ht="14.4" hidden="1" customHeight="1" outlineLevel="1">
      <c r="A11" s="48" t="s">
        <v>124</v>
      </c>
      <c r="B11" s="236">
        <f>RollUpSum(11,2)</f>
        <v>0</v>
      </c>
      <c r="C11" s="237">
        <f>RollUpSum(11,3)</f>
        <v>0</v>
      </c>
      <c r="D11" s="238">
        <f>RollUpSum(11,4)</f>
        <v>0</v>
      </c>
      <c r="E11" s="239">
        <f>RollUpSum(11,5)</f>
        <v>0</v>
      </c>
      <c r="F11" s="277" t="str" cm="1">
        <f t="array" ref="F11">SeasonalBud(B11,G11)</f>
        <v/>
      </c>
      <c r="G11" s="49" t="str" cm="1">
        <f t="array" ref="G11">SeasonalBudPct(B11:E11,H11:K11)</f>
        <v/>
      </c>
      <c r="H11" s="259">
        <f>RollUpSum(11,8)</f>
        <v>0</v>
      </c>
      <c r="I11" s="260">
        <f>RollUpSum(11,9)</f>
        <v>0</v>
      </c>
      <c r="J11" s="261">
        <f>RollUpSum(11,10)</f>
        <v>0</v>
      </c>
      <c r="K11" s="262">
        <f>RollUpSum(11,11)</f>
        <v>0</v>
      </c>
      <c r="L11" s="263" t="str" cm="1">
        <f t="array" ref="L11">BudgetDolVariance(F11,H11)</f>
        <v/>
      </c>
      <c r="M11" s="50" t="str" cm="1">
        <f t="array" ref="M11">BudgetPctVariance(F11,H11)</f>
        <v/>
      </c>
      <c r="N11" s="51"/>
      <c r="O11" s="2"/>
    </row>
    <row r="12" spans="1:15" ht="16.2" collapsed="1" thickBot="1">
      <c r="A12" s="3" t="s">
        <v>125</v>
      </c>
      <c r="B12" s="4">
        <f>SUM(B8:B11)</f>
        <v>-144861</v>
      </c>
      <c r="C12" s="4">
        <f>SUM(C8:C11)</f>
        <v>-147042</v>
      </c>
      <c r="D12" s="4">
        <f>SUM(D8:D11)</f>
        <v>-145841</v>
      </c>
      <c r="E12" s="4">
        <f>SUM(E8:E11)</f>
        <v>-143892</v>
      </c>
      <c r="F12" s="4" cm="1">
        <f t="array" ref="F12">SeasonalBud(B12,G12)</f>
        <v>-72430</v>
      </c>
      <c r="G12" s="14" cm="1">
        <f t="array" ref="G12">SeasonalBudPct(B12:E12,H12:K12)</f>
        <v>0.49999885720293563</v>
      </c>
      <c r="H12" s="4">
        <f>SUM(H8:H11)</f>
        <v>-72430</v>
      </c>
      <c r="I12" s="15">
        <f>SUM(I8:I11)</f>
        <v>-73521</v>
      </c>
      <c r="J12" s="15">
        <f>SUM(J8:J11)</f>
        <v>-72920</v>
      </c>
      <c r="K12" s="16">
        <f>SUM(K8:K11)</f>
        <v>-71946</v>
      </c>
      <c r="L12" s="4" cm="1">
        <f t="array" ref="L12">BudgetDolVariance(F12,H12)</f>
        <v>0</v>
      </c>
      <c r="M12" s="5" cm="1">
        <f t="array" ref="M12">BudgetPctVariance(F12,H12)</f>
        <v>0</v>
      </c>
      <c r="N12" s="6"/>
    </row>
    <row r="13" spans="1:15" ht="16.2" thickTop="1">
      <c r="A13" s="52"/>
      <c r="B13" s="53"/>
      <c r="C13" s="54"/>
      <c r="D13" s="54"/>
      <c r="E13" s="54"/>
      <c r="F13" s="55"/>
      <c r="G13" s="56"/>
      <c r="H13" s="53"/>
      <c r="I13" s="57"/>
      <c r="J13" s="57"/>
      <c r="K13" s="57"/>
      <c r="M13" s="55"/>
      <c r="N13" s="58"/>
    </row>
    <row r="14" spans="1:15">
      <c r="A14" s="33" t="s">
        <v>126</v>
      </c>
      <c r="B14" s="59"/>
      <c r="C14" s="54"/>
      <c r="D14" s="54"/>
      <c r="E14" s="54"/>
      <c r="F14" s="55"/>
      <c r="G14" s="60"/>
      <c r="H14" s="59"/>
      <c r="I14" s="61"/>
      <c r="J14" s="61"/>
      <c r="K14" s="61"/>
      <c r="L14" s="55"/>
      <c r="M14" s="60"/>
      <c r="N14" s="62"/>
    </row>
    <row r="15" spans="1:15" ht="14.4" hidden="1" customHeight="1" outlineLevel="1">
      <c r="A15" s="40" t="s">
        <v>127</v>
      </c>
      <c r="B15" s="228">
        <f>RollUpSum(15,2)</f>
        <v>0</v>
      </c>
      <c r="C15" s="229">
        <f>RollUpSum(15,3)</f>
        <v>0</v>
      </c>
      <c r="D15" s="230">
        <f>RollUpSum(15,4)</f>
        <v>0</v>
      </c>
      <c r="E15" s="231">
        <f>RollUpSum(15,5)</f>
        <v>0</v>
      </c>
      <c r="F15" s="253" t="str" cm="1">
        <f t="array" ref="F15">SeasonalBud(B15,G15)</f>
        <v/>
      </c>
      <c r="G15" s="41" t="str" cm="1">
        <f t="array" ref="G15">SeasonalBudPct(B15:E15,H15:K15)</f>
        <v/>
      </c>
      <c r="H15" s="249">
        <f>RollUpSum(15,8)</f>
        <v>0</v>
      </c>
      <c r="I15" s="250">
        <f>RollUpSum(15,9)</f>
        <v>0</v>
      </c>
      <c r="J15" s="251">
        <f>RollUpSum(15,10)</f>
        <v>0</v>
      </c>
      <c r="K15" s="252">
        <f>RollUpSum(15,11)</f>
        <v>0</v>
      </c>
      <c r="L15" s="253" t="str" cm="1">
        <f t="array" ref="L15">BudgetDolVariance(F15,H15)</f>
        <v/>
      </c>
      <c r="M15" s="42" t="str" cm="1">
        <f t="array" ref="M15">BudgetPctVariance(F15,H15)</f>
        <v/>
      </c>
      <c r="N15" s="63"/>
      <c r="O15" s="2"/>
    </row>
    <row r="16" spans="1:15" ht="14.4" hidden="1" customHeight="1" outlineLevel="1">
      <c r="A16" s="44" t="s">
        <v>128</v>
      </c>
      <c r="B16" s="232">
        <f>RollUpSum(16,2)</f>
        <v>0</v>
      </c>
      <c r="C16" s="233">
        <f>RollUpSum(16,3)</f>
        <v>0</v>
      </c>
      <c r="D16" s="234">
        <f>RollUpSum(16,4)</f>
        <v>0</v>
      </c>
      <c r="E16" s="235">
        <f>RollUpSum(16,5)</f>
        <v>0</v>
      </c>
      <c r="F16" s="258" t="str" cm="1">
        <f t="array" ref="F16">SeasonalBud(B16,G16)</f>
        <v/>
      </c>
      <c r="G16" s="45" t="str" cm="1">
        <f t="array" ref="G16">SeasonalBudPct(B16:E16,H16:K16)</f>
        <v/>
      </c>
      <c r="H16" s="254">
        <f>RollUpSum(16,8)</f>
        <v>0</v>
      </c>
      <c r="I16" s="255">
        <f>RollUpSum(16,9)</f>
        <v>0</v>
      </c>
      <c r="J16" s="256">
        <f>RollUpSum(16,10)</f>
        <v>0</v>
      </c>
      <c r="K16" s="257">
        <f>RollUpSum(16,11)</f>
        <v>0</v>
      </c>
      <c r="L16" s="258" t="str" cm="1">
        <f t="array" ref="L16">BudgetDolVariance(F16,H16)</f>
        <v/>
      </c>
      <c r="M16" s="46" t="str" cm="1">
        <f t="array" ref="M16">BudgetPctVariance(F16,H16)</f>
        <v/>
      </c>
      <c r="N16" s="47"/>
      <c r="O16" s="2"/>
    </row>
    <row r="17" spans="1:15" ht="14.4" hidden="1" customHeight="1" outlineLevel="1">
      <c r="A17" s="64" t="s">
        <v>129</v>
      </c>
      <c r="B17" s="240">
        <f>RollUpSum(17,2)</f>
        <v>68188</v>
      </c>
      <c r="C17" s="241">
        <f>RollUpSum(17,3)</f>
        <v>80188</v>
      </c>
      <c r="D17" s="242">
        <f>RollUpSum(17,4)</f>
        <v>80188</v>
      </c>
      <c r="E17" s="243">
        <f>RollUpSum(17,5)</f>
        <v>78707</v>
      </c>
      <c r="F17" s="268" cm="1">
        <f t="array" ref="F17">SeasonalBud(B17,G17)</f>
        <v>21765</v>
      </c>
      <c r="G17" s="65" cm="1">
        <f t="array" ref="G17">SeasonalBudPct(B17:E17,H17:K17)</f>
        <v>0.31919548627694816</v>
      </c>
      <c r="H17" s="264">
        <f>RollUpSum(17,8)</f>
        <v>37693.660000000003</v>
      </c>
      <c r="I17" s="265">
        <f>RollUpSum(17,9)</f>
        <v>31694.12999999999</v>
      </c>
      <c r="J17" s="266">
        <f>RollUpSum(17,10)</f>
        <v>25288.22</v>
      </c>
      <c r="K17" s="267">
        <f>RollUpSum(17,11)</f>
        <v>19438.819999999996</v>
      </c>
      <c r="L17" s="268" cm="1">
        <f t="array" ref="L17">BudgetDolVariance(F17,H17)</f>
        <v>15928.660000000003</v>
      </c>
      <c r="M17" s="65" cm="1">
        <f t="array" ref="M17">BudgetPctVariance(F17,H17)</f>
        <v>0.73180000000000001</v>
      </c>
      <c r="N17" s="66"/>
      <c r="O17" s="2"/>
    </row>
    <row r="18" spans="1:15" ht="14.4" hidden="1" customHeight="1" outlineLevel="1">
      <c r="A18" s="44" t="s">
        <v>130</v>
      </c>
      <c r="B18" s="232">
        <f>RollUpSum(18,2)</f>
        <v>0</v>
      </c>
      <c r="C18" s="233">
        <f>RollUpSum(18,3)</f>
        <v>0</v>
      </c>
      <c r="D18" s="234">
        <f>RollUpSum(18,4)</f>
        <v>0</v>
      </c>
      <c r="E18" s="235">
        <f>RollUpSum(18,5)</f>
        <v>0</v>
      </c>
      <c r="F18" s="258" t="str" cm="1">
        <f t="array" ref="F18">SeasonalBud(B18,G18)</f>
        <v/>
      </c>
      <c r="G18" s="45" t="str" cm="1">
        <f t="array" ref="G18">SeasonalBudPct(B18:E18,H18:K18)</f>
        <v/>
      </c>
      <c r="H18" s="254">
        <f>RollUpSum(18,8)</f>
        <v>0</v>
      </c>
      <c r="I18" s="255">
        <f>RollUpSum(18,9)</f>
        <v>0</v>
      </c>
      <c r="J18" s="256">
        <f>RollUpSum(18,10)</f>
        <v>0</v>
      </c>
      <c r="K18" s="257">
        <f>RollUpSum(18,11)</f>
        <v>0</v>
      </c>
      <c r="L18" s="258" t="str" cm="1">
        <f t="array" ref="L18">BudgetDolVariance(F18,H18)</f>
        <v/>
      </c>
      <c r="M18" s="46" t="str" cm="1">
        <f t="array" ref="M18">BudgetPctVariance(F18,H18)</f>
        <v/>
      </c>
      <c r="N18" s="47"/>
      <c r="O18" s="2"/>
    </row>
    <row r="19" spans="1:15" ht="14.4" hidden="1" customHeight="1" outlineLevel="1">
      <c r="A19" s="44" t="s">
        <v>131</v>
      </c>
      <c r="B19" s="232">
        <f>RollUpSum(19,2)</f>
        <v>0</v>
      </c>
      <c r="C19" s="233">
        <f>RollUpSum(19,3)</f>
        <v>0</v>
      </c>
      <c r="D19" s="234">
        <f>RollUpSum(19,4)</f>
        <v>0</v>
      </c>
      <c r="E19" s="235">
        <f>RollUpSum(19,5)</f>
        <v>0</v>
      </c>
      <c r="F19" s="258" t="str" cm="1">
        <f t="array" ref="F19">SeasonalBud(B19,G19)</f>
        <v/>
      </c>
      <c r="G19" s="45" t="str" cm="1">
        <f t="array" ref="G19">SeasonalBudPct(B19:E19,H19:K19)</f>
        <v/>
      </c>
      <c r="H19" s="254">
        <f>RollUpSum(19,8)</f>
        <v>0</v>
      </c>
      <c r="I19" s="255">
        <f>RollUpSum(19,9)</f>
        <v>0</v>
      </c>
      <c r="J19" s="256">
        <f>RollUpSum(19,10)</f>
        <v>0</v>
      </c>
      <c r="K19" s="257">
        <f>RollUpSum(19,11)</f>
        <v>0</v>
      </c>
      <c r="L19" s="258" t="str" cm="1">
        <f t="array" ref="L19">BudgetDolVariance(F19,H19)</f>
        <v/>
      </c>
      <c r="M19" s="46" t="str" cm="1">
        <f t="array" ref="M19">BudgetPctVariance(F19,H19)</f>
        <v/>
      </c>
      <c r="N19" s="47"/>
      <c r="O19" s="2"/>
    </row>
    <row r="20" spans="1:15" ht="14.4" hidden="1" customHeight="1" outlineLevel="1">
      <c r="A20" s="48" t="s">
        <v>132</v>
      </c>
      <c r="B20" s="236">
        <f>RollUpSum(20,2)</f>
        <v>886</v>
      </c>
      <c r="C20" s="237">
        <f>RollUpSum(20,3)</f>
        <v>882</v>
      </c>
      <c r="D20" s="238">
        <f>RollUpSum(20,4)</f>
        <v>802</v>
      </c>
      <c r="E20" s="239">
        <f>RollUpSum(20,5)</f>
        <v>787</v>
      </c>
      <c r="F20" s="263" cm="1">
        <f t="array" ref="F20">SeasonalBud(B20,G20)</f>
        <v>264</v>
      </c>
      <c r="G20" s="49" cm="1">
        <f t="array" ref="G20">SeasonalBudPct(B20:E20,H20:K20)</f>
        <v>0.29817628957836845</v>
      </c>
      <c r="H20" s="259">
        <f>RollUpSum(20,8)</f>
        <v>490.02</v>
      </c>
      <c r="I20" s="260">
        <f>RollUpSum(20,9)</f>
        <v>348.64</v>
      </c>
      <c r="J20" s="261">
        <f>RollUpSum(20,10)</f>
        <v>202.31</v>
      </c>
      <c r="K20" s="262">
        <f>RollUpSum(20,11)</f>
        <v>194.37999999999997</v>
      </c>
      <c r="L20" s="263" cm="1">
        <f t="array" ref="L20">BudgetDolVariance(F20,H20)</f>
        <v>226.01999999999998</v>
      </c>
      <c r="M20" s="50" cm="1">
        <f t="array" ref="M20">BudgetPctVariance(F20,H20)</f>
        <v>0.85609999999999997</v>
      </c>
      <c r="N20" s="51"/>
      <c r="O20" s="2"/>
    </row>
    <row r="21" spans="1:15" collapsed="1">
      <c r="A21" s="67" t="s">
        <v>133</v>
      </c>
      <c r="B21" s="68">
        <f>SUM(B15:B20)</f>
        <v>69074</v>
      </c>
      <c r="C21" s="68">
        <f>SUM(C15:C20)</f>
        <v>81070</v>
      </c>
      <c r="D21" s="68">
        <f>SUM(D15:D20)</f>
        <v>80990</v>
      </c>
      <c r="E21" s="68">
        <f>SUM(E15:E20)</f>
        <v>79494</v>
      </c>
      <c r="F21" s="69" cm="1">
        <f t="array" ref="F21">SeasonalBud(B21,G21)</f>
        <v>22034</v>
      </c>
      <c r="G21" s="70" cm="1">
        <f t="array" ref="G21">SeasonalBudPct(B21:E21,H21:K21)</f>
        <v>0.3189873561861794</v>
      </c>
      <c r="H21" s="68">
        <f>SUM(H15:H20)</f>
        <v>38183.68</v>
      </c>
      <c r="I21" s="71">
        <f>SUM(I15:I20)</f>
        <v>32042.76999999999</v>
      </c>
      <c r="J21" s="71">
        <f>SUM(J15:J20)</f>
        <v>25490.530000000002</v>
      </c>
      <c r="K21" s="72">
        <f>SUM(K15:K20)</f>
        <v>19633.199999999997</v>
      </c>
      <c r="L21" s="68" cm="1">
        <f t="array" ref="L21">BudgetDolVariance(F21,H21)</f>
        <v>16149.68</v>
      </c>
      <c r="M21" s="73" cm="1">
        <f t="array" ref="M21">BudgetPctVariance(F21,H21)</f>
        <v>0.7329</v>
      </c>
      <c r="N21" s="74"/>
    </row>
    <row r="22" spans="1:15">
      <c r="A22" s="75" t="s">
        <v>134</v>
      </c>
      <c r="B22" s="76"/>
      <c r="C22" s="76"/>
      <c r="D22" s="76"/>
      <c r="E22" s="76"/>
      <c r="F22" s="76"/>
      <c r="G22" s="77"/>
      <c r="H22" s="76"/>
      <c r="I22" s="78"/>
      <c r="J22" s="78"/>
      <c r="K22" s="78"/>
      <c r="L22" s="76"/>
      <c r="M22" s="77"/>
      <c r="N22" s="79"/>
    </row>
    <row r="23" spans="1:15" ht="14.4" hidden="1" customHeight="1" outlineLevel="1">
      <c r="A23" s="80" t="s">
        <v>135</v>
      </c>
      <c r="B23" s="244">
        <f>RollUpSum(23,2)</f>
        <v>0</v>
      </c>
      <c r="C23" s="245">
        <f>RollUpSum(23,3)</f>
        <v>40181</v>
      </c>
      <c r="D23" s="246">
        <f>RollUpSum(23,4)</f>
        <v>44065</v>
      </c>
      <c r="E23" s="247">
        <f>RollUpSum(23,5)</f>
        <v>35377</v>
      </c>
      <c r="F23" s="273" t="str" cm="1">
        <f t="array" ref="F23">SeasonalBud(B23,G23)</f>
        <v/>
      </c>
      <c r="G23" s="81" t="str" cm="1">
        <f t="array" ref="G23">SeasonalBudPct(B23:E23,H23:K23)</f>
        <v/>
      </c>
      <c r="H23" s="269">
        <f>RollUpSum(23,8)</f>
        <v>0</v>
      </c>
      <c r="I23" s="270">
        <f>RollUpSum(23,9)</f>
        <v>0</v>
      </c>
      <c r="J23" s="271">
        <f>RollUpSum(23,10)</f>
        <v>0</v>
      </c>
      <c r="K23" s="272">
        <f>RollUpSum(23,11)</f>
        <v>0</v>
      </c>
      <c r="L23" s="273" t="str" cm="1">
        <f t="array" ref="L23">BudgetDolVariance(F23,H23)</f>
        <v/>
      </c>
      <c r="M23" s="82" t="str" cm="1">
        <f t="array" ref="M23">BudgetPctVariance(F23,H23)</f>
        <v/>
      </c>
      <c r="N23" s="83"/>
      <c r="O23" s="2"/>
    </row>
    <row r="24" spans="1:15" ht="14.4" hidden="1" customHeight="1" outlineLevel="1">
      <c r="A24" s="44" t="s">
        <v>136</v>
      </c>
      <c r="B24" s="232">
        <f>RollUpSum(24,2)</f>
        <v>0</v>
      </c>
      <c r="C24" s="233">
        <f>RollUpSum(24,3)</f>
        <v>7652</v>
      </c>
      <c r="D24" s="234">
        <f>RollUpSum(24,4)</f>
        <v>0</v>
      </c>
      <c r="E24" s="235">
        <f>RollUpSum(24,5)</f>
        <v>0</v>
      </c>
      <c r="F24" s="258" t="str" cm="1">
        <f t="array" ref="F24">SeasonalBud(B24,G24)</f>
        <v/>
      </c>
      <c r="G24" s="45" t="str" cm="1">
        <f t="array" ref="G24">SeasonalBudPct(B24:E24,H24:K24)</f>
        <v/>
      </c>
      <c r="H24" s="254">
        <f>RollUpSum(24,8)</f>
        <v>0</v>
      </c>
      <c r="I24" s="255">
        <f>RollUpSum(24,9)</f>
        <v>0</v>
      </c>
      <c r="J24" s="256">
        <f>RollUpSum(24,10)</f>
        <v>0</v>
      </c>
      <c r="K24" s="257">
        <f>RollUpSum(24,11)</f>
        <v>0</v>
      </c>
      <c r="L24" s="258" t="str" cm="1">
        <f t="array" ref="L24">BudgetDolVariance(F24,H24)</f>
        <v/>
      </c>
      <c r="M24" s="46" t="str" cm="1">
        <f t="array" ref="M24">BudgetPctVariance(F24,H24)</f>
        <v/>
      </c>
      <c r="N24" s="47"/>
      <c r="O24" s="2"/>
    </row>
    <row r="25" spans="1:15" ht="14.4" hidden="1" customHeight="1" outlineLevel="1">
      <c r="A25" s="44" t="s">
        <v>137</v>
      </c>
      <c r="B25" s="232">
        <f>RollUpSum(25,2)</f>
        <v>3385</v>
      </c>
      <c r="C25" s="233">
        <f>RollUpSum(25,3)</f>
        <v>0</v>
      </c>
      <c r="D25" s="234">
        <f>RollUpSum(25,4)</f>
        <v>0</v>
      </c>
      <c r="E25" s="235">
        <f>RollUpSum(25,5)</f>
        <v>0</v>
      </c>
      <c r="F25" s="258" cm="1">
        <f t="array" ref="F25">SeasonalBud(B25,G25)</f>
        <v>2389</v>
      </c>
      <c r="G25" s="45" cm="1">
        <f t="array" ref="G25">SeasonalBudPct(B25:E25,H25:K25)</f>
        <v>0.70565041851304766</v>
      </c>
      <c r="H25" s="254">
        <f>RollUpSum(25,8)</f>
        <v>3573.5399999999991</v>
      </c>
      <c r="I25" s="255">
        <f>RollUpSum(25,9)</f>
        <v>3006.97</v>
      </c>
      <c r="J25" s="256">
        <f>RollUpSum(25,10)</f>
        <v>492.47999999999996</v>
      </c>
      <c r="K25" s="257">
        <f>RollUpSum(25,11)</f>
        <v>3666.43</v>
      </c>
      <c r="L25" s="258" cm="1">
        <f t="array" ref="L25">BudgetDolVariance(F25,H25)</f>
        <v>1184.5399999999991</v>
      </c>
      <c r="M25" s="46" cm="1">
        <f t="array" ref="M25">BudgetPctVariance(F25,H25)</f>
        <v>0.49580000000000002</v>
      </c>
      <c r="N25" s="47"/>
      <c r="O25" s="2"/>
    </row>
    <row r="26" spans="1:15" ht="14.4" hidden="1" customHeight="1" outlineLevel="1">
      <c r="A26" s="44" t="s">
        <v>138</v>
      </c>
      <c r="B26" s="232">
        <f>RollUpSum(26,2)</f>
        <v>2000</v>
      </c>
      <c r="C26" s="233">
        <f>RollUpSum(26,3)</f>
        <v>0</v>
      </c>
      <c r="D26" s="234">
        <f>RollUpSum(26,4)</f>
        <v>0</v>
      </c>
      <c r="E26" s="235">
        <f>RollUpSum(26,5)</f>
        <v>0</v>
      </c>
      <c r="F26" s="258" cm="1">
        <f t="array" ref="F26">SeasonalBud(B26,G26)</f>
        <v>26</v>
      </c>
      <c r="G26" s="45" cm="1">
        <f t="array" ref="G26">SeasonalBudPct(B26:E26,H26:K26)</f>
        <v>1.2995E-2</v>
      </c>
      <c r="H26" s="254">
        <f>RollUpSum(26,8)</f>
        <v>0</v>
      </c>
      <c r="I26" s="255">
        <f>RollUpSum(26,9)</f>
        <v>0</v>
      </c>
      <c r="J26" s="256">
        <f>RollUpSum(26,10)</f>
        <v>30.97</v>
      </c>
      <c r="K26" s="257">
        <f>RollUpSum(26,11)</f>
        <v>47</v>
      </c>
      <c r="L26" s="258" cm="1">
        <f t="array" ref="L26">BudgetDolVariance(F26,H26)</f>
        <v>-26</v>
      </c>
      <c r="M26" s="46" cm="1">
        <f t="array" ref="M26">BudgetPctVariance(F26,H26)</f>
        <v>-1</v>
      </c>
      <c r="N26" s="47"/>
      <c r="O26" s="2"/>
    </row>
    <row r="27" spans="1:15" ht="14.4" hidden="1" customHeight="1" outlineLevel="1">
      <c r="A27" s="44" t="s">
        <v>139</v>
      </c>
      <c r="B27" s="232">
        <f>RollUpSum(27,2)</f>
        <v>7500</v>
      </c>
      <c r="C27" s="233">
        <f>RollUpSum(27,3)</f>
        <v>0</v>
      </c>
      <c r="D27" s="234">
        <f>RollUpSum(27,4)</f>
        <v>0</v>
      </c>
      <c r="E27" s="235">
        <f>RollUpSum(27,5)</f>
        <v>0</v>
      </c>
      <c r="F27" s="258" cm="1">
        <f t="array" ref="F27">SeasonalBud(B27,G27)</f>
        <v>2217</v>
      </c>
      <c r="G27" s="45" cm="1">
        <f t="array" ref="G27">SeasonalBudPct(B27:E27,H27:K27)</f>
        <v>0.29564444444444443</v>
      </c>
      <c r="H27" s="254">
        <f>RollUpSum(27,8)</f>
        <v>0</v>
      </c>
      <c r="I27" s="255">
        <f>RollUpSum(27,9)</f>
        <v>6652</v>
      </c>
      <c r="J27" s="256">
        <f>RollUpSum(27,10)</f>
        <v>0</v>
      </c>
      <c r="K27" s="257">
        <f>RollUpSum(27,11)</f>
        <v>0</v>
      </c>
      <c r="L27" s="258" cm="1">
        <f t="array" ref="L27">BudgetDolVariance(F27,H27)</f>
        <v>-2217</v>
      </c>
      <c r="M27" s="46" cm="1">
        <f t="array" ref="M27">BudgetPctVariance(F27,H27)</f>
        <v>-1</v>
      </c>
      <c r="N27" s="47"/>
      <c r="O27" s="2"/>
    </row>
    <row r="28" spans="1:15" ht="14.4" hidden="1" customHeight="1" outlineLevel="1">
      <c r="A28" s="44" t="s">
        <v>140</v>
      </c>
      <c r="B28" s="232">
        <f>RollUpSum(28,2)</f>
        <v>2106</v>
      </c>
      <c r="C28" s="233">
        <f>RollUpSum(28,3)</f>
        <v>0</v>
      </c>
      <c r="D28" s="234">
        <f>RollUpSum(28,4)</f>
        <v>0</v>
      </c>
      <c r="E28" s="235">
        <f>RollUpSum(28,5)</f>
        <v>0</v>
      </c>
      <c r="F28" s="258" cm="1">
        <f t="array" ref="F28">SeasonalBud(B28,G28)</f>
        <v>2685</v>
      </c>
      <c r="G28" s="45" cm="1">
        <f t="array" ref="G28">SeasonalBudPct(B28:E28,H28:K28)</f>
        <v>1.2751456157011711</v>
      </c>
      <c r="H28" s="254">
        <f>RollUpSum(28,8)</f>
        <v>298.79000000000002</v>
      </c>
      <c r="I28" s="255">
        <f>RollUpSum(28,9)</f>
        <v>1.8</v>
      </c>
      <c r="J28" s="256">
        <f>RollUpSum(28,10)</f>
        <v>5683.29</v>
      </c>
      <c r="K28" s="257">
        <f>RollUpSum(28,11)</f>
        <v>2371.2800000000002</v>
      </c>
      <c r="L28" s="258" cm="1">
        <f t="array" ref="L28">BudgetDolVariance(F28,H28)</f>
        <v>-2386.21</v>
      </c>
      <c r="M28" s="46" cm="1">
        <f t="array" ref="M28">BudgetPctVariance(F28,H28)</f>
        <v>-0.88870000000000005</v>
      </c>
      <c r="N28" s="47"/>
      <c r="O28" s="2"/>
    </row>
    <row r="29" spans="1:15" ht="14.4" hidden="1" customHeight="1" outlineLevel="1">
      <c r="A29" s="48" t="s">
        <v>141</v>
      </c>
      <c r="B29" s="236">
        <f>RollUpSum(29,2)</f>
        <v>17190</v>
      </c>
      <c r="C29" s="237">
        <f>RollUpSum(29,3)</f>
        <v>0</v>
      </c>
      <c r="D29" s="238">
        <f>RollUpSum(29,4)</f>
        <v>0</v>
      </c>
      <c r="E29" s="239">
        <f>RollUpSum(29,5)</f>
        <v>0</v>
      </c>
      <c r="F29" s="263" cm="1">
        <f t="array" ref="F29">SeasonalBud(B29,G29)</f>
        <v>7071</v>
      </c>
      <c r="G29" s="49" cm="1">
        <f t="array" ref="G29">SeasonalBudPct(B29:E29,H29:K29)</f>
        <v>0.41133895675780491</v>
      </c>
      <c r="H29" s="259">
        <f>RollUpSum(29,8)</f>
        <v>1110</v>
      </c>
      <c r="I29" s="260">
        <f>RollUpSum(29,9)</f>
        <v>9944.92</v>
      </c>
      <c r="J29" s="261">
        <f>RollUpSum(29,10)</f>
        <v>3582.8499999999995</v>
      </c>
      <c r="K29" s="262">
        <f>RollUpSum(29,11)</f>
        <v>7684.98</v>
      </c>
      <c r="L29" s="263" cm="1">
        <f t="array" ref="L29">BudgetDolVariance(F29,H29)</f>
        <v>-5961</v>
      </c>
      <c r="M29" s="50" cm="1">
        <f t="array" ref="M29">BudgetPctVariance(F29,H29)</f>
        <v>-0.84299999999999997</v>
      </c>
      <c r="N29" s="51"/>
      <c r="O29" s="2"/>
    </row>
    <row r="30" spans="1:15" collapsed="1">
      <c r="A30" s="67" t="s">
        <v>142</v>
      </c>
      <c r="B30" s="68">
        <f>SUM(B23:B29)</f>
        <v>32181</v>
      </c>
      <c r="C30" s="68">
        <f>SUM(C23:C29)</f>
        <v>47833</v>
      </c>
      <c r="D30" s="68">
        <f>SUM(D23:D29)</f>
        <v>44065</v>
      </c>
      <c r="E30" s="68">
        <f>SUM(E23:E29)</f>
        <v>35377</v>
      </c>
      <c r="F30" s="69" cm="1">
        <f t="array" ref="F30">SeasonalBud(B30,G30)</f>
        <v>10955</v>
      </c>
      <c r="G30" s="70" cm="1">
        <f t="array" ref="G30">SeasonalBudPct(B30:E30,H30:K30)</f>
        <v>0.3404225257645756</v>
      </c>
      <c r="H30" s="84">
        <f>SUM(H23:H29)</f>
        <v>4982.329999999999</v>
      </c>
      <c r="I30" s="71">
        <f>SUM(I23:I29)</f>
        <v>19605.689999999999</v>
      </c>
      <c r="J30" s="71">
        <f>SUM(J23:J29)</f>
        <v>9789.59</v>
      </c>
      <c r="K30" s="72">
        <f>SUM(K23:K29)</f>
        <v>13769.689999999999</v>
      </c>
      <c r="L30" s="68" cm="1">
        <f t="array" ref="L30">BudgetDolVariance(F30,H30)</f>
        <v>-5972.67</v>
      </c>
      <c r="M30" s="73" cm="1">
        <f t="array" ref="M30">BudgetPctVariance(F30,H30)</f>
        <v>-0.54520000000000002</v>
      </c>
      <c r="N30" s="85"/>
    </row>
    <row r="31" spans="1:15">
      <c r="A31" s="75" t="s">
        <v>143</v>
      </c>
      <c r="B31" s="55"/>
      <c r="C31" s="55"/>
      <c r="D31" s="55"/>
      <c r="E31" s="55"/>
      <c r="F31" s="86"/>
      <c r="G31" s="73"/>
      <c r="H31" s="86"/>
      <c r="I31" s="72"/>
      <c r="J31" s="72"/>
      <c r="K31" s="72"/>
      <c r="L31" s="55"/>
      <c r="M31" s="73"/>
      <c r="N31" s="87"/>
    </row>
    <row r="32" spans="1:15" ht="14.4" hidden="1" customHeight="1" outlineLevel="1">
      <c r="A32" s="40" t="s">
        <v>144</v>
      </c>
      <c r="B32" s="228">
        <f>RollUpSum(32,2)</f>
        <v>0</v>
      </c>
      <c r="C32" s="229">
        <f>RollUpSum(32,3)</f>
        <v>7652</v>
      </c>
      <c r="D32" s="230">
        <f>RollUpSum(32,4)</f>
        <v>1500</v>
      </c>
      <c r="E32" s="231">
        <f>RollUpSum(32,5)</f>
        <v>1500</v>
      </c>
      <c r="F32" s="253" t="str" cm="1">
        <f t="array" ref="F32">SeasonalBud(B32,G32)</f>
        <v/>
      </c>
      <c r="G32" s="41" t="str" cm="1">
        <f t="array" ref="G32">SeasonalBudPct(B32:E32,H32:K32)</f>
        <v/>
      </c>
      <c r="H32" s="249">
        <f>RollUpSum(32,8)</f>
        <v>0</v>
      </c>
      <c r="I32" s="250">
        <f>RollUpSum(32,9)</f>
        <v>0</v>
      </c>
      <c r="J32" s="251">
        <f>RollUpSum(32,10)</f>
        <v>0</v>
      </c>
      <c r="K32" s="252">
        <f>RollUpSum(32,11)</f>
        <v>0</v>
      </c>
      <c r="L32" s="253" t="str" cm="1">
        <f t="array" ref="L32">BudgetDolVariance(F32,H32)</f>
        <v/>
      </c>
      <c r="M32" s="42" t="str" cm="1">
        <f t="array" ref="M32">BudgetPctVariance(F32,H32)</f>
        <v/>
      </c>
      <c r="N32" s="63"/>
      <c r="O32" s="2"/>
    </row>
    <row r="33" spans="1:15" ht="14.4" hidden="1" customHeight="1" outlineLevel="1">
      <c r="A33" s="48" t="s">
        <v>145</v>
      </c>
      <c r="B33" s="236">
        <f>RollUpSum(33,2)</f>
        <v>0</v>
      </c>
      <c r="C33" s="237">
        <f>RollUpSum(33,3)</f>
        <v>0</v>
      </c>
      <c r="D33" s="238">
        <f>RollUpSum(33,4)</f>
        <v>0</v>
      </c>
      <c r="E33" s="239">
        <f>RollUpSum(33,5)</f>
        <v>0</v>
      </c>
      <c r="F33" s="263" t="str" cm="1">
        <f t="array" ref="F33">SeasonalBud(B33,G33)</f>
        <v/>
      </c>
      <c r="G33" s="49" t="str" cm="1">
        <f t="array" ref="G33">SeasonalBudPct(B33:E33,H33:K33)</f>
        <v/>
      </c>
      <c r="H33" s="259">
        <f>RollUpSum(33,8)</f>
        <v>0</v>
      </c>
      <c r="I33" s="260">
        <f>RollUpSum(33,9)</f>
        <v>0</v>
      </c>
      <c r="J33" s="261">
        <f>RollUpSum(33,10)</f>
        <v>0</v>
      </c>
      <c r="K33" s="262">
        <f>RollUpSum(33,11)</f>
        <v>0</v>
      </c>
      <c r="L33" s="263" t="str" cm="1">
        <f t="array" ref="L33">BudgetDolVariance(F33,H33)</f>
        <v/>
      </c>
      <c r="M33" s="50" t="str" cm="1">
        <f t="array" ref="M33">BudgetPctVariance(F33,H33)</f>
        <v/>
      </c>
      <c r="N33" s="51"/>
      <c r="O33" s="2"/>
    </row>
    <row r="34" spans="1:15" collapsed="1">
      <c r="A34" s="67" t="s">
        <v>146</v>
      </c>
      <c r="B34" s="68">
        <f>SUM(B32:B33)</f>
        <v>0</v>
      </c>
      <c r="C34" s="68">
        <f>SUM(C32:C33)</f>
        <v>7652</v>
      </c>
      <c r="D34" s="68">
        <f>SUM(D32:D33)</f>
        <v>1500</v>
      </c>
      <c r="E34" s="68">
        <f>SUM(E32:E33)</f>
        <v>1500</v>
      </c>
      <c r="F34" s="69" t="str" cm="1">
        <f t="array" ref="F34">SeasonalBud(B34,G34)</f>
        <v/>
      </c>
      <c r="G34" s="70" t="str" cm="1">
        <f t="array" ref="G34">SeasonalBudPct(B34:E34,H34:K34)</f>
        <v/>
      </c>
      <c r="H34" s="68">
        <f>SUM(H32:H33)</f>
        <v>0</v>
      </c>
      <c r="I34" s="71">
        <f>SUM(I32:I33)</f>
        <v>0</v>
      </c>
      <c r="J34" s="71">
        <f>SUM(J32:J33)</f>
        <v>0</v>
      </c>
      <c r="K34" s="72">
        <f>SUM(K32:K33)</f>
        <v>0</v>
      </c>
      <c r="L34" s="68" t="str" cm="1">
        <f t="array" ref="L34">BudgetDolVariance(F34,H34)</f>
        <v/>
      </c>
      <c r="M34" s="73" t="str" cm="1">
        <f t="array" ref="M34">BudgetPctVariance(F34,H34)</f>
        <v/>
      </c>
      <c r="N34" s="85"/>
    </row>
    <row r="35" spans="1:15">
      <c r="A35" s="75" t="s">
        <v>147</v>
      </c>
      <c r="B35" s="86"/>
      <c r="C35" s="54"/>
      <c r="D35" s="54"/>
      <c r="E35" s="54"/>
      <c r="F35" s="55"/>
      <c r="G35" s="88"/>
      <c r="H35" s="86"/>
      <c r="I35" s="89"/>
      <c r="J35" s="89"/>
      <c r="K35" s="89"/>
      <c r="L35" s="55"/>
      <c r="M35" s="88"/>
      <c r="N35" s="87"/>
    </row>
    <row r="36" spans="1:15" ht="14.4" hidden="1" customHeight="1" outlineLevel="1">
      <c r="A36" s="40" t="s">
        <v>148</v>
      </c>
      <c r="B36" s="228">
        <f>RollUpSum(36,2)</f>
        <v>0</v>
      </c>
      <c r="C36" s="229">
        <f>RollUpSum(36,3)</f>
        <v>0</v>
      </c>
      <c r="D36" s="230">
        <f>RollUpSum(36,4)</f>
        <v>0</v>
      </c>
      <c r="E36" s="231">
        <f>RollUpSum(36,5)</f>
        <v>0</v>
      </c>
      <c r="F36" s="253" t="str" cm="1">
        <f t="array" ref="F36">SeasonalBud(B36,G36)</f>
        <v/>
      </c>
      <c r="G36" s="41" t="str" cm="1">
        <f t="array" ref="G36">SeasonalBudPct(B36:E36,H36:K36)</f>
        <v/>
      </c>
      <c r="H36" s="249">
        <f>RollUpSum(36,8)</f>
        <v>0</v>
      </c>
      <c r="I36" s="250">
        <f>RollUpSum(36,9)</f>
        <v>0</v>
      </c>
      <c r="J36" s="251">
        <f>RollUpSum(36,10)</f>
        <v>0</v>
      </c>
      <c r="K36" s="252">
        <f>RollUpSum(36,11)</f>
        <v>0</v>
      </c>
      <c r="L36" s="253" t="str" cm="1">
        <f t="array" ref="L36">BudgetDolVariance(F36,H36)</f>
        <v/>
      </c>
      <c r="M36" s="42" t="str" cm="1">
        <f t="array" ref="M36">BudgetPctVariance(F36,H36)</f>
        <v/>
      </c>
      <c r="N36" s="63"/>
      <c r="O36" s="2"/>
    </row>
    <row r="37" spans="1:15" ht="14.4" hidden="1" customHeight="1" outlineLevel="1">
      <c r="A37" s="44" t="s">
        <v>149</v>
      </c>
      <c r="B37" s="232">
        <f>RollUpSum(37,2)</f>
        <v>7882</v>
      </c>
      <c r="C37" s="233">
        <f>RollUpSum(37,3)</f>
        <v>0</v>
      </c>
      <c r="D37" s="234">
        <f>RollUpSum(37,4)</f>
        <v>0</v>
      </c>
      <c r="E37" s="235">
        <f>RollUpSum(37,5)</f>
        <v>0</v>
      </c>
      <c r="F37" s="258" cm="1">
        <f t="array" ref="F37">SeasonalBud(B37,G37)</f>
        <v>1139</v>
      </c>
      <c r="G37" s="45" cm="1">
        <f t="array" ref="G37">SeasonalBudPct(B37:E37,H37:K37)</f>
        <v>0.1444671403197158</v>
      </c>
      <c r="H37" s="254">
        <f>RollUpSum(37,8)</f>
        <v>3440.7500000000005</v>
      </c>
      <c r="I37" s="255">
        <f>RollUpSum(37,9)</f>
        <v>3416.0699999999997</v>
      </c>
      <c r="J37" s="256">
        <f>RollUpSum(37,10)</f>
        <v>0</v>
      </c>
      <c r="K37" s="257">
        <f>RollUpSum(37,11)</f>
        <v>0</v>
      </c>
      <c r="L37" s="258" cm="1">
        <f t="array" ref="L37">BudgetDolVariance(F37,H37)</f>
        <v>2301.7500000000005</v>
      </c>
      <c r="M37" s="46" cm="1">
        <f t="array" ref="M37">BudgetPctVariance(F37,H37)</f>
        <v>2.0209000000000001</v>
      </c>
      <c r="N37" s="47"/>
      <c r="O37" s="2"/>
    </row>
    <row r="38" spans="1:15" ht="14.4" hidden="1" customHeight="1" outlineLevel="1">
      <c r="A38" s="44" t="s">
        <v>33</v>
      </c>
      <c r="B38" s="232">
        <f>RollUpSum(38,2)</f>
        <v>0</v>
      </c>
      <c r="C38" s="233">
        <f>RollUpSum(38,3)</f>
        <v>0</v>
      </c>
      <c r="D38" s="234">
        <f>RollUpSum(38,4)</f>
        <v>10000</v>
      </c>
      <c r="E38" s="235">
        <f>RollUpSum(38,5)</f>
        <v>18688</v>
      </c>
      <c r="F38" s="258" t="str" cm="1">
        <f t="array" ref="F38">SeasonalBud(B38,G38)</f>
        <v/>
      </c>
      <c r="G38" s="45" t="str" cm="1">
        <f t="array" ref="G38">SeasonalBudPct(B38:E38,H38:K38)</f>
        <v/>
      </c>
      <c r="H38" s="254">
        <f>RollUpSum(38,8)</f>
        <v>1691.83</v>
      </c>
      <c r="I38" s="255">
        <f>RollUpSum(38,9)</f>
        <v>1943.78</v>
      </c>
      <c r="J38" s="256">
        <f>RollUpSum(38,10)</f>
        <v>1192.46</v>
      </c>
      <c r="K38" s="257">
        <f>RollUpSum(38,11)</f>
        <v>1050.52</v>
      </c>
      <c r="L38" s="258" cm="1">
        <f t="array" ref="L38">BudgetDolVariance(F38,H38)</f>
        <v>1691.83</v>
      </c>
      <c r="M38" s="46" cm="1">
        <f t="array" ref="M38">BudgetPctVariance(F38,H38)</f>
        <v>9.99</v>
      </c>
      <c r="N38" s="47"/>
      <c r="O38" s="2"/>
    </row>
    <row r="39" spans="1:15" ht="14.4" hidden="1" customHeight="1" outlineLevel="1">
      <c r="A39" s="90" t="s">
        <v>150</v>
      </c>
      <c r="B39" s="248">
        <f>RollUpSum(39,2)</f>
        <v>0</v>
      </c>
      <c r="C39" s="241">
        <f>RollUpSum(39,3)</f>
        <v>0</v>
      </c>
      <c r="D39" s="242">
        <f>RollUpSum(39,4)</f>
        <v>0</v>
      </c>
      <c r="E39" s="243">
        <f>RollUpSum(39,5)</f>
        <v>0</v>
      </c>
      <c r="F39" s="268" t="str" cm="1">
        <f t="array" ref="F39">SeasonalBud(B39,G39)</f>
        <v/>
      </c>
      <c r="G39" s="65" t="str" cm="1">
        <f t="array" ref="G39">SeasonalBudPct(B39:E39,H39:K39)</f>
        <v/>
      </c>
      <c r="H39" s="274">
        <f>RollUpSum(39,8)</f>
        <v>0</v>
      </c>
      <c r="I39" s="265">
        <f>RollUpSum(39,9)</f>
        <v>0</v>
      </c>
      <c r="J39" s="266">
        <f>RollUpSum(39,10)</f>
        <v>0</v>
      </c>
      <c r="K39" s="275">
        <f>RollUpSum(39,11)</f>
        <v>0</v>
      </c>
      <c r="L39" s="268" t="str" cm="1">
        <f t="array" ref="L39">BudgetDolVariance(F39,H39)</f>
        <v/>
      </c>
      <c r="M39" s="91" t="str" cm="1">
        <f t="array" ref="M39">BudgetPctVariance(F39,H39)</f>
        <v/>
      </c>
      <c r="N39" s="66"/>
      <c r="O39" s="2"/>
    </row>
    <row r="40" spans="1:15" ht="14.4" hidden="1" customHeight="1" outlineLevel="1">
      <c r="A40" s="44" t="s">
        <v>151</v>
      </c>
      <c r="B40" s="232">
        <f>RollUpSum(40,2)</f>
        <v>7924</v>
      </c>
      <c r="C40" s="233">
        <f>RollUpSum(40,3)</f>
        <v>9640</v>
      </c>
      <c r="D40" s="234">
        <f>RollUpSum(40,4)</f>
        <v>8589</v>
      </c>
      <c r="E40" s="235">
        <f>RollUpSum(40,5)</f>
        <v>8158</v>
      </c>
      <c r="F40" s="258" cm="1">
        <f t="array" ref="F40">SeasonalBud(B40,G40)</f>
        <v>1239</v>
      </c>
      <c r="G40" s="45" cm="1">
        <f t="array" ref="G40">SeasonalBudPct(B40:E40,H40:K40)</f>
        <v>0.15641592441854976</v>
      </c>
      <c r="H40" s="254">
        <f>RollUpSum(40,8)</f>
        <v>1691.8199999999997</v>
      </c>
      <c r="I40" s="255">
        <f>RollUpSum(40,9)</f>
        <v>1943.7900000000002</v>
      </c>
      <c r="J40" s="256">
        <f>RollUpSum(40,10)</f>
        <v>1192.48</v>
      </c>
      <c r="K40" s="257">
        <f>RollUpSum(40,11)</f>
        <v>1050.52</v>
      </c>
      <c r="L40" s="258" cm="1">
        <f t="array" ref="L40">BudgetDolVariance(F40,H40)</f>
        <v>452.81999999999971</v>
      </c>
      <c r="M40" s="46" cm="1">
        <f t="array" ref="M40">BudgetPctVariance(F40,H40)</f>
        <v>0.36549999999999999</v>
      </c>
      <c r="N40" s="47"/>
      <c r="O40" s="2"/>
    </row>
    <row r="41" spans="1:15" ht="14.4" hidden="1" customHeight="1" outlineLevel="1">
      <c r="A41" s="48" t="s">
        <v>152</v>
      </c>
      <c r="B41" s="236">
        <f>RollUpSum(41,2)</f>
        <v>644</v>
      </c>
      <c r="C41" s="237">
        <f>RollUpSum(41,3)</f>
        <v>846</v>
      </c>
      <c r="D41" s="238">
        <f>RollUpSum(41,4)</f>
        <v>696</v>
      </c>
      <c r="E41" s="239">
        <f>RollUpSum(41,5)</f>
        <v>675</v>
      </c>
      <c r="F41" s="263" cm="1">
        <f t="array" ref="F41">SeasonalBud(B41,G41)</f>
        <v>208</v>
      </c>
      <c r="G41" s="49" cm="1">
        <f t="array" ref="G41">SeasonalBudPct(B41:E41,H41:K41)</f>
        <v>0.3234092361620608</v>
      </c>
      <c r="H41" s="259">
        <f>RollUpSum(41,8)</f>
        <v>274.97000000000003</v>
      </c>
      <c r="I41" s="260">
        <f>RollUpSum(41,9)</f>
        <v>341.40000000000003</v>
      </c>
      <c r="J41" s="261">
        <f>RollUpSum(41,10)</f>
        <v>218.73999999999998</v>
      </c>
      <c r="K41" s="262">
        <f>RollUpSum(41,11)</f>
        <v>170.37</v>
      </c>
      <c r="L41" s="263" cm="1">
        <f t="array" ref="L41">BudgetDolVariance(F41,H41)</f>
        <v>66.970000000000027</v>
      </c>
      <c r="M41" s="50" cm="1">
        <f t="array" ref="M41">BudgetPctVariance(F41,H41)</f>
        <v>0.32200000000000001</v>
      </c>
      <c r="N41" s="51"/>
    </row>
    <row r="42" spans="1:15" collapsed="1">
      <c r="A42" s="92" t="s">
        <v>153</v>
      </c>
      <c r="B42" s="84">
        <f>SUM(B36:B41)</f>
        <v>16450</v>
      </c>
      <c r="C42" s="86">
        <f>SUM(C36:C41)</f>
        <v>10486</v>
      </c>
      <c r="D42" s="84">
        <f>SUM(D36:D41)</f>
        <v>19285</v>
      </c>
      <c r="E42" s="86">
        <f>SUM(E36:E41)</f>
        <v>27521</v>
      </c>
      <c r="F42" s="69" cm="1">
        <f t="array" ref="F42">SeasonalBud(B42,G42)</f>
        <v>5191</v>
      </c>
      <c r="G42" s="70" cm="1">
        <f t="array" ref="G42">SeasonalBudPct(B42:E42,H42:K42)</f>
        <v>0.31553849134534134</v>
      </c>
      <c r="H42" s="84">
        <f>SUM(H36:H41)</f>
        <v>7099.37</v>
      </c>
      <c r="I42" s="71">
        <f>SUM(I36:I41)</f>
        <v>7645.0399999999991</v>
      </c>
      <c r="J42" s="71">
        <f>SUM(J36:J41)</f>
        <v>2603.6799999999998</v>
      </c>
      <c r="K42" s="72">
        <f>SUM(K36:K41)</f>
        <v>2271.41</v>
      </c>
      <c r="L42" s="68" cm="1">
        <f t="array" ref="L42">BudgetDolVariance(F42,H42)</f>
        <v>1908.37</v>
      </c>
      <c r="M42" s="70" cm="1">
        <f t="array" ref="M42">BudgetPctVariance(F42,H42)</f>
        <v>0.36759999999999998</v>
      </c>
      <c r="N42" s="85"/>
    </row>
    <row r="43" spans="1:15" ht="16.2" thickBot="1">
      <c r="A43" s="3" t="s">
        <v>154</v>
      </c>
      <c r="B43" s="4">
        <f>SUM(B21,B30,B34,B42)</f>
        <v>117705</v>
      </c>
      <c r="C43" s="4">
        <f>SUM(C21,C30,C34,C42)</f>
        <v>147041</v>
      </c>
      <c r="D43" s="4">
        <f>SUM(D21,D30,D34,D42)</f>
        <v>145840</v>
      </c>
      <c r="E43" s="4">
        <f>SUM(E21,E30,E34,E42)</f>
        <v>143892</v>
      </c>
      <c r="F43" s="4" cm="1">
        <f t="array" ref="F43">SeasonalBud(B43,G43)</f>
        <v>35740</v>
      </c>
      <c r="G43" s="14" cm="1">
        <f t="array" ref="G43">SeasonalBudPct(B43:E43,H43:K43)</f>
        <v>0.3036438548348972</v>
      </c>
      <c r="H43" s="4">
        <f>SUM(H21,H30,H34,H42)</f>
        <v>50265.380000000005</v>
      </c>
      <c r="I43" s="15">
        <f>SUM(I21,I30,I34,I42)</f>
        <v>59293.499999999993</v>
      </c>
      <c r="J43" s="15">
        <f>SUM(J21,J30,J34,J42)</f>
        <v>37883.800000000003</v>
      </c>
      <c r="K43" s="16">
        <f>SUM(K21,K30,K34,K42)</f>
        <v>35674.300000000003</v>
      </c>
      <c r="L43" s="4" cm="1">
        <f t="array" ref="L43">BudgetDolVariance(F43,H43)</f>
        <v>14525.38</v>
      </c>
      <c r="M43" s="5" cm="1">
        <f t="array" ref="M43">BudgetPctVariance(F43,H43)</f>
        <v>0.40639999999999998</v>
      </c>
      <c r="N43" s="6"/>
    </row>
    <row r="44" spans="1:15" ht="16.2" thickTop="1">
      <c r="A44" s="93" t="s">
        <v>155</v>
      </c>
      <c r="B44" s="94"/>
      <c r="C44" s="94"/>
      <c r="D44" s="94"/>
      <c r="E44" s="94"/>
      <c r="F44" s="94"/>
      <c r="G44" s="95"/>
      <c r="H44" s="94"/>
      <c r="I44" s="96"/>
      <c r="J44" s="96"/>
      <c r="K44" s="96"/>
      <c r="L44" s="94"/>
      <c r="M44" s="95"/>
      <c r="N44" s="97"/>
    </row>
    <row r="45" spans="1:15" ht="14.4" hidden="1" customHeight="1" outlineLevel="1">
      <c r="A45" s="40" t="s">
        <v>156</v>
      </c>
      <c r="B45" s="228">
        <f>RollUpSum(45,2)</f>
        <v>27156</v>
      </c>
      <c r="C45" s="229">
        <f>RollUpSum(45,3)</f>
        <v>0</v>
      </c>
      <c r="D45" s="230">
        <f>RollUpSum(45,4)</f>
        <v>0</v>
      </c>
      <c r="E45" s="231">
        <f>RollUpSum(45,5)</f>
        <v>0</v>
      </c>
      <c r="F45" s="253" cm="1">
        <f t="array" ref="F45">SeasonalBud(B45,G45)</f>
        <v>28585</v>
      </c>
      <c r="G45" s="41" cm="1">
        <f t="array" ref="G45">SeasonalBudPct(B45:E45,H45:K45)</f>
        <v>1.0526299651396869</v>
      </c>
      <c r="H45" s="249">
        <f>RollUpSum(45,8)</f>
        <v>56611</v>
      </c>
      <c r="I45" s="250">
        <f>RollUpSum(45,9)</f>
        <v>37265</v>
      </c>
      <c r="J45" s="251">
        <f>RollUpSum(45,10)</f>
        <v>36054.658000000003</v>
      </c>
      <c r="K45" s="252">
        <f>RollUpSum(45,11)</f>
        <v>12436</v>
      </c>
      <c r="L45" s="253" cm="1">
        <f t="array" ref="L45">BudgetDolVariance(F45,H45)</f>
        <v>28026</v>
      </c>
      <c r="M45" s="42" cm="1">
        <f t="array" ref="M45">BudgetPctVariance(F45,H45)</f>
        <v>0.98040000000000005</v>
      </c>
      <c r="N45" s="63"/>
      <c r="O45" s="2"/>
    </row>
    <row r="46" spans="1:15" ht="14.4" hidden="1" customHeight="1" outlineLevel="1">
      <c r="A46" s="48" t="s">
        <v>157</v>
      </c>
      <c r="B46" s="236">
        <f>RollUpSum(46,2)</f>
        <v>0</v>
      </c>
      <c r="C46" s="237">
        <f>RollUpSum(46,3)</f>
        <v>0</v>
      </c>
      <c r="D46" s="238">
        <f>RollUpSum(46,4)</f>
        <v>0</v>
      </c>
      <c r="E46" s="239">
        <f>RollUpSum(46,5)</f>
        <v>0</v>
      </c>
      <c r="F46" s="263" t="str" cm="1">
        <f t="array" ref="F46">SeasonalBud(B46,G46)</f>
        <v/>
      </c>
      <c r="G46" s="49" t="str" cm="1">
        <f t="array" ref="G46">SeasonalBudPct(B46:E46,H46:K46)</f>
        <v/>
      </c>
      <c r="H46" s="259">
        <f>RollUpSum(46,8)</f>
        <v>0</v>
      </c>
      <c r="I46" s="260">
        <f>RollUpSum(46,9)</f>
        <v>0</v>
      </c>
      <c r="J46" s="261">
        <f>RollUpSum(46,10)</f>
        <v>0</v>
      </c>
      <c r="K46" s="262">
        <f>RollUpSum(46,11)</f>
        <v>0</v>
      </c>
      <c r="L46" s="263" t="str" cm="1">
        <f t="array" ref="L46">BudgetDolVariance(F46,H46)</f>
        <v/>
      </c>
      <c r="M46" s="50" t="str" cm="1">
        <f t="array" ref="M46">BudgetPctVariance(F46,H46)</f>
        <v/>
      </c>
      <c r="N46" s="51"/>
      <c r="O46" s="2"/>
    </row>
    <row r="47" spans="1:15" collapsed="1">
      <c r="A47" s="98" t="s">
        <v>158</v>
      </c>
      <c r="B47" s="37">
        <f>SUM(B45:B46)</f>
        <v>27156</v>
      </c>
      <c r="C47" s="37">
        <f>SUM(C45:C46)</f>
        <v>0</v>
      </c>
      <c r="D47" s="37">
        <f>SUM(D45:D46)</f>
        <v>0</v>
      </c>
      <c r="E47" s="37">
        <f>SUM(E45:E46)</f>
        <v>0</v>
      </c>
      <c r="F47" s="99" cm="1">
        <f t="array" ref="F47">SeasonalBud(B47,G47)</f>
        <v>28585</v>
      </c>
      <c r="G47" s="100" cm="1">
        <f t="array" ref="G47">SeasonalBudPct(B47:E47,H47:K47)</f>
        <v>1.0526299651396869</v>
      </c>
      <c r="H47" s="37">
        <f>SUM(H45:H46)</f>
        <v>56611</v>
      </c>
      <c r="I47" s="101">
        <f>SUM(I45:I46)</f>
        <v>37265</v>
      </c>
      <c r="J47" s="101">
        <f>SUM(J45:J46)</f>
        <v>36054.658000000003</v>
      </c>
      <c r="K47" s="89">
        <f>SUM(K45:K46)</f>
        <v>12436</v>
      </c>
      <c r="L47" s="37" cm="1">
        <f t="array" ref="L47">BudgetDolVariance(F47,H47)</f>
        <v>28026</v>
      </c>
      <c r="M47" s="88" cm="1">
        <f t="array" ref="M47">BudgetPctVariance(F47,H47)</f>
        <v>0.98040000000000005</v>
      </c>
      <c r="N47" s="102"/>
      <c r="O47" s="2"/>
    </row>
    <row r="48" spans="1:15" ht="16.2" thickBot="1">
      <c r="A48" s="3" t="s">
        <v>159</v>
      </c>
      <c r="B48" s="4">
        <f>SUM(B12,B43,B47)</f>
        <v>0</v>
      </c>
      <c r="C48" s="4">
        <f>SUM(C12,C43,C47)</f>
        <v>-1</v>
      </c>
      <c r="D48" s="4">
        <f>SUM(D12,D43,D47)</f>
        <v>-1</v>
      </c>
      <c r="E48" s="4">
        <f>SUM(E12,E43,E47)</f>
        <v>0</v>
      </c>
      <c r="F48" s="4">
        <f>SUM(F12,F43,F47)</f>
        <v>-8105</v>
      </c>
      <c r="G48" s="14"/>
      <c r="H48" s="4">
        <f>SUM(H12,H43,H47)</f>
        <v>34446.380000000005</v>
      </c>
      <c r="I48" s="15">
        <f>SUM(I12,I43,I47)</f>
        <v>23037.499999999993</v>
      </c>
      <c r="J48" s="15">
        <f>SUM(J12,J43,J47)</f>
        <v>1018.458000000006</v>
      </c>
      <c r="K48" s="16">
        <f>SUM(K12,K43,K47)</f>
        <v>-23835.699999999997</v>
      </c>
      <c r="L48" s="4" cm="1">
        <f t="array" ref="L48">BudgetDolVariance(F48,H48)</f>
        <v>42551.38</v>
      </c>
      <c r="M48" s="5" cm="1">
        <f t="array" ref="M48">BudgetPctVariance(F48,H48)</f>
        <v>-5.25</v>
      </c>
      <c r="N48" s="6"/>
    </row>
    <row r="49" spans="1:14" ht="16.2" thickTop="1">
      <c r="A49" s="103"/>
      <c r="B49" s="53"/>
      <c r="C49" s="53"/>
      <c r="D49" s="53"/>
      <c r="E49" s="53"/>
      <c r="F49" s="53"/>
      <c r="G49" s="104"/>
      <c r="H49" s="53"/>
      <c r="I49" s="105"/>
      <c r="J49" s="105"/>
      <c r="K49" s="105"/>
      <c r="N49" s="107"/>
    </row>
    <row r="50" spans="1:14">
      <c r="A50" s="458"/>
      <c r="B50" s="458"/>
      <c r="C50" s="458"/>
      <c r="D50" s="458"/>
      <c r="E50" s="458"/>
    </row>
    <row r="51" spans="1:14">
      <c r="A51" s="109" t="s">
        <v>160</v>
      </c>
      <c r="B51" s="503"/>
      <c r="C51" s="503"/>
      <c r="D51" s="503"/>
      <c r="E51" s="503"/>
      <c r="F51" s="503"/>
      <c r="G51" s="503"/>
      <c r="H51" s="503"/>
      <c r="I51" s="503"/>
      <c r="J51" s="503"/>
      <c r="K51" s="503"/>
      <c r="L51" s="503"/>
      <c r="M51" s="503"/>
      <c r="N51" s="503"/>
    </row>
    <row r="52" spans="1:14">
      <c r="B52" s="503"/>
      <c r="C52" s="503"/>
      <c r="D52" s="503"/>
      <c r="E52" s="503"/>
      <c r="F52" s="503"/>
      <c r="G52" s="503"/>
      <c r="H52" s="503"/>
      <c r="I52" s="503"/>
      <c r="J52" s="503"/>
      <c r="K52" s="503"/>
      <c r="L52" s="503"/>
      <c r="M52" s="503"/>
      <c r="N52" s="503"/>
    </row>
    <row r="53" spans="1:14">
      <c r="B53" s="503"/>
      <c r="C53" s="503"/>
      <c r="D53" s="503"/>
      <c r="E53" s="503"/>
      <c r="F53" s="503"/>
      <c r="G53" s="503"/>
      <c r="H53" s="503"/>
      <c r="I53" s="503"/>
      <c r="J53" s="503"/>
      <c r="K53" s="503"/>
      <c r="L53" s="503"/>
      <c r="M53" s="503"/>
      <c r="N53" s="503"/>
    </row>
    <row r="54" spans="1:14">
      <c r="B54" s="503"/>
      <c r="C54" s="503"/>
      <c r="D54" s="503"/>
      <c r="E54" s="503"/>
      <c r="F54" s="503"/>
      <c r="G54" s="503"/>
      <c r="H54" s="503"/>
      <c r="I54" s="503"/>
      <c r="J54" s="503"/>
      <c r="K54" s="503"/>
      <c r="L54" s="503"/>
      <c r="M54" s="503"/>
      <c r="N54" s="503"/>
    </row>
    <row r="55" spans="1:14">
      <c r="B55" s="503"/>
      <c r="C55" s="503"/>
      <c r="D55" s="503"/>
      <c r="E55" s="503"/>
      <c r="F55" s="503"/>
      <c r="G55" s="503"/>
      <c r="H55" s="503"/>
      <c r="I55" s="503"/>
      <c r="J55" s="503"/>
      <c r="K55" s="503"/>
      <c r="L55" s="503"/>
      <c r="M55" s="503"/>
      <c r="N55" s="503"/>
    </row>
    <row r="56" spans="1:14">
      <c r="B56" s="503"/>
      <c r="C56" s="503"/>
      <c r="D56" s="503"/>
      <c r="E56" s="503"/>
      <c r="F56" s="503"/>
      <c r="G56" s="503"/>
      <c r="H56" s="503"/>
      <c r="I56" s="503"/>
      <c r="J56" s="503"/>
      <c r="K56" s="503"/>
      <c r="L56" s="503"/>
      <c r="M56" s="503"/>
      <c r="N56" s="503"/>
    </row>
    <row r="57" spans="1:14">
      <c r="B57" s="503"/>
      <c r="C57" s="503"/>
      <c r="D57" s="503"/>
      <c r="E57" s="503"/>
      <c r="F57" s="503"/>
      <c r="G57" s="503"/>
      <c r="H57" s="503"/>
      <c r="I57" s="503"/>
      <c r="J57" s="503"/>
      <c r="K57" s="503"/>
      <c r="L57" s="503"/>
      <c r="M57" s="503"/>
      <c r="N57" s="503"/>
    </row>
    <row r="58" spans="1:14">
      <c r="B58" s="503"/>
      <c r="C58" s="503"/>
      <c r="D58" s="503"/>
      <c r="E58" s="503"/>
      <c r="F58" s="503"/>
      <c r="G58" s="503"/>
      <c r="H58" s="503"/>
      <c r="I58" s="503"/>
      <c r="J58" s="503"/>
      <c r="K58" s="503"/>
      <c r="L58" s="503"/>
      <c r="M58" s="503"/>
      <c r="N58" s="503"/>
    </row>
    <row r="59" spans="1:14">
      <c r="B59" s="503"/>
      <c r="C59" s="503"/>
      <c r="D59" s="503"/>
      <c r="E59" s="503"/>
      <c r="F59" s="503"/>
      <c r="G59" s="503"/>
      <c r="H59" s="503"/>
      <c r="I59" s="503"/>
      <c r="J59" s="503"/>
      <c r="K59" s="503"/>
      <c r="L59" s="503"/>
      <c r="M59" s="503"/>
      <c r="N59" s="503"/>
    </row>
    <row r="60" spans="1:14">
      <c r="B60" s="111"/>
      <c r="C60" s="111"/>
      <c r="D60" s="111"/>
      <c r="E60" s="111"/>
    </row>
    <row r="61" spans="1:14">
      <c r="B61" s="111"/>
      <c r="C61" s="111"/>
      <c r="D61" s="111"/>
      <c r="E61" s="111"/>
    </row>
  </sheetData>
  <mergeCells count="12">
    <mergeCell ref="B54:N54"/>
    <mergeCell ref="B55:N55"/>
    <mergeCell ref="B56:N56"/>
    <mergeCell ref="B57:N57"/>
    <mergeCell ref="B58:N58"/>
    <mergeCell ref="B59:N59"/>
    <mergeCell ref="B1:N1"/>
    <mergeCell ref="B2:N2"/>
    <mergeCell ref="N3:N6"/>
    <mergeCell ref="B51:N51"/>
    <mergeCell ref="B52:N52"/>
    <mergeCell ref="B53:N53"/>
  </mergeCells>
  <pageMargins left="0.7" right="0.7" top="0.75" bottom="0.75" header="0.3" footer="0.3"/>
  <pageSetup scale="7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3C265-347C-4929-98D9-5DE269B41E2D}">
  <dimension ref="A1:N61"/>
  <sheetViews>
    <sheetView showGridLines="0" zoomScale="90" zoomScaleNormal="90" workbookViewId="0">
      <pane xSplit="1" ySplit="6" topLeftCell="B7" activePane="bottomRight" state="frozen"/>
      <selection pane="topRight" activeCell="B1" sqref="B1"/>
      <selection pane="bottomLeft" activeCell="A7" sqref="A7"/>
      <selection pane="bottomRight"/>
    </sheetView>
  </sheetViews>
  <sheetFormatPr defaultRowHeight="15.6" outlineLevelRow="1" outlineLevelCol="1"/>
  <cols>
    <col min="1" max="1" width="32.77734375" style="110" customWidth="1"/>
    <col min="2" max="2" width="16.6640625" style="109" customWidth="1"/>
    <col min="3" max="5" width="16.6640625" style="109" hidden="1" customWidth="1" outlineLevel="1"/>
    <col min="6" max="6" width="16.6640625" style="458" customWidth="1" collapsed="1"/>
    <col min="7" max="7" width="16.6640625" style="106" customWidth="1"/>
    <col min="8" max="8" width="16.6640625" style="458" customWidth="1"/>
    <col min="9" max="11" width="16.6640625" style="108" hidden="1" customWidth="1" outlineLevel="1"/>
    <col min="12" max="12" width="16.6640625" style="458" customWidth="1" collapsed="1"/>
    <col min="13" max="13" width="16.6640625" style="106" customWidth="1"/>
    <col min="14" max="14" width="2.6640625" style="106" customWidth="1"/>
    <col min="15" max="16384" width="8.88671875" style="458"/>
  </cols>
  <sheetData>
    <row r="1" spans="1:14" ht="18">
      <c r="A1" s="512">
        <v>44196</v>
      </c>
      <c r="B1" s="514" t="s">
        <v>1801</v>
      </c>
      <c r="C1" s="498"/>
      <c r="D1" s="498"/>
      <c r="E1" s="498"/>
      <c r="F1" s="498"/>
      <c r="G1" s="498"/>
      <c r="H1" s="498"/>
      <c r="I1" s="498"/>
      <c r="J1" s="498"/>
      <c r="K1" s="498"/>
      <c r="L1" s="498"/>
      <c r="M1" s="498"/>
      <c r="N1" s="498"/>
    </row>
    <row r="2" spans="1:14" ht="18">
      <c r="A2" s="453" t="s">
        <v>3</v>
      </c>
      <c r="B2" s="513" t="s">
        <v>808</v>
      </c>
      <c r="C2" s="499"/>
      <c r="D2" s="499"/>
      <c r="E2" s="499"/>
      <c r="F2" s="499"/>
      <c r="G2" s="499"/>
      <c r="H2" s="499"/>
      <c r="I2" s="499"/>
      <c r="J2" s="499"/>
      <c r="K2" s="499"/>
      <c r="L2" s="499"/>
      <c r="M2" s="499"/>
      <c r="N2" s="499"/>
    </row>
    <row r="3" spans="1:14">
      <c r="A3" s="458"/>
      <c r="B3" s="17" t="s">
        <v>102</v>
      </c>
      <c r="C3" s="17"/>
      <c r="D3" s="17"/>
      <c r="E3" s="17"/>
      <c r="F3" s="17" t="s">
        <v>103</v>
      </c>
      <c r="G3" s="18" t="s">
        <v>104</v>
      </c>
      <c r="H3" s="17" t="s">
        <v>105</v>
      </c>
      <c r="I3" s="19"/>
      <c r="J3" s="19"/>
      <c r="K3" s="20"/>
      <c r="L3" s="17" t="s">
        <v>106</v>
      </c>
      <c r="M3" s="21" t="s">
        <v>107</v>
      </c>
      <c r="N3" s="500" t="s">
        <v>108</v>
      </c>
    </row>
    <row r="4" spans="1:14">
      <c r="A4" s="22"/>
      <c r="B4" s="23" t="s">
        <v>1802</v>
      </c>
      <c r="C4" s="23" t="s">
        <v>1803</v>
      </c>
      <c r="D4" s="23" t="s">
        <v>1804</v>
      </c>
      <c r="E4" s="23" t="s">
        <v>1805</v>
      </c>
      <c r="F4" s="23" t="s">
        <v>109</v>
      </c>
      <c r="G4" s="24"/>
      <c r="H4" s="23" t="s">
        <v>1802</v>
      </c>
      <c r="I4" s="23" t="s">
        <v>1803</v>
      </c>
      <c r="J4" s="23" t="s">
        <v>1804</v>
      </c>
      <c r="K4" s="23" t="s">
        <v>1805</v>
      </c>
      <c r="L4" s="23" t="s">
        <v>110</v>
      </c>
      <c r="M4" s="25" t="s">
        <v>110</v>
      </c>
      <c r="N4" s="501"/>
    </row>
    <row r="5" spans="1:14">
      <c r="A5" s="26"/>
      <c r="B5" s="23" t="s">
        <v>111</v>
      </c>
      <c r="C5" s="23" t="s">
        <v>111</v>
      </c>
      <c r="D5" s="23" t="s">
        <v>111</v>
      </c>
      <c r="E5" s="23" t="s">
        <v>111</v>
      </c>
      <c r="F5" s="23" t="s">
        <v>112</v>
      </c>
      <c r="G5" s="24" t="s">
        <v>113</v>
      </c>
      <c r="H5" s="23" t="s">
        <v>114</v>
      </c>
      <c r="I5" s="23" t="s">
        <v>114</v>
      </c>
      <c r="J5" s="23" t="s">
        <v>114</v>
      </c>
      <c r="K5" s="23" t="s">
        <v>114</v>
      </c>
      <c r="L5" s="23" t="s">
        <v>115</v>
      </c>
      <c r="M5" s="25" t="s">
        <v>116</v>
      </c>
      <c r="N5" s="501"/>
    </row>
    <row r="6" spans="1:14">
      <c r="A6" s="27"/>
      <c r="B6" s="28"/>
      <c r="C6" s="28"/>
      <c r="D6" s="28"/>
      <c r="E6" s="28"/>
      <c r="F6" s="28" t="s">
        <v>1595</v>
      </c>
      <c r="G6" s="29" t="s">
        <v>117</v>
      </c>
      <c r="H6" s="28"/>
      <c r="I6" s="30"/>
      <c r="J6" s="30"/>
      <c r="K6" s="31"/>
      <c r="L6" s="28" t="s">
        <v>118</v>
      </c>
      <c r="M6" s="32" t="s">
        <v>119</v>
      </c>
      <c r="N6" s="502"/>
    </row>
    <row r="7" spans="1:14">
      <c r="A7" s="33" t="s">
        <v>120</v>
      </c>
      <c r="B7" s="34"/>
      <c r="C7" s="34"/>
      <c r="D7" s="34"/>
      <c r="E7" s="34"/>
      <c r="F7" s="35"/>
      <c r="G7" s="36"/>
      <c r="H7" s="37"/>
      <c r="I7" s="38"/>
      <c r="J7" s="38"/>
      <c r="K7" s="20"/>
      <c r="L7" s="37"/>
      <c r="M7" s="21"/>
      <c r="N7" s="39"/>
    </row>
    <row r="8" spans="1:14" hidden="1" outlineLevel="1">
      <c r="A8" s="40" t="s">
        <v>121</v>
      </c>
      <c r="B8" s="228">
        <v>-144861</v>
      </c>
      <c r="C8" s="229">
        <v>-147042</v>
      </c>
      <c r="D8" s="230">
        <v>-145841</v>
      </c>
      <c r="E8" s="231">
        <v>-143892</v>
      </c>
      <c r="F8" s="253" cm="1">
        <f t="array" ref="F8">SeasonalBud(B8,G8)</f>
        <v>-72430</v>
      </c>
      <c r="G8" s="41" cm="1">
        <f t="array" ref="G8">SeasonalBudPct(B8:E8,H8:K8)</f>
        <v>0.49999885720293563</v>
      </c>
      <c r="H8" s="249">
        <v>-72430</v>
      </c>
      <c r="I8" s="250">
        <v>-73521</v>
      </c>
      <c r="J8" s="251">
        <v>-72920</v>
      </c>
      <c r="K8" s="252">
        <v>-71946</v>
      </c>
      <c r="L8" s="253" cm="1">
        <f t="array" ref="L8">BudgetDolVariance(F8,H8)</f>
        <v>0</v>
      </c>
      <c r="M8" s="42" cm="1">
        <f t="array" ref="M8">BudgetPctVariance(F8,H8)</f>
        <v>0</v>
      </c>
      <c r="N8" s="43"/>
    </row>
    <row r="9" spans="1:14" hidden="1" outlineLevel="1">
      <c r="A9" s="44" t="s">
        <v>122</v>
      </c>
      <c r="B9" s="232">
        <v>0</v>
      </c>
      <c r="C9" s="233">
        <v>0</v>
      </c>
      <c r="D9" s="234">
        <v>0</v>
      </c>
      <c r="E9" s="235">
        <v>0</v>
      </c>
      <c r="F9" s="276" t="str" cm="1">
        <f t="array" ref="F9">SeasonalBud(B9,G9)</f>
        <v/>
      </c>
      <c r="G9" s="45" t="str" cm="1">
        <f t="array" ref="G9">SeasonalBudPct(B9:E9,H9:K9)</f>
        <v/>
      </c>
      <c r="H9" s="254">
        <v>0</v>
      </c>
      <c r="I9" s="255">
        <v>0</v>
      </c>
      <c r="J9" s="256">
        <v>0</v>
      </c>
      <c r="K9" s="257">
        <v>0</v>
      </c>
      <c r="L9" s="258" t="str" cm="1">
        <f t="array" ref="L9">BudgetDolVariance(F9,H9)</f>
        <v/>
      </c>
      <c r="M9" s="46" t="str" cm="1">
        <f t="array" ref="M9">BudgetPctVariance(F9,H9)</f>
        <v/>
      </c>
      <c r="N9" s="47"/>
    </row>
    <row r="10" spans="1:14" hidden="1" outlineLevel="1">
      <c r="A10" s="44" t="s">
        <v>123</v>
      </c>
      <c r="B10" s="232">
        <v>0</v>
      </c>
      <c r="C10" s="233">
        <v>0</v>
      </c>
      <c r="D10" s="234">
        <v>0</v>
      </c>
      <c r="E10" s="235">
        <v>0</v>
      </c>
      <c r="F10" s="276" t="str" cm="1">
        <f t="array" ref="F10">SeasonalBud(B10,G10)</f>
        <v/>
      </c>
      <c r="G10" s="45" t="str" cm="1">
        <f t="array" ref="G10">SeasonalBudPct(B10:E10,H10:K10)</f>
        <v/>
      </c>
      <c r="H10" s="254">
        <v>0</v>
      </c>
      <c r="I10" s="255">
        <v>0</v>
      </c>
      <c r="J10" s="256">
        <v>0</v>
      </c>
      <c r="K10" s="257">
        <v>0</v>
      </c>
      <c r="L10" s="258" t="str" cm="1">
        <f t="array" ref="L10">BudgetDolVariance(F10,H10)</f>
        <v/>
      </c>
      <c r="M10" s="46" t="str" cm="1">
        <f t="array" ref="M10">BudgetPctVariance(F10,H10)</f>
        <v/>
      </c>
      <c r="N10" s="47"/>
    </row>
    <row r="11" spans="1:14" hidden="1" outlineLevel="1">
      <c r="A11" s="48" t="s">
        <v>124</v>
      </c>
      <c r="B11" s="236">
        <v>0</v>
      </c>
      <c r="C11" s="237">
        <v>0</v>
      </c>
      <c r="D11" s="238">
        <v>0</v>
      </c>
      <c r="E11" s="239">
        <v>0</v>
      </c>
      <c r="F11" s="277" t="str" cm="1">
        <f t="array" ref="F11">SeasonalBud(B11,G11)</f>
        <v/>
      </c>
      <c r="G11" s="49" t="str" cm="1">
        <f t="array" ref="G11">SeasonalBudPct(B11:E11,H11:K11)</f>
        <v/>
      </c>
      <c r="H11" s="259">
        <v>0</v>
      </c>
      <c r="I11" s="260">
        <v>0</v>
      </c>
      <c r="J11" s="261">
        <v>0</v>
      </c>
      <c r="K11" s="262">
        <v>0</v>
      </c>
      <c r="L11" s="263" t="str" cm="1">
        <f t="array" ref="L11">BudgetDolVariance(F11,H11)</f>
        <v/>
      </c>
      <c r="M11" s="50" t="str" cm="1">
        <f t="array" ref="M11">BudgetPctVariance(F11,H11)</f>
        <v/>
      </c>
      <c r="N11" s="51"/>
    </row>
    <row r="12" spans="1:14" ht="16.2" collapsed="1" thickBot="1">
      <c r="A12" s="3" t="s">
        <v>125</v>
      </c>
      <c r="B12" s="4">
        <f>SUM(B8:B11)</f>
        <v>-144861</v>
      </c>
      <c r="C12" s="4">
        <f>SUM(C8:C11)</f>
        <v>-147042</v>
      </c>
      <c r="D12" s="4">
        <f>SUM(D8:D11)</f>
        <v>-145841</v>
      </c>
      <c r="E12" s="4">
        <f>SUM(E8:E11)</f>
        <v>-143892</v>
      </c>
      <c r="F12" s="4" cm="1">
        <f t="array" ref="F12">SeasonalBud(B12,G12)</f>
        <v>-72430</v>
      </c>
      <c r="G12" s="14" cm="1">
        <f t="array" ref="G12">SeasonalBudPct(B12:E12,H12:K12)</f>
        <v>0.49999885720293563</v>
      </c>
      <c r="H12" s="4">
        <f>SUM(H8:H11)</f>
        <v>-72430</v>
      </c>
      <c r="I12" s="15">
        <f>SUM(I8:I11)</f>
        <v>-73521</v>
      </c>
      <c r="J12" s="15">
        <f>SUM(J8:J11)</f>
        <v>-72920</v>
      </c>
      <c r="K12" s="16">
        <f>SUM(K8:K11)</f>
        <v>-71946</v>
      </c>
      <c r="L12" s="4" cm="1">
        <f t="array" ref="L12">BudgetDolVariance(F12,H12)</f>
        <v>0</v>
      </c>
      <c r="M12" s="5" cm="1">
        <f t="array" ref="M12">BudgetPctVariance(F12,H12)</f>
        <v>0</v>
      </c>
      <c r="N12" s="6"/>
    </row>
    <row r="13" spans="1:14" ht="16.2" thickTop="1">
      <c r="A13" s="52"/>
      <c r="B13" s="53"/>
      <c r="C13" s="54"/>
      <c r="D13" s="54"/>
      <c r="E13" s="54"/>
      <c r="F13" s="55"/>
      <c r="G13" s="56"/>
      <c r="H13" s="53"/>
      <c r="I13" s="57"/>
      <c r="J13" s="57"/>
      <c r="K13" s="57"/>
      <c r="M13" s="55"/>
      <c r="N13" s="58"/>
    </row>
    <row r="14" spans="1:14">
      <c r="A14" s="33" t="s">
        <v>126</v>
      </c>
      <c r="B14" s="59"/>
      <c r="C14" s="54"/>
      <c r="D14" s="54"/>
      <c r="E14" s="54"/>
      <c r="F14" s="55"/>
      <c r="G14" s="60"/>
      <c r="H14" s="59"/>
      <c r="I14" s="61"/>
      <c r="J14" s="61"/>
      <c r="K14" s="61"/>
      <c r="L14" s="55"/>
      <c r="M14" s="60"/>
      <c r="N14" s="62"/>
    </row>
    <row r="15" spans="1:14" hidden="1" outlineLevel="1">
      <c r="A15" s="40" t="s">
        <v>127</v>
      </c>
      <c r="B15" s="228">
        <v>0</v>
      </c>
      <c r="C15" s="229">
        <v>0</v>
      </c>
      <c r="D15" s="230">
        <v>0</v>
      </c>
      <c r="E15" s="231">
        <v>0</v>
      </c>
      <c r="F15" s="253" t="str" cm="1">
        <f t="array" ref="F15">SeasonalBud(B15,G15)</f>
        <v/>
      </c>
      <c r="G15" s="41" t="str" cm="1">
        <f t="array" ref="G15">SeasonalBudPct(B15:E15,H15:K15)</f>
        <v/>
      </c>
      <c r="H15" s="249">
        <v>0</v>
      </c>
      <c r="I15" s="250">
        <v>0</v>
      </c>
      <c r="J15" s="251">
        <v>0</v>
      </c>
      <c r="K15" s="252">
        <v>0</v>
      </c>
      <c r="L15" s="253" t="str" cm="1">
        <f t="array" ref="L15">BudgetDolVariance(F15,H15)</f>
        <v/>
      </c>
      <c r="M15" s="42" t="str" cm="1">
        <f t="array" ref="M15">BudgetPctVariance(F15,H15)</f>
        <v/>
      </c>
      <c r="N15" s="63"/>
    </row>
    <row r="16" spans="1:14" hidden="1" outlineLevel="1">
      <c r="A16" s="44" t="s">
        <v>128</v>
      </c>
      <c r="B16" s="232">
        <v>0</v>
      </c>
      <c r="C16" s="233">
        <v>0</v>
      </c>
      <c r="D16" s="234">
        <v>0</v>
      </c>
      <c r="E16" s="235">
        <v>0</v>
      </c>
      <c r="F16" s="258" t="str" cm="1">
        <f t="array" ref="F16">SeasonalBud(B16,G16)</f>
        <v/>
      </c>
      <c r="G16" s="45" t="str" cm="1">
        <f t="array" ref="G16">SeasonalBudPct(B16:E16,H16:K16)</f>
        <v/>
      </c>
      <c r="H16" s="254">
        <v>0</v>
      </c>
      <c r="I16" s="255">
        <v>0</v>
      </c>
      <c r="J16" s="256">
        <v>0</v>
      </c>
      <c r="K16" s="257">
        <v>0</v>
      </c>
      <c r="L16" s="258" t="str" cm="1">
        <f t="array" ref="L16">BudgetDolVariance(F16,H16)</f>
        <v/>
      </c>
      <c r="M16" s="46" t="str" cm="1">
        <f t="array" ref="M16">BudgetPctVariance(F16,H16)</f>
        <v/>
      </c>
      <c r="N16" s="47"/>
    </row>
    <row r="17" spans="1:14" hidden="1" outlineLevel="1">
      <c r="A17" s="64" t="s">
        <v>129</v>
      </c>
      <c r="B17" s="240">
        <v>68188</v>
      </c>
      <c r="C17" s="241">
        <v>80188</v>
      </c>
      <c r="D17" s="242">
        <v>80188</v>
      </c>
      <c r="E17" s="243">
        <v>78707</v>
      </c>
      <c r="F17" s="268" cm="1">
        <f t="array" ref="F17">SeasonalBud(B17,G17)</f>
        <v>21765</v>
      </c>
      <c r="G17" s="65" cm="1">
        <f t="array" ref="G17">SeasonalBudPct(B17:E17,H17:K17)</f>
        <v>0.31919548627694816</v>
      </c>
      <c r="H17" s="264">
        <v>37693.660000000003</v>
      </c>
      <c r="I17" s="265">
        <v>31694.12999999999</v>
      </c>
      <c r="J17" s="266">
        <v>25288.22</v>
      </c>
      <c r="K17" s="267">
        <v>19438.819999999996</v>
      </c>
      <c r="L17" s="268" cm="1">
        <f t="array" ref="L17">BudgetDolVariance(F17,H17)</f>
        <v>15928.660000000003</v>
      </c>
      <c r="M17" s="65" cm="1">
        <f t="array" ref="M17">BudgetPctVariance(F17,H17)</f>
        <v>0.73180000000000001</v>
      </c>
      <c r="N17" s="66">
        <v>1</v>
      </c>
    </row>
    <row r="18" spans="1:14" hidden="1" outlineLevel="1">
      <c r="A18" s="44" t="s">
        <v>130</v>
      </c>
      <c r="B18" s="232">
        <v>0</v>
      </c>
      <c r="C18" s="233">
        <v>0</v>
      </c>
      <c r="D18" s="234">
        <v>0</v>
      </c>
      <c r="E18" s="235">
        <v>0</v>
      </c>
      <c r="F18" s="258" t="str" cm="1">
        <f t="array" ref="F18">SeasonalBud(B18,G18)</f>
        <v/>
      </c>
      <c r="G18" s="45" t="str" cm="1">
        <f t="array" ref="G18">SeasonalBudPct(B18:E18,H18:K18)</f>
        <v/>
      </c>
      <c r="H18" s="254">
        <v>0</v>
      </c>
      <c r="I18" s="255">
        <v>0</v>
      </c>
      <c r="J18" s="256">
        <v>0</v>
      </c>
      <c r="K18" s="257">
        <v>0</v>
      </c>
      <c r="L18" s="258" t="str" cm="1">
        <f t="array" ref="L18">BudgetDolVariance(F18,H18)</f>
        <v/>
      </c>
      <c r="M18" s="46" t="str" cm="1">
        <f t="array" ref="M18">BudgetPctVariance(F18,H18)</f>
        <v/>
      </c>
      <c r="N18" s="47"/>
    </row>
    <row r="19" spans="1:14" hidden="1" outlineLevel="1">
      <c r="A19" s="44" t="s">
        <v>131</v>
      </c>
      <c r="B19" s="232">
        <v>0</v>
      </c>
      <c r="C19" s="233">
        <v>0</v>
      </c>
      <c r="D19" s="234">
        <v>0</v>
      </c>
      <c r="E19" s="235">
        <v>0</v>
      </c>
      <c r="F19" s="258" t="str" cm="1">
        <f t="array" ref="F19">SeasonalBud(B19,G19)</f>
        <v/>
      </c>
      <c r="G19" s="45" t="str" cm="1">
        <f t="array" ref="G19">SeasonalBudPct(B19:E19,H19:K19)</f>
        <v/>
      </c>
      <c r="H19" s="254">
        <v>0</v>
      </c>
      <c r="I19" s="255">
        <v>0</v>
      </c>
      <c r="J19" s="256">
        <v>0</v>
      </c>
      <c r="K19" s="257">
        <v>0</v>
      </c>
      <c r="L19" s="258" t="str" cm="1">
        <f t="array" ref="L19">BudgetDolVariance(F19,H19)</f>
        <v/>
      </c>
      <c r="M19" s="46" t="str" cm="1">
        <f t="array" ref="M19">BudgetPctVariance(F19,H19)</f>
        <v/>
      </c>
      <c r="N19" s="47"/>
    </row>
    <row r="20" spans="1:14" hidden="1" outlineLevel="1">
      <c r="A20" s="48" t="s">
        <v>132</v>
      </c>
      <c r="B20" s="236">
        <v>886</v>
      </c>
      <c r="C20" s="237">
        <v>882</v>
      </c>
      <c r="D20" s="238">
        <v>802</v>
      </c>
      <c r="E20" s="239">
        <v>787</v>
      </c>
      <c r="F20" s="263" cm="1">
        <f t="array" ref="F20">SeasonalBud(B20,G20)</f>
        <v>264</v>
      </c>
      <c r="G20" s="49" cm="1">
        <f t="array" ref="G20">SeasonalBudPct(B20:E20,H20:K20)</f>
        <v>0.29817628957836845</v>
      </c>
      <c r="H20" s="259">
        <v>490.02</v>
      </c>
      <c r="I20" s="260">
        <v>348.64</v>
      </c>
      <c r="J20" s="261">
        <v>202.31</v>
      </c>
      <c r="K20" s="262">
        <v>194.37999999999997</v>
      </c>
      <c r="L20" s="263" cm="1">
        <f t="array" ref="L20">BudgetDolVariance(F20,H20)</f>
        <v>226.01999999999998</v>
      </c>
      <c r="M20" s="50" cm="1">
        <f t="array" ref="M20">BudgetPctVariance(F20,H20)</f>
        <v>0.85609999999999997</v>
      </c>
      <c r="N20" s="51">
        <v>1</v>
      </c>
    </row>
    <row r="21" spans="1:14" collapsed="1">
      <c r="A21" s="67" t="s">
        <v>133</v>
      </c>
      <c r="B21" s="68">
        <f>SUM(B15:B20)</f>
        <v>69074</v>
      </c>
      <c r="C21" s="68">
        <f>SUM(C15:C20)</f>
        <v>81070</v>
      </c>
      <c r="D21" s="68">
        <f>SUM(D15:D20)</f>
        <v>80990</v>
      </c>
      <c r="E21" s="68">
        <f>SUM(E15:E20)</f>
        <v>79494</v>
      </c>
      <c r="F21" s="69" cm="1">
        <f t="array" ref="F21">SeasonalBud(B21,G21)</f>
        <v>22034</v>
      </c>
      <c r="G21" s="70" cm="1">
        <f t="array" ref="G21">SeasonalBudPct(B21:E21,H21:K21)</f>
        <v>0.3189873561861794</v>
      </c>
      <c r="H21" s="68">
        <f>SUM(H15:H20)</f>
        <v>38183.68</v>
      </c>
      <c r="I21" s="71">
        <f>SUM(I15:I20)</f>
        <v>32042.76999999999</v>
      </c>
      <c r="J21" s="71">
        <f>SUM(J15:J20)</f>
        <v>25490.530000000002</v>
      </c>
      <c r="K21" s="72">
        <f>SUM(K15:K20)</f>
        <v>19633.199999999997</v>
      </c>
      <c r="L21" s="68" cm="1">
        <f t="array" ref="L21">BudgetDolVariance(F21,H21)</f>
        <v>16149.68</v>
      </c>
      <c r="M21" s="73" cm="1">
        <f t="array" ref="M21">BudgetPctVariance(F21,H21)</f>
        <v>0.7329</v>
      </c>
      <c r="N21" s="74">
        <v>1</v>
      </c>
    </row>
    <row r="22" spans="1:14">
      <c r="A22" s="75" t="s">
        <v>134</v>
      </c>
      <c r="B22" s="76"/>
      <c r="C22" s="76"/>
      <c r="D22" s="76"/>
      <c r="E22" s="76"/>
      <c r="F22" s="76"/>
      <c r="G22" s="77"/>
      <c r="H22" s="76"/>
      <c r="I22" s="78"/>
      <c r="J22" s="78"/>
      <c r="K22" s="78"/>
      <c r="L22" s="76"/>
      <c r="M22" s="77"/>
      <c r="N22" s="79"/>
    </row>
    <row r="23" spans="1:14" hidden="1" outlineLevel="1">
      <c r="A23" s="80" t="s">
        <v>135</v>
      </c>
      <c r="B23" s="244">
        <v>0</v>
      </c>
      <c r="C23" s="245">
        <v>40181</v>
      </c>
      <c r="D23" s="246">
        <v>44065</v>
      </c>
      <c r="E23" s="247">
        <v>35377</v>
      </c>
      <c r="F23" s="273" t="str" cm="1">
        <f t="array" ref="F23">SeasonalBud(B23,G23)</f>
        <v/>
      </c>
      <c r="G23" s="81" t="str" cm="1">
        <f t="array" ref="G23">SeasonalBudPct(B23:E23,H23:K23)</f>
        <v/>
      </c>
      <c r="H23" s="269">
        <v>0</v>
      </c>
      <c r="I23" s="270">
        <v>0</v>
      </c>
      <c r="J23" s="271">
        <v>0</v>
      </c>
      <c r="K23" s="272">
        <v>0</v>
      </c>
      <c r="L23" s="273" t="str" cm="1">
        <f t="array" ref="L23">BudgetDolVariance(F23,H23)</f>
        <v/>
      </c>
      <c r="M23" s="82" t="str" cm="1">
        <f t="array" ref="M23">BudgetPctVariance(F23,H23)</f>
        <v/>
      </c>
      <c r="N23" s="83"/>
    </row>
    <row r="24" spans="1:14" hidden="1" outlineLevel="1">
      <c r="A24" s="44" t="s">
        <v>136</v>
      </c>
      <c r="B24" s="232">
        <v>0</v>
      </c>
      <c r="C24" s="233">
        <v>7652</v>
      </c>
      <c r="D24" s="234">
        <v>0</v>
      </c>
      <c r="E24" s="235">
        <v>0</v>
      </c>
      <c r="F24" s="258" t="str" cm="1">
        <f t="array" ref="F24">SeasonalBud(B24,G24)</f>
        <v/>
      </c>
      <c r="G24" s="45" t="str" cm="1">
        <f t="array" ref="G24">SeasonalBudPct(B24:E24,H24:K24)</f>
        <v/>
      </c>
      <c r="H24" s="254">
        <v>0</v>
      </c>
      <c r="I24" s="255">
        <v>0</v>
      </c>
      <c r="J24" s="256">
        <v>0</v>
      </c>
      <c r="K24" s="257">
        <v>0</v>
      </c>
      <c r="L24" s="258" t="str" cm="1">
        <f t="array" ref="L24">BudgetDolVariance(F24,H24)</f>
        <v/>
      </c>
      <c r="M24" s="46" t="str" cm="1">
        <f t="array" ref="M24">BudgetPctVariance(F24,H24)</f>
        <v/>
      </c>
      <c r="N24" s="47"/>
    </row>
    <row r="25" spans="1:14" hidden="1" outlineLevel="1">
      <c r="A25" s="44" t="s">
        <v>137</v>
      </c>
      <c r="B25" s="232">
        <v>3385</v>
      </c>
      <c r="C25" s="233">
        <v>0</v>
      </c>
      <c r="D25" s="234">
        <v>0</v>
      </c>
      <c r="E25" s="235">
        <v>0</v>
      </c>
      <c r="F25" s="258" cm="1">
        <f t="array" ref="F25">SeasonalBud(B25,G25)</f>
        <v>2389</v>
      </c>
      <c r="G25" s="45" cm="1">
        <f t="array" ref="G25">SeasonalBudPct(B25:E25,H25:K25)</f>
        <v>0.70565041851304766</v>
      </c>
      <c r="H25" s="254">
        <v>3573.5399999999991</v>
      </c>
      <c r="I25" s="255">
        <v>3006.97</v>
      </c>
      <c r="J25" s="256">
        <v>492.47999999999996</v>
      </c>
      <c r="K25" s="257">
        <v>3666.43</v>
      </c>
      <c r="L25" s="258" cm="1">
        <f t="array" ref="L25">BudgetDolVariance(F25,H25)</f>
        <v>1184.5399999999991</v>
      </c>
      <c r="M25" s="46" cm="1">
        <f t="array" ref="M25">BudgetPctVariance(F25,H25)</f>
        <v>0.49580000000000002</v>
      </c>
      <c r="N25" s="47"/>
    </row>
    <row r="26" spans="1:14" hidden="1" outlineLevel="1">
      <c r="A26" s="44" t="s">
        <v>138</v>
      </c>
      <c r="B26" s="232">
        <v>2000</v>
      </c>
      <c r="C26" s="233">
        <v>0</v>
      </c>
      <c r="D26" s="234">
        <v>0</v>
      </c>
      <c r="E26" s="235">
        <v>0</v>
      </c>
      <c r="F26" s="258" cm="1">
        <f t="array" ref="F26">SeasonalBud(B26,G26)</f>
        <v>26</v>
      </c>
      <c r="G26" s="45" cm="1">
        <f t="array" ref="G26">SeasonalBudPct(B26:E26,H26:K26)</f>
        <v>1.2995E-2</v>
      </c>
      <c r="H26" s="254">
        <v>0</v>
      </c>
      <c r="I26" s="255">
        <v>0</v>
      </c>
      <c r="J26" s="256">
        <v>30.97</v>
      </c>
      <c r="K26" s="257">
        <v>47</v>
      </c>
      <c r="L26" s="258" cm="1">
        <f t="array" ref="L26">BudgetDolVariance(F26,H26)</f>
        <v>-26</v>
      </c>
      <c r="M26" s="46" cm="1">
        <f t="array" ref="M26">BudgetPctVariance(F26,H26)</f>
        <v>-1</v>
      </c>
      <c r="N26" s="47"/>
    </row>
    <row r="27" spans="1:14" hidden="1" outlineLevel="1">
      <c r="A27" s="44" t="s">
        <v>139</v>
      </c>
      <c r="B27" s="232">
        <v>7500</v>
      </c>
      <c r="C27" s="233">
        <v>0</v>
      </c>
      <c r="D27" s="234">
        <v>0</v>
      </c>
      <c r="E27" s="235">
        <v>0</v>
      </c>
      <c r="F27" s="258" cm="1">
        <f t="array" ref="F27">SeasonalBud(B27,G27)</f>
        <v>2217</v>
      </c>
      <c r="G27" s="45" cm="1">
        <f t="array" ref="G27">SeasonalBudPct(B27:E27,H27:K27)</f>
        <v>0.29564444444444443</v>
      </c>
      <c r="H27" s="254">
        <v>0</v>
      </c>
      <c r="I27" s="255">
        <v>6652</v>
      </c>
      <c r="J27" s="256">
        <v>0</v>
      </c>
      <c r="K27" s="257">
        <v>0</v>
      </c>
      <c r="L27" s="258" cm="1">
        <f t="array" ref="L27">BudgetDolVariance(F27,H27)</f>
        <v>-2217</v>
      </c>
      <c r="M27" s="46" cm="1">
        <f t="array" ref="M27">BudgetPctVariance(F27,H27)</f>
        <v>-1</v>
      </c>
      <c r="N27" s="47"/>
    </row>
    <row r="28" spans="1:14" hidden="1" outlineLevel="1">
      <c r="A28" s="44" t="s">
        <v>140</v>
      </c>
      <c r="B28" s="232">
        <v>2106</v>
      </c>
      <c r="C28" s="233">
        <v>0</v>
      </c>
      <c r="D28" s="234">
        <v>0</v>
      </c>
      <c r="E28" s="235">
        <v>0</v>
      </c>
      <c r="F28" s="258" cm="1">
        <f t="array" ref="F28">SeasonalBud(B28,G28)</f>
        <v>2685</v>
      </c>
      <c r="G28" s="45" cm="1">
        <f t="array" ref="G28">SeasonalBudPct(B28:E28,H28:K28)</f>
        <v>1.2751456157011711</v>
      </c>
      <c r="H28" s="254">
        <v>298.79000000000002</v>
      </c>
      <c r="I28" s="255">
        <v>1.8</v>
      </c>
      <c r="J28" s="256">
        <v>5683.29</v>
      </c>
      <c r="K28" s="257">
        <v>2371.2800000000002</v>
      </c>
      <c r="L28" s="258" cm="1">
        <f t="array" ref="L28">BudgetDolVariance(F28,H28)</f>
        <v>-2386.21</v>
      </c>
      <c r="M28" s="46" cm="1">
        <f t="array" ref="M28">BudgetPctVariance(F28,H28)</f>
        <v>-0.88870000000000005</v>
      </c>
      <c r="N28" s="47"/>
    </row>
    <row r="29" spans="1:14" hidden="1" outlineLevel="1">
      <c r="A29" s="48" t="s">
        <v>141</v>
      </c>
      <c r="B29" s="236">
        <v>17190</v>
      </c>
      <c r="C29" s="237">
        <v>0</v>
      </c>
      <c r="D29" s="238">
        <v>0</v>
      </c>
      <c r="E29" s="239">
        <v>0</v>
      </c>
      <c r="F29" s="263" cm="1">
        <f t="array" ref="F29">SeasonalBud(B29,G29)</f>
        <v>7071</v>
      </c>
      <c r="G29" s="49" cm="1">
        <f t="array" ref="G29">SeasonalBudPct(B29:E29,H29:K29)</f>
        <v>0.41133895675780491</v>
      </c>
      <c r="H29" s="259">
        <v>1110</v>
      </c>
      <c r="I29" s="260">
        <v>9944.92</v>
      </c>
      <c r="J29" s="261">
        <v>3582.8499999999995</v>
      </c>
      <c r="K29" s="262">
        <v>7684.98</v>
      </c>
      <c r="L29" s="263" cm="1">
        <f t="array" ref="L29">BudgetDolVariance(F29,H29)</f>
        <v>-5961</v>
      </c>
      <c r="M29" s="50" cm="1">
        <f t="array" ref="M29">BudgetPctVariance(F29,H29)</f>
        <v>-0.84299999999999997</v>
      </c>
      <c r="N29" s="51"/>
    </row>
    <row r="30" spans="1:14" collapsed="1">
      <c r="A30" s="67" t="s">
        <v>142</v>
      </c>
      <c r="B30" s="68">
        <f>SUM(B23:B29)</f>
        <v>32181</v>
      </c>
      <c r="C30" s="68">
        <f>SUM(C23:C29)</f>
        <v>47833</v>
      </c>
      <c r="D30" s="68">
        <f>SUM(D23:D29)</f>
        <v>44065</v>
      </c>
      <c r="E30" s="68">
        <f>SUM(E23:E29)</f>
        <v>35377</v>
      </c>
      <c r="F30" s="69" cm="1">
        <f t="array" ref="F30">SeasonalBud(B30,G30)</f>
        <v>10955</v>
      </c>
      <c r="G30" s="70" cm="1">
        <f t="array" ref="G30">SeasonalBudPct(B30:E30,H30:K30)</f>
        <v>0.3404225257645756</v>
      </c>
      <c r="H30" s="84">
        <f>SUM(H23:H29)</f>
        <v>4982.329999999999</v>
      </c>
      <c r="I30" s="71">
        <f>SUM(I23:I29)</f>
        <v>19605.689999999999</v>
      </c>
      <c r="J30" s="71">
        <f>SUM(J23:J29)</f>
        <v>9789.59</v>
      </c>
      <c r="K30" s="72">
        <f>SUM(K23:K29)</f>
        <v>13769.689999999999</v>
      </c>
      <c r="L30" s="68" cm="1">
        <f t="array" ref="L30">BudgetDolVariance(F30,H30)</f>
        <v>-5972.67</v>
      </c>
      <c r="M30" s="73" cm="1">
        <f t="array" ref="M30">BudgetPctVariance(F30,H30)</f>
        <v>-0.54520000000000002</v>
      </c>
      <c r="N30" s="85">
        <v>2</v>
      </c>
    </row>
    <row r="31" spans="1:14">
      <c r="A31" s="75" t="s">
        <v>143</v>
      </c>
      <c r="B31" s="55"/>
      <c r="C31" s="55"/>
      <c r="D31" s="55"/>
      <c r="E31" s="55"/>
      <c r="F31" s="86"/>
      <c r="G31" s="73"/>
      <c r="H31" s="86"/>
      <c r="I31" s="72"/>
      <c r="J31" s="72"/>
      <c r="K31" s="72"/>
      <c r="L31" s="55"/>
      <c r="M31" s="73"/>
      <c r="N31" s="87"/>
    </row>
    <row r="32" spans="1:14" hidden="1" outlineLevel="1">
      <c r="A32" s="40" t="s">
        <v>144</v>
      </c>
      <c r="B32" s="228">
        <v>0</v>
      </c>
      <c r="C32" s="229">
        <v>7652</v>
      </c>
      <c r="D32" s="230">
        <v>1500</v>
      </c>
      <c r="E32" s="231">
        <v>1500</v>
      </c>
      <c r="F32" s="253" t="str" cm="1">
        <f t="array" ref="F32">SeasonalBud(B32,G32)</f>
        <v/>
      </c>
      <c r="G32" s="41" t="str" cm="1">
        <f t="array" ref="G32">SeasonalBudPct(B32:E32,H32:K32)</f>
        <v/>
      </c>
      <c r="H32" s="249">
        <v>0</v>
      </c>
      <c r="I32" s="250">
        <v>0</v>
      </c>
      <c r="J32" s="251">
        <v>0</v>
      </c>
      <c r="K32" s="252">
        <v>0</v>
      </c>
      <c r="L32" s="253" t="str" cm="1">
        <f t="array" ref="L32">BudgetDolVariance(F32,H32)</f>
        <v/>
      </c>
      <c r="M32" s="42" t="str" cm="1">
        <f t="array" ref="M32">BudgetPctVariance(F32,H32)</f>
        <v/>
      </c>
      <c r="N32" s="63"/>
    </row>
    <row r="33" spans="1:14" hidden="1" outlineLevel="1">
      <c r="A33" s="48" t="s">
        <v>145</v>
      </c>
      <c r="B33" s="236">
        <v>0</v>
      </c>
      <c r="C33" s="237">
        <v>0</v>
      </c>
      <c r="D33" s="238">
        <v>0</v>
      </c>
      <c r="E33" s="239">
        <v>0</v>
      </c>
      <c r="F33" s="263" t="str" cm="1">
        <f t="array" ref="F33">SeasonalBud(B33,G33)</f>
        <v/>
      </c>
      <c r="G33" s="49" t="str" cm="1">
        <f t="array" ref="G33">SeasonalBudPct(B33:E33,H33:K33)</f>
        <v/>
      </c>
      <c r="H33" s="259">
        <v>0</v>
      </c>
      <c r="I33" s="260">
        <v>0</v>
      </c>
      <c r="J33" s="261">
        <v>0</v>
      </c>
      <c r="K33" s="262">
        <v>0</v>
      </c>
      <c r="L33" s="263" t="str" cm="1">
        <f t="array" ref="L33">BudgetDolVariance(F33,H33)</f>
        <v/>
      </c>
      <c r="M33" s="50" t="str" cm="1">
        <f t="array" ref="M33">BudgetPctVariance(F33,H33)</f>
        <v/>
      </c>
      <c r="N33" s="51"/>
    </row>
    <row r="34" spans="1:14" collapsed="1">
      <c r="A34" s="67" t="s">
        <v>146</v>
      </c>
      <c r="B34" s="68">
        <f>SUM(B32:B33)</f>
        <v>0</v>
      </c>
      <c r="C34" s="68">
        <f>SUM(C32:C33)</f>
        <v>7652</v>
      </c>
      <c r="D34" s="68">
        <f>SUM(D32:D33)</f>
        <v>1500</v>
      </c>
      <c r="E34" s="68">
        <f>SUM(E32:E33)</f>
        <v>1500</v>
      </c>
      <c r="F34" s="69" t="str" cm="1">
        <f t="array" ref="F34">SeasonalBud(B34,G34)</f>
        <v/>
      </c>
      <c r="G34" s="70" t="str" cm="1">
        <f t="array" ref="G34">SeasonalBudPct(B34:E34,H34:K34)</f>
        <v/>
      </c>
      <c r="H34" s="68">
        <f>SUM(H32:H33)</f>
        <v>0</v>
      </c>
      <c r="I34" s="71">
        <f>SUM(I32:I33)</f>
        <v>0</v>
      </c>
      <c r="J34" s="71">
        <f>SUM(J32:J33)</f>
        <v>0</v>
      </c>
      <c r="K34" s="72">
        <f>SUM(K32:K33)</f>
        <v>0</v>
      </c>
      <c r="L34" s="68" t="str" cm="1">
        <f t="array" ref="L34">BudgetDolVariance(F34,H34)</f>
        <v/>
      </c>
      <c r="M34" s="73" t="str" cm="1">
        <f t="array" ref="M34">BudgetPctVariance(F34,H34)</f>
        <v/>
      </c>
      <c r="N34" s="85"/>
    </row>
    <row r="35" spans="1:14">
      <c r="A35" s="75" t="s">
        <v>147</v>
      </c>
      <c r="B35" s="86"/>
      <c r="C35" s="54"/>
      <c r="D35" s="54"/>
      <c r="E35" s="54"/>
      <c r="F35" s="55"/>
      <c r="G35" s="88"/>
      <c r="H35" s="86"/>
      <c r="I35" s="89"/>
      <c r="J35" s="89"/>
      <c r="K35" s="89"/>
      <c r="L35" s="55"/>
      <c r="M35" s="88"/>
      <c r="N35" s="87"/>
    </row>
    <row r="36" spans="1:14" hidden="1" outlineLevel="1">
      <c r="A36" s="40" t="s">
        <v>148</v>
      </c>
      <c r="B36" s="228">
        <v>0</v>
      </c>
      <c r="C36" s="229">
        <v>0</v>
      </c>
      <c r="D36" s="230">
        <v>0</v>
      </c>
      <c r="E36" s="231">
        <v>0</v>
      </c>
      <c r="F36" s="253" t="str" cm="1">
        <f t="array" ref="F36">SeasonalBud(B36,G36)</f>
        <v/>
      </c>
      <c r="G36" s="41" t="str" cm="1">
        <f t="array" ref="G36">SeasonalBudPct(B36:E36,H36:K36)</f>
        <v/>
      </c>
      <c r="H36" s="249">
        <v>0</v>
      </c>
      <c r="I36" s="250">
        <v>0</v>
      </c>
      <c r="J36" s="251">
        <v>0</v>
      </c>
      <c r="K36" s="252">
        <v>0</v>
      </c>
      <c r="L36" s="253" t="str" cm="1">
        <f t="array" ref="L36">BudgetDolVariance(F36,H36)</f>
        <v/>
      </c>
      <c r="M36" s="42" t="str" cm="1">
        <f t="array" ref="M36">BudgetPctVariance(F36,H36)</f>
        <v/>
      </c>
      <c r="N36" s="63"/>
    </row>
    <row r="37" spans="1:14" hidden="1" outlineLevel="1">
      <c r="A37" s="44" t="s">
        <v>149</v>
      </c>
      <c r="B37" s="232">
        <v>7882</v>
      </c>
      <c r="C37" s="233">
        <v>0</v>
      </c>
      <c r="D37" s="234">
        <v>0</v>
      </c>
      <c r="E37" s="235">
        <v>0</v>
      </c>
      <c r="F37" s="258" cm="1">
        <f t="array" ref="F37">SeasonalBud(B37,G37)</f>
        <v>1139</v>
      </c>
      <c r="G37" s="45" cm="1">
        <f t="array" ref="G37">SeasonalBudPct(B37:E37,H37:K37)</f>
        <v>0.1444671403197158</v>
      </c>
      <c r="H37" s="254">
        <v>3440.7500000000005</v>
      </c>
      <c r="I37" s="255">
        <v>3416.0699999999997</v>
      </c>
      <c r="J37" s="256">
        <v>0</v>
      </c>
      <c r="K37" s="257">
        <v>0</v>
      </c>
      <c r="L37" s="258" cm="1">
        <f t="array" ref="L37">BudgetDolVariance(F37,H37)</f>
        <v>2301.7500000000005</v>
      </c>
      <c r="M37" s="46" cm="1">
        <f t="array" ref="M37">BudgetPctVariance(F37,H37)</f>
        <v>2.0209000000000001</v>
      </c>
      <c r="N37" s="47">
        <v>3</v>
      </c>
    </row>
    <row r="38" spans="1:14" hidden="1" outlineLevel="1">
      <c r="A38" s="44" t="s">
        <v>33</v>
      </c>
      <c r="B38" s="232">
        <v>0</v>
      </c>
      <c r="C38" s="233">
        <v>0</v>
      </c>
      <c r="D38" s="234">
        <v>10000</v>
      </c>
      <c r="E38" s="235">
        <v>18688</v>
      </c>
      <c r="F38" s="258" t="str" cm="1">
        <f t="array" ref="F38">SeasonalBud(B38,G38)</f>
        <v/>
      </c>
      <c r="G38" s="45" t="str" cm="1">
        <f t="array" ref="G38">SeasonalBudPct(B38:E38,H38:K38)</f>
        <v/>
      </c>
      <c r="H38" s="254">
        <v>1691.83</v>
      </c>
      <c r="I38" s="255">
        <v>1943.78</v>
      </c>
      <c r="J38" s="256">
        <v>1192.46</v>
      </c>
      <c r="K38" s="257">
        <v>1050.52</v>
      </c>
      <c r="L38" s="258" cm="1">
        <f t="array" ref="L38">BudgetDolVariance(F38,H38)</f>
        <v>1691.83</v>
      </c>
      <c r="M38" s="46" cm="1">
        <f t="array" ref="M38">BudgetPctVariance(F38,H38)</f>
        <v>9.99</v>
      </c>
      <c r="N38" s="47">
        <v>4</v>
      </c>
    </row>
    <row r="39" spans="1:14" hidden="1" outlineLevel="1">
      <c r="A39" s="90" t="s">
        <v>150</v>
      </c>
      <c r="B39" s="248">
        <v>0</v>
      </c>
      <c r="C39" s="241">
        <v>0</v>
      </c>
      <c r="D39" s="242">
        <v>0</v>
      </c>
      <c r="E39" s="243">
        <v>0</v>
      </c>
      <c r="F39" s="268" t="str" cm="1">
        <f t="array" ref="F39">SeasonalBud(B39,G39)</f>
        <v/>
      </c>
      <c r="G39" s="65" t="str" cm="1">
        <f t="array" ref="G39">SeasonalBudPct(B39:E39,H39:K39)</f>
        <v/>
      </c>
      <c r="H39" s="274">
        <v>0</v>
      </c>
      <c r="I39" s="265">
        <v>0</v>
      </c>
      <c r="J39" s="266">
        <v>0</v>
      </c>
      <c r="K39" s="275">
        <v>0</v>
      </c>
      <c r="L39" s="268" t="str" cm="1">
        <f t="array" ref="L39">BudgetDolVariance(F39,H39)</f>
        <v/>
      </c>
      <c r="M39" s="91" t="str" cm="1">
        <f t="array" ref="M39">BudgetPctVariance(F39,H39)</f>
        <v/>
      </c>
      <c r="N39" s="66"/>
    </row>
    <row r="40" spans="1:14" hidden="1" outlineLevel="1">
      <c r="A40" s="44" t="s">
        <v>151</v>
      </c>
      <c r="B40" s="232">
        <v>7924</v>
      </c>
      <c r="C40" s="233">
        <v>9640</v>
      </c>
      <c r="D40" s="234">
        <v>8589</v>
      </c>
      <c r="E40" s="235">
        <v>8158</v>
      </c>
      <c r="F40" s="258" cm="1">
        <f t="array" ref="F40">SeasonalBud(B40,G40)</f>
        <v>1239</v>
      </c>
      <c r="G40" s="45" cm="1">
        <f t="array" ref="G40">SeasonalBudPct(B40:E40,H40:K40)</f>
        <v>0.15641592441854976</v>
      </c>
      <c r="H40" s="254">
        <v>1691.8199999999997</v>
      </c>
      <c r="I40" s="255">
        <v>1943.7900000000002</v>
      </c>
      <c r="J40" s="256">
        <v>1192.48</v>
      </c>
      <c r="K40" s="257">
        <v>1050.52</v>
      </c>
      <c r="L40" s="258" cm="1">
        <f t="array" ref="L40">BudgetDolVariance(F40,H40)</f>
        <v>452.81999999999971</v>
      </c>
      <c r="M40" s="46" cm="1">
        <f t="array" ref="M40">BudgetPctVariance(F40,H40)</f>
        <v>0.36549999999999999</v>
      </c>
      <c r="N40" s="47">
        <v>5</v>
      </c>
    </row>
    <row r="41" spans="1:14" hidden="1" outlineLevel="1">
      <c r="A41" s="48" t="s">
        <v>152</v>
      </c>
      <c r="B41" s="236">
        <v>644</v>
      </c>
      <c r="C41" s="237">
        <v>846</v>
      </c>
      <c r="D41" s="238">
        <v>696</v>
      </c>
      <c r="E41" s="239">
        <v>675</v>
      </c>
      <c r="F41" s="263" cm="1">
        <f t="array" ref="F41">SeasonalBud(B41,G41)</f>
        <v>208</v>
      </c>
      <c r="G41" s="49" cm="1">
        <f t="array" ref="G41">SeasonalBudPct(B41:E41,H41:K41)</f>
        <v>0.3234092361620608</v>
      </c>
      <c r="H41" s="259">
        <v>274.97000000000003</v>
      </c>
      <c r="I41" s="260">
        <v>341.40000000000003</v>
      </c>
      <c r="J41" s="261">
        <v>218.73999999999998</v>
      </c>
      <c r="K41" s="262">
        <v>170.37</v>
      </c>
      <c r="L41" s="263" cm="1">
        <f t="array" ref="L41">BudgetDolVariance(F41,H41)</f>
        <v>66.970000000000027</v>
      </c>
      <c r="M41" s="50" cm="1">
        <f t="array" ref="M41">BudgetPctVariance(F41,H41)</f>
        <v>0.32200000000000001</v>
      </c>
      <c r="N41" s="51">
        <v>6</v>
      </c>
    </row>
    <row r="42" spans="1:14" collapsed="1">
      <c r="A42" s="92" t="s">
        <v>153</v>
      </c>
      <c r="B42" s="84">
        <f>SUM(B36:B41)</f>
        <v>16450</v>
      </c>
      <c r="C42" s="86">
        <f>SUM(C36:C41)</f>
        <v>10486</v>
      </c>
      <c r="D42" s="84">
        <f>SUM(D36:D41)</f>
        <v>19285</v>
      </c>
      <c r="E42" s="86">
        <f>SUM(E36:E41)</f>
        <v>27521</v>
      </c>
      <c r="F42" s="69" cm="1">
        <f t="array" ref="F42">SeasonalBud(B42,G42)</f>
        <v>5191</v>
      </c>
      <c r="G42" s="70" cm="1">
        <f t="array" ref="G42">SeasonalBudPct(B42:E42,H42:K42)</f>
        <v>0.31553849134534134</v>
      </c>
      <c r="H42" s="84">
        <f>SUM(H36:H41)</f>
        <v>7099.37</v>
      </c>
      <c r="I42" s="71">
        <f>SUM(I36:I41)</f>
        <v>7645.0399999999991</v>
      </c>
      <c r="J42" s="71">
        <f>SUM(J36:J41)</f>
        <v>2603.6799999999998</v>
      </c>
      <c r="K42" s="72">
        <f>SUM(K36:K41)</f>
        <v>2271.41</v>
      </c>
      <c r="L42" s="68" cm="1">
        <f t="array" ref="L42">BudgetDolVariance(F42,H42)</f>
        <v>1908.37</v>
      </c>
      <c r="M42" s="70" cm="1">
        <f t="array" ref="M42">BudgetPctVariance(F42,H42)</f>
        <v>0.36759999999999998</v>
      </c>
      <c r="N42" s="85">
        <v>6</v>
      </c>
    </row>
    <row r="43" spans="1:14" ht="16.2" thickBot="1">
      <c r="A43" s="3" t="s">
        <v>154</v>
      </c>
      <c r="B43" s="4">
        <f>SUM(B21,B30,B34,B42)</f>
        <v>117705</v>
      </c>
      <c r="C43" s="4">
        <f>SUM(C21,C30,C34,C42)</f>
        <v>147041</v>
      </c>
      <c r="D43" s="4">
        <f>SUM(D21,D30,D34,D42)</f>
        <v>145840</v>
      </c>
      <c r="E43" s="4">
        <f>SUM(E21,E30,E34,E42)</f>
        <v>143892</v>
      </c>
      <c r="F43" s="4" cm="1">
        <f t="array" ref="F43">SeasonalBud(B43,G43)</f>
        <v>35740</v>
      </c>
      <c r="G43" s="14" cm="1">
        <f t="array" ref="G43">SeasonalBudPct(B43:E43,H43:K43)</f>
        <v>0.3036438548348972</v>
      </c>
      <c r="H43" s="4">
        <f>SUM(H21,H30,H34,H42)</f>
        <v>50265.380000000005</v>
      </c>
      <c r="I43" s="15">
        <f>SUM(I21,I30,I34,I42)</f>
        <v>59293.499999999993</v>
      </c>
      <c r="J43" s="15">
        <f>SUM(J21,J30,J34,J42)</f>
        <v>37883.800000000003</v>
      </c>
      <c r="K43" s="16">
        <f>SUM(K21,K30,K34,K42)</f>
        <v>35674.300000000003</v>
      </c>
      <c r="L43" s="4" cm="1">
        <f t="array" ref="L43">BudgetDolVariance(F43,H43)</f>
        <v>14525.38</v>
      </c>
      <c r="M43" s="5" cm="1">
        <f t="array" ref="M43">BudgetPctVariance(F43,H43)</f>
        <v>0.40639999999999998</v>
      </c>
      <c r="N43" s="6"/>
    </row>
    <row r="44" spans="1:14" ht="16.2" thickTop="1">
      <c r="A44" s="93" t="s">
        <v>155</v>
      </c>
      <c r="B44" s="94"/>
      <c r="C44" s="94"/>
      <c r="D44" s="94"/>
      <c r="E44" s="94"/>
      <c r="F44" s="94"/>
      <c r="G44" s="95"/>
      <c r="H44" s="94"/>
      <c r="I44" s="96"/>
      <c r="J44" s="96"/>
      <c r="K44" s="96"/>
      <c r="L44" s="94"/>
      <c r="M44" s="95"/>
      <c r="N44" s="97"/>
    </row>
    <row r="45" spans="1:14" hidden="1" outlineLevel="1">
      <c r="A45" s="40" t="s">
        <v>156</v>
      </c>
      <c r="B45" s="228">
        <v>27156</v>
      </c>
      <c r="C45" s="229">
        <v>0</v>
      </c>
      <c r="D45" s="230">
        <v>0</v>
      </c>
      <c r="E45" s="231">
        <v>0</v>
      </c>
      <c r="F45" s="253" cm="1">
        <f t="array" ref="F45">SeasonalBud(B45,G45)</f>
        <v>28585</v>
      </c>
      <c r="G45" s="41" cm="1">
        <f t="array" ref="G45">SeasonalBudPct(B45:E45,H45:K45)</f>
        <v>1.0526299651396869</v>
      </c>
      <c r="H45" s="249">
        <v>56611</v>
      </c>
      <c r="I45" s="250">
        <v>37265</v>
      </c>
      <c r="J45" s="251">
        <v>36054.658000000003</v>
      </c>
      <c r="K45" s="252">
        <v>12436</v>
      </c>
      <c r="L45" s="253" cm="1">
        <f t="array" ref="L45">BudgetDolVariance(F45,H45)</f>
        <v>28026</v>
      </c>
      <c r="M45" s="42" cm="1">
        <f t="array" ref="M45">BudgetPctVariance(F45,H45)</f>
        <v>0.98040000000000005</v>
      </c>
      <c r="N45" s="63">
        <v>7</v>
      </c>
    </row>
    <row r="46" spans="1:14" hidden="1" outlineLevel="1">
      <c r="A46" s="48" t="s">
        <v>157</v>
      </c>
      <c r="B46" s="236">
        <v>0</v>
      </c>
      <c r="C46" s="237">
        <v>0</v>
      </c>
      <c r="D46" s="238">
        <v>0</v>
      </c>
      <c r="E46" s="239">
        <v>0</v>
      </c>
      <c r="F46" s="263" t="str" cm="1">
        <f t="array" ref="F46">SeasonalBud(B46,G46)</f>
        <v/>
      </c>
      <c r="G46" s="49" t="str" cm="1">
        <f t="array" ref="G46">SeasonalBudPct(B46:E46,H46:K46)</f>
        <v/>
      </c>
      <c r="H46" s="259">
        <v>0</v>
      </c>
      <c r="I46" s="260">
        <v>0</v>
      </c>
      <c r="J46" s="261">
        <v>0</v>
      </c>
      <c r="K46" s="262">
        <v>0</v>
      </c>
      <c r="L46" s="263" t="str" cm="1">
        <f t="array" ref="L46">BudgetDolVariance(F46,H46)</f>
        <v/>
      </c>
      <c r="M46" s="50" t="str" cm="1">
        <f t="array" ref="M46">BudgetPctVariance(F46,H46)</f>
        <v/>
      </c>
      <c r="N46" s="51"/>
    </row>
    <row r="47" spans="1:14" collapsed="1">
      <c r="A47" s="98" t="s">
        <v>158</v>
      </c>
      <c r="B47" s="37">
        <f>SUM(B45:B46)</f>
        <v>27156</v>
      </c>
      <c r="C47" s="37">
        <f>SUM(C45:C46)</f>
        <v>0</v>
      </c>
      <c r="D47" s="37">
        <f>SUM(D45:D46)</f>
        <v>0</v>
      </c>
      <c r="E47" s="37">
        <f>SUM(E45:E46)</f>
        <v>0</v>
      </c>
      <c r="F47" s="99" cm="1">
        <f t="array" ref="F47">SeasonalBud(B47,G47)</f>
        <v>28585</v>
      </c>
      <c r="G47" s="100" cm="1">
        <f t="array" ref="G47">SeasonalBudPct(B47:E47,H47:K47)</f>
        <v>1.0526299651396869</v>
      </c>
      <c r="H47" s="37">
        <f>SUM(H45:H46)</f>
        <v>56611</v>
      </c>
      <c r="I47" s="101">
        <f>SUM(I45:I46)</f>
        <v>37265</v>
      </c>
      <c r="J47" s="101">
        <f>SUM(J45:J46)</f>
        <v>36054.658000000003</v>
      </c>
      <c r="K47" s="89">
        <f>SUM(K45:K46)</f>
        <v>12436</v>
      </c>
      <c r="L47" s="37" cm="1">
        <f t="array" ref="L47">BudgetDolVariance(F47,H47)</f>
        <v>28026</v>
      </c>
      <c r="M47" s="88" cm="1">
        <f t="array" ref="M47">BudgetPctVariance(F47,H47)</f>
        <v>0.98040000000000005</v>
      </c>
      <c r="N47" s="102">
        <v>7</v>
      </c>
    </row>
    <row r="48" spans="1:14" ht="16.2" thickBot="1">
      <c r="A48" s="3" t="s">
        <v>159</v>
      </c>
      <c r="B48" s="4">
        <f>SUM(B12,B43,B47)</f>
        <v>0</v>
      </c>
      <c r="C48" s="4">
        <f>SUM(C12,C43,C47)</f>
        <v>-1</v>
      </c>
      <c r="D48" s="4">
        <f>SUM(D12,D43,D47)</f>
        <v>-1</v>
      </c>
      <c r="E48" s="4">
        <f>SUM(E12,E43,E47)</f>
        <v>0</v>
      </c>
      <c r="F48" s="4">
        <f>SUM(F12,F43,F47)</f>
        <v>-8105</v>
      </c>
      <c r="G48" s="14"/>
      <c r="H48" s="4">
        <f>SUM(H12,H43,H47)</f>
        <v>34446.380000000005</v>
      </c>
      <c r="I48" s="15">
        <f>SUM(I12,I43,I47)</f>
        <v>23037.499999999993</v>
      </c>
      <c r="J48" s="15">
        <f>SUM(J12,J43,J47)</f>
        <v>1018.458000000006</v>
      </c>
      <c r="K48" s="16">
        <f>SUM(K12,K43,K47)</f>
        <v>-23835.699999999997</v>
      </c>
      <c r="L48" s="4" cm="1">
        <f t="array" ref="L48">BudgetDolVariance(F48,H48)</f>
        <v>42551.38</v>
      </c>
      <c r="M48" s="5" cm="1">
        <f t="array" ref="M48">BudgetPctVariance(F48,H48)</f>
        <v>-5.25</v>
      </c>
      <c r="N48" s="6"/>
    </row>
    <row r="49" spans="1:14" ht="16.2" thickTop="1">
      <c r="A49" s="103"/>
      <c r="B49" s="53"/>
      <c r="C49" s="53"/>
      <c r="D49" s="53"/>
      <c r="E49" s="53"/>
      <c r="F49" s="53"/>
      <c r="G49" s="104"/>
      <c r="H49" s="53"/>
      <c r="I49" s="105"/>
      <c r="J49" s="105"/>
      <c r="K49" s="105"/>
      <c r="N49" s="107"/>
    </row>
    <row r="50" spans="1:14">
      <c r="A50" s="458"/>
      <c r="B50" s="458"/>
      <c r="C50" s="458"/>
      <c r="D50" s="458"/>
      <c r="E50" s="458"/>
    </row>
    <row r="51" spans="1:14">
      <c r="A51" s="109" t="s">
        <v>160</v>
      </c>
      <c r="B51" s="503"/>
      <c r="C51" s="503"/>
      <c r="D51" s="503"/>
      <c r="E51" s="503"/>
      <c r="F51" s="503"/>
      <c r="G51" s="503"/>
      <c r="H51" s="503"/>
      <c r="I51" s="503"/>
      <c r="J51" s="503"/>
      <c r="K51" s="503"/>
      <c r="L51" s="503"/>
      <c r="M51" s="503"/>
      <c r="N51" s="503"/>
    </row>
    <row r="52" spans="1:14">
      <c r="A52" s="110" t="s">
        <v>1814</v>
      </c>
      <c r="B52" s="503" t="s">
        <v>1822</v>
      </c>
      <c r="C52" s="503"/>
      <c r="D52" s="503"/>
      <c r="E52" s="503"/>
      <c r="F52" s="503"/>
      <c r="G52" s="503"/>
      <c r="H52" s="503"/>
      <c r="I52" s="503"/>
      <c r="J52" s="503"/>
      <c r="K52" s="503"/>
      <c r="L52" s="503"/>
      <c r="M52" s="503"/>
      <c r="N52" s="503"/>
    </row>
    <row r="53" spans="1:14">
      <c r="A53" s="110" t="s">
        <v>1815</v>
      </c>
      <c r="B53" s="503" t="s">
        <v>1823</v>
      </c>
      <c r="C53" s="503"/>
      <c r="D53" s="503"/>
      <c r="E53" s="503"/>
      <c r="F53" s="503"/>
      <c r="G53" s="503"/>
      <c r="H53" s="503"/>
      <c r="I53" s="503"/>
      <c r="J53" s="503"/>
      <c r="K53" s="503"/>
      <c r="L53" s="503"/>
      <c r="M53" s="503"/>
      <c r="N53" s="503"/>
    </row>
    <row r="54" spans="1:14">
      <c r="A54" s="110" t="s">
        <v>1816</v>
      </c>
      <c r="B54" s="503" t="s">
        <v>1824</v>
      </c>
      <c r="C54" s="503"/>
      <c r="D54" s="503"/>
      <c r="E54" s="503"/>
      <c r="F54" s="503"/>
      <c r="G54" s="503"/>
      <c r="H54" s="503"/>
      <c r="I54" s="503"/>
      <c r="J54" s="503"/>
      <c r="K54" s="503"/>
      <c r="L54" s="503"/>
      <c r="M54" s="503"/>
      <c r="N54" s="503"/>
    </row>
    <row r="55" spans="1:14">
      <c r="A55" s="110" t="s">
        <v>1817</v>
      </c>
      <c r="B55" s="503" t="s">
        <v>1825</v>
      </c>
      <c r="C55" s="503"/>
      <c r="D55" s="503"/>
      <c r="E55" s="503"/>
      <c r="F55" s="503"/>
      <c r="G55" s="503"/>
      <c r="H55" s="503"/>
      <c r="I55" s="503"/>
      <c r="J55" s="503"/>
      <c r="K55" s="503"/>
      <c r="L55" s="503"/>
      <c r="M55" s="503"/>
      <c r="N55" s="503"/>
    </row>
    <row r="56" spans="1:14">
      <c r="A56" s="110" t="s">
        <v>1818</v>
      </c>
      <c r="B56" s="503" t="s">
        <v>1826</v>
      </c>
      <c r="C56" s="503"/>
      <c r="D56" s="503"/>
      <c r="E56" s="503"/>
      <c r="F56" s="503"/>
      <c r="G56" s="503"/>
      <c r="H56" s="503"/>
      <c r="I56" s="503"/>
      <c r="J56" s="503"/>
      <c r="K56" s="503"/>
      <c r="L56" s="503"/>
      <c r="M56" s="503"/>
      <c r="N56" s="503"/>
    </row>
    <row r="57" spans="1:14">
      <c r="A57" s="110" t="s">
        <v>1819</v>
      </c>
      <c r="B57" s="503" t="s">
        <v>1827</v>
      </c>
      <c r="C57" s="503"/>
      <c r="D57" s="503"/>
      <c r="E57" s="503"/>
      <c r="F57" s="503"/>
      <c r="G57" s="503"/>
      <c r="H57" s="503"/>
      <c r="I57" s="503"/>
      <c r="J57" s="503"/>
      <c r="K57" s="503"/>
      <c r="L57" s="503"/>
      <c r="M57" s="503"/>
      <c r="N57" s="503"/>
    </row>
    <row r="58" spans="1:14">
      <c r="A58" s="110" t="s">
        <v>1820</v>
      </c>
      <c r="B58" s="503" t="s">
        <v>1828</v>
      </c>
      <c r="C58" s="503"/>
      <c r="D58" s="503"/>
      <c r="E58" s="503"/>
      <c r="F58" s="503"/>
      <c r="G58" s="503"/>
      <c r="H58" s="503"/>
      <c r="I58" s="503"/>
      <c r="J58" s="503"/>
      <c r="K58" s="503"/>
      <c r="L58" s="503"/>
      <c r="M58" s="503"/>
      <c r="N58" s="503"/>
    </row>
    <row r="59" spans="1:14">
      <c r="B59" s="503"/>
      <c r="C59" s="503"/>
      <c r="D59" s="503"/>
      <c r="E59" s="503"/>
      <c r="F59" s="503"/>
      <c r="G59" s="503"/>
      <c r="H59" s="503"/>
      <c r="I59" s="503"/>
      <c r="J59" s="503"/>
      <c r="K59" s="503"/>
      <c r="L59" s="503"/>
      <c r="M59" s="503"/>
      <c r="N59" s="503"/>
    </row>
    <row r="60" spans="1:14">
      <c r="B60" s="111"/>
      <c r="C60" s="111"/>
      <c r="D60" s="111"/>
      <c r="E60" s="111"/>
    </row>
    <row r="61" spans="1:14">
      <c r="B61" s="111"/>
      <c r="C61" s="111"/>
      <c r="D61" s="111"/>
      <c r="E61" s="111"/>
    </row>
  </sheetData>
  <mergeCells count="12">
    <mergeCell ref="B54:N54"/>
    <mergeCell ref="B55:N55"/>
    <mergeCell ref="B56:N56"/>
    <mergeCell ref="B57:N57"/>
    <mergeCell ref="B58:N58"/>
    <mergeCell ref="B59:N59"/>
    <mergeCell ref="B1:N1"/>
    <mergeCell ref="B2:N2"/>
    <mergeCell ref="N3:N6"/>
    <mergeCell ref="B51:N51"/>
    <mergeCell ref="B52:N52"/>
    <mergeCell ref="B53:N53"/>
  </mergeCells>
  <hyperlinks>
    <hyperlink ref="B1" location="'Rev.Exp All Pgms'!A1" tooltip="Rev.Exp All Pgms" display="KVCU Radio Station" xr:uid="{BAB89601-93CC-4A63-ADB6-DB1570F2801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Create Report</vt:lpstr>
      <vt:lpstr>Data</vt:lpstr>
      <vt:lpstr>GroupedData</vt:lpstr>
      <vt:lpstr>Account Codes</vt:lpstr>
      <vt:lpstr>Consolidation Lists</vt:lpstr>
      <vt:lpstr>QR Draft</vt:lpstr>
      <vt:lpstr>SB Draft</vt:lpstr>
      <vt:lpstr>AB Draft</vt:lpstr>
      <vt:lpstr>Fund Balance</vt:lpstr>
      <vt:lpstr>Rev.Exp All Pgms</vt:lpstr>
      <vt:lpstr>Enhancements</vt:lpstr>
      <vt:lpstr>Roll Up</vt:lpstr>
      <vt:lpstr>KVCU Operations</vt:lpstr>
      <vt:lpstr>rngABCC</vt:lpstr>
      <vt:lpstr>rngABFY</vt:lpstr>
      <vt:lpstr>rngACCTs</vt:lpstr>
      <vt:lpstr>rngArray</vt:lpstr>
      <vt:lpstr>rngBenRates</vt:lpstr>
      <vt:lpstr>rngContents</vt:lpstr>
      <vt:lpstr>rngEDoc</vt:lpstr>
      <vt:lpstr>rngESelect</vt:lpstr>
      <vt:lpstr>rngEType</vt:lpstr>
      <vt:lpstr>rngFBs</vt:lpstr>
      <vt:lpstr>rngPath</vt:lpstr>
      <vt:lpstr>rngPlanningRates</vt:lpstr>
      <vt:lpstr>rngQCC</vt:lpstr>
      <vt:lpstr>rngQFY</vt:lpstr>
      <vt:lpstr>rngQQ</vt:lpstr>
      <vt:lpstr>rngSAlink</vt:lpstr>
      <vt:lpstr>rngSBCC</vt:lpstr>
      <vt:lpstr>rngSBStart</vt:lpstr>
      <vt:lpstr>rngSBYRS</vt:lpstr>
      <vt:lpstr>rngSKIP</vt:lpstr>
      <vt:lpstr>rngWeights</vt:lpstr>
      <vt:lpstr>ThreeYrWeights</vt:lpstr>
    </vt:vector>
  </TitlesOfParts>
  <Manager>Gregory.Allan@Colorado.EDU</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Gregory.Allan@Colorado.EDU</dc:creator>
  <cp:lastModifiedBy>grega</cp:lastModifiedBy>
  <cp:lastPrinted>2020-11-18T21:11:49Z</cp:lastPrinted>
  <dcterms:created xsi:type="dcterms:W3CDTF">2020-08-02T19:34:08Z</dcterms:created>
  <dcterms:modified xsi:type="dcterms:W3CDTF">2021-03-01T03:18:28Z</dcterms:modified>
</cp:coreProperties>
</file>