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a\Google Drive\CUSG\Finance Board\New Finance Board Report Templates\"/>
    </mc:Choice>
  </mc:AlternateContent>
  <xr:revisionPtr revIDLastSave="0" documentId="13_ncr:1_{AD8632D5-8034-445F-B89B-03C062027759}" xr6:coauthVersionLast="45" xr6:coauthVersionMax="45" xr10:uidLastSave="{00000000-0000-0000-0000-000000000000}"/>
  <bookViews>
    <workbookView xWindow="2304" yWindow="2304" windowWidth="17280" windowHeight="9072" tabRatio="883" xr2:uid="{AC79CEBD-3970-4D95-8EA9-D087E24ACAC4}"/>
  </bookViews>
  <sheets>
    <sheet name="Create Report" sheetId="4" r:id="rId1"/>
    <sheet name="Data" sheetId="1" r:id="rId2"/>
    <sheet name="GroupedData" sheetId="494" r:id="rId3"/>
    <sheet name="Account Codes" sheetId="5" state="hidden" r:id="rId4"/>
    <sheet name="Consolidation Lists" sheetId="6" state="hidden" r:id="rId5"/>
    <sheet name="QR Draft" sheetId="2" state="hidden" r:id="rId6"/>
    <sheet name="SB Draft" sheetId="3" state="hidden" r:id="rId7"/>
    <sheet name="Fund Balance" sheetId="7" state="hidden" r:id="rId8"/>
    <sheet name="Rev.Exp All Pgms" sheetId="8" state="hidden" r:id="rId9"/>
    <sheet name="Roll Up" sheetId="9" r:id="rId10"/>
    <sheet name="KVCU Operations" sheetId="558" r:id="rId11"/>
  </sheets>
  <functionGroups builtInGroupCount="19"/>
  <externalReferences>
    <externalReference r:id="rId12"/>
  </externalReferences>
  <definedNames>
    <definedName name="rngACCTs">'Create Report'!$S$3</definedName>
    <definedName name="rngArray">'Create Report'!$H$8</definedName>
    <definedName name="rngCC">'[1]Create Report'!$F$3</definedName>
    <definedName name="rngContents">'Create Report'!$W$3</definedName>
    <definedName name="rngFBs">'Create Report'!$U$3</definedName>
    <definedName name="rngFY">'[1]Create Report'!$F$5</definedName>
    <definedName name="rngQ">'[1]Create Report'!$F$4</definedName>
    <definedName name="rngSKIP">'Consolidation Lists'!$H$1</definedName>
    <definedName name="rngWeights">'Create Report'!$H$9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9" l="1"/>
  <c r="U47" i="558"/>
  <c r="T47" i="558"/>
  <c r="S47" i="558"/>
  <c r="R47" i="558"/>
  <c r="Q47" i="558"/>
  <c r="P47" i="558"/>
  <c r="O47" i="558"/>
  <c r="N47" i="558"/>
  <c r="M47" i="558"/>
  <c r="L47" i="558"/>
  <c r="K47" i="558"/>
  <c r="J47" i="558"/>
  <c r="I47" i="558"/>
  <c r="H47" i="558"/>
  <c r="G47" i="558"/>
  <c r="F47" i="558"/>
  <c r="E47" i="558"/>
  <c r="D47" i="558"/>
  <c r="C47" i="558"/>
  <c r="B47" i="558"/>
  <c r="Y46" i="558"/>
  <c r="X46" i="558"/>
  <c r="W46" i="558"/>
  <c r="V46" i="558"/>
  <c r="Y45" i="558"/>
  <c r="X45" i="558"/>
  <c r="W45" i="558"/>
  <c r="V45" i="558"/>
  <c r="U42" i="558"/>
  <c r="T42" i="558"/>
  <c r="S42" i="558"/>
  <c r="R42" i="558"/>
  <c r="Q42" i="558"/>
  <c r="P42" i="558"/>
  <c r="O42" i="558"/>
  <c r="N42" i="558"/>
  <c r="M42" i="558"/>
  <c r="L42" i="558"/>
  <c r="K42" i="558"/>
  <c r="J42" i="558"/>
  <c r="I42" i="558"/>
  <c r="H42" i="558"/>
  <c r="G42" i="558"/>
  <c r="F42" i="558"/>
  <c r="E42" i="558"/>
  <c r="D42" i="558"/>
  <c r="C42" i="558"/>
  <c r="B42" i="558"/>
  <c r="Y41" i="558"/>
  <c r="X41" i="558"/>
  <c r="W41" i="558"/>
  <c r="V41" i="558"/>
  <c r="Y40" i="558"/>
  <c r="X40" i="558"/>
  <c r="W40" i="558"/>
  <c r="V40" i="558"/>
  <c r="Y39" i="558"/>
  <c r="X39" i="558"/>
  <c r="W39" i="558"/>
  <c r="V39" i="558"/>
  <c r="Y38" i="558"/>
  <c r="X38" i="558"/>
  <c r="W38" i="558"/>
  <c r="V38" i="558"/>
  <c r="Y37" i="558"/>
  <c r="X37" i="558"/>
  <c r="W37" i="558"/>
  <c r="V37" i="558"/>
  <c r="Y36" i="558"/>
  <c r="X36" i="558"/>
  <c r="W36" i="558"/>
  <c r="V36" i="558"/>
  <c r="U34" i="558"/>
  <c r="T34" i="558"/>
  <c r="S34" i="558"/>
  <c r="R34" i="558"/>
  <c r="Q34" i="558"/>
  <c r="P34" i="558"/>
  <c r="O34" i="558"/>
  <c r="N34" i="558"/>
  <c r="M34" i="558"/>
  <c r="L34" i="558"/>
  <c r="K34" i="558"/>
  <c r="J34" i="558"/>
  <c r="I34" i="558"/>
  <c r="H34" i="558"/>
  <c r="G34" i="558"/>
  <c r="F34" i="558"/>
  <c r="E34" i="558"/>
  <c r="D34" i="558"/>
  <c r="C34" i="558"/>
  <c r="B34" i="558"/>
  <c r="Y33" i="558"/>
  <c r="X33" i="558"/>
  <c r="W33" i="558"/>
  <c r="V33" i="558"/>
  <c r="Y32" i="558"/>
  <c r="X32" i="558"/>
  <c r="W32" i="558"/>
  <c r="V32" i="558"/>
  <c r="U30" i="558"/>
  <c r="T30" i="558"/>
  <c r="S30" i="558"/>
  <c r="R30" i="558"/>
  <c r="Q30" i="558"/>
  <c r="P30" i="558"/>
  <c r="O30" i="558"/>
  <c r="N30" i="558"/>
  <c r="M30" i="558"/>
  <c r="L30" i="558"/>
  <c r="K30" i="558"/>
  <c r="J30" i="558"/>
  <c r="I30" i="558"/>
  <c r="H30" i="558"/>
  <c r="G30" i="558"/>
  <c r="F30" i="558"/>
  <c r="E30" i="558"/>
  <c r="D30" i="558"/>
  <c r="C30" i="558"/>
  <c r="B30" i="558"/>
  <c r="Y29" i="558"/>
  <c r="X29" i="558"/>
  <c r="W29" i="558"/>
  <c r="V29" i="558"/>
  <c r="Y28" i="558"/>
  <c r="X28" i="558"/>
  <c r="W28" i="558"/>
  <c r="V28" i="558"/>
  <c r="Y27" i="558"/>
  <c r="X27" i="558"/>
  <c r="W27" i="558"/>
  <c r="V27" i="558"/>
  <c r="Y26" i="558"/>
  <c r="X26" i="558"/>
  <c r="W26" i="558"/>
  <c r="V26" i="558"/>
  <c r="Y25" i="558"/>
  <c r="X25" i="558"/>
  <c r="W25" i="558"/>
  <c r="V25" i="558"/>
  <c r="Y24" i="558"/>
  <c r="X24" i="558"/>
  <c r="W24" i="558"/>
  <c r="V24" i="558"/>
  <c r="Y23" i="558"/>
  <c r="X23" i="558"/>
  <c r="W23" i="558"/>
  <c r="V23" i="558"/>
  <c r="U21" i="558"/>
  <c r="T21" i="558"/>
  <c r="S21" i="558"/>
  <c r="R21" i="558"/>
  <c r="Q21" i="558"/>
  <c r="P21" i="558"/>
  <c r="O21" i="558"/>
  <c r="N21" i="558"/>
  <c r="M21" i="558"/>
  <c r="L21" i="558"/>
  <c r="K21" i="558"/>
  <c r="J21" i="558"/>
  <c r="I21" i="558"/>
  <c r="H21" i="558"/>
  <c r="G21" i="558"/>
  <c r="F21" i="558"/>
  <c r="E21" i="558"/>
  <c r="D21" i="558"/>
  <c r="C21" i="558"/>
  <c r="B21" i="558"/>
  <c r="Y20" i="558"/>
  <c r="X20" i="558"/>
  <c r="W20" i="558"/>
  <c r="V20" i="558"/>
  <c r="Y19" i="558"/>
  <c r="X19" i="558"/>
  <c r="W19" i="558"/>
  <c r="V19" i="558"/>
  <c r="Y18" i="558"/>
  <c r="X18" i="558"/>
  <c r="W18" i="558"/>
  <c r="V18" i="558"/>
  <c r="Y17" i="558"/>
  <c r="X17" i="558"/>
  <c r="W17" i="558"/>
  <c r="V17" i="558"/>
  <c r="Y16" i="558"/>
  <c r="X16" i="558"/>
  <c r="W16" i="558"/>
  <c r="V16" i="558"/>
  <c r="Y15" i="558"/>
  <c r="X15" i="558"/>
  <c r="W15" i="558"/>
  <c r="V15" i="558"/>
  <c r="U12" i="558"/>
  <c r="T12" i="558"/>
  <c r="S12" i="558"/>
  <c r="R12" i="558"/>
  <c r="Q12" i="558"/>
  <c r="P12" i="558"/>
  <c r="O12" i="558"/>
  <c r="N12" i="558"/>
  <c r="M12" i="558"/>
  <c r="L12" i="558"/>
  <c r="K12" i="558"/>
  <c r="J12" i="558"/>
  <c r="I12" i="558"/>
  <c r="H12" i="558"/>
  <c r="G12" i="558"/>
  <c r="F12" i="558"/>
  <c r="E12" i="558"/>
  <c r="D12" i="558"/>
  <c r="C12" i="558"/>
  <c r="B12" i="558"/>
  <c r="Y11" i="558"/>
  <c r="X11" i="558"/>
  <c r="W11" i="558"/>
  <c r="V11" i="558"/>
  <c r="Y10" i="558"/>
  <c r="X10" i="558"/>
  <c r="W10" i="558"/>
  <c r="V10" i="558"/>
  <c r="Y9" i="558"/>
  <c r="X9" i="558"/>
  <c r="W9" i="558"/>
  <c r="W12" i="558" s="1"/>
  <c r="V9" i="558"/>
  <c r="Y8" i="558"/>
  <c r="X8" i="558"/>
  <c r="W8" i="558"/>
  <c r="V8" i="558"/>
  <c r="B4" i="558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B45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B32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B23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1" i="9" a="1"/>
  <c r="Q43" i="558" l="1"/>
  <c r="Y34" i="558"/>
  <c r="B43" i="558"/>
  <c r="Y47" i="558"/>
  <c r="M43" i="558"/>
  <c r="W34" i="558"/>
  <c r="W47" i="558"/>
  <c r="V34" i="558"/>
  <c r="V47" i="558"/>
  <c r="X47" i="558"/>
  <c r="V42" i="558"/>
  <c r="R43" i="558"/>
  <c r="R48" i="558" s="1"/>
  <c r="J43" i="558"/>
  <c r="J48" i="558" s="1"/>
  <c r="N43" i="558"/>
  <c r="N48" i="558" s="1"/>
  <c r="V30" i="558"/>
  <c r="F43" i="558"/>
  <c r="F48" i="558" s="1"/>
  <c r="V21" i="558"/>
  <c r="V12" i="558"/>
  <c r="S43" i="558"/>
  <c r="S48" i="558" s="1"/>
  <c r="O43" i="558"/>
  <c r="O48" i="558" s="1"/>
  <c r="K43" i="558"/>
  <c r="K48" i="558" s="1"/>
  <c r="W42" i="558"/>
  <c r="G43" i="558"/>
  <c r="G48" i="558" s="1"/>
  <c r="W30" i="558"/>
  <c r="C43" i="558"/>
  <c r="C48" i="558" s="1"/>
  <c r="W21" i="558"/>
  <c r="X12" i="558"/>
  <c r="X34" i="558"/>
  <c r="T43" i="558"/>
  <c r="T48" i="558" s="1"/>
  <c r="P43" i="558"/>
  <c r="P48" i="558" s="1"/>
  <c r="L43" i="558"/>
  <c r="L48" i="558" s="1"/>
  <c r="X42" i="558"/>
  <c r="H43" i="558"/>
  <c r="H48" i="558" s="1"/>
  <c r="X30" i="558"/>
  <c r="X21" i="558"/>
  <c r="D43" i="558"/>
  <c r="D48" i="558" s="1"/>
  <c r="Y12" i="558"/>
  <c r="U43" i="558"/>
  <c r="U48" i="558" s="1"/>
  <c r="E43" i="558"/>
  <c r="E48" i="558" s="1"/>
  <c r="M48" i="558"/>
  <c r="Y42" i="558"/>
  <c r="I43" i="558"/>
  <c r="I48" i="558" s="1"/>
  <c r="Y30" i="558"/>
  <c r="Y21" i="558"/>
  <c r="X47" i="9"/>
  <c r="W47" i="9"/>
  <c r="U47" i="9"/>
  <c r="T47" i="9"/>
  <c r="S47" i="9"/>
  <c r="R47" i="9"/>
  <c r="Q47" i="9"/>
  <c r="P47" i="9"/>
  <c r="O47" i="9"/>
  <c r="N47" i="9"/>
  <c r="M47" i="9"/>
  <c r="L47" i="9"/>
  <c r="K47" i="9"/>
  <c r="J47" i="9"/>
  <c r="Y47" i="9"/>
  <c r="I47" i="9"/>
  <c r="H47" i="9"/>
  <c r="G47" i="9"/>
  <c r="F47" i="9"/>
  <c r="V47" i="9"/>
  <c r="E47" i="9"/>
  <c r="D47" i="9"/>
  <c r="C47" i="9"/>
  <c r="B47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Y42" i="9"/>
  <c r="H42" i="9"/>
  <c r="G42" i="9"/>
  <c r="F42" i="9"/>
  <c r="E42" i="9"/>
  <c r="D42" i="9"/>
  <c r="C42" i="9"/>
  <c r="B42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Y34" i="9"/>
  <c r="I34" i="9"/>
  <c r="X34" i="9"/>
  <c r="H34" i="9"/>
  <c r="G34" i="9"/>
  <c r="W34" i="9"/>
  <c r="F34" i="9"/>
  <c r="E34" i="9"/>
  <c r="D34" i="9"/>
  <c r="C34" i="9"/>
  <c r="B34" i="9"/>
  <c r="W30" i="9"/>
  <c r="V30" i="9"/>
  <c r="X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Y30" i="9"/>
  <c r="H30" i="9"/>
  <c r="G30" i="9"/>
  <c r="F30" i="9"/>
  <c r="E30" i="9"/>
  <c r="D30" i="9"/>
  <c r="C30" i="9"/>
  <c r="B30" i="9"/>
  <c r="W21" i="9"/>
  <c r="V21" i="9"/>
  <c r="X21" i="9"/>
  <c r="U21" i="9"/>
  <c r="T21" i="9"/>
  <c r="S21" i="9"/>
  <c r="R21" i="9"/>
  <c r="Q21" i="9"/>
  <c r="P21" i="9"/>
  <c r="O21" i="9"/>
  <c r="O43" i="9" s="1"/>
  <c r="N21" i="9"/>
  <c r="M21" i="9"/>
  <c r="L21" i="9"/>
  <c r="K21" i="9"/>
  <c r="J21" i="9"/>
  <c r="I21" i="9"/>
  <c r="I43" i="9" s="1"/>
  <c r="Y21" i="9"/>
  <c r="H21" i="9"/>
  <c r="G21" i="9"/>
  <c r="F21" i="9"/>
  <c r="E21" i="9"/>
  <c r="D21" i="9"/>
  <c r="D43" i="9" s="1"/>
  <c r="C21" i="9"/>
  <c r="B21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Y12" i="9"/>
  <c r="I12" i="9"/>
  <c r="X12" i="9"/>
  <c r="H12" i="9"/>
  <c r="G12" i="9"/>
  <c r="F12" i="9"/>
  <c r="E12" i="9"/>
  <c r="D12" i="9"/>
  <c r="C12" i="9"/>
  <c r="B12" i="9"/>
  <c r="A1" i="9"/>
  <c r="Q48" i="558"/>
  <c r="B48" i="558"/>
  <c r="H43" i="9" l="1"/>
  <c r="H48" i="9" s="1"/>
  <c r="Y43" i="558"/>
  <c r="Y48" i="558" s="1"/>
  <c r="V43" i="558"/>
  <c r="V48" i="558" s="1"/>
  <c r="I48" i="9"/>
  <c r="Q43" i="9"/>
  <c r="Q48" i="9" s="1"/>
  <c r="W43" i="558"/>
  <c r="W48" i="558" s="1"/>
  <c r="X43" i="558"/>
  <c r="X48" i="558" s="1"/>
  <c r="E43" i="9"/>
  <c r="E48" i="9" s="1"/>
  <c r="K43" i="9"/>
  <c r="K48" i="9" s="1"/>
  <c r="G43" i="9"/>
  <c r="G48" i="9" s="1"/>
  <c r="F43" i="9"/>
  <c r="F48" i="9" s="1"/>
  <c r="N43" i="9"/>
  <c r="N48" i="9" s="1"/>
  <c r="P43" i="9"/>
  <c r="P48" i="9" s="1"/>
  <c r="U43" i="9"/>
  <c r="U48" i="9" s="1"/>
  <c r="T43" i="9"/>
  <c r="T48" i="9" s="1"/>
  <c r="S43" i="9"/>
  <c r="S48" i="9" s="1"/>
  <c r="R43" i="9"/>
  <c r="R48" i="9" s="1"/>
  <c r="M43" i="9"/>
  <c r="M48" i="9" s="1"/>
  <c r="L43" i="9"/>
  <c r="L48" i="9" s="1"/>
  <c r="J43" i="9"/>
  <c r="J48" i="9" s="1"/>
  <c r="C43" i="9"/>
  <c r="C48" i="9" s="1"/>
  <c r="B43" i="9"/>
  <c r="B48" i="9" s="1"/>
  <c r="Y43" i="9"/>
  <c r="Y48" i="9" s="1"/>
  <c r="X43" i="9"/>
  <c r="X48" i="9" s="1"/>
  <c r="W43" i="9"/>
  <c r="W48" i="9" s="1"/>
  <c r="V43" i="9"/>
  <c r="V48" i="9" s="1"/>
  <c r="D48" i="9"/>
  <c r="O48" i="9"/>
  <c r="H15" i="7"/>
  <c r="H21" i="7"/>
  <c r="F21" i="7"/>
  <c r="D21" i="7"/>
  <c r="F15" i="7"/>
  <c r="D15" i="7"/>
  <c r="D17" i="7" s="1"/>
  <c r="H7" i="7"/>
  <c r="F7" i="7"/>
  <c r="H17" i="7" l="1"/>
  <c r="H23" i="7" s="1"/>
  <c r="F17" i="7"/>
  <c r="F23" i="7" s="1"/>
  <c r="D23" i="7"/>
  <c r="A1074" i="5" l="1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1075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B4" i="3" l="1"/>
  <c r="K47" i="3" l="1"/>
  <c r="J47" i="3"/>
  <c r="I47" i="3"/>
  <c r="H47" i="3"/>
  <c r="G47" i="3"/>
  <c r="F47" i="3"/>
  <c r="E47" i="3"/>
  <c r="D47" i="3"/>
  <c r="C47" i="3"/>
  <c r="B47" i="3"/>
  <c r="M46" i="3"/>
  <c r="L46" i="3"/>
  <c r="M45" i="3"/>
  <c r="L45" i="3"/>
  <c r="K42" i="3"/>
  <c r="J42" i="3"/>
  <c r="I42" i="3"/>
  <c r="H42" i="3"/>
  <c r="G42" i="3"/>
  <c r="F42" i="3"/>
  <c r="E42" i="3"/>
  <c r="D42" i="3"/>
  <c r="C42" i="3"/>
  <c r="B42" i="3"/>
  <c r="M41" i="3"/>
  <c r="L41" i="3"/>
  <c r="M40" i="3"/>
  <c r="L40" i="3"/>
  <c r="M39" i="3"/>
  <c r="L39" i="3"/>
  <c r="M38" i="3"/>
  <c r="L38" i="3"/>
  <c r="M37" i="3"/>
  <c r="L37" i="3"/>
  <c r="M36" i="3"/>
  <c r="L36" i="3"/>
  <c r="K34" i="3"/>
  <c r="J34" i="3"/>
  <c r="I34" i="3"/>
  <c r="H34" i="3"/>
  <c r="G34" i="3"/>
  <c r="F34" i="3"/>
  <c r="E34" i="3"/>
  <c r="D34" i="3"/>
  <c r="C34" i="3"/>
  <c r="B34" i="3"/>
  <c r="M33" i="3"/>
  <c r="L33" i="3"/>
  <c r="M32" i="3"/>
  <c r="L32" i="3"/>
  <c r="K30" i="3"/>
  <c r="J30" i="3"/>
  <c r="I30" i="3"/>
  <c r="H30" i="3"/>
  <c r="G30" i="3"/>
  <c r="F30" i="3"/>
  <c r="E30" i="3"/>
  <c r="D30" i="3"/>
  <c r="C30" i="3"/>
  <c r="B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K21" i="3"/>
  <c r="J21" i="3"/>
  <c r="I21" i="3"/>
  <c r="H21" i="3"/>
  <c r="G21" i="3"/>
  <c r="F21" i="3"/>
  <c r="E21" i="3"/>
  <c r="D21" i="3"/>
  <c r="C21" i="3"/>
  <c r="B21" i="3"/>
  <c r="M20" i="3"/>
  <c r="L20" i="3"/>
  <c r="M19" i="3"/>
  <c r="L19" i="3"/>
  <c r="M18" i="3"/>
  <c r="L18" i="3"/>
  <c r="M17" i="3"/>
  <c r="L17" i="3"/>
  <c r="M16" i="3"/>
  <c r="L16" i="3"/>
  <c r="M15" i="3"/>
  <c r="L15" i="3"/>
  <c r="K12" i="3"/>
  <c r="J12" i="3"/>
  <c r="I12" i="3"/>
  <c r="H12" i="3"/>
  <c r="G12" i="3"/>
  <c r="F12" i="3"/>
  <c r="E12" i="3"/>
  <c r="D12" i="3"/>
  <c r="C12" i="3"/>
  <c r="B12" i="3"/>
  <c r="M11" i="3"/>
  <c r="L11" i="3"/>
  <c r="M10" i="3"/>
  <c r="L10" i="3"/>
  <c r="M9" i="3"/>
  <c r="L9" i="3"/>
  <c r="M8" i="3"/>
  <c r="L8" i="3"/>
  <c r="A1" i="3" a="1"/>
  <c r="A1" i="2" a="1"/>
  <c r="B1" i="2" a="1"/>
  <c r="G43" i="3" l="1"/>
  <c r="G48" i="3" s="1"/>
  <c r="E43" i="3"/>
  <c r="E48" i="3" s="1"/>
  <c r="I43" i="3"/>
  <c r="I48" i="3" s="1"/>
  <c r="J43" i="3"/>
  <c r="J48" i="3" s="1"/>
  <c r="B43" i="3"/>
  <c r="B48" i="3" s="1"/>
  <c r="M21" i="3"/>
  <c r="M30" i="3"/>
  <c r="M34" i="3"/>
  <c r="H43" i="3"/>
  <c r="H48" i="3" s="1"/>
  <c r="M47" i="3"/>
  <c r="C43" i="3"/>
  <c r="C48" i="3" s="1"/>
  <c r="K43" i="3"/>
  <c r="K48" i="3" s="1"/>
  <c r="L21" i="3"/>
  <c r="F43" i="3"/>
  <c r="F48" i="3" s="1"/>
  <c r="L34" i="3"/>
  <c r="M12" i="3"/>
  <c r="M42" i="3"/>
  <c r="L47" i="3"/>
  <c r="L42" i="3"/>
  <c r="L12" i="3"/>
  <c r="L30" i="3"/>
  <c r="D43" i="3"/>
  <c r="D48" i="3" s="1"/>
  <c r="A1" i="3"/>
  <c r="A1" i="2"/>
  <c r="B1" i="2"/>
  <c r="L43" i="3" l="1"/>
  <c r="L48" i="3" s="1"/>
  <c r="M43" i="3"/>
  <c r="M48" i="3" s="1"/>
  <c r="H47" i="2"/>
  <c r="E47" i="2"/>
  <c r="C47" i="2"/>
  <c r="B47" i="2"/>
  <c r="H42" i="2"/>
  <c r="E42" i="2"/>
  <c r="C42" i="2"/>
  <c r="B42" i="2"/>
  <c r="H34" i="2"/>
  <c r="E34" i="2"/>
  <c r="C34" i="2"/>
  <c r="B34" i="2"/>
  <c r="H30" i="2"/>
  <c r="E30" i="2"/>
  <c r="C30" i="2"/>
  <c r="B30" i="2"/>
  <c r="H21" i="2"/>
  <c r="E21" i="2"/>
  <c r="C21" i="2"/>
  <c r="B21" i="2"/>
  <c r="H12" i="2"/>
  <c r="E12" i="2"/>
  <c r="C12" i="2"/>
  <c r="B12" i="2"/>
  <c r="F38" i="2" a="1"/>
  <c r="D34" i="2" a="1"/>
  <c r="G26" i="2" a="1"/>
  <c r="D17" i="2" a="1"/>
  <c r="F19" i="2" a="1"/>
  <c r="I19" i="2" a="1"/>
  <c r="F37" i="2" a="1"/>
  <c r="D8" i="2" a="1"/>
  <c r="I37" i="2" a="1"/>
  <c r="F10" i="2" a="1"/>
  <c r="I34" i="2" a="1"/>
  <c r="D33" i="2" a="1"/>
  <c r="G23" i="2" a="1"/>
  <c r="G19" i="2" a="1"/>
  <c r="D30" i="2" a="1"/>
  <c r="F34" i="2" a="1"/>
  <c r="G47" i="2" a="1"/>
  <c r="I12" i="2" a="1"/>
  <c r="F29" i="2" a="1"/>
  <c r="G15" i="2" a="1"/>
  <c r="I39" i="2" a="1"/>
  <c r="I17" i="2" a="1"/>
  <c r="F41" i="2" a="1"/>
  <c r="I29" i="2" a="1"/>
  <c r="G12" i="2" a="1"/>
  <c r="I21" i="2" a="1"/>
  <c r="G42" i="2" a="1"/>
  <c r="I40" i="2" a="1"/>
  <c r="D32" i="2" a="1"/>
  <c r="G45" i="2" a="1"/>
  <c r="D42" i="2" a="1"/>
  <c r="F18" i="2" a="1"/>
  <c r="F24" i="2" a="1"/>
  <c r="G33" i="2" a="1"/>
  <c r="I8" i="2" a="1"/>
  <c r="D28" i="2" a="1"/>
  <c r="F8" i="2" a="1"/>
  <c r="F47" i="2" a="1"/>
  <c r="F46" i="2" a="1"/>
  <c r="F11" i="2" a="1"/>
  <c r="D29" i="2" a="1"/>
  <c r="D41" i="2" a="1"/>
  <c r="G11" i="2" a="1"/>
  <c r="D27" i="2" a="1"/>
  <c r="F39" i="2" a="1"/>
  <c r="D47" i="2" a="1"/>
  <c r="D20" i="2" a="1"/>
  <c r="D25" i="2" a="1"/>
  <c r="F15" i="2" a="1"/>
  <c r="D46" i="2" a="1"/>
  <c r="I26" i="2" a="1"/>
  <c r="G17" i="2" a="1"/>
  <c r="I30" i="2" a="1"/>
  <c r="D11" i="2" a="1"/>
  <c r="F21" i="2" a="1"/>
  <c r="D37" i="2" a="1"/>
  <c r="I27" i="2" a="1"/>
  <c r="I10" i="2" a="1"/>
  <c r="G16" i="2" a="1"/>
  <c r="G27" i="2" a="1"/>
  <c r="D15" i="2" a="1"/>
  <c r="D10" i="2" a="1"/>
  <c r="F45" i="2" a="1"/>
  <c r="I20" i="2" a="1"/>
  <c r="F40" i="2" a="1"/>
  <c r="G32" i="2" a="1"/>
  <c r="F12" i="2" a="1"/>
  <c r="G20" i="2" a="1"/>
  <c r="F9" i="2" a="1"/>
  <c r="G10" i="2" a="1"/>
  <c r="D24" i="2" a="1"/>
  <c r="F25" i="2" a="1"/>
  <c r="I45" i="2" a="1"/>
  <c r="F26" i="2" a="1"/>
  <c r="G36" i="2" a="1"/>
  <c r="D36" i="2" a="1"/>
  <c r="I42" i="2" a="1"/>
  <c r="I24" i="2" a="1"/>
  <c r="G34" i="2" a="1"/>
  <c r="D21" i="2" a="1"/>
  <c r="G18" i="2" a="1"/>
  <c r="D39" i="2" a="1"/>
  <c r="D19" i="2" a="1"/>
  <c r="D26" i="2" a="1"/>
  <c r="I32" i="2" a="1"/>
  <c r="D23" i="2" a="1"/>
  <c r="D38" i="2" a="1"/>
  <c r="F42" i="2" a="1"/>
  <c r="G37" i="2" a="1"/>
  <c r="I36" i="2" a="1"/>
  <c r="G21" i="2" a="1"/>
  <c r="F23" i="2" a="1"/>
  <c r="G41" i="2" a="1"/>
  <c r="D12" i="2" a="1"/>
  <c r="F36" i="2" a="1"/>
  <c r="I15" i="2" a="1"/>
  <c r="I16" i="2" a="1"/>
  <c r="F32" i="2" a="1"/>
  <c r="G9" i="2" a="1"/>
  <c r="F17" i="2" a="1"/>
  <c r="I23" i="2" a="1"/>
  <c r="D18" i="2" a="1"/>
  <c r="F20" i="2" a="1"/>
  <c r="I41" i="2" a="1"/>
  <c r="G24" i="2" a="1"/>
  <c r="I33" i="2" a="1"/>
  <c r="I18" i="2" a="1"/>
  <c r="D9" i="2" a="1"/>
  <c r="F16" i="2" a="1"/>
  <c r="D45" i="2" a="1"/>
  <c r="G38" i="2" a="1"/>
  <c r="D40" i="2" a="1"/>
  <c r="G30" i="2" a="1"/>
  <c r="G8" i="2" a="1"/>
  <c r="G29" i="2" a="1"/>
  <c r="G25" i="2" a="1"/>
  <c r="I28" i="2" a="1"/>
  <c r="I46" i="2" a="1"/>
  <c r="I9" i="2" a="1"/>
  <c r="D16" i="2" a="1"/>
  <c r="G39" i="2" a="1"/>
  <c r="G28" i="2" a="1"/>
  <c r="I38" i="2" a="1"/>
  <c r="I11" i="2" a="1"/>
  <c r="F30" i="2" a="1"/>
  <c r="F33" i="2" a="1"/>
  <c r="I25" i="2" a="1"/>
  <c r="G40" i="2" a="1"/>
  <c r="I47" i="2" a="1"/>
  <c r="G46" i="2" a="1"/>
  <c r="F28" i="2" a="1"/>
  <c r="F27" i="2" a="1"/>
  <c r="E43" i="2" l="1"/>
  <c r="E48" i="2" s="1"/>
  <c r="C43" i="2"/>
  <c r="C48" i="2" s="1"/>
  <c r="B43" i="2"/>
  <c r="H43" i="2"/>
  <c r="H48" i="2" s="1"/>
  <c r="F10" i="2"/>
  <c r="I26" i="2"/>
  <c r="D40" i="2"/>
  <c r="D12" i="2"/>
  <c r="F19" i="2"/>
  <c r="D11" i="2"/>
  <c r="I15" i="2"/>
  <c r="I19" i="2"/>
  <c r="G25" i="2"/>
  <c r="I32" i="2"/>
  <c r="I38" i="2"/>
  <c r="I40" i="2"/>
  <c r="F9" i="2"/>
  <c r="F11" i="2"/>
  <c r="G12" i="2"/>
  <c r="D16" i="2"/>
  <c r="D18" i="2"/>
  <c r="D20" i="2"/>
  <c r="F21" i="2"/>
  <c r="I23" i="2"/>
  <c r="I25" i="2"/>
  <c r="I27" i="2"/>
  <c r="F29" i="2"/>
  <c r="G30" i="2"/>
  <c r="D33" i="2"/>
  <c r="F34" i="2"/>
  <c r="D37" i="2"/>
  <c r="D39" i="2"/>
  <c r="D41" i="2"/>
  <c r="I46" i="2"/>
  <c r="I47" i="2"/>
  <c r="D15" i="2"/>
  <c r="D23" i="2"/>
  <c r="D36" i="2"/>
  <c r="I42" i="2"/>
  <c r="G10" i="2"/>
  <c r="F15" i="2"/>
  <c r="D9" i="2"/>
  <c r="F12" i="2"/>
  <c r="I17" i="2"/>
  <c r="G23" i="2"/>
  <c r="G27" i="2"/>
  <c r="F30" i="2"/>
  <c r="I36" i="2"/>
  <c r="D42" i="2"/>
  <c r="G46" i="2"/>
  <c r="G9" i="2"/>
  <c r="G11" i="2"/>
  <c r="F16" i="2"/>
  <c r="F18" i="2"/>
  <c r="F20" i="2"/>
  <c r="G21" i="2"/>
  <c r="D24" i="2"/>
  <c r="D26" i="2"/>
  <c r="D28" i="2"/>
  <c r="G29" i="2"/>
  <c r="F33" i="2"/>
  <c r="G34" i="2"/>
  <c r="F37" i="2"/>
  <c r="F39" i="2"/>
  <c r="F42" i="2"/>
  <c r="D45" i="2"/>
  <c r="I9" i="2"/>
  <c r="I11" i="2"/>
  <c r="G16" i="2"/>
  <c r="G18" i="2"/>
  <c r="G20" i="2"/>
  <c r="F24" i="2"/>
  <c r="F26" i="2"/>
  <c r="I29" i="2"/>
  <c r="G33" i="2"/>
  <c r="G37" i="2"/>
  <c r="G39" i="2"/>
  <c r="F41" i="2"/>
  <c r="G42" i="2"/>
  <c r="F45" i="2"/>
  <c r="D10" i="2"/>
  <c r="I12" i="2"/>
  <c r="I16" i="2"/>
  <c r="I18" i="2"/>
  <c r="I20" i="2"/>
  <c r="I21" i="2"/>
  <c r="G24" i="2"/>
  <c r="G26" i="2"/>
  <c r="F28" i="2"/>
  <c r="I30" i="2"/>
  <c r="I33" i="2"/>
  <c r="I34" i="2"/>
  <c r="I37" i="2"/>
  <c r="I39" i="2"/>
  <c r="G41" i="2"/>
  <c r="G45" i="2"/>
  <c r="D47" i="2"/>
  <c r="G28" i="2"/>
  <c r="D38" i="2"/>
  <c r="I45" i="2"/>
  <c r="D19" i="2"/>
  <c r="D32" i="2"/>
  <c r="F36" i="2"/>
  <c r="F8" i="2"/>
  <c r="D17" i="2"/>
  <c r="I24" i="2"/>
  <c r="I41" i="2"/>
  <c r="G8" i="2"/>
  <c r="F17" i="2"/>
  <c r="D25" i="2"/>
  <c r="D27" i="2"/>
  <c r="I28" i="2"/>
  <c r="D30" i="2"/>
  <c r="F32" i="2"/>
  <c r="F38" i="2"/>
  <c r="F40" i="2"/>
  <c r="D46" i="2"/>
  <c r="F47" i="2"/>
  <c r="I8" i="2"/>
  <c r="I10" i="2"/>
  <c r="G15" i="2"/>
  <c r="G17" i="2"/>
  <c r="G19" i="2"/>
  <c r="D21" i="2"/>
  <c r="F23" i="2"/>
  <c r="F25" i="2"/>
  <c r="F27" i="2"/>
  <c r="D29" i="2"/>
  <c r="G32" i="2"/>
  <c r="D34" i="2"/>
  <c r="G36" i="2"/>
  <c r="G38" i="2"/>
  <c r="G40" i="2"/>
  <c r="F46" i="2"/>
  <c r="G47" i="2"/>
  <c r="D8" i="2"/>
  <c r="F48" i="2" a="1"/>
  <c r="I48" i="2" a="1"/>
  <c r="G48" i="2" a="1"/>
  <c r="D43" i="2" a="1"/>
  <c r="I43" i="2" a="1"/>
  <c r="G43" i="2" a="1"/>
  <c r="F43" i="2" a="1"/>
  <c r="F43" i="2" l="1"/>
  <c r="G43" i="2"/>
  <c r="I43" i="2"/>
  <c r="F48" i="2"/>
  <c r="I48" i="2"/>
  <c r="G48" i="2"/>
  <c r="D43" i="2"/>
  <c r="B48" i="2"/>
  <c r="D48" i="2" a="1"/>
  <c r="D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grega</author>
  </authors>
  <commentList>
    <comment ref="N2" authorId="0" shapeId="0" xr:uid="{89718F67-2E02-43A3-847D-1C4E1FEAD735}">
      <text>
        <r>
          <rPr>
            <b/>
            <sz val="9"/>
            <color indexed="81"/>
            <rFont val="Tahoma"/>
            <family val="2"/>
          </rPr>
          <t xml:space="preserve">To handle these unidentified speedtypes, you will either need to add these speedtypes to the Consolidation Lists table (click View Ref Sheets button), or re-download the reports from CU Data to exclude these speedtypes. </t>
        </r>
      </text>
    </comment>
    <comment ref="P2" authorId="0" shapeId="0" xr:uid="{2B14A886-FDFC-42C7-BD94-6E232810530F}">
      <text>
        <r>
          <rPr>
            <b/>
            <sz val="9"/>
            <color indexed="81"/>
            <rFont val="Tahoma"/>
            <family val="2"/>
          </rPr>
          <t xml:space="preserve">To handle these unidentified speedtypes, you will either need to add these speedtypes to the Consolidation Lists table (click View Ref Sheets button), or re-download the reports from CU Data to exclude these speedtypes. </t>
        </r>
      </text>
    </comment>
    <comment ref="S2" authorId="0" shapeId="0" xr:uid="{97C3B26B-17B9-432D-BCBE-0548513175C2}">
      <text>
        <r>
          <rPr>
            <b/>
            <sz val="9"/>
            <color indexed="81"/>
            <rFont val="Tahoma"/>
            <family val="2"/>
          </rPr>
          <t>These two columns are essential for creating the Fund Balance sheet in QR reports. Don't touch.</t>
        </r>
      </text>
    </comment>
    <comment ref="G9" authorId="0" shapeId="0" xr:uid="{A27EBC67-8C09-43E3-BAB9-D76E2C4CC3FA}">
      <text>
        <r>
          <rPr>
            <b/>
            <sz val="9"/>
            <color indexed="81"/>
            <rFont val="Tahoma"/>
            <family val="2"/>
          </rPr>
          <t>Determine the weights for each FY used to calculuate Quarterly averages</t>
        </r>
      </text>
    </comment>
    <comment ref="E13" authorId="0" shapeId="0" xr:uid="{EE1B8169-2645-4EB7-8634-D54C131C4954}">
      <text>
        <r>
          <rPr>
            <b/>
            <sz val="9"/>
            <color indexed="81"/>
            <rFont val="Tahoma"/>
            <family val="2"/>
          </rPr>
          <t>If False, then the report will be saved in the same folder as this workbook</t>
        </r>
      </text>
    </comment>
    <comment ref="E14" authorId="0" shapeId="0" xr:uid="{13C8D951-6B02-434F-9771-521632CFED17}">
      <text>
        <r>
          <rPr>
            <b/>
            <sz val="9"/>
            <color indexed="81"/>
            <rFont val="Tahoma"/>
            <family val="2"/>
          </rPr>
          <t>This range only matters for the Seasonal Budget</t>
        </r>
      </text>
    </comment>
    <comment ref="E15" authorId="0" shapeId="0" xr:uid="{2A8B14F1-B918-447A-A9D1-34D4B3D4B8B6}">
      <text>
        <r>
          <rPr>
            <b/>
            <sz val="9"/>
            <color indexed="81"/>
            <rFont val="Tahoma"/>
            <family val="2"/>
          </rPr>
          <t>If True, then a PDF will be created in addition to the .xlsx file.
CURRENTLY BROKEN</t>
        </r>
      </text>
    </comment>
    <comment ref="B17" authorId="0" shapeId="0" xr:uid="{60AD039D-E6FD-463C-AEE2-EF2AB6486001}">
      <text>
        <r>
          <rPr>
            <b/>
            <sz val="9"/>
            <color indexed="81"/>
            <rFont val="Tahoma"/>
            <family val="2"/>
          </rPr>
          <t>This cells value will be updated when a .csv file is selected, and will be referenced in the VBA script.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<sst xmlns="http://schemas.openxmlformats.org/spreadsheetml/2006/main" count="10562" uniqueCount="1700">
  <si>
    <t>Fund Balance</t>
  </si>
  <si>
    <t>12000582 -- PRO SHOP OPERATION</t>
  </si>
  <si>
    <t>Pro Shop-Vending</t>
  </si>
  <si>
    <t>Main</t>
  </si>
  <si>
    <t>12012402 -- FACILITY RENTAL</t>
  </si>
  <si>
    <t>Events-Facilities Svcs</t>
  </si>
  <si>
    <t>12021495 -- REC CTR MARKETING</t>
  </si>
  <si>
    <t>Marketing</t>
  </si>
  <si>
    <t>12001290 -- MISC. TRIPS AND CLINICS</t>
  </si>
  <si>
    <t>Outdoor Programs</t>
  </si>
  <si>
    <t>12000355 -- FWP CYCLE</t>
  </si>
  <si>
    <t>FitWell Programs</t>
  </si>
  <si>
    <t>12017991 -- INSTRUCTION DANCE</t>
  </si>
  <si>
    <t>12014027 -- GROUP FITNESS</t>
  </si>
  <si>
    <t>12022392 -- FOOD SERVICE</t>
  </si>
  <si>
    <t>12021496 -- CLIMBING GYM</t>
  </si>
  <si>
    <t>12011344 -- INSTRUCTION RACQUET</t>
  </si>
  <si>
    <t>12000583 -- WILDERNESS FIRST RESPONDER</t>
  </si>
  <si>
    <t>12020098 -- REC FAC-SECURITY</t>
  </si>
  <si>
    <t>Building Services</t>
  </si>
  <si>
    <t>12015461 -- INSTRUCTION AQUA</t>
  </si>
  <si>
    <t>12020915 -- REC FAC-ICE RINK</t>
  </si>
  <si>
    <t>Rink</t>
  </si>
  <si>
    <t>12017103 -- MIND BODY</t>
  </si>
  <si>
    <t>12016519 -- REC FAC-SWIMMING POOLS</t>
  </si>
  <si>
    <t>Pools</t>
  </si>
  <si>
    <t>12001289 -- OUTDOOR EQUIPMENT RENTAL</t>
  </si>
  <si>
    <t>12015774 -- PERSONAL TRAINING</t>
  </si>
  <si>
    <t>12014439 -- REC PROG-UNPLGD REV</t>
  </si>
  <si>
    <t>SF Rev (Pre-2011 Expansion)</t>
  </si>
  <si>
    <t>12014182 -- LOCKER RENTAL</t>
  </si>
  <si>
    <t>Lockers</t>
  </si>
  <si>
    <t>12015453 -- REC FAC-CAPITAL EQUP</t>
  </si>
  <si>
    <t>Capital</t>
  </si>
  <si>
    <t>12000759 -- TRAINING ROOM OPERATION</t>
  </si>
  <si>
    <t>Training Room</t>
  </si>
  <si>
    <t>12022391 -- REC FAC-EQUIPMENT SERVICES</t>
  </si>
  <si>
    <t xml:space="preserve">Check-Out </t>
  </si>
  <si>
    <t>12001246 -- MEN'S HOCKEY 2ND TEAM (FR)</t>
  </si>
  <si>
    <t>Student Fee Sport Clubs</t>
  </si>
  <si>
    <t>12021453 -- CLEARING</t>
  </si>
  <si>
    <t>Membership</t>
  </si>
  <si>
    <t>12001035 -- CLUBS ADMIN</t>
  </si>
  <si>
    <t>12000343 -- WOMEN'S WATER POLO (FR)</t>
  </si>
  <si>
    <t>12010647 -- SPECIAL USE MEMBERSHIP</t>
  </si>
  <si>
    <t>12000210 -- SPORT CLUBS UNIFORMS</t>
  </si>
  <si>
    <t>12020830 -- REC FAC-MAINTENANCE</t>
  </si>
  <si>
    <t>Maintenance</t>
  </si>
  <si>
    <t>12001643 -- MARKETING: EVENTS</t>
  </si>
  <si>
    <t>12001807 -- INCIDENT RESPONSE - CLUB SPRTS</t>
  </si>
  <si>
    <t>12001063 -- TRIATHLON SF</t>
  </si>
  <si>
    <t>12001043 -- FIELD HOCKEY SF</t>
  </si>
  <si>
    <t>12018472 -- INSTRUCTION ADMIN</t>
  </si>
  <si>
    <t>12001033 -- STAFF CPR</t>
  </si>
  <si>
    <t>12001071 -- CYCLING SF</t>
  </si>
  <si>
    <t>12001044 -- FLY FISHING SF</t>
  </si>
  <si>
    <t>12001039 -- CREW SF</t>
  </si>
  <si>
    <t>12001038 -- BASEBALL SF</t>
  </si>
  <si>
    <t>12001045 -- FREESTYLE SKIING SF</t>
  </si>
  <si>
    <t>12001062 -- TENNIS SF</t>
  </si>
  <si>
    <t>12001061 -- TAE KWON DO SF</t>
  </si>
  <si>
    <t>12001037 -- CLUBS FACILITY RENTAL</t>
  </si>
  <si>
    <t>12001055 -- SNOWBOARDING SF</t>
  </si>
  <si>
    <t>12001058 -- SOFTBALL SF</t>
  </si>
  <si>
    <t>12001052 -- ROLLER HOCKEY SF</t>
  </si>
  <si>
    <t>12000016 -- SPECIAL PROJECT: STUDENT DEVEL</t>
  </si>
  <si>
    <t>Administration</t>
  </si>
  <si>
    <t>12001040 -- DANCE SF</t>
  </si>
  <si>
    <t>12001373 -- INCLUSIVE SPORTS SUMMIT</t>
  </si>
  <si>
    <t>Inclusive Sports Summit</t>
  </si>
  <si>
    <t>12000692 -- 2011 EXPANSION OUTSTNDNG ITEMS</t>
  </si>
  <si>
    <t>12001042 -- FENCING SF</t>
  </si>
  <si>
    <t>Quarter</t>
  </si>
  <si>
    <t>Fields</t>
  </si>
  <si>
    <t>Rec Fields</t>
  </si>
  <si>
    <t>Bear Creek Rec</t>
  </si>
  <si>
    <t>Equipment Services</t>
  </si>
  <si>
    <t>IT</t>
  </si>
  <si>
    <t>Intramural</t>
  </si>
  <si>
    <t>SF Rev (2011 Expansion)</t>
  </si>
  <si>
    <t>Special Events</t>
  </si>
  <si>
    <t>12072536 -- REC FIELD INITIATIVE</t>
  </si>
  <si>
    <t>12027282 -- REC FAC-ADMINISTRATN</t>
  </si>
  <si>
    <t>12031651 -- SPECIAL PROJECT #3</t>
  </si>
  <si>
    <t>12086362 -- FAC ADMIN SPECIAL PROJECTS</t>
  </si>
  <si>
    <t>12060718 -- BEAR CREEK FITNESS</t>
  </si>
  <si>
    <t>12086898 -- BEAR CREEK FACILITIES RENTAL</t>
  </si>
  <si>
    <t>12031666 -- NIRSA</t>
  </si>
  <si>
    <t>12012148 -- INSTRUCTION MASTER</t>
  </si>
  <si>
    <t>12023633 -- CERTIFICATIONS</t>
  </si>
  <si>
    <t>12024188 -- MISC FW ACTIVITIES</t>
  </si>
  <si>
    <t>12027600 -- INSTRUCTION MART ART</t>
  </si>
  <si>
    <t>12031662 -- IT SUPPORT</t>
  </si>
  <si>
    <t>12028225 -- INTRAMURALS</t>
  </si>
  <si>
    <t>12053296 -- MAINTENANCE - CUSTODIAL</t>
  </si>
  <si>
    <t>12025353 -- OP GENERAL OPS</t>
  </si>
  <si>
    <t>12080880 -- ROPES COURSE</t>
  </si>
  <si>
    <t>12086363 -- PROG ADMIN SPECIAL PROJECTS</t>
  </si>
  <si>
    <t>12014438 -- REC FAC-PLEDGED REV</t>
  </si>
  <si>
    <t>12025203 -- REC FAC-STUDENT FEES</t>
  </si>
  <si>
    <t>12051682 -- LATE NIGHT - STUDENT FEES</t>
  </si>
  <si>
    <t>12019402 -- WOMEN'S VOLLEYBALL (FR)</t>
  </si>
  <si>
    <t>12028667 -- CLUB SPORTS (FR) ADM</t>
  </si>
  <si>
    <t>12051681 -- COLORADO CREW (FR)</t>
  </si>
  <si>
    <t>Speedtype / Program</t>
  </si>
  <si>
    <t>( A )</t>
  </si>
  <si>
    <t>( B )</t>
  </si>
  <si>
    <t>( C )</t>
  </si>
  <si>
    <t>( D )</t>
  </si>
  <si>
    <t>( E )</t>
  </si>
  <si>
    <t>( F )</t>
  </si>
  <si>
    <t>( G )</t>
  </si>
  <si>
    <t>( H )</t>
  </si>
  <si>
    <t>Footnotes</t>
  </si>
  <si>
    <t xml:space="preserve">Seasonalized </t>
  </si>
  <si>
    <t>Act. - Seas.</t>
  </si>
  <si>
    <t>Prior</t>
  </si>
  <si>
    <t>YTD - Prior</t>
  </si>
  <si>
    <t>Annual Budget</t>
  </si>
  <si>
    <t>Budget</t>
  </si>
  <si>
    <t>Seasonal %</t>
  </si>
  <si>
    <t>YTD Actual</t>
  </si>
  <si>
    <t>$ Variance</t>
  </si>
  <si>
    <t>% Variance</t>
  </si>
  <si>
    <t xml:space="preserve">   </t>
  </si>
  <si>
    <t>( B / A )</t>
  </si>
  <si>
    <t>( D - B )</t>
  </si>
  <si>
    <t>( E / B )</t>
  </si>
  <si>
    <t>( G / D ) - 1</t>
  </si>
  <si>
    <t>Revenue</t>
  </si>
  <si>
    <t>Student Fees</t>
  </si>
  <si>
    <t>Self-Generated</t>
  </si>
  <si>
    <t>Gift &amp; Grant</t>
  </si>
  <si>
    <t>Transfers In</t>
  </si>
  <si>
    <t>Total Revenue</t>
  </si>
  <si>
    <t>Salaries &amp; Benefits</t>
  </si>
  <si>
    <t>Professional Salaries</t>
  </si>
  <si>
    <t>Classified Salaries</t>
  </si>
  <si>
    <t>Hourly Wages</t>
  </si>
  <si>
    <t>Professional Benefits</t>
  </si>
  <si>
    <t>Classified Benefits</t>
  </si>
  <si>
    <t>Hourly Benefits</t>
  </si>
  <si>
    <t>Subtotal Salaries &amp; Benefits</t>
  </si>
  <si>
    <t>Operating Expenses</t>
  </si>
  <si>
    <t>Operating Expense Budget</t>
  </si>
  <si>
    <t>COGS</t>
  </si>
  <si>
    <t>Office Administration</t>
  </si>
  <si>
    <t>Official Functions</t>
  </si>
  <si>
    <t>Rentals</t>
  </si>
  <si>
    <t>Promotional Materials &amp; Services</t>
  </si>
  <si>
    <t>Other Operating Expense</t>
  </si>
  <si>
    <t>Subtotal Operating Expenses</t>
  </si>
  <si>
    <t>Travel</t>
  </si>
  <si>
    <t>Employee Travel</t>
  </si>
  <si>
    <t>Non-Employee Travel</t>
  </si>
  <si>
    <t>Subtotal Travel</t>
  </si>
  <si>
    <t>Other Fund Deductions</t>
  </si>
  <si>
    <t>Insurance</t>
  </si>
  <si>
    <t>Utilities</t>
  </si>
  <si>
    <t>Facilities &amp; Admin.</t>
  </si>
  <si>
    <t>GAR</t>
  </si>
  <si>
    <t>GIR</t>
  </si>
  <si>
    <t>Subtotal Other Deductions</t>
  </si>
  <si>
    <t>Total Expenses</t>
  </si>
  <si>
    <t>Transfers Out &amp; Debt Management</t>
  </si>
  <si>
    <t>Transfers Out</t>
  </si>
  <si>
    <t>Debt Management</t>
  </si>
  <si>
    <t>Subtotal Transfers Out &amp; Debt</t>
  </si>
  <si>
    <t>Net Position</t>
  </si>
  <si>
    <t>Footnotes:</t>
  </si>
  <si>
    <t>Annual</t>
  </si>
  <si>
    <t>Quarter One</t>
  </si>
  <si>
    <t>Quarter Two</t>
  </si>
  <si>
    <t>Quarter Three</t>
  </si>
  <si>
    <t>Quarter Four</t>
  </si>
  <si>
    <t>FY Total</t>
  </si>
  <si>
    <t>Average Actuals</t>
  </si>
  <si>
    <t>Actuals</t>
  </si>
  <si>
    <t>YTD Average</t>
  </si>
  <si>
    <t>YTD Actuals</t>
  </si>
  <si>
    <t>FY XX</t>
  </si>
  <si>
    <t>Cost Center</t>
  </si>
  <si>
    <t># of Years</t>
  </si>
  <si>
    <t>Fiscal Year Start</t>
  </si>
  <si>
    <t>Select Destination</t>
  </si>
  <si>
    <t>Full File Path</t>
  </si>
  <si>
    <t>REC</t>
  </si>
  <si>
    <t>Line Item Account</t>
  </si>
  <si>
    <t>Account Code</t>
  </si>
  <si>
    <t>Lower</t>
  </si>
  <si>
    <t>Upper</t>
  </si>
  <si>
    <t>Student Fee Revenues</t>
  </si>
  <si>
    <t>220000 - 224999 STUDENT FEES</t>
  </si>
  <si>
    <t>225000 - 229996 REFUND STUDENT ACTIVITY FEES</t>
  </si>
  <si>
    <t>229997 - 229997 FEES BAD DEBT CONTRA</t>
  </si>
  <si>
    <t>229998 FEES SCHOL ALLOW-NONEXMPT</t>
  </si>
  <si>
    <t>229999 FEES SCHOL ALLOW-EXMPT</t>
  </si>
  <si>
    <t>Self-Generated Revenues</t>
  </si>
  <si>
    <t>200000 REVENUE GENERAL BUDGET</t>
  </si>
  <si>
    <t>200100 - 200999 APPROPRIATIONS</t>
  </si>
  <si>
    <t>201000 - 201997 REFUNDS ON APPROPRIATIONS</t>
  </si>
  <si>
    <t>202000 CONTRIBUTN FROM STATE GEN BUDG</t>
  </si>
  <si>
    <t>202001 COP CAPITAL CONTRIBUT TRANSFER</t>
  </si>
  <si>
    <t>202002 COP CAP CONTRIBUT-INT EXP</t>
  </si>
  <si>
    <t>202003 COP CAP CONTRIBUT-INT REV</t>
  </si>
  <si>
    <t>202004 COP CAP CONTRIBUT-ISS COSTS</t>
  </si>
  <si>
    <t>202005 COP 2008 CAPITAL CONTRIBUTION</t>
  </si>
  <si>
    <t>202006 COP 2008 CAP CONT INTEREST REV</t>
  </si>
  <si>
    <t>237500 - 237999 REVENUE-PROGRAM INCOME</t>
  </si>
  <si>
    <t>250000 - 250099 SALES-SERV ED ACT GEN BDGT</t>
  </si>
  <si>
    <t>250100 - 254999 SALES&amp;SRVS EDUCATIONAL ACTIVTS</t>
  </si>
  <si>
    <t>255000 - 259997 REFUND - SALES-SRVS EDUC ACTIV</t>
  </si>
  <si>
    <t>280000 - 280099 AUX ENTERPRISE REV-GEN BDGT</t>
  </si>
  <si>
    <t>280100 - 284999 AUXILLIARY ENTERPRISE REVENUE</t>
  </si>
  <si>
    <t>285000 - 289997 REFUND-AUX ENTERPRISE REVENUE</t>
  </si>
  <si>
    <t>289998 AUX REV SCHOL ALLOW NONEXMPT</t>
  </si>
  <si>
    <t>289999 AUX REV SCHOL ALLOW EXMPT</t>
  </si>
  <si>
    <t>310000 - 310099 HEALTH SERVICES REV-GEN BUDGET</t>
  </si>
  <si>
    <t>310100 - 310999 HEALTH SERVICES REVENUE</t>
  </si>
  <si>
    <t>311000 - 311999 RFND HEALTH SERVICES REVENUE</t>
  </si>
  <si>
    <t>315000 - 315099 F-A GENERAL BUDGET</t>
  </si>
  <si>
    <t>315100 - 315199 F-A REV-RESEARCH ON-CAMPUS</t>
  </si>
  <si>
    <t>315200 - 315299 F-A REV-RESEARCH OFF-CAMPUS</t>
  </si>
  <si>
    <t>315300 - 315399 F-A REV-INSTRUCTION ON-CAMPUS</t>
  </si>
  <si>
    <t>315400 - 315499 F-A REV-INSTRUCTION OFF-CAMPUS</t>
  </si>
  <si>
    <t>315500 - 315599 F-A REV-OTHER ON-CAMPUS</t>
  </si>
  <si>
    <t>315600 - 315699 F-A REV-OTHER OFF-CAMPUS</t>
  </si>
  <si>
    <t>315700 - 315799 STUDENT AID ADMIN ALLOWANCE</t>
  </si>
  <si>
    <t>320000 - 320099 RENTAL INCOME GENERAL BUDGET</t>
  </si>
  <si>
    <t>320100 - 320999 RENTAL INCOME</t>
  </si>
  <si>
    <t>321000 - 321997 REFUND RENTAL INCOME</t>
  </si>
  <si>
    <t>325000 - 325099 MISC INCOME-GEN BUDGET</t>
  </si>
  <si>
    <t>325100 - 332999 MISCELLANEOUS INCOME</t>
  </si>
  <si>
    <t>333000 - 334996 RFND-PROCEEDS PROPERTY SALES</t>
  </si>
  <si>
    <t>334997 - 334997 MISC FEES BAD DEBT CONTRA</t>
  </si>
  <si>
    <t>355000 - 355099 OTHER FUND ADDL GENERAL BUDGET</t>
  </si>
  <si>
    <t>355100 - 355199 US GOVERNMENT ADVANCES</t>
  </si>
  <si>
    <t>355200 - 355299 ADDITIONS TO PLANT</t>
  </si>
  <si>
    <t>355300 - 355399 RETIREMENT OF DEBT</t>
  </si>
  <si>
    <t>355400 - 355499 REFINANCING NET GAINS-LOSSES</t>
  </si>
  <si>
    <t>355500 - 355599 AURARIA LIBRARY-MEDIA REVENUE</t>
  </si>
  <si>
    <t>355700 - 355799 ADDITIONS TO ENDOWMENT FUND</t>
  </si>
  <si>
    <t>380000 - 380099 SERVICE CENTER IN GENERAL BUDG</t>
  </si>
  <si>
    <t>380100 - 384999 SERVICE CENTER IN REVENUE</t>
  </si>
  <si>
    <t>385000 - 389999 REFUND SERVICE CENTER IN REV</t>
  </si>
  <si>
    <t>390000 ID REVENUE GENERAL BUDGET</t>
  </si>
  <si>
    <t>390001 ID MISC REVENUE</t>
  </si>
  <si>
    <t>390002 ID SECURITY SERVICES</t>
  </si>
  <si>
    <t>390003 ID PHYSICAL PLANT SERVICES</t>
  </si>
  <si>
    <t>390004 ID RECYCLING SERVICES</t>
  </si>
  <si>
    <t>390005 ID FOOD SERVICES</t>
  </si>
  <si>
    <t>390006 ID PROFESSIONAL SERVICES</t>
  </si>
  <si>
    <t>390007 ID SUPPLIES SALES</t>
  </si>
  <si>
    <t>390008 ID CUSTODIAL SERVICES</t>
  </si>
  <si>
    <t>390009 ID INFORMATION TECHNOLOGY REV</t>
  </si>
  <si>
    <t>390010 ID STORAGE REVENUE</t>
  </si>
  <si>
    <t>390011 ID PRINTING SERVICES</t>
  </si>
  <si>
    <t>390012 ID INSURANCE REVENUE</t>
  </si>
  <si>
    <t>390013 ID MOVING REVENUE</t>
  </si>
  <si>
    <t>390014 ID RENTAL REVENUE</t>
  </si>
  <si>
    <t>390015 ID SSEA REVENUE</t>
  </si>
  <si>
    <t>390016 ID MEDICAL SERVICES</t>
  </si>
  <si>
    <t>390017 ID TUITION</t>
  </si>
  <si>
    <t>390018 ID INSTRUCTIONAL FEES</t>
  </si>
  <si>
    <t>390019 ID LAB SERVICES</t>
  </si>
  <si>
    <t>390020 ID ADVERTISING REVENUES</t>
  </si>
  <si>
    <t>390021 ID LABORATORY SALES</t>
  </si>
  <si>
    <t>390022 ID GME-HLTH BEN-MEDICAL PREM</t>
  </si>
  <si>
    <t>390023 ID GME-HLTH BEN-DENTAL PREM</t>
  </si>
  <si>
    <t>390024 ID GME-OFF-CAMP LIFE INS PREM</t>
  </si>
  <si>
    <t>390025 ID GME-OFF-CAMP DISAB PREM</t>
  </si>
  <si>
    <t>390026 ID GME-OFF-CAMP MALPRACT PREM</t>
  </si>
  <si>
    <t>390027 ID GME - ADMINISTRATIVE FEE</t>
  </si>
  <si>
    <t>390029 ID ISIS BILLING SERVICE REV</t>
  </si>
  <si>
    <t>390030 ID ISISCOLLECTIONSERVICES REV</t>
  </si>
  <si>
    <t>390031 ID LABOR REVENUE</t>
  </si>
  <si>
    <t>390032 ID TRASH ROLLOFF REVENUE</t>
  </si>
  <si>
    <t>390049 ID LEGAL REIMBURSEMENT</t>
  </si>
  <si>
    <t>390050 ID LICENSE DISBURSEMENT-UCB</t>
  </si>
  <si>
    <t>390051 ID LICENSE DISBURSMT-UCDANSCHZ</t>
  </si>
  <si>
    <t>390052 ID LICENSE DISBURSMT-UCDDENVER</t>
  </si>
  <si>
    <t>390053 ID LICENSE DISBURSEMENT-UCCS</t>
  </si>
  <si>
    <t>390054 ID LICENSE DISTRIBUTION-TTO</t>
  </si>
  <si>
    <t>390055 ID TTO MGMT FEE</t>
  </si>
  <si>
    <t>390056 ID GENERAL REVENUE FROM UCB</t>
  </si>
  <si>
    <t>390057 ID GENERAL REVENUE FROM HSC</t>
  </si>
  <si>
    <t>390058 ID GENERAL REVENUE FROM UCD</t>
  </si>
  <si>
    <t>390059 ID GENERAL REVENUE FROM UCCS</t>
  </si>
  <si>
    <t>390060 ID GENERAL REVENUE FROM SYS</t>
  </si>
  <si>
    <t>390061 ID INTRNL LOAN INTEREST REV</t>
  </si>
  <si>
    <t>390062 ID RENT - BOOKSTORE</t>
  </si>
  <si>
    <t>390063 ID RENT - IMAGING SERVICES</t>
  </si>
  <si>
    <t>390064 ID RENT - FA-STUDENT EMPLOYMNT</t>
  </si>
  <si>
    <t>390065 ID RENT - GREEK AFFAIRS</t>
  </si>
  <si>
    <t>390066 ID RENT - PHARMACY</t>
  </si>
  <si>
    <t>390067 ID RENT - STAFF COUNCIL</t>
  </si>
  <si>
    <t>390069 ID RENT - HONOR CODE</t>
  </si>
  <si>
    <t>390070 ID DISCOUNTS</t>
  </si>
  <si>
    <t>390071 ID ROOM RENTAL - UMC</t>
  </si>
  <si>
    <t>390072 ID ROOM RENTAL - NON-ACADEMIC</t>
  </si>
  <si>
    <t>390073 ID ROOM RENTAL - CONFERENCES</t>
  </si>
  <si>
    <t>390074 ID KEY FEES</t>
  </si>
  <si>
    <t>390075 ID RENT - CAREER SERVICES</t>
  </si>
  <si>
    <t>390076 ID CONFERENCE REVENUE</t>
  </si>
  <si>
    <t>390077 ID FACILITY RENTAL</t>
  </si>
  <si>
    <t>390078 ID EQUIPMENT RENTAL</t>
  </si>
  <si>
    <t>390079 ID LABOR REVENUE</t>
  </si>
  <si>
    <t>390080 ID CONCERT REVENUE</t>
  </si>
  <si>
    <t>390081 ID ASSESSMENT REVENUE</t>
  </si>
  <si>
    <t>390083 ID CME CONFERENCE FEE REVENUE</t>
  </si>
  <si>
    <t>390084 ID CME ADMIN FEE REVENUE</t>
  </si>
  <si>
    <t>390085 ID SSE PROMOTIONAL SUPPORT</t>
  </si>
  <si>
    <t>390086 ID - ELECTRICITY</t>
  </si>
  <si>
    <t>390087 ID - WATER</t>
  </si>
  <si>
    <t>390088 ID - SEWER</t>
  </si>
  <si>
    <t>390089 ID - NATURAL GAS</t>
  </si>
  <si>
    <t>390090 ID - FLOOD CONTROL</t>
  </si>
  <si>
    <t>390091 ID ROYALTY REVENUE ALLOCATION</t>
  </si>
  <si>
    <t>390092 ID REVENUE REFUND</t>
  </si>
  <si>
    <t>390093 ID BLDG OPER REVENUE</t>
  </si>
  <si>
    <t>390094 ID NETWORK SERVICES</t>
  </si>
  <si>
    <t>390095 ID IRB REVENUE</t>
  </si>
  <si>
    <t>390096 ID - LOGGIA RENT</t>
  </si>
  <si>
    <t>390098 ID GRAD STUDNT TUITION PAYBACK</t>
  </si>
  <si>
    <t>390100 ID CME CONFERENCE SERVICE FEE</t>
  </si>
  <si>
    <t>390101 ID CME ADMINISTRATIVE FEE</t>
  </si>
  <si>
    <t>390102 ID CME PER-PERSON FEE</t>
  </si>
  <si>
    <t>390103 ID CME CONFERENCE BALANCE FEE</t>
  </si>
  <si>
    <t>390104 ID CME MISC ADMIN FEE</t>
  </si>
  <si>
    <t>390105 ID MEMBERSHIP-DUES REVENUE</t>
  </si>
  <si>
    <t>390106 ID RENT - PEACE CORPS</t>
  </si>
  <si>
    <t>390107 ID-SPECIAL EVENT ADMISSION REV</t>
  </si>
  <si>
    <t>390108 ID PROGRAM INCOME</t>
  </si>
  <si>
    <t>390109 ID CAMPUS NETWORK REVENUE</t>
  </si>
  <si>
    <t>390110 ID CU TRASH PICKUP HSG</t>
  </si>
  <si>
    <t>390111 ID CU TRASH PICKUP MISC</t>
  </si>
  <si>
    <t>390112 ID SSEA CAPE-CHA-PA-AMC SOM</t>
  </si>
  <si>
    <t>390113 ID SSEA CAPE-PHYSTHERAPY-AMC</t>
  </si>
  <si>
    <t>390114 ID SSEA CAPE-UME-AMC</t>
  </si>
  <si>
    <t>390115 ID SSEA CAPE-CON-AMC</t>
  </si>
  <si>
    <t>390116 ID SSEA CAPE-GME-AMC SOM</t>
  </si>
  <si>
    <t>390117 ID SSEA CAPE-INTERPROFSSNL-AMC</t>
  </si>
  <si>
    <t>390118 ID SSEA CAPE-SDM-AMC</t>
  </si>
  <si>
    <t>390119 ID SSEA CAPE-SOP-AMC</t>
  </si>
  <si>
    <t>390120 ID SSEA CAPE-STUDENT GROUPS</t>
  </si>
  <si>
    <t>390121 ID SSEA CAPE-STD PT RENTALS</t>
  </si>
  <si>
    <t>390122 ID SSEA CAPE-SPACE RENTALS</t>
  </si>
  <si>
    <t xml:space="preserve">390123 ID SALES TO GRANTS-CONTRACTS		</t>
  </si>
  <si>
    <t>390124 ID TTO CMMIZ SVC-FEDERAL AWDS</t>
  </si>
  <si>
    <t>390125 ID SURPLUS PROPERTY PROCEEDS</t>
  </si>
  <si>
    <t>390126 ID ALCOHOL SALES</t>
  </si>
  <si>
    <t>235000 - 235099 GRANTS-CONTRACTS-GFTS-GEN BDGT</t>
  </si>
  <si>
    <t>235100 - 235399 GRANTS-CONTRACT - FEDERAL</t>
  </si>
  <si>
    <t>235400 - 236499 GRANT-CONTRACT - FED SUB-RECIP</t>
  </si>
  <si>
    <t>236500 - 236999 GRANT-CONTRACT - STATE OF COLO</t>
  </si>
  <si>
    <t>237000 - 237499 GRANT-CONTRACT - GOVT</t>
  </si>
  <si>
    <t>240000 - 240997 PRIVATE GIFTS-GRANTS-CONTRACTS</t>
  </si>
  <si>
    <t>390028 ID GIFT REVENUE - COLEMAN</t>
  </si>
  <si>
    <t>390097 ID GIFT - ATHLETIC SUPPORT</t>
  </si>
  <si>
    <t>971101 - 971101 REFUNDED TO GRANTORS-FEDERAL</t>
  </si>
  <si>
    <t>995000 - 996999 VOLUNTARY TRANSFERS IN</t>
  </si>
  <si>
    <t>400000 - 400189 FAC FTP SAL</t>
  </si>
  <si>
    <t>400190 - 400289 CLNFAC FTP SAL</t>
  </si>
  <si>
    <t>400290 - 400389 RSCHFAC FTP SAL</t>
  </si>
  <si>
    <t>400390 - 400549 PRAFAC FTP SAL</t>
  </si>
  <si>
    <t>400550 - 400689 RSASFAC FTP SAL</t>
  </si>
  <si>
    <t>400690 - 400789 OTHFAC FTP SAL</t>
  </si>
  <si>
    <t>400790 - 400889 FELL FT PAY</t>
  </si>
  <si>
    <t>400890 - 400999 ALLFAC FTP SAL</t>
  </si>
  <si>
    <t>401000 - 401099 RSCHFAC P-TGR SAL</t>
  </si>
  <si>
    <t>401100 - 401199 CLNFAC P-TGR SAL</t>
  </si>
  <si>
    <t>401200 - 401449 FAC P-TGR SAL</t>
  </si>
  <si>
    <t>401450 - 401649 PRA P-TGR FAC SAL</t>
  </si>
  <si>
    <t>401650 - 401749 PRAFAC SAL</t>
  </si>
  <si>
    <t>401750 - 401849 RSASFAC P-TGR FAC SAL</t>
  </si>
  <si>
    <t>401850 - 402099 OTHFAC P-TGR SAL</t>
  </si>
  <si>
    <t>402200 - 402249 STDFAC FTP SAL</t>
  </si>
  <si>
    <t>402250 - 402299 STDFAC FTT SAL</t>
  </si>
  <si>
    <t>402300 - 402349 STDFAC PTP SAL</t>
  </si>
  <si>
    <t>402350 - 402399 STDFAC PTT SAL</t>
  </si>
  <si>
    <t>402400 - 402499 ALLSTD FAC SAL</t>
  </si>
  <si>
    <t>402500 - 403099 O-E SAL</t>
  </si>
  <si>
    <t>403100 - 404999 PLACEHOLDER</t>
  </si>
  <si>
    <t>405000 - 405149 CLASS FTP SAL</t>
  </si>
  <si>
    <t>405150 - 405249 CLASS PTP SAL</t>
  </si>
  <si>
    <t>405250 - 405349 CLASS FTT SAL</t>
  </si>
  <si>
    <t>405350 - 405449 CLASS PTT SAL</t>
  </si>
  <si>
    <t>405450 - 405999 ALLCLASS SAL</t>
  </si>
  <si>
    <t>406000 - 407499 PLACEHOLDER</t>
  </si>
  <si>
    <t>407500 - 407699 STD HR PAY</t>
  </si>
  <si>
    <t>407700 - 407799 STD ONC WS PAY</t>
  </si>
  <si>
    <t>407800 - 407899 STD OFFC WS PAY</t>
  </si>
  <si>
    <t>407900 - 407999 STD HR OVERTIME</t>
  </si>
  <si>
    <t>408100 - 408199 OTH PER PAY</t>
  </si>
  <si>
    <t>408200 - 408299 ALL STD PAY</t>
  </si>
  <si>
    <t>410000 - 418399 SUSPENSE SAL</t>
  </si>
  <si>
    <t>418400 - 418499 FAC FTP BEN</t>
  </si>
  <si>
    <t>418500 - 418599 CLNFAC FTP BEN</t>
  </si>
  <si>
    <t>418600 - 418699 RSCHFAC FTP BEN</t>
  </si>
  <si>
    <t>418700 - 418799 PRAFAC FTP BEN</t>
  </si>
  <si>
    <t>418800 - 418899 RSASFAC FTP BEN</t>
  </si>
  <si>
    <t>418900 - 418999 OTHFAC FTP BEN</t>
  </si>
  <si>
    <t>419000 - 419089 FELL FT BEN</t>
  </si>
  <si>
    <t>419090 - 419899 ALLFAC FTP BEN</t>
  </si>
  <si>
    <t>419900 - 420499 PLACEHOLDER</t>
  </si>
  <si>
    <t>420500 - 420999 FAC P-TGR BEN</t>
  </si>
  <si>
    <t>421000 - 421199 CLNFAC P-TGR BEN</t>
  </si>
  <si>
    <t>421200 - 421399 RSCHFAC P-TGR BEN</t>
  </si>
  <si>
    <t>421400 - 421599 OTHFAC P-TGR BEN</t>
  </si>
  <si>
    <t>421600 - 421799 PRAFAC P-TGR BEN</t>
  </si>
  <si>
    <t>421800 - 421999 RSASFAC P-TGR BEN</t>
  </si>
  <si>
    <t>422000 - 422099 FELL PT BEN</t>
  </si>
  <si>
    <t>422100 - 422204 ALLFAC P-TGR BEN</t>
  </si>
  <si>
    <t>422210 - 422259 STDFAC FTP BEN</t>
  </si>
  <si>
    <t>422260 - 422299 STDFAC FTT BEN</t>
  </si>
  <si>
    <t>422300 - 422359 STDFAC PTP BEN</t>
  </si>
  <si>
    <t>422360 - 422399 STDFAC PTT BEN</t>
  </si>
  <si>
    <t>422400 - 422409 ALLSTD FAC BEN</t>
  </si>
  <si>
    <t>422410 - 422439 ALLSTD FAC TTN BEN</t>
  </si>
  <si>
    <t>422440 - 422499 ALLSTD FAC MISC BEN</t>
  </si>
  <si>
    <t>422500 - 422799 O-E BEN</t>
  </si>
  <si>
    <t>422800 - 422899 MDRS BEN (HSC)</t>
  </si>
  <si>
    <t>422900 - 424999 PLACEHOLDER</t>
  </si>
  <si>
    <t>425000 - 425099 CLASS FTP BEN</t>
  </si>
  <si>
    <t>425100 - 425199 CLASS PTP BEN</t>
  </si>
  <si>
    <t>425200 - 425299 CLASS FTT BEN</t>
  </si>
  <si>
    <t>425300 - 425399 CLASS PTT BEN</t>
  </si>
  <si>
    <t>425400 - 426399 ALLCLASS BEN</t>
  </si>
  <si>
    <t>426400 - 427499 PLACEHOLDER</t>
  </si>
  <si>
    <t>427500 - 428259 STD HR BEN</t>
  </si>
  <si>
    <t>428260 - 428289 OTH PER BEN</t>
  </si>
  <si>
    <t>428290 - 429199 ALL STD-OTH PER BEN</t>
  </si>
  <si>
    <t>429200 - 429999 PLACEHOLDER</t>
  </si>
  <si>
    <t>430000 - 430199 PBS SUSPENSE</t>
  </si>
  <si>
    <t>430200 - 430899 PLACEHOLDER</t>
  </si>
  <si>
    <t>430900 - 430999 SUSPENSE BEN</t>
  </si>
  <si>
    <t>431000 - 431000 PERA PENSION EXPENSE OFFSET</t>
  </si>
  <si>
    <t>431001 - 439999 PLACEHOLDER</t>
  </si>
  <si>
    <t>460000 - 479999 OPERATING EXPENSE GEN BUDGET</t>
  </si>
  <si>
    <t>450100 - 450199 COGS-GENERAL BUDGET</t>
  </si>
  <si>
    <t>450200 - 450299 COGS-COST OF GOODS SOLD</t>
  </si>
  <si>
    <t>450300 - 450399 PHYSICAL INVENTORY ADJUSTMENT</t>
  </si>
  <si>
    <t>450400 - 450499 COST OF GOODS SOLD ADJUSTMENTS</t>
  </si>
  <si>
    <t>450500 - 450599 FREIGHT RETURNED PURCHASES</t>
  </si>
  <si>
    <t>450600 - 459999 PLACEHOLDER</t>
  </si>
  <si>
    <t>480000 - 482499 OFFICE ADMINSTRATION</t>
  </si>
  <si>
    <t>482500 - 484999 TELECOMMUNICATIONS</t>
  </si>
  <si>
    <t>485000 - 487499 POSTAL COSTS</t>
  </si>
  <si>
    <t>500000 - 502499 INFORMATION TECHNOLOGY</t>
  </si>
  <si>
    <t>512500 - 514999 SUBSCRIPT,BKS,PERIODCLS,SCORS</t>
  </si>
  <si>
    <t>517500 - 519999 CUSTODIAL AND LAUNDRY</t>
  </si>
  <si>
    <t>527500 - 529999 INSTRUCTIONAL SUPPLIES &amp; SRVS</t>
  </si>
  <si>
    <t>530000 - 532499 LABORATORY &amp; TECHNICAL SHOP</t>
  </si>
  <si>
    <t>540000 - 542499 FREIGHT, MOVING AND STORAGE</t>
  </si>
  <si>
    <t>790000 - 790099 BKS-PER LIBRARY GEN BDGT</t>
  </si>
  <si>
    <t>790100 - 790109 CAP. BKS-PERIODICALS LIBRARY</t>
  </si>
  <si>
    <t>790110 - 790275 NONCAP BKS-PERIODICALS LIBRARY</t>
  </si>
  <si>
    <t>522500 - 524999 FOOD SUPPLIES AND SERVICES</t>
  </si>
  <si>
    <t>550000 - 552499 OFFICIAL FUNCTIONS</t>
  </si>
  <si>
    <t>502500 - 504999 RENTALS, BUILDING, SPACE, LAND</t>
  </si>
  <si>
    <t>487500 - 489999 PRINT, PUBLICATIONS&amp;REPRODUCTN</t>
  </si>
  <si>
    <t>490000 - 492499 MICROFORM,PHOTOGR&amp;GRAPHICSUPPL</t>
  </si>
  <si>
    <t>507500 - 509999 ADVERTISING AND PUBLICITY</t>
  </si>
  <si>
    <t>492500 - 494999 GRANTS AND SUBCONTRACTS</t>
  </si>
  <si>
    <t>495000 - 497499 HONOR, FELLWSHPS &amp; PART. COSTS</t>
  </si>
  <si>
    <t>497500 - 499999 MOTOR VEHICLE MAINT &amp; SUPPLIES</t>
  </si>
  <si>
    <t>510000 - 512499 DUES AND MEMBERSHIPS</t>
  </si>
  <si>
    <t>515000 - 517499 PHYSICAL PLANT MAINT &amp; REPAIR</t>
  </si>
  <si>
    <t>520000 - 522499 HOSPITALIZATION COSTS</t>
  </si>
  <si>
    <t>532500 - 534999 FIELD RESEARCH EXPENSES</t>
  </si>
  <si>
    <t>535000 - 537499 MEDICAL SUPPLIES AND SERVICES</t>
  </si>
  <si>
    <t>537500 - 539999 EQUIPMENT - NON-CAPITAL</t>
  </si>
  <si>
    <t>547500 - 549999 DONATIONS &amp; COMMUNITY SUPPORT</t>
  </si>
  <si>
    <t>552500 - 557499 OTHER OPERATING EXPENSES</t>
  </si>
  <si>
    <t>557500 - 699999 PLACEHOLDER</t>
  </si>
  <si>
    <t>950700 - 950799 STUDENT AID ADMIN ALLOWANCE</t>
  </si>
  <si>
    <t>700000 - 700099 TRAVEL GENERAL BUDGET</t>
  </si>
  <si>
    <t>700100 - 701999 EMPLOYEE TRAVEL</t>
  </si>
  <si>
    <t>702000 - 703999 NON-EMPLOYEE TRAVEL</t>
  </si>
  <si>
    <t>545000 - 545499 INSURANCE</t>
  </si>
  <si>
    <t>750000 - 750099 UTILITIES GENERAL BUDGET</t>
  </si>
  <si>
    <t>750100 - 750199 UTILITIES</t>
  </si>
  <si>
    <t>750200 - 750299 STEAM</t>
  </si>
  <si>
    <t>750300 - 750399 ELECTRICITY</t>
  </si>
  <si>
    <t>750400 - 750499 WATER</t>
  </si>
  <si>
    <t>750500 - 750599 SEWER</t>
  </si>
  <si>
    <t>750600 - 750699 NATURAL GAS</t>
  </si>
  <si>
    <t>750700 - 750799 FUEL OIL</t>
  </si>
  <si>
    <t>750800 - 750899 CHILLED WATER</t>
  </si>
  <si>
    <t>750900 - 750999 FLOOD CONTROL</t>
  </si>
  <si>
    <t>751000 - 751099 OTHER UTILITIES</t>
  </si>
  <si>
    <t>751100 - 751199 AHEC UTILITIES</t>
  </si>
  <si>
    <t>752492 ID - CHILLED WATER</t>
  </si>
  <si>
    <t>752493 ID - OTHER UTILITIES</t>
  </si>
  <si>
    <t>752494 ID - ELECTRIC</t>
  </si>
  <si>
    <t>752495 ID - WATER</t>
  </si>
  <si>
    <t>752496 ID - SEWER</t>
  </si>
  <si>
    <t>792500 NONOPERATING EXPENSE MISC</t>
  </si>
  <si>
    <t>792501 CAPITAL DISTRIBUTION</t>
  </si>
  <si>
    <t>810000 - 810099 FIXED ASSETS GENERAL BUDGET</t>
  </si>
  <si>
    <t>810100 - 810199 EQUIPMENT OVER $5,000</t>
  </si>
  <si>
    <t>810200 - 810299 EQUIP OVER $5,000 GOVT TITLE</t>
  </si>
  <si>
    <t>810300 - 810349 EQUIP OVER $5,000 PRIVATE TTLE</t>
  </si>
  <si>
    <t>810350 - 810399 INTANGIBLE ASSETS</t>
  </si>
  <si>
    <t>810400 - 810499 NON-DEPRECIABLE COLLECTIONS</t>
  </si>
  <si>
    <t>810500 - 810599 LEASE PURCHASE PRINCIPAL</t>
  </si>
  <si>
    <t>810600 - 810699 LEASE PURCHASE INTEREST</t>
  </si>
  <si>
    <t>810700 - 810799 EQUIPMENT COMPONENTS</t>
  </si>
  <si>
    <t>810800 - 810899 FEDERAL EQUIPMENT COMPONENTS</t>
  </si>
  <si>
    <t>810900 - 810999 EQUIP LESS THAN $5,000 FA EXMP</t>
  </si>
  <si>
    <t>811000 - 811099 LAND-SITE ACQUISITION</t>
  </si>
  <si>
    <t>811100 - 811199 BUILDING ACQUISITION</t>
  </si>
  <si>
    <t>811200 - 811299 1998 COP EQUIP OVER $5,000</t>
  </si>
  <si>
    <t>811300 - 811399 CONSTRUCTION COSTS</t>
  </si>
  <si>
    <t>970100 - 970199 EXPANDED PLANT FACILITIES</t>
  </si>
  <si>
    <t>970200 - 970299 CAPITALIZE CONSTRUCT-IN-PROGRE</t>
  </si>
  <si>
    <t>950000 - 950099 F-A GENERAL BUDGET</t>
  </si>
  <si>
    <t>950100 - 950199 FACILITIES&amp;ADMINSTRATION COSTS</t>
  </si>
  <si>
    <t>950200 - 950299 F-A - RESEARCH OFF-CAMPUS</t>
  </si>
  <si>
    <t>950300 - 950399 F-A INSTRUCTIONAL ON-CAMPUS</t>
  </si>
  <si>
    <t>950400 - 950499 F-A INSTRUCTIONAL OFF-CAMPUS</t>
  </si>
  <si>
    <t>950500 - 950599 F-A OTHER ON-CAMPUS</t>
  </si>
  <si>
    <t>950600 - 950699 F-A OTHER OFF-CAMPUS</t>
  </si>
  <si>
    <t>790276 - 790399 LIBRARY-PERIODICALS RECHARGE</t>
  </si>
  <si>
    <t>960100 - 960199 GEN ADMIN RECHARGE</t>
  </si>
  <si>
    <t>960400 - 960499 OTHER ALLOCATIONS</t>
  </si>
  <si>
    <t>960200 - 960299 GENERAL INFRASTRUCTURE RECHARG</t>
  </si>
  <si>
    <t>997000 - 999997 VOLUNTARY TRANSFERS OUT</t>
  </si>
  <si>
    <t>542500 - 544999 INTEREST, ROYALTIES &amp; PATENTS</t>
  </si>
  <si>
    <t>811400 - 812399 DEPR-AMORT EXPENSE</t>
  </si>
  <si>
    <t>970000 - 970099 OTHER DEDUCTIONS GEN BUDGET</t>
  </si>
  <si>
    <t>970300 - 970399 DISPOSAL OF PLANT FACILITIES</t>
  </si>
  <si>
    <t>970400 - 970499 FIXED ASSET INVENTORY ADJUST</t>
  </si>
  <si>
    <t>970500 - 970599 LONG-TERM LIABILITY ASSUMED</t>
  </si>
  <si>
    <t>970600 - 970699 CAPITALIZED ASSET-DEBT</t>
  </si>
  <si>
    <t>970700 - 970799 BOND RETIREMENT</t>
  </si>
  <si>
    <t>970800 - 970899 LONG-TERM NOTE RETIREMENT</t>
  </si>
  <si>
    <t>970900 - 970999 BOND INTEREST</t>
  </si>
  <si>
    <t>971000 - 971099 LONG-TERM NOTE INTEREST</t>
  </si>
  <si>
    <t>971100 - 971199 OTHER FUND DEDUCTIONS</t>
  </si>
  <si>
    <t>971200 - 971299 LOAN CANCELLATION</t>
  </si>
  <si>
    <t>971300 - 971399 ENDOWMENT DEDUCTION</t>
  </si>
  <si>
    <t>972000 - 994999 MISCELLANEOUS DEBT</t>
  </si>
  <si>
    <t>Speedtype</t>
  </si>
  <si>
    <t>Consolidate Into</t>
  </si>
  <si>
    <t>CEB</t>
  </si>
  <si>
    <t>12020398 -- CEB ADMINISTRATION</t>
  </si>
  <si>
    <t>CEB Administration</t>
  </si>
  <si>
    <t>12030596 -- CULTURAL EVENT BD OP</t>
  </si>
  <si>
    <t>12026018 -- CEB BOARD PROJECTS</t>
  </si>
  <si>
    <t>CEB Board Projects</t>
  </si>
  <si>
    <t>12026019 -- GROUP PROJECTS MASTER</t>
  </si>
  <si>
    <t>CEB Group Projects</t>
  </si>
  <si>
    <t>12033239 -- CEB CAPITAL</t>
  </si>
  <si>
    <t>12057809 -- VENUE FOR STUDENT ENTERTAINMNT</t>
  </si>
  <si>
    <t>12057810 -- VENUE FOR STUDENT ENTERTAINMNT</t>
  </si>
  <si>
    <t>12057811 -- VENUE FOR STUDENT ENTERTAINMNT</t>
  </si>
  <si>
    <t>12057812 -- VENUE FOR STUDENT ENTERTAINMNT</t>
  </si>
  <si>
    <t>12057813 -- VENUE FOR STUDENT ENTERTAINMNT</t>
  </si>
  <si>
    <t>12057814 -- VENUE FOR STUDENT ENTERTAINMNT</t>
  </si>
  <si>
    <t>12057815 -- VENUE FOR STUDENT ENTERTAINMNT</t>
  </si>
  <si>
    <t>12057816 -- VENUE FOR STUDENT ENTERTAINMNT</t>
  </si>
  <si>
    <t>12057817 -- VENUE FOR STUDENT ENTERTAINMNT</t>
  </si>
  <si>
    <t>12057818 -- VENUE FOR STUDENT ENTERTAINMNT</t>
  </si>
  <si>
    <t>12057819 -- VENUE FOR STUDENT ENTERTAINMNT</t>
  </si>
  <si>
    <t>12057820 -- VENUE FOR STUDENT ENTERTAINMNT</t>
  </si>
  <si>
    <t>12057821 -- VENUE FOR STUDENT ENTERTAINMNT</t>
  </si>
  <si>
    <t>12057822 -- VENUE FOR STUDENT ENTERTAINMNT</t>
  </si>
  <si>
    <t>12057823 -- VENUE FOR STUDENT ENTERTAINMNT</t>
  </si>
  <si>
    <t>12057824 -- VENUE FOR STUDENT ENTERTAINMNT</t>
  </si>
  <si>
    <t>12057825 -- VENUE FOR STUDENT ENTERTAINMNT</t>
  </si>
  <si>
    <t>12057826 -- VENUE FOR STUDENT ENTERTAINMNT</t>
  </si>
  <si>
    <t>12057827 -- VENUE FOR STUDENT ENTERTAINMNT</t>
  </si>
  <si>
    <t>12057828 -- VENUE FOR STUDENT ENTERTAINMNT</t>
  </si>
  <si>
    <t>12057829 -- VENUE FOR STUDENT ENTERTAINMNT</t>
  </si>
  <si>
    <t>12057830 -- VENUE FOR STUDENT ENTERTAINMNT</t>
  </si>
  <si>
    <t>12057831 -- VENUE FOR STUDENT ENTERTAINMNT</t>
  </si>
  <si>
    <t>12057832 -- VENUE FOR STUDENT ENTERTAINMNT</t>
  </si>
  <si>
    <t>12057833 -- VENUE FOR STUDENT ENTERTAINMNT</t>
  </si>
  <si>
    <t>12057834 -- VENUE FOR STUDENT ENTERTAINMNT</t>
  </si>
  <si>
    <t>12057835 -- VENUE FOR STUDENT ENTERTAINMNT</t>
  </si>
  <si>
    <t>12057836 -- VENUE FOR STUDENT ENTERTAINMNT</t>
  </si>
  <si>
    <t>12057837 -- VENUE FOR STUDENT ENTERTAINMNT</t>
  </si>
  <si>
    <t>12057838 -- VENUE FOR STUDENT ENTERTAINMNT</t>
  </si>
  <si>
    <t>12057839 -- VENUE FOR STUDENT ENTERTAINMNT</t>
  </si>
  <si>
    <t>12057840 -- VENUE FOR STUDENT ENTERTAINMNT</t>
  </si>
  <si>
    <t>12057841 -- VENUE FOR STUDENT ENTERTAINMNT</t>
  </si>
  <si>
    <t>12057842 -- VENUE FOR STUDENT ENTERTAINMNT</t>
  </si>
  <si>
    <t>12057843 -- VENUE FOR STUDENT ENTERTAINMNT</t>
  </si>
  <si>
    <t>12057844 -- VENUE FOR STUDENT ENTERTAINMNT</t>
  </si>
  <si>
    <t>12057845 -- VENUE FOR STUDENT ENTERTAINMNT</t>
  </si>
  <si>
    <t>12057846 -- VENUE FOR STUDENT ENTERTAINMNT</t>
  </si>
  <si>
    <t>12057847 -- VENUE FOR STUDENT ENTERTAINMNT</t>
  </si>
  <si>
    <t>12057848 -- VENUE FOR STUDENT ENTERTAINMNT</t>
  </si>
  <si>
    <t>12057849 -- VENUE FOR STUDENT ENTERTAINMNT</t>
  </si>
  <si>
    <t>12057850 -- VENUE FOR STUDENT ENTERTAINMNT</t>
  </si>
  <si>
    <t>12057851 -- VENUE FOR STUDENT ENTERTAINMNT</t>
  </si>
  <si>
    <t>12057852 -- VENUE FOR STUDENT ENTERTAINMNT</t>
  </si>
  <si>
    <t>12057853 -- VENUE FOR STUDENT ENTERTAINMNT</t>
  </si>
  <si>
    <t>12057854 -- VENUE FOR STUDENT ENTERTAINMNT</t>
  </si>
  <si>
    <t>12057855 -- VENUE FOR STUDENT ENTERTAINMNT</t>
  </si>
  <si>
    <t>12057856 -- VENUE FOR STUDENT ENTERTAINMNT</t>
  </si>
  <si>
    <t>12057857 -- VENUE FOR STUDENT ENTERTAINMNT</t>
  </si>
  <si>
    <t>12057858 -- VENUE FOR STUDENT ENTERTAINMNT</t>
  </si>
  <si>
    <t>12057859 -- VENUE FOR STUDENT ENTERTAINMNT</t>
  </si>
  <si>
    <t>12057860 -- VENUE FOR STUDENT ENTERTAINMNT</t>
  </si>
  <si>
    <t>12057861 -- VENUE FOR STUDENT ENTERTAINMNT</t>
  </si>
  <si>
    <t>12057862 -- VENUE FOR STUDENT ENTERTAINMNT</t>
  </si>
  <si>
    <t>12057863 -- VENUE FOR STUDENT ENTERTAINMNT</t>
  </si>
  <si>
    <t>12057864 -- VENUE FOR STUDENT ENTERTAINMNT</t>
  </si>
  <si>
    <t>12057865 -- VENUE FOR STUDENT ENTERTAINMNT</t>
  </si>
  <si>
    <t>12057866 -- VENUE FOR STUDENT ENTERTAINMNT</t>
  </si>
  <si>
    <t>12057867 -- VENUE FOR STUDENT ENTERTAINMNT</t>
  </si>
  <si>
    <t>12057868 -- VENUE FOR STUDENT ENTERTAINMNT</t>
  </si>
  <si>
    <t>12057869 -- VENUE FOR STUDENT ENTERTAINMNT</t>
  </si>
  <si>
    <t>12057870 -- VENUE FOR STUDENT ENTERTAINMNT</t>
  </si>
  <si>
    <t>12057871 -- VENUE FOR STUDENT ENTERTAINMNT</t>
  </si>
  <si>
    <t>12057872 -- VENUE FOR STUDENT ENTERTAINMNT</t>
  </si>
  <si>
    <t>12057873 -- VENUE FOR STUDENT ENTERTAINMNT</t>
  </si>
  <si>
    <t>12057874 -- VENUE FOR STUDENT ENTERTAINMNT</t>
  </si>
  <si>
    <t>12057875 -- VENUE FOR STUDENT ENTERTAINMNT</t>
  </si>
  <si>
    <t>12057876 -- VENUE FOR STUDENT ENTERTAINMNT</t>
  </si>
  <si>
    <t>12057877 -- VENUE FOR STUDENT ENTERTAINMNT</t>
  </si>
  <si>
    <t>12057878 -- VENUE FOR STUDENT ENTERTAINMNT</t>
  </si>
  <si>
    <t>12057879 -- VENUE FOR STUDENT ENTERTAINMNT</t>
  </si>
  <si>
    <t>12057880 -- VENUE FOR STUDENT ENTERTAINMNT</t>
  </si>
  <si>
    <t>12057881 -- VENUE FOR STUDENT ENTERTAINMNT</t>
  </si>
  <si>
    <t>12057882 -- VENUE FOR STUDENT ENTERTAINMNT</t>
  </si>
  <si>
    <t>12057883 -- VENUE FOR STUDENT ENTERTAINMNT</t>
  </si>
  <si>
    <t>12057884 -- VENUE FOR STUDENT ENTERTAINMNT</t>
  </si>
  <si>
    <t>12057885 -- VENUE FOR STUDENT ENTERTAINMNT</t>
  </si>
  <si>
    <t>12057886 -- VENUE FOR STUDENT ENTERTAINMNT</t>
  </si>
  <si>
    <t>12057887 -- VENUE FOR STUDENT ENTERTAINMNT</t>
  </si>
  <si>
    <t>12057888 -- VENUE FOR STUDENT ENTERTAINMNT</t>
  </si>
  <si>
    <t>12057889 -- VENUE FOR STUDENT ENTERTAINMNT</t>
  </si>
  <si>
    <t>12057890 -- VENUE FOR STUDENT ENTERTAINMNT</t>
  </si>
  <si>
    <t>12057891 -- VENUE FOR STUDENT ENTERTAINMNT</t>
  </si>
  <si>
    <t>12057892 -- VENUE FOR STUDENT ENTERTAINMNT</t>
  </si>
  <si>
    <t>12057893 -- VENUE FOR STUDENT ENTERTAINMNT</t>
  </si>
  <si>
    <t>12057894 -- VENUE FOR STUDENT ENTERTAINMNT</t>
  </si>
  <si>
    <t>12057895 -- VENUE FOR STUDENT ENTERTAINMNT</t>
  </si>
  <si>
    <t>12057896 -- VENUE FOR STUDENT ENTERTAINMNT</t>
  </si>
  <si>
    <t>12057897 -- VENUE FOR STUDENT ENTERTAINMNT</t>
  </si>
  <si>
    <t>12057898 -- VENUE FOR STUDENT ENTERTAINMNT</t>
  </si>
  <si>
    <t>12057899 -- VENUE FOR STUDENT ENTERTAINMNT</t>
  </si>
  <si>
    <t>12057900 -- VENUE FOR STUDENT ENTERTAINMNT</t>
  </si>
  <si>
    <t>12057901 -- VENUE FOR STUDENT ENTERTAINMNT</t>
  </si>
  <si>
    <t>12057902 -- VENUE FOR STUDENT ENTERTAINMNT</t>
  </si>
  <si>
    <t>12057903 -- VENUE FOR STUDENT ENTERTAINMNT</t>
  </si>
  <si>
    <t>12057904 -- VENUE FOR STUDENT ENTERTAINMNT</t>
  </si>
  <si>
    <t>12057905 -- VENUE FOR STUDENT ENTERTAINMNT</t>
  </si>
  <si>
    <t>12057906 -- VENUE FOR STUDENT ENTERTAINMNT</t>
  </si>
  <si>
    <t>12057907 -- VENUE FOR STUDENT ENTERTAINMNT</t>
  </si>
  <si>
    <t>12058105 -- VENUE FOR STUDENT ENTERTAINMNT</t>
  </si>
  <si>
    <t>12016932 -- CEB PAYROLL</t>
  </si>
  <si>
    <t>CEB Payroll</t>
  </si>
  <si>
    <t>CSI</t>
  </si>
  <si>
    <t>12000014 -- EVENING PROGRAMMING</t>
  </si>
  <si>
    <t>CSI Engagement</t>
  </si>
  <si>
    <t>12000201 -- INVOLVEMENT WEEK</t>
  </si>
  <si>
    <t>12001026 -- INVOLVEMENT FAIR</t>
  </si>
  <si>
    <t>12072113 -- UMC LATE</t>
  </si>
  <si>
    <t>12072169 -- I LOVE MONDAYS</t>
  </si>
  <si>
    <t>12073524 -- UMC WELCOME FEST</t>
  </si>
  <si>
    <t>12093331 -- MIDNIGHT BREAKFAST</t>
  </si>
  <si>
    <t>12066094 -- STUDENT LEADERSHIP PROGRAM</t>
  </si>
  <si>
    <t>CSI Leadership</t>
  </si>
  <si>
    <t>12012150 -- SOFO COMPUTER</t>
  </si>
  <si>
    <t>CSI Operations</t>
  </si>
  <si>
    <t>12013810 -- UMC FINE ARTS</t>
  </si>
  <si>
    <t>12016882 -- STUDENT PROGRAMS OFFICE</t>
  </si>
  <si>
    <t>12022385 -- STUDENT FINANCE OFFICE (SOFO)</t>
  </si>
  <si>
    <t>12045656 -- SOFO PAYROLL SUSPENSE</t>
  </si>
  <si>
    <t>13459484 -- PC SCHOLARSHIPS</t>
  </si>
  <si>
    <t>12000545 -- PROJECTION SYSTEM</t>
  </si>
  <si>
    <t>Program Council</t>
  </si>
  <si>
    <t>12013809 -- PC CONCERTS</t>
  </si>
  <si>
    <t>12016524 -- ADVERTISING</t>
  </si>
  <si>
    <t>12016570 -- PROGRAM COUNCIL DEPARTMENT EXP</t>
  </si>
  <si>
    <t>12018583 -- FILM SERIES</t>
  </si>
  <si>
    <t>12020396 -- PROGRAM COUNCIL SPECIAL EVENT</t>
  </si>
  <si>
    <t>12024783 -- PC SPECIAL EVENT</t>
  </si>
  <si>
    <t>12024786 -- PRODUCTION EQUIPMENT (REF)</t>
  </si>
  <si>
    <t>12024787 -- SECURITY</t>
  </si>
  <si>
    <t>12024793 -- PC SPECIAL EVENT</t>
  </si>
  <si>
    <t>12024795 -- PC SPECIAL EVENT</t>
  </si>
  <si>
    <t>12024797 -- PC SPECIAL EVENT</t>
  </si>
  <si>
    <t>12024809 -- EDUCATIONAL CONFERENCE</t>
  </si>
  <si>
    <t>12024828 -- PC SPECIAL EVENT</t>
  </si>
  <si>
    <t>12024833 -- PRODUCTION</t>
  </si>
  <si>
    <t>12024843 -- PC SPECIAL EVENT</t>
  </si>
  <si>
    <t>12024844 -- PC SPECIAL EVENT</t>
  </si>
  <si>
    <t>12024851 -- PC SPECIAL EVENT</t>
  </si>
  <si>
    <t>12029440 -- OLD MAIN</t>
  </si>
  <si>
    <t>12030135 -- PC SPECIAL EVENT #56</t>
  </si>
  <si>
    <t>12031620 -- PC SPECIAL EVENT #99</t>
  </si>
  <si>
    <t>12031645 -- GENERAL OPERATIONS</t>
  </si>
  <si>
    <t>12031649 -- PAYROLL</t>
  </si>
  <si>
    <t>12062510 -- CONCERTS</t>
  </si>
  <si>
    <t>12062512 -- WELCOME FEST CONCERT</t>
  </si>
  <si>
    <t>12062513 -- SPECIAL EVENT COMMITTEE</t>
  </si>
  <si>
    <t>12062515 -- WELCOME FEST</t>
  </si>
  <si>
    <t>13479204 -- PHIL LOBEL SCHOLARSHIP</t>
  </si>
  <si>
    <t>13481079 -- PROGRAM COUNCIL VIP PASS</t>
  </si>
  <si>
    <t>17800139 -- PC PROJECTOR R&amp;R</t>
  </si>
  <si>
    <t>17866075 -- PROGRAM COUNCIL R&amp;R</t>
  </si>
  <si>
    <t>12022322 -- STUDENT FINANCE OFFICE (GL)</t>
  </si>
  <si>
    <t>Resource Center</t>
  </si>
  <si>
    <t>CUSG</t>
  </si>
  <si>
    <t>12010675 -- CUSG APPELLATE COURT</t>
  </si>
  <si>
    <t>Appellate Court</t>
  </si>
  <si>
    <t>CCS - Leg</t>
  </si>
  <si>
    <t>Leg Council</t>
  </si>
  <si>
    <t>12020244 -- CUSG LEG CNCL DISC</t>
  </si>
  <si>
    <t>CCS Fund Balance</t>
  </si>
  <si>
    <t>12016579 -- CUSG ELECTIONS</t>
  </si>
  <si>
    <t>CUSG Elections</t>
  </si>
  <si>
    <t>12016648 -- CUSG OPERATIONS</t>
  </si>
  <si>
    <t>CUSG Fund Balance</t>
  </si>
  <si>
    <t>12010476 -- CUSG TRAVEL</t>
  </si>
  <si>
    <t>CUSG Travel</t>
  </si>
  <si>
    <t>12017973 -- CUSG FINANCE BOARD</t>
  </si>
  <si>
    <t>Finance Board</t>
  </si>
  <si>
    <t>12061258 -- CUSG HOMECOMING</t>
  </si>
  <si>
    <t>Homecoming</t>
  </si>
  <si>
    <t>12001808 -- INCIDENT RESPONSE - CUSG CCS</t>
  </si>
  <si>
    <t>Incident Response</t>
  </si>
  <si>
    <t>12061257 -- CUSG FRESHMAN COUNCIL</t>
  </si>
  <si>
    <t>Intern Program</t>
  </si>
  <si>
    <t>12016858 -- CUSG LEGIS AFFAIRS COMM</t>
  </si>
  <si>
    <t>LAC</t>
  </si>
  <si>
    <t>12028619 -- CUSG LEG CNCL STAFF</t>
  </si>
  <si>
    <t>Leg Cncl Staff</t>
  </si>
  <si>
    <t>12020250 -- CUSG LEG CNCL DISC</t>
  </si>
  <si>
    <t xml:space="preserve">Leg Council Disc </t>
  </si>
  <si>
    <t>12016565 -- CUSG OPERATIONS</t>
  </si>
  <si>
    <t>Operations</t>
  </si>
  <si>
    <t>12016931 -- CUSG PAYROLL</t>
  </si>
  <si>
    <t>Payroll</t>
  </si>
  <si>
    <t>12001363 -- CUSG PAYROLL SUSPENSE</t>
  </si>
  <si>
    <t>Payroll Suspense</t>
  </si>
  <si>
    <t>12000984 -- CUSG PROGRAMMING</t>
  </si>
  <si>
    <t>Programming</t>
  </si>
  <si>
    <t>12020378 -- CUSG PUBLIC RELATION</t>
  </si>
  <si>
    <t>Public Relations</t>
  </si>
  <si>
    <t>12026391 -- CUSG REP COUNCIL</t>
  </si>
  <si>
    <t>Rep Council</t>
  </si>
  <si>
    <t>12026382 -- CUSG REP COUNCIL</t>
  </si>
  <si>
    <t>Rep Council Fund Balance</t>
  </si>
  <si>
    <t>12016081 -- CUSG STAFF SUPPORT</t>
  </si>
  <si>
    <t>Staff Support</t>
  </si>
  <si>
    <t>DSB</t>
  </si>
  <si>
    <t>12056081 -- CUSG DISTINGUISHED SPEAKER'S</t>
  </si>
  <si>
    <t>ECNTR</t>
  </si>
  <si>
    <t>12031661 -- EV CTR SPC EVT #2</t>
  </si>
  <si>
    <t>Applied Learning SPP</t>
  </si>
  <si>
    <t>12031650 -- CARBON OFFSET FUND</t>
  </si>
  <si>
    <t>Carbon Offsets</t>
  </si>
  <si>
    <t>12031667 -- CU BICYCLE PROGRAM</t>
  </si>
  <si>
    <t>CU Bicycle Program</t>
  </si>
  <si>
    <t>13015222 -- COLORADO CAMPUS TRAN</t>
  </si>
  <si>
    <t>12001333 -- E CENTER REMODEL</t>
  </si>
  <si>
    <t>E Center Remodel</t>
  </si>
  <si>
    <t>12026645 -- EB CONFERENCES</t>
  </si>
  <si>
    <t>EB Conferences</t>
  </si>
  <si>
    <t>12027581 -- EB LIBRARY</t>
  </si>
  <si>
    <t>EB Library</t>
  </si>
  <si>
    <t>12021486 -- EB PROGRAMMING</t>
  </si>
  <si>
    <t>EB Programming</t>
  </si>
  <si>
    <t>12021487 -- EB RECYCLING</t>
  </si>
  <si>
    <t>EB Recycling</t>
  </si>
  <si>
    <t>13000800 -- COLLECTING THE INTERMOUNTAIN R</t>
  </si>
  <si>
    <t>13134094 -- 1998 EARTH DAY CHILD</t>
  </si>
  <si>
    <t>12017286 -- EB REVENUE</t>
  </si>
  <si>
    <t>EB Revenue</t>
  </si>
  <si>
    <t>12031626 -- E C CAPITAL OUTREACH</t>
  </si>
  <si>
    <t>EC Capital Outreach</t>
  </si>
  <si>
    <t>12001205 -- ENERGY&amp;CLIMATE REVOLVING FUND</t>
  </si>
  <si>
    <t>Energy &amp; Climate Revolving Fund</t>
  </si>
  <si>
    <t>12031673 -- ENERGY CAMPAIGN</t>
  </si>
  <si>
    <t>Energy Program</t>
  </si>
  <si>
    <t>12034199 -- ENVIRON CTR CAPITAL</t>
  </si>
  <si>
    <t>Env Center - Capital</t>
  </si>
  <si>
    <t>12016578 -- COMMUNICATIONS</t>
  </si>
  <si>
    <t>Env Center Communications</t>
  </si>
  <si>
    <t>12010324 -- ENV CENTER SPEC EVNT</t>
  </si>
  <si>
    <t>Env Center Spec Evnt</t>
  </si>
  <si>
    <t>12016577 -- EB OPERATIONS</t>
  </si>
  <si>
    <t>Env Ctr Operations</t>
  </si>
  <si>
    <t>12011695 -- ENVIRON BOARD CENTRL</t>
  </si>
  <si>
    <t>Environ Board Centrl</t>
  </si>
  <si>
    <t>12012149 -- ENVIRONMENTAL MASTER</t>
  </si>
  <si>
    <t>Environmental Master</t>
  </si>
  <si>
    <t>12031622 -- EV CTR SPC EVT #9</t>
  </si>
  <si>
    <t>EV Ctr Spc Evt #9</t>
  </si>
  <si>
    <t>12031635 -- EV CTR SPC EVT #6</t>
  </si>
  <si>
    <t>Green Labs</t>
  </si>
  <si>
    <t>13100079 -- CU GREEN LABS AUDIT AND CONSER</t>
  </si>
  <si>
    <t>17800104 -- R&amp;R ELECTRIC VEHICLES</t>
  </si>
  <si>
    <t>R&amp;R Electric Vehicles</t>
  </si>
  <si>
    <t>17800126 -- R&amp;R GREEN LABS</t>
  </si>
  <si>
    <t>R&amp;R Green Labs</t>
  </si>
  <si>
    <t>12001012 -- SCORE</t>
  </si>
  <si>
    <t>Score</t>
  </si>
  <si>
    <t>12031639 -- SPECIAL PROJECT #5</t>
  </si>
  <si>
    <t>Special Project #5</t>
  </si>
  <si>
    <t>12031631 -- EV CTR SPC EVT #7</t>
  </si>
  <si>
    <t>Special Project #7</t>
  </si>
  <si>
    <t>12000962 -- SURPLUS PROPERTY WEBSITE</t>
  </si>
  <si>
    <t>Surplus Property Website</t>
  </si>
  <si>
    <t>12031646 -- ENERGY EFFICIENCY</t>
  </si>
  <si>
    <t>Sustain CU and Energy Effic</t>
  </si>
  <si>
    <t>12800076 -- ULT FREEZERS</t>
  </si>
  <si>
    <t>ULT Freezers</t>
  </si>
  <si>
    <t>12000977 -- WATER FOR THE WEST</t>
  </si>
  <si>
    <t>Water for the West</t>
  </si>
  <si>
    <t>13403174 -- WELLS FARGO PIPS APP FUND</t>
  </si>
  <si>
    <t>Wells Fargo PIPS App Fund</t>
  </si>
  <si>
    <t>KVCU</t>
  </si>
  <si>
    <t>12010512 -- KVCU</t>
  </si>
  <si>
    <t>KVCU Operations</t>
  </si>
  <si>
    <t>12010513 -- KVCU</t>
  </si>
  <si>
    <t>12012397 -- KVCU CAPITAL</t>
  </si>
  <si>
    <t>12014660 -- KVCU REF</t>
  </si>
  <si>
    <t>OCHNR</t>
  </si>
  <si>
    <t>11010542 -- OFF CAMPUS STU SVCS</t>
  </si>
  <si>
    <t>12001361 -- OCHNR PAYROLL SUSPENSE</t>
  </si>
  <si>
    <t>12010516 -- OFF CAMPUS STU SVCS</t>
  </si>
  <si>
    <t>12028643 -- OCSS NON TRADS</t>
  </si>
  <si>
    <t>12030331 -- UCSU OFF-CAMP STD SV</t>
  </si>
  <si>
    <t>12054410 -- TEMP ST (REORG)</t>
  </si>
  <si>
    <t>17202941 -- OFF CAMPUS STU SVCS</t>
  </si>
  <si>
    <t>12024214 -- REC FAC-INFO DESK</t>
  </si>
  <si>
    <t>12013376 -- INSTRUCTION BODY SCL</t>
  </si>
  <si>
    <t>12021454 -- INSTRUCTION FENCING</t>
  </si>
  <si>
    <t>12063609 -- IP AT BEAR CREEK</t>
  </si>
  <si>
    <t>12086364 -- STAFF CPR</t>
  </si>
  <si>
    <t>12011504 -- OP: SCUBA</t>
  </si>
  <si>
    <t>12012147 -- OP: WATER</t>
  </si>
  <si>
    <t>12046856 -- OP CU BOUND</t>
  </si>
  <si>
    <t>12046857 -- SUMMER TRIPS</t>
  </si>
  <si>
    <t>12086361 -- ROCK AND ICE CLIMBING</t>
  </si>
  <si>
    <t>12000334 -- WOMEN'S WATER POLO</t>
  </si>
  <si>
    <t>12001041 -- EQUESTRIAN SF</t>
  </si>
  <si>
    <t>12001060 -- SYNC SKATING SF</t>
  </si>
  <si>
    <t>12012804 -- MEN'S LACROSSE</t>
  </si>
  <si>
    <t>12012805 -- WOMEN'S LACROSSE</t>
  </si>
  <si>
    <t>12013793 -- CLUB SPORTS ADMIN II</t>
  </si>
  <si>
    <t>12016930 -- MEN'S WATER POLO</t>
  </si>
  <si>
    <t>12017990 -- DANCE</t>
  </si>
  <si>
    <t>12018474 -- CLUB SPORTS ADMIN</t>
  </si>
  <si>
    <t>12019168 -- TRIATHLON</t>
  </si>
  <si>
    <t>12019856 -- FIELD HOCKEY</t>
  </si>
  <si>
    <t>12019857 -- MEN'S HOCKEY</t>
  </si>
  <si>
    <t>12019858 -- WOMEN'S HOCKEY</t>
  </si>
  <si>
    <t>12021456 -- ROLLER HOCKEY</t>
  </si>
  <si>
    <t>12021488 -- SWIMMING &amp; DIVING</t>
  </si>
  <si>
    <t>12021489 -- FENCING</t>
  </si>
  <si>
    <t>12021490 -- KAYAK</t>
  </si>
  <si>
    <t>12021491 -- FLY FISHING</t>
  </si>
  <si>
    <t>12021492 -- CYCLING</t>
  </si>
  <si>
    <t>12023324 -- MEN'S RUGBY</t>
  </si>
  <si>
    <t>12023325 -- WOMEN'S RUGBY</t>
  </si>
  <si>
    <t>12025821 -- EQUESTRIAN</t>
  </si>
  <si>
    <t>12026727 -- MEN'S SOCCER</t>
  </si>
  <si>
    <t>12026728 -- WOMEN'S SOCCER</t>
  </si>
  <si>
    <t>12027401 -- WOMEN'S ULTIMATE</t>
  </si>
  <si>
    <t>12027402 -- MEN'S ULTIMATE</t>
  </si>
  <si>
    <t>12028405 -- WOMEN'S SOFTBALL</t>
  </si>
  <si>
    <t>12028406 -- RACQUETBALL</t>
  </si>
  <si>
    <t>12028407 -- BASEBALL</t>
  </si>
  <si>
    <t>12028415 -- WOMEN'S VOLLEYBALL</t>
  </si>
  <si>
    <t>12028416 -- MEN'S VOLLEYBALL</t>
  </si>
  <si>
    <t>12031133 -- TAE KWON DO</t>
  </si>
  <si>
    <t>12046081 -- TENNIS</t>
  </si>
  <si>
    <t>12046854 -- WRESTLING</t>
  </si>
  <si>
    <t>12049745 -- SNOWBOARDING</t>
  </si>
  <si>
    <t>12061158 -- FREE STYLE SKI</t>
  </si>
  <si>
    <t>12079856 -- COLORADO CREW</t>
  </si>
  <si>
    <t>12093325 -- CSC EMT SVCS EXPENSE</t>
  </si>
  <si>
    <t>12093326 -- CSC FAC RENTAL EXPENSE</t>
  </si>
  <si>
    <t>SLS</t>
  </si>
  <si>
    <t>12015764 -- UCSU LEGAL SERV OPER</t>
  </si>
  <si>
    <t>SLS Operations</t>
  </si>
  <si>
    <t>13402277 -- STDT. LEGAL ASSISTANCE FUND</t>
  </si>
  <si>
    <t>13403226 -- STDT. LEGAL ASSISTANCE FUND</t>
  </si>
  <si>
    <t>SOAC</t>
  </si>
  <si>
    <t>12000585 -- CU STUDENT ACADEMY OF AUDIOLOG</t>
  </si>
  <si>
    <t>12000586 -- EWB-PERU-SGFB</t>
  </si>
  <si>
    <t>12000587 -- LEEDS INVSTMNT AND TRADING GRP</t>
  </si>
  <si>
    <t>12000588 -- CU ROCKETRY ASSOC (COBRA) SGFB</t>
  </si>
  <si>
    <t>12000589 -- CU DECA SGFB</t>
  </si>
  <si>
    <t>12000590 -- STD ASSC LANDSCAPE ARCHIT SGFB</t>
  </si>
  <si>
    <t>12000591 -- CU BRIDGES TO PROSPERITY-SGFB</t>
  </si>
  <si>
    <t>12000593 -- LEEDS ASSOC FOR INFORMATION SY</t>
  </si>
  <si>
    <t>12000594 -- MUSIC INDUSTRY CLUB - SGFB</t>
  </si>
  <si>
    <t>12000596 -- ASTRONOMY CLUB - SGFB</t>
  </si>
  <si>
    <t>12000597 -- AMERICAN CHORAL DIRECTORS ASSO</t>
  </si>
  <si>
    <t>12000600 -- CU BOULDER ASIAN STUDIES-SGFB</t>
  </si>
  <si>
    <t>12000601 -- PHOTOGRAPHIC ARTISTS CU-SGFB</t>
  </si>
  <si>
    <t>12000605 -- AM. SOCIETY OF CIVIL ENG-SGFB</t>
  </si>
  <si>
    <t>12000607 -- WOMEN IN SCIENCE - SGFB</t>
  </si>
  <si>
    <t>12000608 -- UCB SASE-SOAC</t>
  </si>
  <si>
    <t>12000826 -- WOMEN IN COMPUTING-SOAC</t>
  </si>
  <si>
    <t>12000827 -- PHI ALPHA DELTA PRE LAW-SOAC</t>
  </si>
  <si>
    <t>12000828 -- VOLUNT. AROUND THE WORLD-SOAC</t>
  </si>
  <si>
    <t>12000831 -- INT'L BUSINESS CLUB-SOAC</t>
  </si>
  <si>
    <t>12000832 -- EARTHQUAKE ENGR RESEARCH-SOAC</t>
  </si>
  <si>
    <t>12000833 -- STUDENTS FOR CO-OPHOUSING-SOAC</t>
  </si>
  <si>
    <t>12000834 -- CU GAELIC CLUB</t>
  </si>
  <si>
    <t>12000835 -- AMERICAN PLAN ASSOC STDT-SOAC</t>
  </si>
  <si>
    <t>12000836 -- BRIDGECU</t>
  </si>
  <si>
    <t>12000838 -- CU POLITICAL SCIENCE CLUB¿SOAC</t>
  </si>
  <si>
    <t>12000839 -- PERFORMANCE AS RESOURCE - SOAC</t>
  </si>
  <si>
    <t>12000840 -- JOURNAL TWENTYTWENTY - SOAC</t>
  </si>
  <si>
    <t>12000841 -- THE CU V DAY WARRIORS - SOAC</t>
  </si>
  <si>
    <t>12000842 -- FIGURE DRAWING CLUB - SOAC</t>
  </si>
  <si>
    <t>12000844 -- AMUSE CREATIVE WRITING - SOAC</t>
  </si>
  <si>
    <t>12000845 -- MAKERS¿ COLLECTIVE - SOAC</t>
  </si>
  <si>
    <t>12000846 -- HER CAMPUS CU BOULDER - SOAC</t>
  </si>
  <si>
    <t>12000847 -- TANGO CLUB @ CU - SOAC</t>
  </si>
  <si>
    <t>12000848 -- CU BOULDER PAKISTANI STDT-SOAC</t>
  </si>
  <si>
    <t>12000849 -- PSYCHEDELIC CLUB - SOAC</t>
  </si>
  <si>
    <t>12000850 -- HAND BALANCING CLUB - SOAC</t>
  </si>
  <si>
    <t>12001083 -- ACTIVE ENTREPRENEURS - SOAC</t>
  </si>
  <si>
    <t>12001084 -- ANTHROPOLGY COLLOQUIUM-SOAC</t>
  </si>
  <si>
    <t>12001085 -- AIAS (AMERICAN INST OF AR)-SOA</t>
  </si>
  <si>
    <t>12001086 -- AID COLORADO - SOAC</t>
  </si>
  <si>
    <t>12001087 -- AISES- SAOC</t>
  </si>
  <si>
    <t>12001088 -- ALPHA EPSILON DELTA-SOAC</t>
  </si>
  <si>
    <t>12001089 -- ALPHA PHI OMEGA - SOC</t>
  </si>
  <si>
    <t>12001090 -- ALPINE CLUB - SOC</t>
  </si>
  <si>
    <t>12001091 -- AMER CIVIL LIBERTIES UNION-SOA</t>
  </si>
  <si>
    <t>12001092 -- ARCHERY CLUB SOAC</t>
  </si>
  <si>
    <t>12001093 -- ASSOC GENERAL CONTRACTORS-SOAC</t>
  </si>
  <si>
    <t>12001094 -- BACKCOUNTRY CLUB-SOAC</t>
  </si>
  <si>
    <t>12001095 -- BLACK LAW STDT ASSOC -SOAC</t>
  </si>
  <si>
    <t>12001096 -- BHAKTI YOGA CLUB - SOAC</t>
  </si>
  <si>
    <t>12001097 -- BIOMIMICRY CLUB-SOAC</t>
  </si>
  <si>
    <t>12001098 -- BIPHORIA-SOAC</t>
  </si>
  <si>
    <t>12001099 -- BOULDER A.S.S.E.T.S. - SOAC</t>
  </si>
  <si>
    <t>12001100 -- BOULDER CREATIVES - SOAC</t>
  </si>
  <si>
    <t>12001101 -- BOULDER GYMNASTICS CLUB SOAC</t>
  </si>
  <si>
    <t>12001102 -- BREAKING CLUB - SOAC</t>
  </si>
  <si>
    <t>12001103 -- BUFF RUNNING CLUB SOAC</t>
  </si>
  <si>
    <t>12001104 -- CARIBBEAN STUDENT ALLIANCESOAC</t>
  </si>
  <si>
    <t>12001105 -- CHINESE STDNT SCHOLAR ASN-SOAC</t>
  </si>
  <si>
    <t>12001106 -- CHRISTIAN CHALLENGE SOAC</t>
  </si>
  <si>
    <t>12001107 -- CLIMBING TEAM AT CU SOAC</t>
  </si>
  <si>
    <t>12001108 -- CODEPENDENT STUDENT HUMOR SOAC</t>
  </si>
  <si>
    <t>12001109 -- COLLABOR ASIAN-SOAC</t>
  </si>
  <si>
    <t>12001111 -- COLLEGE DEMOCRATS - SOAC</t>
  </si>
  <si>
    <t>12001112 -- COLLEGES AGAINST CANCER-SOAC</t>
  </si>
  <si>
    <t>12001113 -- COLORADO GOLF CLUB- SOAC</t>
  </si>
  <si>
    <t>12001114 -- COLORADO INNOCENCE- SOAC</t>
  </si>
  <si>
    <t>12001115 -- CONF ON WORLD AFFAIRS STD SOAC</t>
  </si>
  <si>
    <t>12001116 -- CREATIO-SOAC</t>
  </si>
  <si>
    <t>12001117 -- DESIGN BUILD FLY AT CU SOAC</t>
  </si>
  <si>
    <t>12001118 -- DOMAN INTL LAW SOCIETY-SOAC</t>
  </si>
  <si>
    <t>12001119 -- ENVIRONMENTL LAW SOCIETY-SOAC</t>
  </si>
  <si>
    <t>12001120 -- EPILEPSY PROJECT SOAC</t>
  </si>
  <si>
    <t>12001121 -- FASHION DESIGN STU AS'N-SOAC</t>
  </si>
  <si>
    <t>12001122 -- FRENCH RESOURCES FOR EDUC-SOAC</t>
  </si>
  <si>
    <t>12001123 -- FUEL-CAMPUS CRUSADE-SOAC</t>
  </si>
  <si>
    <t>12001124 -- GLOBEMED-SOAC</t>
  </si>
  <si>
    <t>12001125 -- GRAD ENTREPRENEURS ASSOC-SOAC</t>
  </si>
  <si>
    <t>12001126 -- GRADUATE PHILOSOPHY CLUB-SOAC</t>
  </si>
  <si>
    <t>12001127 -- HABITAT FOR HUMANITY - SOAC</t>
  </si>
  <si>
    <t>12001128 -- HIKING CLUB (THE)-SOAC</t>
  </si>
  <si>
    <t>12001129 -- HMONG STUDENT ASSOCIATION-SOAC</t>
  </si>
  <si>
    <t>12001130 -- INT'L FESTIVAL COMMITTEE-SOAC</t>
  </si>
  <si>
    <t>12001131 -- JAPANESE STUDENT ASSN - SOAC</t>
  </si>
  <si>
    <t>12001132 -- KIDZ BLOP IMPROV-SOAC</t>
  </si>
  <si>
    <t>12001133 -- LEGAL ALTERN DISPUTE RESO-SOAC</t>
  </si>
  <si>
    <t>12001134 -- MODEL UNITED NATIONS-SOAC</t>
  </si>
  <si>
    <t>12001135 -- MUSLIM STUDENTS AS'N-SOAC</t>
  </si>
  <si>
    <t>12001136 -- NEPALESE STUDENT ASSOC - SOAC</t>
  </si>
  <si>
    <t>12001137 -- NEW ERA COLORADO-SOAC</t>
  </si>
  <si>
    <t>12001138 -- NO LABELS AT CU BOULDER-SOAC</t>
  </si>
  <si>
    <t>12001139 -- NUTRITIONAL HEALING-SOAC</t>
  </si>
  <si>
    <t>12001140 -- OPTICAL SOCIETY OF AM STD-SOAC</t>
  </si>
  <si>
    <t>12001141 -- OYATE-SOAC</t>
  </si>
  <si>
    <t>12001142 -- POWERLIFTING-SOAC</t>
  </si>
  <si>
    <t>12001143 -- PRE-VET CLUB-SOAC</t>
  </si>
  <si>
    <t>12001144 -- MARISOL HEALTH ¿ SOAC</t>
  </si>
  <si>
    <t>12001145 -- BOARD GAME UNDERGROUND-SOAC</t>
  </si>
  <si>
    <t>12001146 -- SCUBA CLUB (THE) SOAC</t>
  </si>
  <si>
    <t>12001147 -- SECULAR STDT &amp; SKEPTICS-SOAC</t>
  </si>
  <si>
    <t>12001148 -- SILVER WINGS - JARVIS CHPT-SOA</t>
  </si>
  <si>
    <t>12001149 -- SKYDIVING CLUB SOAC</t>
  </si>
  <si>
    <t>12001150 -- SLACKERS SOAC</t>
  </si>
  <si>
    <t>12001151 -- SO. ASIAN STDT ASSN. - SOAC</t>
  </si>
  <si>
    <t>12001152 -- SOCIETY ENVIRONMNTL ENGRS-SOAC</t>
  </si>
  <si>
    <t>12001153 -- SOCIETY OF WOMEN ENGINEER-SOAC</t>
  </si>
  <si>
    <t>12001154 -- SPEECH &amp; DEBATE TEAM CU-SOAC</t>
  </si>
  <si>
    <t>12001155 -- SPIKEBALL CLUB SOAC</t>
  </si>
  <si>
    <t>12001156 -- STDS FOR FREEDOM N KOREA SOAC</t>
  </si>
  <si>
    <t>12001157 -- STUDENT TO FARM SOAC</t>
  </si>
  <si>
    <t>12001158 -- STDTS FOR SENSIBLE DRUG POL-SO</t>
  </si>
  <si>
    <t>12001159 -- SUPER GEEKS-SOAC</t>
  </si>
  <si>
    <t>12001160 -- SWING DANCE AT CU-SOAC</t>
  </si>
  <si>
    <t>12001161 -- TABLE TENNIS AT CU-SOAC</t>
  </si>
  <si>
    <t>12001162 -- TELEMARK CLUB SOAC</t>
  </si>
  <si>
    <t>12001163 -- THE NON TRADITIONAL STDT-SOAC</t>
  </si>
  <si>
    <t>12001164 -- TO WRITE LOVE ON HER ARMS-SOAC</t>
  </si>
  <si>
    <t>12001165 -- UMBRELLA IMPROV INITIATIV SOAC</t>
  </si>
  <si>
    <t>12001166 -- VEGAN JUSTICE LEAGUE - SOAC</t>
  </si>
  <si>
    <t>12001167 -- VIETNAMESE STDT. ASSN. - SOAC</t>
  </si>
  <si>
    <t>12001168 -- WARES ART SPACE-SOAC</t>
  </si>
  <si>
    <t>12001169 -- YOGA CLUB - SOAC</t>
  </si>
  <si>
    <t>12001170 -- U OF C ESPORTS - SOAC</t>
  </si>
  <si>
    <t>12001171 -- NAMI ON CAMPUS@CU BOULDER-SOAC</t>
  </si>
  <si>
    <t>12001172 -- BOULDER BASILISKS ¿ SOAC</t>
  </si>
  <si>
    <t>12001173 -- SOUTH ASIAN MUSIC ASSOC - SOAC</t>
  </si>
  <si>
    <t>12001174 -- GEOLOGY CLUB CU BOULDER - SOAC</t>
  </si>
  <si>
    <t>12001175 -- SIGMA IOTA RHO - SOAC</t>
  </si>
  <si>
    <t>12001176 -- CU PRIME - SOAC</t>
  </si>
  <si>
    <t>12001177 -- LOW HANGING FRUIT - SOAC</t>
  </si>
  <si>
    <t>12001178 -- CU COMEDY CLUB - SOAC</t>
  </si>
  <si>
    <t>12001179 -- INTEG PHYS BIOSTAT CLUB - SOAC</t>
  </si>
  <si>
    <t>12001180 -- STUDENT MOBILIZATION</t>
  </si>
  <si>
    <t>12001181 -- KOREAN GRAD STUD ASSOCIATION</t>
  </si>
  <si>
    <t>12001182 -- GIVE STUDENT CHAPTER</t>
  </si>
  <si>
    <t>12001183 -- CRAVE THE SOUND</t>
  </si>
  <si>
    <t>12001184 -- SCIENCE BUFFS</t>
  </si>
  <si>
    <t>12001185 -- PERSIAN STUDENTS ORGANIZATION</t>
  </si>
  <si>
    <t>12001186 -- MIDDLE EASTERN STUDENT ASSOC</t>
  </si>
  <si>
    <t>12001187 -- DESIGN FOR AMERICA</t>
  </si>
  <si>
    <t>12001188 -- AICHE</t>
  </si>
  <si>
    <t>12001189 -- MEGSRRC</t>
  </si>
  <si>
    <t>12001190 -- QUIZ BOWL AT CU</t>
  </si>
  <si>
    <t>12001191 -- CU DRONE RACING CLUB</t>
  </si>
  <si>
    <t>12001192 -- AMERICAN WOMEN¿S MEDICAL ASSOC</t>
  </si>
  <si>
    <t>12001193 -- CIRCUIT BENDERS</t>
  </si>
  <si>
    <t>12001194 -- THE BOCO YOYO CLUB</t>
  </si>
  <si>
    <t>12001212 -- BUFF VEX ROBOTICS @ CU</t>
  </si>
  <si>
    <t>12001213 -- PATHS</t>
  </si>
  <si>
    <t>12001214 -- HUMANS VS ZOMBIES - CU BOULDER</t>
  </si>
  <si>
    <t>12001215 -- STDTS ORGANIZE FOR SYRIA - CUB</t>
  </si>
  <si>
    <t>12001216 -- CU TIMMY</t>
  </si>
  <si>
    <t>12001217 -- BOULDER CAMPUS MINISTRY</t>
  </si>
  <si>
    <t>12001218 -- INSPIRED DREAMERS</t>
  </si>
  <si>
    <t>12001219 -- ONE NOTE STAND</t>
  </si>
  <si>
    <t>12001220 -- MUSEUM CLUB</t>
  </si>
  <si>
    <t>12001221 -- OSTEM AT CU BOULDER</t>
  </si>
  <si>
    <t>12001222 -- KOREAN AM STDTS-BOULDER (KASB)</t>
  </si>
  <si>
    <t>12001223 -- AM SOCIETY FOR ENGIN MGMT - CU</t>
  </si>
  <si>
    <t>12001224 -- INTEGRATIVE PHYSIOLOGY CLUB</t>
  </si>
  <si>
    <t>12001225 -- U OF C BLDR SOC OF PHYSICS STU</t>
  </si>
  <si>
    <t>12001226 -- SURF CLUB AT CU</t>
  </si>
  <si>
    <t>12001227 -- BUFFS FOR BODY POSITIVITY</t>
  </si>
  <si>
    <t>12001228 -- BUFFS FOR REPRODUCTIVE JUSTIC</t>
  </si>
  <si>
    <t>12001229 -- THE CAVING CLUB AT CU</t>
  </si>
  <si>
    <t>12001230 -- CU SAILING</t>
  </si>
  <si>
    <t>12001231 -- CU BOULDER RACING TEAM</t>
  </si>
  <si>
    <t>12001232 -- THE MAGICIANS GUILD</t>
  </si>
  <si>
    <t>12001233 -- GRADUATE MUSICOLOGY SOCIETY</t>
  </si>
  <si>
    <t>12001234 -- THE POLYCULE</t>
  </si>
  <si>
    <t>12001235 -- CO DATA SCIENCE TEAM</t>
  </si>
  <si>
    <t>12001236 -- LATTER-DAY SAINTS STUDENT ASS</t>
  </si>
  <si>
    <t>12001308 -- STEMINAR-SOAC</t>
  </si>
  <si>
    <t>12001309 -- POLE FITNESS SOCIETY @ CU-SOAC</t>
  </si>
  <si>
    <t>12001310 -- BOULDER BLUES-SOAC</t>
  </si>
  <si>
    <t>12001311 -- PROFESSIONAL SALES CLUB-SOAC</t>
  </si>
  <si>
    <t>12001312 -- AIRPHOTO CLUB-SOAC</t>
  </si>
  <si>
    <t>12001313 -- MAGIC:THE GATHERING GUILD-SOAC</t>
  </si>
  <si>
    <t>12001314 -- INTERNATION SOCIALIST ORG-SOAC</t>
  </si>
  <si>
    <t>12001315 -- LASER SMASH PANCAKE CLUB-SOAC</t>
  </si>
  <si>
    <t>12001316 -- FEMME INTERNATION CU BLDR-SOAC</t>
  </si>
  <si>
    <t>12001317 -- ADHD SPACE CADETS-SOAC</t>
  </si>
  <si>
    <t>12001318 -- ODYSSEY OF THE MIND-SOAC</t>
  </si>
  <si>
    <t>12001319 -- THE JAM SOCIETY @ CU BLDR-SOAC</t>
  </si>
  <si>
    <t>12001321 -- CU CRYPTOCURRENCY CLUB-SOAC</t>
  </si>
  <si>
    <t>12001322 -- BUFFSSPEAK-SOAC</t>
  </si>
  <si>
    <t>12001323 -- WATER RESOURCES BOOK CLUB-SOAC</t>
  </si>
  <si>
    <t>12001324 -- KUWAITI STUDENT ASSOC-SOAC</t>
  </si>
  <si>
    <t>12001325 -- ANTHROPOLOGY CLUB-SOAC</t>
  </si>
  <si>
    <t>12001326 -- LEEDS BOOK CLUB-SOAC</t>
  </si>
  <si>
    <t>12001327 -- KEEP COLORADO GREEN-SOAC</t>
  </si>
  <si>
    <t>12001328 -- CU IN THE GARDEN-SOAC</t>
  </si>
  <si>
    <t>12001329 -- CU RAVE CLUB-SOAC</t>
  </si>
  <si>
    <t>12001330 -- BLDR WOMEN OF PHILOSOPHY-SOAC</t>
  </si>
  <si>
    <t>12001331 -- START-UP CLUB-SOAC</t>
  </si>
  <si>
    <t>12001332 -- LEFT RIGHT TIM IMPROV-SOAC</t>
  </si>
  <si>
    <t>12001334 -- REALITY CAMPUS MINISTRY-SOAC</t>
  </si>
  <si>
    <t>12001335 -- BOULDER FASHION CLUB-SOAC</t>
  </si>
  <si>
    <t>12001336 -- ASSOC OF HOLLIST WELLNESS-SOAC</t>
  </si>
  <si>
    <t>12001337 -- PREMEDICAL CLUB FOR ENGINEERS</t>
  </si>
  <si>
    <t>12001338 -- CU GAMING-SOAC</t>
  </si>
  <si>
    <t>12001339 -- CU BOULDER COLLEG MTNA-SOAC</t>
  </si>
  <si>
    <t>12001340 -- MECHA-SOAC</t>
  </si>
  <si>
    <t>12001341 -- SAUDI STUDENT ASSOC-SOAC</t>
  </si>
  <si>
    <t>12001342 -- CITIZENS CLIMATE LOBBY-SOAC</t>
  </si>
  <si>
    <t>12001343 -- STUDENTS FOR A FREE TIBET-SOAC</t>
  </si>
  <si>
    <t>12001344 -- THAI STUDENT ASSOCIATION-SOAC</t>
  </si>
  <si>
    <t>12001345 -- I AM THAT GIRL-SOAC</t>
  </si>
  <si>
    <t>12001346 -- GENUN UNA-USA-SOAC</t>
  </si>
  <si>
    <t>12001347 -- CU AMERICAN STRING TEACH-SOAC</t>
  </si>
  <si>
    <t>12001348 -- PSYCHOLOGY CLUB-SOAC</t>
  </si>
  <si>
    <t>12001349 -- BUFFSPORTS LIVE-SOAC</t>
  </si>
  <si>
    <t>12001350 -- CU BOULDER CANYONING CLUB-SOAC</t>
  </si>
  <si>
    <t>12001351 -- CYBERSECURITY CLUB-SOAC</t>
  </si>
  <si>
    <t>12001352 -- ENVIRON STUDIES &amp; DESIGN-SOAC</t>
  </si>
  <si>
    <t>12001353 -- ST JUDE AT CU-SOAC</t>
  </si>
  <si>
    <t>12001354 -- YOUNG DEM SOC OF AMERICA-SOAC</t>
  </si>
  <si>
    <t>12001355 -- DREAM TEAM BHANGRA-SOAC</t>
  </si>
  <si>
    <t>12001356 -- CU ASHRAE STUDENT CHAPTER</t>
  </si>
  <si>
    <t>12001357 -- HISPANC-LATINO ENGRS &amp; SCIENCE</t>
  </si>
  <si>
    <t>12001358 -- SHOOTING SPORTS AT CU</t>
  </si>
  <si>
    <t>12001418 -- CRITICAL EDUCATION SCHOLARS</t>
  </si>
  <si>
    <t>12001419 -- CU TROMBONE SOCIETY</t>
  </si>
  <si>
    <t>12001420 -- BRIDGES INTERNATIONAL</t>
  </si>
  <si>
    <t>12001421 -- ANIME ANONYMOUS</t>
  </si>
  <si>
    <t>12001422 -- AMATEUR RADIO CLUB</t>
  </si>
  <si>
    <t>12001423 -- QUADCOPTER CLUB</t>
  </si>
  <si>
    <t>12001424 -- COLLEGE REPUBLICANS</t>
  </si>
  <si>
    <t>12001425 -- PROJECT PENGYOU</t>
  </si>
  <si>
    <t>12001426 -- CU-BOULDER CHINESE BUS SOCIETY</t>
  </si>
  <si>
    <t>12001427 -- AMSA @ CU - SOAC</t>
  </si>
  <si>
    <t>12001428 -- SPAGHETTI CONFESSION - SOAC</t>
  </si>
  <si>
    <t>12001429 -- MEDICINE BOOK CLUB - SOAC</t>
  </si>
  <si>
    <t>12001430 -- ABHINAYA - SOAC</t>
  </si>
  <si>
    <t>12001431 -- CENKI - SOAC</t>
  </si>
  <si>
    <t>12001432 -- SIAM - SOAC</t>
  </si>
  <si>
    <t>12001433 -- BUFFS FOR DAY BY DAY - SOAC</t>
  </si>
  <si>
    <t>12001434 -- BEE CLUB - SOAC</t>
  </si>
  <si>
    <t>12001435 -- RAW CERAMICS - SOAC</t>
  </si>
  <si>
    <t>12001436 -- SOC OF AMER MILITARY ENG-SOAC</t>
  </si>
  <si>
    <t>12001437 -- CUSP - SOAC</t>
  </si>
  <si>
    <t>12001438 -- LEEDS SUPPLY CHAIN MNGT - SOAC</t>
  </si>
  <si>
    <t>12001439 -- ON THAT NOTE - SOAC</t>
  </si>
  <si>
    <t>12001440 -- SEE YOU SPEAK TOASTMASTER-SOAC</t>
  </si>
  <si>
    <t>12001441 -- CHEMUNITY - SOAC</t>
  </si>
  <si>
    <t>12001442 -- HANGTIME HAMMOCKING CLUB-SOAC</t>
  </si>
  <si>
    <t>12001505 -- THE PEBBLE - SOAC</t>
  </si>
  <si>
    <t>12001506 -- ARO&amp;ACE STUDENT GROUP - SOAC</t>
  </si>
  <si>
    <t>12001507 -- NUTRITION BUFFS - SOAC</t>
  </si>
  <si>
    <t>12001508 -- DENVER NUGGETS APPR CLUB-SOAC</t>
  </si>
  <si>
    <t>12001509 -- YOGA FOR PERFORMERS - SOAC</t>
  </si>
  <si>
    <t>12001510 -- COMPUTER GRAPHICS GROUP - SOAC</t>
  </si>
  <si>
    <t>12001511 -- CHEM AND BIOCHEM CLUB - SOAC</t>
  </si>
  <si>
    <t>12001512 -- BOULDER BUFF CHEERLEADING-SOAC</t>
  </si>
  <si>
    <t>12001513 -- CLASSICS CLUB - SOAC</t>
  </si>
  <si>
    <t>12001514 -- MAASU CONFERENCE CLUB - SOAC</t>
  </si>
  <si>
    <t>12001515 -- MYSTICS AND MASTICS - SOAC</t>
  </si>
  <si>
    <t>12001516 -- PICKLEBALL CLUB - SOAC</t>
  </si>
  <si>
    <t>12001517 -- COMBAT BOTS - SOAC</t>
  </si>
  <si>
    <t>12001518 -- THE ASSEMBLY - SOAC</t>
  </si>
  <si>
    <t>12001519 -- ACTIVE MINDS - SOAC</t>
  </si>
  <si>
    <t>12001520 -- WOMEN IN TECH CLUB - SOAC</t>
  </si>
  <si>
    <t>12001521 -- SIKH STUDENT ASSOC - SOAC</t>
  </si>
  <si>
    <t>12001522 -- THE HISTORY CLUB - SOAC</t>
  </si>
  <si>
    <t>12001523 -- ELEVATION - SOAC</t>
  </si>
  <si>
    <t>12001524 -- COLOMBIAN STUDENT ASSOC-SOAC</t>
  </si>
  <si>
    <t>12001525 -- COLORADO AUTO RALLY SPORT-SOAC</t>
  </si>
  <si>
    <t>12001526 -- CU BOULDER UNICEF CLUB-SOAC</t>
  </si>
  <si>
    <t>12001527 -- EXTREME MEAS A CAPPELLA-SOAC</t>
  </si>
  <si>
    <t>12001528 -- MARVEL SUPER MOVIE CLUB - SOAC</t>
  </si>
  <si>
    <t>12001529 -- FBLA - PHI BETA LAMBDA - SOAC</t>
  </si>
  <si>
    <t>12001531 -- COLORADO BHANGRA TEAM - SOAC</t>
  </si>
  <si>
    <t>12001532 -- APPLIED DATA SCIENCE CLUB-SOAC</t>
  </si>
  <si>
    <t>12001533 -- WOMEN'S IMPROV - SOAC</t>
  </si>
  <si>
    <t>12001534 -- QTPOC - SOAC</t>
  </si>
  <si>
    <t>12001535 -- CU SOLAR DECATHLON - SOAC</t>
  </si>
  <si>
    <t>12001536 -- PATAKAPELLA - SOAC</t>
  </si>
  <si>
    <t>12001537 -- CU HYPERLOOP - SOAC</t>
  </si>
  <si>
    <t>12001538 -- ARMOR - SOAC</t>
  </si>
  <si>
    <t>12001539 -- WOMENS LAW CAUCUS-SOAC</t>
  </si>
  <si>
    <t>12001541 -- SLOW FOODS YOUTH CU - SOAC</t>
  </si>
  <si>
    <t>12001542 -- BOOK CLUB FOR BUFFS - SOAC</t>
  </si>
  <si>
    <t>12001543 -- CU WOMEN IN BUSINESS - SOAC</t>
  </si>
  <si>
    <t>12001544 -- ILLUMINATING ENGINEER SOC-SOAC</t>
  </si>
  <si>
    <t>12001545 -- CU CORNHOLE CLUB - SOAC</t>
  </si>
  <si>
    <t>12001546 -- INFO SCIENCE GRAD STU ORG-SOAC</t>
  </si>
  <si>
    <t>12001547 -- ARCHITECTURAL ENG INST - SOAC</t>
  </si>
  <si>
    <t>12001548 -- DESIGN CLUB - SOAC</t>
  </si>
  <si>
    <t>12001549 -- SOC OF WOM IN SPACE &amp; EXP-SOAC</t>
  </si>
  <si>
    <t>12001550 -- CU DANCE MARATHON - SOAC</t>
  </si>
  <si>
    <t>12001551 -- NAT SOC OF PERSH &amp; RIFLES-SOAC</t>
  </si>
  <si>
    <t>12001552 -- COMP PROGRAMMING CLUB-SOAC</t>
  </si>
  <si>
    <t>12001553 -- CU ADVERTISING - SOAC</t>
  </si>
  <si>
    <t>12001554 -- CU ROTARACT CLUB - SOAC</t>
  </si>
  <si>
    <t>12001555 -- BUFFOONS - SOAC</t>
  </si>
  <si>
    <t>12001665 -- ASSOC FOR WOMEN IN MATH - SOAC</t>
  </si>
  <si>
    <t>12001666 -- STEM ROUTES - SOAC</t>
  </si>
  <si>
    <t>12001667 -- CESR FELLOWS LEEDS SCH BS-SOAC</t>
  </si>
  <si>
    <t>12001668 -- ROBOBOAT - SOAC</t>
  </si>
  <si>
    <t>12001669 -- CU ROBOTIC MINING TEAM-SOAC</t>
  </si>
  <si>
    <t>12001670 -- EN CONTACTO - SOAC</t>
  </si>
  <si>
    <t>12001671 -- BOULDERITE CHESS CLUB - SOAC</t>
  </si>
  <si>
    <t>12001672 -- ADOPTEE ASSOCIATION - SOAC</t>
  </si>
  <si>
    <t>12001673 -- CU SKATE SOCIETY - SOAC</t>
  </si>
  <si>
    <t>12001674 -- YANG GANG - SOAC</t>
  </si>
  <si>
    <t>12001675 -- LATIN ARTS SOCIETY - SOAC</t>
  </si>
  <si>
    <t>12001676 -- CROCHET &amp; CONVERSATION-SOAC</t>
  </si>
  <si>
    <t>12001677 -- TURNING POINT USA - SOAC</t>
  </si>
  <si>
    <t>12001678 -- BUFF SIMULATORS - SOAC</t>
  </si>
  <si>
    <t>12001678 -- SOAC #339</t>
  </si>
  <si>
    <t>12001679 -- DRAWING CLUB - SOAC</t>
  </si>
  <si>
    <t>12001679 -- SOAC #340</t>
  </si>
  <si>
    <t>12001680 -- COLORADO HISTORIAN - SOAC</t>
  </si>
  <si>
    <t>12001680 -- SOAC #341</t>
  </si>
  <si>
    <t>12001681 -- SOAC #342</t>
  </si>
  <si>
    <t>12001681 -- WOMEN OF COLOR IN STEM - SOAC</t>
  </si>
  <si>
    <t>12001682 -- CU BACHATA CONEXION - SOAC</t>
  </si>
  <si>
    <t>12001682 -- SOAC #343</t>
  </si>
  <si>
    <t>12001683 -- BRAZEN PROJECT - SOAC</t>
  </si>
  <si>
    <t>12001683 -- SOAC #344</t>
  </si>
  <si>
    <t>12001684 -- SOAC #345</t>
  </si>
  <si>
    <t>12001684 -- WOMEN OF COLOR COLLECTIVE-SOAC</t>
  </si>
  <si>
    <t>12001685 -- CU SPRINTING CLUB</t>
  </si>
  <si>
    <t>12001685 -- SOAC #346</t>
  </si>
  <si>
    <t>12001686 -- CU TECH 4 EXTREME ENVIRON-SOAC</t>
  </si>
  <si>
    <t>12001686 -- SOAC #347</t>
  </si>
  <si>
    <t>12001687 -- BACKCOUNTRY SQUATTERS-SOAC</t>
  </si>
  <si>
    <t>12001687 -- SOAC #348</t>
  </si>
  <si>
    <t>12001688 -- SOAC #349</t>
  </si>
  <si>
    <t>12001688 -- STUDENTS FOR TRUMP - SOAC</t>
  </si>
  <si>
    <t>12001689 -- PREGRAD RESEARCH PATHWAYS-SOAC</t>
  </si>
  <si>
    <t>12001689 -- SOAC #350</t>
  </si>
  <si>
    <t>12001754 -- SUN OF JAY - SOAC</t>
  </si>
  <si>
    <t>12001755 -- BUFFS FOR BERNIE - SOAC</t>
  </si>
  <si>
    <t>12001756 -- CELLULAR AGRICULTURE CLUB-SOAC</t>
  </si>
  <si>
    <t>12001757 -- HUMAN IMM VIRUS ED-(HIVE)-SOAC</t>
  </si>
  <si>
    <t>12001758 -- LEEDS OUTDOOR IND CLUB - SOAC</t>
  </si>
  <si>
    <t>12001759 -- CU PHYSICIAN ASSISTANT - SOAC</t>
  </si>
  <si>
    <t>12001760 -- MIXED CU - SOAC</t>
  </si>
  <si>
    <t>12001761 -- CU BOULDERING CLUB - SOAC</t>
  </si>
  <si>
    <t>12001762 -- ENVIRONMENTAL PRO DESIGN -SOAC</t>
  </si>
  <si>
    <t>12001763 -- RALPHIE'S CLOSET - SOAC</t>
  </si>
  <si>
    <t>12001764 -- AERO MED STUD RESID ORG - SOAC</t>
  </si>
  <si>
    <t>12001765 -- TIBETAN CULTURAL SOCIETY -SOAC</t>
  </si>
  <si>
    <t>12001766 -- CU 3D PRINTING - SOAC</t>
  </si>
  <si>
    <t>12001767 -- SCIENCE UNDER THE DOME - SOAC</t>
  </si>
  <si>
    <t>12001768 -- BRASA AT CU BOULDER - SOAC</t>
  </si>
  <si>
    <t>12001769 -- DOCUMENTARY INT. CLUB - SOAC</t>
  </si>
  <si>
    <t>12001770 -- FINANCIAL PLANNING ASSOC -SOAC</t>
  </si>
  <si>
    <t>12001771 -- CU BOULDER ROBOSUB TEAM - SOAC</t>
  </si>
  <si>
    <t>12001772 -- SOAC #369</t>
  </si>
  <si>
    <t>12001773 -- SOAC #370</t>
  </si>
  <si>
    <t>12001774 -- SOAC #371</t>
  </si>
  <si>
    <t>12001775 -- SOAC #372</t>
  </si>
  <si>
    <t>12001776 -- SOAC #373</t>
  </si>
  <si>
    <t>12001777 -- SOAC #374</t>
  </si>
  <si>
    <t>12001778 -- SOAC #375</t>
  </si>
  <si>
    <t>12068986 -- ASIAN UNITY - SOC</t>
  </si>
  <si>
    <t>12068989 -- NEUROSCIENCE CLUB-SGFB</t>
  </si>
  <si>
    <t>12068990 -- STDT ASSOC PRE-HEALTH-SOAC</t>
  </si>
  <si>
    <t>12068992 -- BLACK STUDENT ALLIANCE-SGFB</t>
  </si>
  <si>
    <t>12068993 -- SGFB MASTER</t>
  </si>
  <si>
    <t>12068994 -- SGFB OPERATIONS</t>
  </si>
  <si>
    <t>12068995 -- SGFB ALLOCATIONS</t>
  </si>
  <si>
    <t>12068996 -- SGFB COMMUNICATIONS</t>
  </si>
  <si>
    <t>12068997 -- GAY STRAIGHT ALLIANCE-SGFB</t>
  </si>
  <si>
    <t>12069000 -- AMNESTY INTERNATIONAL-SGFB</t>
  </si>
  <si>
    <t>12069001 -- CU MOCK TRIAL TEAM-SGFB</t>
  </si>
  <si>
    <t>12069006 -- BEST BUDDIES-SGFB</t>
  </si>
  <si>
    <t>12069008 -- BIODIESEL-SGFB</t>
  </si>
  <si>
    <t>12069011 -- CU INTERNATIONAL-SGFB</t>
  </si>
  <si>
    <t>12069012 -- UMAS-UNITED MEXICAN AMER-SGFB</t>
  </si>
  <si>
    <t>12069014 -- AFRICAN STUDENT ASSOC. - SGFB</t>
  </si>
  <si>
    <t>12069018 -- SENIOR CLASS COUNCIL-SGFB</t>
  </si>
  <si>
    <t>12069020 -- MULTICULTURAL BUSINESS STUDENT</t>
  </si>
  <si>
    <t>12069022 -- NATIONAL STUDENT SPEECH-LANGUA</t>
  </si>
  <si>
    <t>12069024 -- STUDENT WORKER ALLIANCE PRGM</t>
  </si>
  <si>
    <t>12069026 -- ONSTAGE-SGFB</t>
  </si>
  <si>
    <t>12069029 -- SEMS-SGFB</t>
  </si>
  <si>
    <t>12069032 -- ONE EIGHTY 180 11 - SGFB</t>
  </si>
  <si>
    <t>12069033 -- CU REAL ESTATE CLUB-SGFB</t>
  </si>
  <si>
    <t>12069034 -- CO NEW MUSIC ENSEMBLE ¿ SOAC</t>
  </si>
  <si>
    <t>12069035 -- CU BOULDER DRAGON BOAT - SOAC</t>
  </si>
  <si>
    <t>12069037 -- CU ROBOTICS CLUB-SGFB</t>
  </si>
  <si>
    <t>12069038 -- CU SOCIAL PSYCHOLOGY LAB-SGFB</t>
  </si>
  <si>
    <t>12069039 -- CU SEDS SGFB</t>
  </si>
  <si>
    <t>12069041 -- ENVS CLUB-SGFB</t>
  </si>
  <si>
    <t>12069042 -- AIESEC - SOAC</t>
  </si>
  <si>
    <t>12069043 -- GLOBAL BRIGADES-SGFB</t>
  </si>
  <si>
    <t>12069045 -- MCDB GRAD STU SYM COM-SGFB</t>
  </si>
  <si>
    <t>12069048 -- U OF C STUDENT VETS ASN-SGFB</t>
  </si>
  <si>
    <t>12069051 -- CU ENERGY: THE STUDENT ALLIANC</t>
  </si>
  <si>
    <t>12069053 -- HIP HOP DANCE TEAM - SGFB</t>
  </si>
  <si>
    <t>12069055 -- CMENC: COLLEGIATE MUSIC EDUCAT</t>
  </si>
  <si>
    <t>12069057 -- AIR FORCE RESERVE OFFICER TRAI</t>
  </si>
  <si>
    <t>12069060 -- CREATIVE WRITING ASS'N - SGFB</t>
  </si>
  <si>
    <t>12069061 -- CU RUSSIAN CLUB - SGFB</t>
  </si>
  <si>
    <t>12069062 -- CU TRUMPET ALLIANCE - SGFB</t>
  </si>
  <si>
    <t>12069068 -- CU EMS - SGFB</t>
  </si>
  <si>
    <t>12069069 -- BIOMEDICAL ENGINEERING SOCIETY</t>
  </si>
  <si>
    <t>12069071 -- CU INT'L AFFAIRS CLUB - SGFB</t>
  </si>
  <si>
    <t>12069076 -- ENGLISH GRAD STUDENT COUNCIL</t>
  </si>
  <si>
    <t>12069078 -- PROJECT NUR - SGFB</t>
  </si>
  <si>
    <t>12069079 -- ROCKY MTN INTERDISCIP HISTORY</t>
  </si>
  <si>
    <t>12069083 -- CU CATALAN CLUB SGFB</t>
  </si>
  <si>
    <t>12069084 -- COLORADO OCEAN COALITION-SOAC</t>
  </si>
  <si>
    <t>12069085 -- HISTORY GRADUATE STUDENTS ASSO</t>
  </si>
  <si>
    <t>12086989 -- SGFB - STUDENT ACTIVITIES</t>
  </si>
  <si>
    <t>UMC</t>
  </si>
  <si>
    <t>12000574 -- COLD STONE BUILD OUT</t>
  </si>
  <si>
    <t>CAA Operations</t>
  </si>
  <si>
    <t>12001556 -- ALCOHOL AGENT-TIPS</t>
  </si>
  <si>
    <t>12016080 -- UMC SUPPORT</t>
  </si>
  <si>
    <t>17202914 -- CAMPUS ALCOHOL AGENT</t>
  </si>
  <si>
    <t>17200088 -- UMC PLANT FUND</t>
  </si>
  <si>
    <t>Campus EMS</t>
  </si>
  <si>
    <t>17202939 -- CENTRALIZED EVENT MGMT</t>
  </si>
  <si>
    <t>12000620 -- BAR SALES</t>
  </si>
  <si>
    <t>CDS Rent</t>
  </si>
  <si>
    <t>12000621 -- CONCESSIONS MACKY</t>
  </si>
  <si>
    <t>12000716 -- COLD STONE</t>
  </si>
  <si>
    <t>12021718 -- UMC FOOD SERV III</t>
  </si>
  <si>
    <t>12025532 -- UMC FOOD SERVICE I</t>
  </si>
  <si>
    <t>12030748 -- UMC FOOD SERVICE II</t>
  </si>
  <si>
    <t>12035038 -- UMC-FS-TENANT CLEARING</t>
  </si>
  <si>
    <t>12035039 -- FS-STOREROOM SALES</t>
  </si>
  <si>
    <t>12035040 -- BOARD ROOM</t>
  </si>
  <si>
    <t>12035041 -- SNEAKERS</t>
  </si>
  <si>
    <t>12035042 -- EAST END CAFE</t>
  </si>
  <si>
    <t>12035043 -- COFFEE CART SALES</t>
  </si>
  <si>
    <t>12035044 -- HEARSAY</t>
  </si>
  <si>
    <t>12035045 -- CONNECTION DELIVERIES</t>
  </si>
  <si>
    <t>12035046 -- FS-BABY DOES</t>
  </si>
  <si>
    <t>12035047 -- FS-GRILL</t>
  </si>
  <si>
    <t>12035048 -- UMC-FOOD SERVICE SP-1</t>
  </si>
  <si>
    <t>12057546 -- SHAKESPEARE FESTIVAL CONCESS'N</t>
  </si>
  <si>
    <t>12057693 -- UNIVERSITY CLUB</t>
  </si>
  <si>
    <t>12058864 -- LIBRARY SATELLITE</t>
  </si>
  <si>
    <t>12069686 -- FS - GIFT CARDS</t>
  </si>
  <si>
    <t>12071737 -- FS-METABOLIC KITCHEN</t>
  </si>
  <si>
    <t>12074529 -- JAMBA JUICE</t>
  </si>
  <si>
    <t>12091074 -- FS-CAMPUS CASH</t>
  </si>
  <si>
    <t>12000897 -- CUSG DISCOUNTS</t>
  </si>
  <si>
    <t>CUSG Discounts</t>
  </si>
  <si>
    <t>12000896 -- 3RD FLOOR REN LOAN</t>
  </si>
  <si>
    <t>Internal Campus Loan</t>
  </si>
  <si>
    <t>12000651 -- 60TH ANNIV CELEB</t>
  </si>
  <si>
    <t>UMC Administration</t>
  </si>
  <si>
    <t>12000652 -- PAC12 CONFERENCE</t>
  </si>
  <si>
    <t>12000823 -- GLB REOPENING</t>
  </si>
  <si>
    <t>12001500 -- BUSINESS CONTINUITY</t>
  </si>
  <si>
    <t>12016650 -- UMC OPERATIONS</t>
  </si>
  <si>
    <t>12020401 -- UMC ADMINISTRATION</t>
  </si>
  <si>
    <t>12052067 -- UMC BOARD SCHOLARSHIP</t>
  </si>
  <si>
    <t>12091382 -- CAMPUS CASH</t>
  </si>
  <si>
    <t>13432910 -- UMC GIFT ACCOUNT</t>
  </si>
  <si>
    <t>13438294 -- VERLE PLUMB GIFT ACCOUNT</t>
  </si>
  <si>
    <t>13446906 -- SENIOR GIFTS</t>
  </si>
  <si>
    <t>13453650 -- SENIOR GIFT - 2002</t>
  </si>
  <si>
    <t>12000874 -- PANDA STU LEADERSHIP FUNDS</t>
  </si>
  <si>
    <t>UMC Admin-Leadership</t>
  </si>
  <si>
    <t>12000875 -- PIZZA STU LEADERSHIP FUNDS</t>
  </si>
  <si>
    <t>12000876 -- SUBWAY STU LEADERSHIP FUNDS</t>
  </si>
  <si>
    <t>13401634 -- PANDA LEADERSHIP FUNDING</t>
  </si>
  <si>
    <t>12001034 -- ART PROGRAM</t>
  </si>
  <si>
    <t>UMC Art Program</t>
  </si>
  <si>
    <t>12000167 -- FS RENOVATION MARKETING</t>
  </si>
  <si>
    <t>UMC Building Operations</t>
  </si>
  <si>
    <t>12012155 -- UMC COPY CENTER</t>
  </si>
  <si>
    <t>12015850 -- UMC MAINT &amp; OP I</t>
  </si>
  <si>
    <t>12019440 -- UMC ART SALES</t>
  </si>
  <si>
    <t>12021719 -- UMC MAINT &amp; OP III</t>
  </si>
  <si>
    <t>12035031 -- UMC-RENT-UMC ROOMS</t>
  </si>
  <si>
    <t>12035032 -- UMC-RENT-UMC ATMS</t>
  </si>
  <si>
    <t>12035033 -- UMC-RENT-UMC EQUIPMENT</t>
  </si>
  <si>
    <t>12035034 -- UMC-RENT UMC OPERATOR</t>
  </si>
  <si>
    <t>12035035 -- UMC-RENT-UMC LOCKER</t>
  </si>
  <si>
    <t>12035036 -- UMC-VENDING</t>
  </si>
  <si>
    <t>12035037 -- UMC-BUILDING SP-1</t>
  </si>
  <si>
    <t>12057692 -- UNIVERSITY CLUB</t>
  </si>
  <si>
    <t>UMC Business Office</t>
  </si>
  <si>
    <t>12000487 -- EMPLOYEE MEAL PROGRAM</t>
  </si>
  <si>
    <t>12010045 -- PIZZA VENDOR</t>
  </si>
  <si>
    <t>12010275 -- SUBWAY</t>
  </si>
  <si>
    <t>12017912 -- ASIAN FOOD</t>
  </si>
  <si>
    <t>12022390 -- UMC BUSINESS OFFICE</t>
  </si>
  <si>
    <t>12023336 -- UMC 1986 BOND GAR</t>
  </si>
  <si>
    <t>12031643 -- SF CAPITAL PROJECTS</t>
  </si>
  <si>
    <t>UMC Capital</t>
  </si>
  <si>
    <t>12001204 -- SHOE RENTAL</t>
  </si>
  <si>
    <t>UMC Connection</t>
  </si>
  <si>
    <t>12014693 -- UMC GAMES AREA</t>
  </si>
  <si>
    <t>12028972 -- UMC GAMES AREA I</t>
  </si>
  <si>
    <t>12030744 -- UMC GAMES AREA II</t>
  </si>
  <si>
    <t>12035027 -- UMC GAMES-FOOD AND DRINK</t>
  </si>
  <si>
    <t>12035028 -- UMC GAMES-VIDEO GAMES</t>
  </si>
  <si>
    <t>12035029 -- UMC - SUMMER CAMPS</t>
  </si>
  <si>
    <t>12035030 -- UMC-GAMES SP1</t>
  </si>
  <si>
    <t>12000161 -- FS RENOVATION LOAN</t>
  </si>
  <si>
    <t>UMC Debt Service</t>
  </si>
  <si>
    <t>12041568 -- UMC EXPANSION</t>
  </si>
  <si>
    <t>12046905 -- UMC EXPANSION BONDS FEES</t>
  </si>
  <si>
    <t>17333223 -- UMC EXPANSION</t>
  </si>
  <si>
    <t>UMC Evening Program</t>
  </si>
  <si>
    <t>12021440 -- UMC SCHEDULING</t>
  </si>
  <si>
    <t>UMC Events Planning</t>
  </si>
  <si>
    <t>12030742 -- UMC MAINT &amp; OP II</t>
  </si>
  <si>
    <t>UMC IT</t>
  </si>
  <si>
    <t>17800105 -- R&amp;R IT</t>
  </si>
  <si>
    <t>12047508 -- UMC MARKETING</t>
  </si>
  <si>
    <t>UMC Marketing</t>
  </si>
  <si>
    <t>12014330 -- NIGHT WALK NIGHT RID</t>
  </si>
  <si>
    <t>UMC Night Ride</t>
  </si>
  <si>
    <t>13402362 -- NIGHT RIDE GIFT FUND</t>
  </si>
  <si>
    <t>13424036 -- UMC PARENT'S ASSOC GIFTS</t>
  </si>
  <si>
    <t>17800026 -- R&amp;R CU NIGHTRIDE</t>
  </si>
  <si>
    <t>12000188 -- REPAIR OF FREIGHT ELEVATOR-UMC</t>
  </si>
  <si>
    <t>UMC Projects</t>
  </si>
  <si>
    <t>12000202 -- ECRF BUNDLE #2</t>
  </si>
  <si>
    <t>12000318 -- UMC TENT - SOR</t>
  </si>
  <si>
    <t>12000454 -- SOR SECURITY CAMERAS</t>
  </si>
  <si>
    <t>12000469 -- SOR BALLRM RENOVATION PGM PLAN</t>
  </si>
  <si>
    <t>12000497 -- LED LIGHTING PROJECT</t>
  </si>
  <si>
    <t>12000510 -- 4TH FLOOR AIR PROJECT</t>
  </si>
  <si>
    <t>12000538 -- BALLROOM RENOVATION</t>
  </si>
  <si>
    <t>12000736 -- SUSTAINABLE PROJECTS</t>
  </si>
  <si>
    <t>12000745 -- SF4 UNIT FOR FOOD SERVICES</t>
  </si>
  <si>
    <t>12000746 -- SF5&amp;6 BOOKSTORE</t>
  </si>
  <si>
    <t>12000780 -- PRIOR YEAR EARMARKS</t>
  </si>
  <si>
    <t>12000851 -- NIGHTRIDE DISPATCH SYS</t>
  </si>
  <si>
    <t>12000852 -- SPACE REMODEL PROJECT</t>
  </si>
  <si>
    <t>12000878 -- HVAC&amp;ENERGY PROJECTS</t>
  </si>
  <si>
    <t>12000960 -- UMC FLOOR REPLACEMENT</t>
  </si>
  <si>
    <t>12000961 -- OCHNR OFFICE REMODEL</t>
  </si>
  <si>
    <t>12000978 -- BOWLING EQUIPMENT REPLACEMENT</t>
  </si>
  <si>
    <t>12000979 -- CARPET REPLACEMENT</t>
  </si>
  <si>
    <t>12001010 -- PROGRAM PLAN ROOF</t>
  </si>
  <si>
    <t>12001029 -- OFFICE SPACE REMODEL</t>
  </si>
  <si>
    <t>12001072 -- WDININGROOM CARPET</t>
  </si>
  <si>
    <t>12001074 -- 5TH FLOOR AIR CONDITIONING</t>
  </si>
  <si>
    <t>12001075 -- CONNECTION RESTROOM REMODEL</t>
  </si>
  <si>
    <t>12001076 -- E DINING ROOM INSULATION</t>
  </si>
  <si>
    <t>12001077 -- N&amp;E DINING ROOM HVAC PROJ</t>
  </si>
  <si>
    <t>12001078 -- DECK REPAIR</t>
  </si>
  <si>
    <t>12001200 -- DOOR COUNTERS</t>
  </si>
  <si>
    <t>12001201 -- PAINT AND SIGNAGE</t>
  </si>
  <si>
    <t>12001202 -- SMART ROOMS</t>
  </si>
  <si>
    <t>12001237 -- DDC CONTROLS ALL UMC</t>
  </si>
  <si>
    <t>12001287 -- RECOMM MECH SYSTEMS</t>
  </si>
  <si>
    <t>12001302 -- EAST DOCK SNOWMELT</t>
  </si>
  <si>
    <t>12001303 -- CONNECTION PROGRAM PLAN</t>
  </si>
  <si>
    <t>12001304 -- ELECTRICAL PANEL PROJECT</t>
  </si>
  <si>
    <t>12001305 -- CR1740-KITCHEN HALLWAY UPGRADE</t>
  </si>
  <si>
    <t>12001494 -- REMODEL PROGRAM SPACE</t>
  </si>
  <si>
    <t>12001495 -- UMC401 REMODEL PROJECT</t>
  </si>
  <si>
    <t>12001496 -- 4TH FLOOR DDC CONTROLS</t>
  </si>
  <si>
    <t>12001497 -- ELECTRICAL SWITCHGEAR</t>
  </si>
  <si>
    <t>12001641 -- RE-KEY BUILDING PROJECT</t>
  </si>
  <si>
    <t>12001745 -- ATRIUM PROJECT</t>
  </si>
  <si>
    <t>12020412 -- NSF EXPANSION</t>
  </si>
  <si>
    <t>12030132 -- VACANT 98-99</t>
  </si>
  <si>
    <t>12030146 -- SF 2 WAY RADIO</t>
  </si>
  <si>
    <t>12031665 -- FF &amp; E</t>
  </si>
  <si>
    <t>12046970 -- MURAL PROJECT</t>
  </si>
  <si>
    <t>12052201 -- UMC FINISH PROJECTS</t>
  </si>
  <si>
    <t>12058418 -- GENDER NEUTRAL RESTROOM</t>
  </si>
  <si>
    <t>12061490 -- UMC ROOF REPAIR</t>
  </si>
  <si>
    <t>12061491 -- FOOD SERVICE POS SYSTEM</t>
  </si>
  <si>
    <t>12063249 -- SORCE OFFICE</t>
  </si>
  <si>
    <t>12064804 -- FS RENOVATION STUDY</t>
  </si>
  <si>
    <t>12064888 -- TIMEKEEPING SYSTEM</t>
  </si>
  <si>
    <t>12065324 -- BLAST CHILLER</t>
  </si>
  <si>
    <t>12068871 -- UMC ESCO PROJECTS</t>
  </si>
  <si>
    <t>12069287 -- CONNECTION INSULATION</t>
  </si>
  <si>
    <t>12075855 -- UPGRADE TELCOMM CLOSET 46A</t>
  </si>
  <si>
    <t>12085202 -- EEF WINDOWS</t>
  </si>
  <si>
    <t>17202937 -- VCSA GEN FUND SUPPT</t>
  </si>
  <si>
    <t>17811213 -- CAPITAL FUND UMC</t>
  </si>
  <si>
    <t>17831599 -- UMC R&amp;R 12</t>
  </si>
  <si>
    <t>17831603 -- UMC R&amp;R 11</t>
  </si>
  <si>
    <t>17831652 -- UMC R&amp;R #3</t>
  </si>
  <si>
    <t>17831658 -- UMC R&amp;R #2</t>
  </si>
  <si>
    <t>17831670 -- UMC R&amp;R #1</t>
  </si>
  <si>
    <t>12024213 -- UMC RECEPTION DESK</t>
  </si>
  <si>
    <t>UMC Reception Desk</t>
  </si>
  <si>
    <t>12017680 -- UMC SALARY SAVINGS</t>
  </si>
  <si>
    <t>UMC Salary Savings</t>
  </si>
  <si>
    <t>12001639 -- UMC SECURITY</t>
  </si>
  <si>
    <t>UMC Security</t>
  </si>
  <si>
    <t>VRC</t>
  </si>
  <si>
    <t>12000945 -- ALT BREAKS TRIP #1</t>
  </si>
  <si>
    <t>VRC Alt Breaks</t>
  </si>
  <si>
    <t>12000946 -- ALT BREAKS TRIP #2</t>
  </si>
  <si>
    <t>12000947 -- ALT BREAKS TRIP #3</t>
  </si>
  <si>
    <t>12000948 -- ALT BREAKS TRIP #4</t>
  </si>
  <si>
    <t>12000949 -- ALT BREAKS TRIP #5</t>
  </si>
  <si>
    <t>12000950 -- ALT BREAKS TRIP #6</t>
  </si>
  <si>
    <t>12000951 -- ALT BREAKS TRIP #7</t>
  </si>
  <si>
    <t>12000952 -- ALT BREAKS TRIP #8</t>
  </si>
  <si>
    <t>12000953 -- ALT BREAKS TRIP #9</t>
  </si>
  <si>
    <t>12000954 -- ALT BREAKS TRIP #10</t>
  </si>
  <si>
    <t>12000955 -- ALT BREAKS TRIP #11</t>
  </si>
  <si>
    <t>12000956 -- ALT BREAKS TRIP #12</t>
  </si>
  <si>
    <t>12000957 -- ALT BREAKS TRIP #13</t>
  </si>
  <si>
    <t>12000958 -- ALT BREAKS TRIP #14</t>
  </si>
  <si>
    <t>12000959 -- ALT BREAKS TRIP #15</t>
  </si>
  <si>
    <t>12001362 -- VRC PAYROLL SUSPENSE</t>
  </si>
  <si>
    <t>12000482 -- VRC - CU IN THE COMMUNITY</t>
  </si>
  <si>
    <t>VRC CU in the Community</t>
  </si>
  <si>
    <t>12000482 -- VRC - DAY OF SERVICE</t>
  </si>
  <si>
    <t>12067207 -- VRC CONFERENCE</t>
  </si>
  <si>
    <t>12022564 -- VOLUNTEER RESOURCE CENTER</t>
  </si>
  <si>
    <t>VRC Operations</t>
  </si>
  <si>
    <t>12066028 -- VRC INTERNS PROGRAM</t>
  </si>
  <si>
    <t>Index</t>
  </si>
  <si>
    <t>Row</t>
  </si>
  <si>
    <t>Report Type</t>
  </si>
  <si>
    <t>Fiscal Year</t>
  </si>
  <si>
    <t>Unidentified Speedtypes</t>
  </si>
  <si>
    <t>FY</t>
  </si>
  <si>
    <t>Weights</t>
  </si>
  <si>
    <t>Seasonalized</t>
  </si>
  <si>
    <t>YTD - Seasonal</t>
  </si>
  <si>
    <t>Net</t>
  </si>
  <si>
    <t>Program Name</t>
  </si>
  <si>
    <t>Revenues</t>
  </si>
  <si>
    <t>Expenses</t>
  </si>
  <si>
    <t xml:space="preserve">&amp; Debt </t>
  </si>
  <si>
    <t>Position</t>
  </si>
  <si>
    <t>Balance</t>
  </si>
  <si>
    <t>Projected</t>
  </si>
  <si>
    <t>Beginning Balance</t>
  </si>
  <si>
    <t>Transfers</t>
  </si>
  <si>
    <t>Unadjusted Balance</t>
  </si>
  <si>
    <t>Earmarks</t>
  </si>
  <si>
    <t>Unencumbered Balance</t>
  </si>
  <si>
    <t>30-Jun-20</t>
  </si>
  <si>
    <t>12057163 -- VRC/ALTERNATIVE BREAK PROG</t>
  </si>
  <si>
    <t>Unidentified Lvl 6 Account Codes</t>
  </si>
  <si>
    <t>12001320 -- CO HOMELESS AST W/MED PRO-SOAC</t>
  </si>
  <si>
    <t>12069075 -- ENGINEERS W/O BORDERS-RWANDA</t>
  </si>
  <si>
    <t>12001540 -- FORUM ON SCIENCE, ETHICS-SOAC</t>
  </si>
  <si>
    <t>12069074 -- ENGINEERS W/O BORDERS-NEPAL</t>
  </si>
  <si>
    <t>12000829 -- CULT LINGUIST/SOCIAL PRAC-SOAC</t>
  </si>
  <si>
    <t>12000837 -- ENGINEERS W/O BORDERS PAR-SOAC</t>
  </si>
  <si>
    <t>12000843 -- CATALYSIS/SURFACE SCIENCE-SOAC</t>
  </si>
  <si>
    <t>12069046 -- PERFORMERS W/O BORDERS-SGFB</t>
  </si>
  <si>
    <t>12019481 -- CUSG CCS/LEG</t>
  </si>
  <si>
    <t>12028443 -- OCSS NIGHTRIDE/WALK</t>
  </si>
  <si>
    <t>12030457 -- FITNESS EQPMNT/WEIGHT RM</t>
  </si>
  <si>
    <t>12024013 -- TA/PT</t>
  </si>
  <si>
    <t>12086896 -- MAINTENANCE - PARTS/SUPPLIES</t>
  </si>
  <si>
    <t>12023696 -- MEMBERSHIP/USE FEE</t>
  </si>
  <si>
    <t>12028595 -- SHORTAGE/OVERAGE</t>
  </si>
  <si>
    <t>12001036 -- CLUBS EMT/TRAINERS</t>
  </si>
  <si>
    <t>12001046 -- HOCKEY, MEN'S SF</t>
  </si>
  <si>
    <t>12001047 -- HOCKEY, WOMEN'S SF</t>
  </si>
  <si>
    <t>12001048 -- KAYAK, SF</t>
  </si>
  <si>
    <t>12001049 -- LACROSSE, MEN'S SF</t>
  </si>
  <si>
    <t>12001050 -- LACROSSE, WOMEN'S SF</t>
  </si>
  <si>
    <t>12001051 -- RACQUETBALL, SF</t>
  </si>
  <si>
    <t>12001053 -- RUGBY, MEN'S SF</t>
  </si>
  <si>
    <t>12001054 -- RUGBY, WOMEN'S SF</t>
  </si>
  <si>
    <t>12001056 -- SOCCER, MEN'S SF</t>
  </si>
  <si>
    <t>12001057 -- SOCCER, WOMEN'S SF</t>
  </si>
  <si>
    <t>12001059 -- SWIMMING/DIVING SF</t>
  </si>
  <si>
    <t>12001064 -- ULTIMATE, MEN'S SF</t>
  </si>
  <si>
    <t>12001065 -- ULTIMATE, WOMEN'S SF</t>
  </si>
  <si>
    <t>12001066 -- VOLLEYBALL, MEN'S SF</t>
  </si>
  <si>
    <t>12001067 -- VOLLEYBALL, WOMEN'S SF</t>
  </si>
  <si>
    <t>12001068 -- WATER POLO, MEN'S SF</t>
  </si>
  <si>
    <t>12001069 -- WATER POLO, WOMEN'S SF</t>
  </si>
  <si>
    <t>12001070 -- WRESTLING, SF</t>
  </si>
  <si>
    <t>12001247 -- HOCKEY, MEN'S 2ND TEAM SF</t>
  </si>
  <si>
    <t>12000486 -- STYRO/COMPOSTABLE REPLACEMENT</t>
  </si>
  <si>
    <t>12001286 -- EVENING PROG/ASSESSMENT</t>
  </si>
  <si>
    <t>12001210 -- DDC CONTROLS 2ND/3RD FLOOR</t>
  </si>
  <si>
    <t>12001301 -- WRC AIR/DX SYSTEM</t>
  </si>
  <si>
    <t>12001569 -- WIRELESS/CELLULAR</t>
  </si>
  <si>
    <t>12074873 -- ASPEN ROOMS AIR-SF/CAPITAL</t>
  </si>
  <si>
    <t>UMC Support</t>
  </si>
  <si>
    <t>Useful Keyboard Shortcuts</t>
  </si>
  <si>
    <t>Ctrl + Shift + Q</t>
  </si>
  <si>
    <t>Returns you to the top left range of the active sheet</t>
  </si>
  <si>
    <t>Ctrl + Shift + A</t>
  </si>
  <si>
    <t>Returns you to this sheet</t>
  </si>
  <si>
    <t xml:space="preserve">Ctrl + Shift + Z </t>
  </si>
  <si>
    <t>Fills selected cells with `0` if the selected cells have a light gold background color (Only relevant for SB reports)</t>
  </si>
  <si>
    <t>Unique Programs</t>
  </si>
  <si>
    <t>Unique Fund Balances</t>
  </si>
  <si>
    <t>Report Created</t>
  </si>
  <si>
    <t>Ctrl + Shift + H</t>
  </si>
  <si>
    <t>Hides/unhides the reference sheets</t>
  </si>
  <si>
    <t>12001557 -- NIRSA SPORTS TOURNAMENTS</t>
  </si>
  <si>
    <t>Created In</t>
  </si>
  <si>
    <t>ACCT</t>
  </si>
  <si>
    <t>220100 -- STUDENT ACTIVITY FEES</t>
  </si>
  <si>
    <t>220120 -- MANDATORY STUDENT FEES (CCHE)</t>
  </si>
  <si>
    <t>407500 -- STD HR PAY GEN BDG</t>
  </si>
  <si>
    <t>407600 -- STD HR PAY</t>
  </si>
  <si>
    <t>427500 -- STD HR BEN GEN BDG</t>
  </si>
  <si>
    <t>428301 -- ALL STD/OTH PER FRINGE BEN</t>
  </si>
  <si>
    <t>460000 -- OPERATING EXPENSE GEN BUDGET</t>
  </si>
  <si>
    <t>480101 -- OFFICE SUPPLIES</t>
  </si>
  <si>
    <t>480116 -- PAPER</t>
  </si>
  <si>
    <t>487602 -- PRT/PUB/REPRO SERVICES</t>
  </si>
  <si>
    <t>500100 -- IT SUPPLIES</t>
  </si>
  <si>
    <t>500200 -- IT SERVICES</t>
  </si>
  <si>
    <t>500214 -- IT CONNECTIVITY FEE</t>
  </si>
  <si>
    <t>500400 -- IT SOFTWARE LICENSES</t>
  </si>
  <si>
    <t>500800 -- COMPUTERS (BUNDLED&lt; $5000)</t>
  </si>
  <si>
    <t>501200 -- OTHER IT HARDWARE &lt; $5000</t>
  </si>
  <si>
    <t>502899 -- ID RENTALS</t>
  </si>
  <si>
    <t>508702 -- GENERAL ADV SERVICES</t>
  </si>
  <si>
    <t>508715 -- PROMOTIONS</t>
  </si>
  <si>
    <t>512600 -- SUBSCRPTS/BKS/PERIOD/SCORES</t>
  </si>
  <si>
    <t>537600 -- EQUIPMENT &lt; $5000</t>
  </si>
  <si>
    <t>537603 -- FURNITURE &lt; $5000</t>
  </si>
  <si>
    <t>550100 -- OFFICIAL FUNCTIONS</t>
  </si>
  <si>
    <t>550300 -- STUDENT FUNCTIONS</t>
  </si>
  <si>
    <t>552499 -- ID OFFICIAL FUNCTIONS</t>
  </si>
  <si>
    <t>552601 -- OTHER OPERATING SUPPLIES</t>
  </si>
  <si>
    <t>552602 -- OTHER OPERATING SERVICES</t>
  </si>
  <si>
    <t>552603 -- OTHR OPERATING EQUIP RENTAL</t>
  </si>
  <si>
    <t>552605 -- OTHR OPERATING CNTRCT SERVICES</t>
  </si>
  <si>
    <t>553000 -- CONFERENCE REGISTRATION FEES</t>
  </si>
  <si>
    <t>553201 -- COMPANY CARD UNALLOWABLE EXP</t>
  </si>
  <si>
    <t>700000 -- TRAVEL GENERAL BUDGET</t>
  </si>
  <si>
    <t>700200 -- EMPLOYEE TRAVEL - OUT-OF-STATE</t>
  </si>
  <si>
    <t>702000 -- NON-EMPLOYEE TRAVEL - IN STATE</t>
  </si>
  <si>
    <t>960100 -- GENERAL ADMIN RECHARGE</t>
  </si>
  <si>
    <t>960200 -- GENERAL INFRASTRUCT RECHARGE</t>
  </si>
  <si>
    <t>960402 -- CSI GENERAL ADMIN RECHARGE</t>
  </si>
  <si>
    <t>995100 -- CASH TRANSFER IN W/IN CAMPUS</t>
  </si>
  <si>
    <t>997100 -- CASH TRANSFER OUT W/IN CAMPUS</t>
  </si>
  <si>
    <t>BUDGET</t>
  </si>
  <si>
    <t>ACTUALS</t>
  </si>
  <si>
    <t>PROGRAM</t>
  </si>
  <si>
    <t>Row Labels</t>
  </si>
  <si>
    <t>Grand Total</t>
  </si>
  <si>
    <t>Tables of Contents</t>
  </si>
  <si>
    <t>Has X Negatives</t>
  </si>
  <si>
    <t>CREATE QUARTERLY REPORT</t>
  </si>
  <si>
    <t>CREATE SEASONAL BUDGET</t>
  </si>
  <si>
    <t>EXPORT REPORT</t>
  </si>
  <si>
    <t>Ctrl + Shift + E</t>
  </si>
  <si>
    <t>Ctrl + Shift + C</t>
  </si>
  <si>
    <r>
      <rPr>
        <u/>
        <sz val="11"/>
        <color theme="1"/>
        <rFont val="Calibri"/>
        <family val="2"/>
        <scheme val="minor"/>
      </rPr>
      <t>Expand</t>
    </r>
    <r>
      <rPr>
        <sz val="11"/>
        <color theme="1"/>
        <rFont val="Calibri"/>
        <family val="2"/>
        <scheme val="minor"/>
      </rPr>
      <t xml:space="preserve"> all grouped rows &amp; columns on active sheet</t>
    </r>
  </si>
  <si>
    <r>
      <rPr>
        <u/>
        <sz val="11"/>
        <color theme="1"/>
        <rFont val="Calibri"/>
        <family val="2"/>
        <scheme val="minor"/>
      </rPr>
      <t>Collapse</t>
    </r>
    <r>
      <rPr>
        <sz val="11"/>
        <color theme="1"/>
        <rFont val="Calibri"/>
        <family val="2"/>
        <scheme val="minor"/>
      </rPr>
      <t xml:space="preserve"> all grouped rows &amp; columns on active sheet</t>
    </r>
  </si>
  <si>
    <t>Create PDF</t>
  </si>
  <si>
    <t>Instructions &amp; Notes</t>
  </si>
  <si>
    <t>This workbook contains VBA modules that will create two kinds</t>
  </si>
  <si>
    <t>TAG</t>
  </si>
  <si>
    <t>Quarterly Reports -</t>
  </si>
  <si>
    <t>2 - Fill in values in the dark blue cells &amp; click on the button to the left</t>
  </si>
  <si>
    <t>A. Rev &amp; Exp SUMMARY report</t>
  </si>
  <si>
    <t>B. COMPACT Seasonal Budget Report</t>
  </si>
  <si>
    <t>C. Reserve Request Workbook</t>
  </si>
  <si>
    <t>4 - Fill in footnotes where needed (based on &gt; 12.5% variances)</t>
  </si>
  <si>
    <t>5 - Fill in missing values on Fund Balance sheet</t>
  </si>
  <si>
    <t>Seasonal Budget -</t>
  </si>
  <si>
    <t>1 - Save Financial Detail II report from CU Data as a .csv file</t>
  </si>
  <si>
    <t>1 - Save Rev &amp; Exp SUMMARY report from CU Data as a .csv file</t>
  </si>
  <si>
    <t>2 - Fill in values in the dark orange cells &amp; click on the button to the left</t>
  </si>
  <si>
    <t>3 - Select file path locations as prompted:</t>
  </si>
  <si>
    <t>3 - Select Financial Detail II file path location</t>
  </si>
  <si>
    <t>4 - Adjust quarterly averages for any negative values</t>
  </si>
  <si>
    <t>of CUSG Finance Board reports - Quarterly Report &amp; Seasonal Budgets</t>
  </si>
  <si>
    <t>*If keyboard shortcuts are not working, click on the "View" tab in the ribbon,</t>
  </si>
  <si>
    <t>then the "Macros" dropdown option, and click on the "View Macros" option.</t>
  </si>
  <si>
    <t>Select the "CreateShortcuts" macro and click on the Run button. Shortcuts will</t>
  </si>
  <si>
    <t>then be enabled.</t>
  </si>
  <si>
    <t>6 - Export report &amp; submit to Finance Board</t>
  </si>
  <si>
    <t>5 - Adjust quarterly averages to reflect projected spending trends</t>
  </si>
  <si>
    <t>Compact</t>
  </si>
  <si>
    <t>502800 -- SPACE RENTALS</t>
  </si>
  <si>
    <r>
      <t xml:space="preserve">a - </t>
    </r>
    <r>
      <rPr>
        <u/>
        <sz val="11"/>
        <color theme="1"/>
        <rFont val="Calibri"/>
        <family val="2"/>
        <scheme val="minor"/>
      </rPr>
      <t>Compact</t>
    </r>
    <r>
      <rPr>
        <sz val="11"/>
        <color theme="1"/>
        <rFont val="Calibri"/>
        <family val="2"/>
        <scheme val="minor"/>
      </rPr>
      <t xml:space="preserve"> formats are used to create Quarterly Reports</t>
    </r>
  </si>
  <si>
    <r>
      <t xml:space="preserve">b - </t>
    </r>
    <r>
      <rPr>
        <u/>
        <sz val="11"/>
        <color theme="1"/>
        <rFont val="Calibri"/>
        <family val="2"/>
        <scheme val="minor"/>
      </rPr>
      <t>Standard</t>
    </r>
    <r>
      <rPr>
        <sz val="11"/>
        <color theme="1"/>
        <rFont val="Calibri"/>
        <family val="2"/>
        <scheme val="minor"/>
      </rPr>
      <t xml:space="preserve"> formats are used by Finance Board for in-depth reviews</t>
    </r>
  </si>
  <si>
    <t>FINANCE BOARD REPORT GENERATOR</t>
  </si>
  <si>
    <t>480117 -- TONER</t>
  </si>
  <si>
    <t>CU Student Government - Proper</t>
  </si>
  <si>
    <t>Fund Balance Name</t>
  </si>
  <si>
    <t>Seasonal Budget</t>
  </si>
  <si>
    <t>C:\Users\grega\Google Drive\CUSG\Seasonalized Budget Generator\FY 21 FD II\KVCU FINANCIAL DETAIL II.csv</t>
  </si>
  <si>
    <t>407900 -- STD HR OVERTIME</t>
  </si>
  <si>
    <t>450100 -- COST OF GOODS SOLD GEN BUDGET</t>
  </si>
  <si>
    <t>482602 -- TELECOMM SERVICES</t>
  </si>
  <si>
    <t>495100 -- HONORARIA</t>
  </si>
  <si>
    <t>500500 -- IT MAINTENANCE AGREEMENTS</t>
  </si>
  <si>
    <t>501000 -- PRINTERS &lt; $5000</t>
  </si>
  <si>
    <t>501100 -- IT VIDEO/VOICE HRDWARE &lt; $5000</t>
  </si>
  <si>
    <t>502600 -- BUILDING RENTALS</t>
  </si>
  <si>
    <t>510100 -- DUES/MEMBER-PROF ORGANIZATIONS</t>
  </si>
  <si>
    <t>510300 -- LICENSES</t>
  </si>
  <si>
    <t>515109 -- BUILDING MAINT AND REPAIR</t>
  </si>
  <si>
    <t>552626 -- FEES/LICENSES</t>
  </si>
  <si>
    <t>553204 -- COMPANY CARD-DISPUTED CHARGES</t>
  </si>
  <si>
    <t>700300 -- EMPLOYEE TRAVEL -INTERNATIONAL</t>
  </si>
  <si>
    <t>750300 -- ELECTRICITY</t>
  </si>
  <si>
    <t>810000 -- FIXED ASSETS GENERAL BUDGET</t>
  </si>
  <si>
    <t>SPDTYPE CODE</t>
  </si>
  <si>
    <t>SPDTYPE DESC</t>
  </si>
  <si>
    <t>KVCU CAPITAL</t>
  </si>
  <si>
    <t>QUARTER</t>
  </si>
  <si>
    <t>Sum of BUDGET</t>
  </si>
  <si>
    <t>Sum of ACTUALS</t>
  </si>
  <si>
    <t>FY 20</t>
  </si>
  <si>
    <t>FY 18</t>
  </si>
  <si>
    <t>FY 19</t>
  </si>
  <si>
    <t>KVCU Radio Station</t>
  </si>
  <si>
    <t>Roll Up</t>
  </si>
  <si>
    <t>1) KVCU Operations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</si>
</sst>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3" formatCode="_(* #,##0.00_);_(* \(#,##0.00\);_(* &quot;-&quot;??_);_(@_)"/>
    <numFmt numFmtId="164" formatCode="[$-409]d/mmm/yy;@"/>
    <numFmt numFmtId="165" formatCode="0.0%"/>
    <numFmt numFmtId="166" formatCode="mm/dd/yy;@"/>
    <numFmt numFmtId="167" formatCode="mm:ss.0;@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name val="Arial MT"/>
    </font>
    <font>
      <b/>
      <u/>
      <sz val="1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FB87C"/>
        <bgColor indexed="64"/>
      </patternFill>
    </fill>
    <fill>
      <patternFill patternType="solid">
        <fgColor rgb="FFDCCB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BBBBBB"/>
        <bgColor indexed="64"/>
      </patternFill>
    </fill>
    <fill>
      <patternFill patternType="solid">
        <fgColor rgb="FFD4D4D4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5" fillId="0" borderId="0"/>
  </cellStyleXfs>
  <cellXfs count="271">
    <xf numFmtId="0" fontId="0" fillId="0" borderId="0" xfId="0"/>
    <xf numFmtId="164" fontId="4" fillId="0" borderId="0" xfId="0" applyNumberFormat="1" applyFont="1" applyAlignment="1">
      <alignment horizontal="center"/>
    </xf>
    <xf numFmtId="42" fontId="7" fillId="0" borderId="2" xfId="2" applyNumberFormat="1" applyFont="1" applyBorder="1" applyAlignment="1">
      <alignment horizontal="center"/>
    </xf>
    <xf numFmtId="165" fontId="7" fillId="0" borderId="0" xfId="2" applyNumberFormat="1" applyFont="1" applyAlignment="1">
      <alignment horizontal="center" vertical="center"/>
    </xf>
    <xf numFmtId="0" fontId="0" fillId="0" borderId="2" xfId="0" applyBorder="1"/>
    <xf numFmtId="166" fontId="8" fillId="0" borderId="0" xfId="2" applyNumberFormat="1" applyFont="1" applyAlignment="1">
      <alignment vertical="center"/>
    </xf>
    <xf numFmtId="42" fontId="9" fillId="0" borderId="2" xfId="2" applyNumberFormat="1" applyFont="1" applyBorder="1" applyAlignment="1">
      <alignment horizontal="center"/>
    </xf>
    <xf numFmtId="165" fontId="9" fillId="0" borderId="0" xfId="2" applyNumberFormat="1" applyFont="1" applyAlignment="1">
      <alignment horizontal="center" vertical="center"/>
    </xf>
    <xf numFmtId="0" fontId="8" fillId="0" borderId="0" xfId="2" applyFont="1" applyAlignment="1">
      <alignment horizontal="center"/>
    </xf>
    <xf numFmtId="0" fontId="8" fillId="0" borderId="1" xfId="2" applyFont="1" applyBorder="1" applyAlignment="1">
      <alignment horizontal="right"/>
    </xf>
    <xf numFmtId="42" fontId="7" fillId="0" borderId="5" xfId="2" applyNumberFormat="1" applyFont="1" applyBorder="1" applyAlignment="1">
      <alignment horizontal="center"/>
    </xf>
    <xf numFmtId="165" fontId="10" fillId="0" borderId="1" xfId="2" applyNumberFormat="1" applyFont="1" applyBorder="1" applyAlignment="1">
      <alignment horizontal="center" vertical="center"/>
    </xf>
    <xf numFmtId="42" fontId="10" fillId="0" borderId="5" xfId="2" applyNumberFormat="1" applyFont="1" applyBorder="1" applyAlignment="1">
      <alignment horizontal="center"/>
    </xf>
    <xf numFmtId="0" fontId="11" fillId="0" borderId="0" xfId="2" applyFont="1" applyAlignment="1">
      <alignment horizontal="left"/>
    </xf>
    <xf numFmtId="42" fontId="7" fillId="0" borderId="7" xfId="2" applyNumberFormat="1" applyFont="1" applyBorder="1"/>
    <xf numFmtId="42" fontId="7" fillId="0" borderId="7" xfId="2" applyNumberFormat="1" applyFont="1" applyBorder="1" applyAlignment="1">
      <alignment horizontal="right"/>
    </xf>
    <xf numFmtId="42" fontId="7" fillId="0" borderId="2" xfId="2" applyNumberFormat="1" applyFont="1" applyBorder="1"/>
    <xf numFmtId="0" fontId="7" fillId="0" borderId="4" xfId="2" applyFont="1" applyBorder="1" applyAlignment="1">
      <alignment horizontal="center" vertical="center"/>
    </xf>
    <xf numFmtId="0" fontId="7" fillId="2" borderId="8" xfId="2" applyFont="1" applyFill="1" applyBorder="1" applyAlignment="1">
      <alignment horizontal="left" indent="1"/>
    </xf>
    <xf numFmtId="42" fontId="7" fillId="2" borderId="9" xfId="2" applyNumberFormat="1" applyFont="1" applyFill="1" applyBorder="1"/>
    <xf numFmtId="165" fontId="7" fillId="2" borderId="8" xfId="1" applyNumberFormat="1" applyFont="1" applyFill="1" applyBorder="1" applyAlignment="1">
      <alignment horizontal="center" vertical="center"/>
    </xf>
    <xf numFmtId="165" fontId="7" fillId="2" borderId="8" xfId="3" applyNumberFormat="1" applyFont="1" applyFill="1" applyBorder="1" applyAlignment="1">
      <alignment horizontal="center" vertical="center"/>
    </xf>
    <xf numFmtId="0" fontId="2" fillId="2" borderId="10" xfId="2" applyFont="1" applyFill="1" applyBorder="1" applyAlignment="1">
      <alignment horizontal="center" vertical="center"/>
    </xf>
    <xf numFmtId="0" fontId="7" fillId="2" borderId="0" xfId="2" applyFont="1" applyFill="1" applyAlignment="1">
      <alignment horizontal="left" indent="1"/>
    </xf>
    <xf numFmtId="42" fontId="7" fillId="2" borderId="2" xfId="2" applyNumberFormat="1" applyFont="1" applyFill="1" applyBorder="1"/>
    <xf numFmtId="42" fontId="7" fillId="2" borderId="2" xfId="2" applyNumberFormat="1" applyFont="1" applyFill="1" applyBorder="1" applyAlignment="1">
      <alignment horizontal="right"/>
    </xf>
    <xf numFmtId="165" fontId="7" fillId="2" borderId="0" xfId="1" applyNumberFormat="1" applyFont="1" applyFill="1" applyBorder="1" applyAlignment="1">
      <alignment horizontal="center" vertical="center"/>
    </xf>
    <xf numFmtId="165" fontId="7" fillId="2" borderId="0" xfId="3" applyNumberFormat="1" applyFont="1" applyFill="1" applyBorder="1" applyAlignment="1">
      <alignment horizontal="center" vertical="center"/>
    </xf>
    <xf numFmtId="1" fontId="2" fillId="2" borderId="4" xfId="2" applyNumberFormat="1" applyFont="1" applyFill="1" applyBorder="1" applyAlignment="1">
      <alignment horizontal="center" vertical="center"/>
    </xf>
    <xf numFmtId="0" fontId="7" fillId="2" borderId="11" xfId="2" applyFont="1" applyFill="1" applyBorder="1" applyAlignment="1">
      <alignment horizontal="left" indent="1"/>
    </xf>
    <xf numFmtId="42" fontId="7" fillId="2" borderId="7" xfId="2" applyNumberFormat="1" applyFont="1" applyFill="1" applyBorder="1"/>
    <xf numFmtId="42" fontId="7" fillId="2" borderId="7" xfId="2" applyNumberFormat="1" applyFont="1" applyFill="1" applyBorder="1" applyAlignment="1">
      <alignment horizontal="right"/>
    </xf>
    <xf numFmtId="165" fontId="7" fillId="2" borderId="11" xfId="1" applyNumberFormat="1" applyFont="1" applyFill="1" applyBorder="1" applyAlignment="1">
      <alignment horizontal="center" vertical="center"/>
    </xf>
    <xf numFmtId="165" fontId="7" fillId="2" borderId="11" xfId="3" applyNumberFormat="1" applyFont="1" applyFill="1" applyBorder="1" applyAlignment="1">
      <alignment horizontal="center" vertical="center"/>
    </xf>
    <xf numFmtId="1" fontId="2" fillId="2" borderId="12" xfId="2" applyNumberFormat="1" applyFont="1" applyFill="1" applyBorder="1" applyAlignment="1">
      <alignment horizontal="center" vertical="center"/>
    </xf>
    <xf numFmtId="0" fontId="12" fillId="0" borderId="2" xfId="0" applyFont="1" applyBorder="1"/>
    <xf numFmtId="0" fontId="13" fillId="3" borderId="13" xfId="2" applyFont="1" applyFill="1" applyBorder="1" applyAlignment="1">
      <alignment horizontal="right"/>
    </xf>
    <xf numFmtId="42" fontId="14" fillId="3" borderId="14" xfId="2" applyNumberFormat="1" applyFont="1" applyFill="1" applyBorder="1"/>
    <xf numFmtId="165" fontId="14" fillId="3" borderId="13" xfId="1" applyNumberFormat="1" applyFont="1" applyFill="1" applyBorder="1" applyAlignment="1">
      <alignment horizontal="center" vertical="center"/>
    </xf>
    <xf numFmtId="165" fontId="14" fillId="3" borderId="13" xfId="3" applyNumberFormat="1" applyFont="1" applyFill="1" applyBorder="1" applyAlignment="1">
      <alignment horizontal="center" vertical="center"/>
    </xf>
    <xf numFmtId="1" fontId="15" fillId="3" borderId="15" xfId="2" applyNumberFormat="1" applyFont="1" applyFill="1" applyBorder="1" applyAlignment="1">
      <alignment horizontal="center" vertical="center"/>
    </xf>
    <xf numFmtId="0" fontId="7" fillId="0" borderId="0" xfId="2" applyFont="1" applyAlignment="1">
      <alignment horizontal="left"/>
    </xf>
    <xf numFmtId="42" fontId="10" fillId="0" borderId="16" xfId="2" applyNumberFormat="1" applyFont="1" applyBorder="1"/>
    <xf numFmtId="42" fontId="10" fillId="0" borderId="0" xfId="2" applyNumberFormat="1" applyFont="1"/>
    <xf numFmtId="165" fontId="10" fillId="0" borderId="16" xfId="1" applyNumberFormat="1" applyFont="1" applyFill="1" applyBorder="1" applyAlignment="1">
      <alignment horizontal="center" vertical="center"/>
    </xf>
    <xf numFmtId="165" fontId="10" fillId="0" borderId="16" xfId="3" applyNumberFormat="1" applyFont="1" applyFill="1" applyBorder="1" applyAlignment="1">
      <alignment horizontal="center" vertical="center"/>
    </xf>
    <xf numFmtId="1" fontId="10" fillId="0" borderId="16" xfId="2" applyNumberFormat="1" applyFont="1" applyBorder="1" applyAlignment="1">
      <alignment horizontal="center" vertical="center"/>
    </xf>
    <xf numFmtId="0" fontId="1" fillId="0" borderId="0" xfId="0" applyFont="1"/>
    <xf numFmtId="42" fontId="7" fillId="0" borderId="11" xfId="2" applyNumberFormat="1" applyFont="1" applyBorder="1"/>
    <xf numFmtId="42" fontId="7" fillId="0" borderId="0" xfId="2" applyNumberFormat="1" applyFont="1"/>
    <xf numFmtId="165" fontId="7" fillId="0" borderId="11" xfId="1" applyNumberFormat="1" applyFont="1" applyFill="1" applyBorder="1" applyAlignment="1">
      <alignment horizontal="center" vertical="center"/>
    </xf>
    <xf numFmtId="165" fontId="7" fillId="0" borderId="11" xfId="3" applyNumberFormat="1" applyFont="1" applyFill="1" applyBorder="1" applyAlignment="1">
      <alignment horizontal="center" vertical="center"/>
    </xf>
    <xf numFmtId="1" fontId="7" fillId="0" borderId="11" xfId="2" applyNumberFormat="1" applyFont="1" applyBorder="1" applyAlignment="1">
      <alignment horizontal="center" vertical="center"/>
    </xf>
    <xf numFmtId="1" fontId="2" fillId="2" borderId="10" xfId="2" applyNumberFormat="1" applyFont="1" applyFill="1" applyBorder="1" applyAlignment="1">
      <alignment horizontal="center" vertical="center"/>
    </xf>
    <xf numFmtId="0" fontId="1" fillId="0" borderId="2" xfId="0" applyFont="1" applyBorder="1"/>
    <xf numFmtId="0" fontId="7" fillId="2" borderId="17" xfId="2" applyFont="1" applyFill="1" applyBorder="1" applyAlignment="1">
      <alignment horizontal="left" indent="1"/>
    </xf>
    <xf numFmtId="42" fontId="7" fillId="2" borderId="6" xfId="2" applyNumberFormat="1" applyFont="1" applyFill="1" applyBorder="1"/>
    <xf numFmtId="42" fontId="7" fillId="2" borderId="5" xfId="2" applyNumberFormat="1" applyFont="1" applyFill="1" applyBorder="1"/>
    <xf numFmtId="165" fontId="7" fillId="2" borderId="17" xfId="1" applyNumberFormat="1" applyFont="1" applyFill="1" applyBorder="1" applyAlignment="1">
      <alignment horizontal="center" vertical="center"/>
    </xf>
    <xf numFmtId="165" fontId="7" fillId="2" borderId="17" xfId="3" applyNumberFormat="1" applyFont="1" applyFill="1" applyBorder="1" applyAlignment="1">
      <alignment horizontal="center" vertical="center"/>
    </xf>
    <xf numFmtId="1" fontId="2" fillId="2" borderId="6" xfId="2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 vertical="center"/>
    </xf>
    <xf numFmtId="0" fontId="11" fillId="0" borderId="19" xfId="2" applyFont="1" applyBorder="1" applyAlignment="1">
      <alignment horizontal="right"/>
    </xf>
    <xf numFmtId="42" fontId="7" fillId="0" borderId="20" xfId="2" applyNumberFormat="1" applyFont="1" applyBorder="1"/>
    <xf numFmtId="42" fontId="7" fillId="0" borderId="20" xfId="2" quotePrefix="1" applyNumberFormat="1" applyFont="1" applyBorder="1"/>
    <xf numFmtId="165" fontId="7" fillId="0" borderId="19" xfId="1" applyNumberFormat="1" applyFont="1" applyFill="1" applyBorder="1" applyAlignment="1">
      <alignment horizontal="center" vertical="center"/>
    </xf>
    <xf numFmtId="165" fontId="7" fillId="0" borderId="19" xfId="3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1" fillId="0" borderId="19" xfId="2" applyFont="1" applyBorder="1" applyAlignment="1">
      <alignment horizontal="left"/>
    </xf>
    <xf numFmtId="42" fontId="1" fillId="0" borderId="19" xfId="0" applyNumberFormat="1" applyFont="1" applyBorder="1"/>
    <xf numFmtId="165" fontId="1" fillId="0" borderId="19" xfId="1" applyNumberFormat="1" applyFont="1" applyFill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7" fillId="2" borderId="22" xfId="2" applyFont="1" applyFill="1" applyBorder="1" applyAlignment="1">
      <alignment horizontal="left" indent="1"/>
    </xf>
    <xf numFmtId="42" fontId="7" fillId="2" borderId="23" xfId="2" applyNumberFormat="1" applyFont="1" applyFill="1" applyBorder="1"/>
    <xf numFmtId="165" fontId="7" fillId="2" borderId="22" xfId="1" applyNumberFormat="1" applyFont="1" applyFill="1" applyBorder="1" applyAlignment="1">
      <alignment horizontal="center" vertical="center"/>
    </xf>
    <xf numFmtId="165" fontId="7" fillId="2" borderId="22" xfId="3" applyNumberFormat="1" applyFont="1" applyFill="1" applyBorder="1" applyAlignment="1">
      <alignment horizontal="center" vertical="center"/>
    </xf>
    <xf numFmtId="1" fontId="2" fillId="2" borderId="24" xfId="2" applyNumberFormat="1" applyFont="1" applyFill="1" applyBorder="1" applyAlignment="1">
      <alignment horizontal="center" vertical="center"/>
    </xf>
    <xf numFmtId="42" fontId="7" fillId="0" borderId="21" xfId="2" applyNumberFormat="1" applyFont="1" applyBorder="1"/>
    <xf numFmtId="1" fontId="2" fillId="0" borderId="21" xfId="2" applyNumberFormat="1" applyFont="1" applyBorder="1" applyAlignment="1">
      <alignment horizontal="center" vertical="center"/>
    </xf>
    <xf numFmtId="42" fontId="7" fillId="0" borderId="19" xfId="2" applyNumberFormat="1" applyFont="1" applyBorder="1"/>
    <xf numFmtId="0" fontId="7" fillId="0" borderId="19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horizontal="center" vertical="center"/>
    </xf>
    <xf numFmtId="165" fontId="7" fillId="0" borderId="19" xfId="2" applyNumberFormat="1" applyFont="1" applyBorder="1" applyAlignment="1">
      <alignment horizontal="center" vertical="center"/>
    </xf>
    <xf numFmtId="165" fontId="7" fillId="2" borderId="8" xfId="2" applyNumberFormat="1" applyFont="1" applyFill="1" applyBorder="1" applyAlignment="1">
      <alignment horizontal="center" vertical="center"/>
    </xf>
    <xf numFmtId="165" fontId="7" fillId="2" borderId="0" xfId="2" applyNumberFormat="1" applyFont="1" applyFill="1" applyAlignment="1">
      <alignment horizontal="center" vertical="center"/>
    </xf>
    <xf numFmtId="0" fontId="7" fillId="2" borderId="1" xfId="2" applyFont="1" applyFill="1" applyBorder="1" applyAlignment="1">
      <alignment horizontal="left" indent="1"/>
    </xf>
    <xf numFmtId="165" fontId="7" fillId="2" borderId="1" xfId="1" applyNumberFormat="1" applyFont="1" applyFill="1" applyBorder="1" applyAlignment="1">
      <alignment horizontal="center" vertical="center"/>
    </xf>
    <xf numFmtId="165" fontId="7" fillId="2" borderId="1" xfId="2" applyNumberFormat="1" applyFont="1" applyFill="1" applyBorder="1" applyAlignment="1">
      <alignment horizontal="center" vertical="center"/>
    </xf>
    <xf numFmtId="165" fontId="7" fillId="2" borderId="11" xfId="2" applyNumberFormat="1" applyFont="1" applyFill="1" applyBorder="1" applyAlignment="1">
      <alignment horizontal="center" vertical="center"/>
    </xf>
    <xf numFmtId="0" fontId="11" fillId="0" borderId="25" xfId="2" applyFont="1" applyBorder="1" applyAlignment="1">
      <alignment horizontal="right"/>
    </xf>
    <xf numFmtId="42" fontId="7" fillId="0" borderId="19" xfId="2" quotePrefix="1" applyNumberFormat="1" applyFont="1" applyBorder="1"/>
    <xf numFmtId="165" fontId="7" fillId="0" borderId="25" xfId="1" applyNumberFormat="1" applyFont="1" applyFill="1" applyBorder="1" applyAlignment="1">
      <alignment horizontal="center" vertical="center"/>
    </xf>
    <xf numFmtId="0" fontId="12" fillId="0" borderId="0" xfId="0" applyFont="1"/>
    <xf numFmtId="0" fontId="11" fillId="0" borderId="26" xfId="2" applyFont="1" applyBorder="1" applyAlignment="1">
      <alignment horizontal="left"/>
    </xf>
    <xf numFmtId="42" fontId="7" fillId="0" borderId="26" xfId="2" applyNumberFormat="1" applyFont="1" applyBorder="1"/>
    <xf numFmtId="165" fontId="7" fillId="0" borderId="26" xfId="1" applyNumberFormat="1" applyFont="1" applyFill="1" applyBorder="1" applyAlignment="1">
      <alignment horizontal="center" vertical="center"/>
    </xf>
    <xf numFmtId="165" fontId="7" fillId="0" borderId="26" xfId="2" applyNumberFormat="1" applyFont="1" applyBorder="1" applyAlignment="1">
      <alignment horizontal="center" vertical="center"/>
    </xf>
    <xf numFmtId="0" fontId="7" fillId="0" borderId="26" xfId="2" applyFont="1" applyBorder="1" applyAlignment="1">
      <alignment horizontal="center" vertical="center"/>
    </xf>
    <xf numFmtId="0" fontId="11" fillId="0" borderId="0" xfId="2" applyFont="1" applyAlignment="1">
      <alignment horizontal="right"/>
    </xf>
    <xf numFmtId="42" fontId="7" fillId="0" borderId="2" xfId="2" quotePrefix="1" applyNumberFormat="1" applyFont="1" applyBorder="1"/>
    <xf numFmtId="165" fontId="7" fillId="0" borderId="0" xfId="3" applyNumberFormat="1" applyFont="1" applyFill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165" fontId="14" fillId="3" borderId="13" xfId="2" applyNumberFormat="1" applyFont="1" applyFill="1" applyBorder="1" applyAlignment="1">
      <alignment horizontal="center" vertical="center"/>
    </xf>
    <xf numFmtId="0" fontId="0" fillId="0" borderId="16" xfId="0" applyBorder="1"/>
    <xf numFmtId="165" fontId="10" fillId="0" borderId="16" xfId="2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6" xfId="2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center"/>
    </xf>
    <xf numFmtId="0" fontId="6" fillId="0" borderId="0" xfId="2" applyFont="1" applyAlignment="1">
      <alignment horizontal="left"/>
    </xf>
    <xf numFmtId="0" fontId="6" fillId="0" borderId="0" xfId="2" applyFont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42" fontId="9" fillId="0" borderId="4" xfId="2" applyNumberFormat="1" applyFont="1" applyBorder="1" applyAlignment="1">
      <alignment horizontal="center" vertical="center"/>
    </xf>
    <xf numFmtId="42" fontId="9" fillId="0" borderId="0" xfId="2" applyNumberFormat="1" applyFont="1" applyAlignment="1">
      <alignment horizontal="center" vertical="center"/>
    </xf>
    <xf numFmtId="42" fontId="9" fillId="0" borderId="3" xfId="2" applyNumberFormat="1" applyFont="1" applyBorder="1" applyAlignment="1">
      <alignment horizontal="center" vertical="center"/>
    </xf>
    <xf numFmtId="42" fontId="9" fillId="0" borderId="4" xfId="2" applyNumberFormat="1" applyFont="1" applyBorder="1" applyAlignment="1">
      <alignment horizontal="center"/>
    </xf>
    <xf numFmtId="42" fontId="9" fillId="0" borderId="0" xfId="2" applyNumberFormat="1" applyFont="1" applyAlignment="1">
      <alignment horizontal="center"/>
    </xf>
    <xf numFmtId="0" fontId="8" fillId="0" borderId="18" xfId="2" applyFont="1" applyBorder="1" applyAlignment="1">
      <alignment horizontal="right"/>
    </xf>
    <xf numFmtId="42" fontId="7" fillId="0" borderId="4" xfId="2" applyNumberFormat="1" applyFont="1" applyBorder="1" applyAlignment="1">
      <alignment horizontal="center"/>
    </xf>
    <xf numFmtId="42" fontId="7" fillId="0" borderId="0" xfId="2" applyNumberFormat="1" applyFont="1" applyAlignment="1">
      <alignment horizontal="center"/>
    </xf>
    <xf numFmtId="42" fontId="7" fillId="0" borderId="27" xfId="2" applyNumberFormat="1" applyFont="1" applyBorder="1"/>
    <xf numFmtId="42" fontId="7" fillId="0" borderId="28" xfId="2" applyNumberFormat="1" applyFont="1" applyBorder="1"/>
    <xf numFmtId="0" fontId="7" fillId="0" borderId="8" xfId="2" applyFont="1" applyBorder="1" applyAlignment="1">
      <alignment horizontal="left" indent="1"/>
    </xf>
    <xf numFmtId="42" fontId="7" fillId="4" borderId="4" xfId="2" applyNumberFormat="1" applyFont="1" applyFill="1" applyBorder="1"/>
    <xf numFmtId="42" fontId="7" fillId="2" borderId="0" xfId="2" applyNumberFormat="1" applyFont="1" applyFill="1"/>
    <xf numFmtId="42" fontId="7" fillId="5" borderId="4" xfId="2" applyNumberFormat="1" applyFont="1" applyFill="1" applyBorder="1"/>
    <xf numFmtId="42" fontId="7" fillId="2" borderId="4" xfId="2" applyNumberFormat="1" applyFont="1" applyFill="1" applyBorder="1"/>
    <xf numFmtId="0" fontId="7" fillId="0" borderId="0" xfId="2" applyFont="1" applyAlignment="1">
      <alignment horizontal="left" indent="1"/>
    </xf>
    <xf numFmtId="42" fontId="7" fillId="2" borderId="0" xfId="2" applyNumberFormat="1" applyFont="1" applyFill="1" applyAlignment="1">
      <alignment horizontal="right"/>
    </xf>
    <xf numFmtId="42" fontId="7" fillId="2" borderId="4" xfId="2" applyNumberFormat="1" applyFont="1" applyFill="1" applyBorder="1" applyAlignment="1">
      <alignment horizontal="right"/>
    </xf>
    <xf numFmtId="0" fontId="7" fillId="0" borderId="11" xfId="2" applyFont="1" applyBorder="1" applyAlignment="1">
      <alignment horizontal="left" indent="1"/>
    </xf>
    <xf numFmtId="42" fontId="7" fillId="4" borderId="12" xfId="2" applyNumberFormat="1" applyFont="1" applyFill="1" applyBorder="1"/>
    <xf numFmtId="42" fontId="7" fillId="5" borderId="12" xfId="2" applyNumberFormat="1" applyFont="1" applyFill="1" applyBorder="1"/>
    <xf numFmtId="0" fontId="13" fillId="0" borderId="13" xfId="2" applyFont="1" applyBorder="1" applyAlignment="1">
      <alignment horizontal="right"/>
    </xf>
    <xf numFmtId="42" fontId="14" fillId="3" borderId="15" xfId="2" applyNumberFormat="1" applyFont="1" applyFill="1" applyBorder="1"/>
    <xf numFmtId="42" fontId="14" fillId="3" borderId="13" xfId="2" applyNumberFormat="1" applyFont="1" applyFill="1" applyBorder="1"/>
    <xf numFmtId="0" fontId="7" fillId="0" borderId="0" xfId="2" applyFont="1" applyAlignment="1">
      <alignment horizontal="center"/>
    </xf>
    <xf numFmtId="42" fontId="7" fillId="4" borderId="10" xfId="2" applyNumberFormat="1" applyFont="1" applyFill="1" applyBorder="1"/>
    <xf numFmtId="42" fontId="7" fillId="2" borderId="10" xfId="2" applyNumberFormat="1" applyFont="1" applyFill="1" applyBorder="1"/>
    <xf numFmtId="0" fontId="7" fillId="0" borderId="1" xfId="2" applyFont="1" applyBorder="1" applyAlignment="1">
      <alignment horizontal="left" indent="1"/>
    </xf>
    <xf numFmtId="42" fontId="7" fillId="4" borderId="6" xfId="2" applyNumberFormat="1" applyFont="1" applyFill="1" applyBorder="1"/>
    <xf numFmtId="42" fontId="7" fillId="2" borderId="1" xfId="2" applyNumberFormat="1" applyFont="1" applyFill="1" applyBorder="1"/>
    <xf numFmtId="42" fontId="7" fillId="5" borderId="6" xfId="2" applyNumberFormat="1" applyFont="1" applyFill="1" applyBorder="1"/>
    <xf numFmtId="42" fontId="7" fillId="2" borderId="11" xfId="2" applyNumberFormat="1" applyFont="1" applyFill="1" applyBorder="1"/>
    <xf numFmtId="42" fontId="7" fillId="2" borderId="12" xfId="2" applyNumberFormat="1" applyFont="1" applyFill="1" applyBorder="1"/>
    <xf numFmtId="42" fontId="7" fillId="0" borderId="0" xfId="2" quotePrefix="1" applyNumberFormat="1" applyFont="1"/>
    <xf numFmtId="42" fontId="7" fillId="0" borderId="21" xfId="2" quotePrefix="1" applyNumberFormat="1" applyFont="1" applyBorder="1"/>
    <xf numFmtId="42" fontId="7" fillId="0" borderId="12" xfId="2" applyNumberFormat="1" applyFont="1" applyBorder="1"/>
    <xf numFmtId="42" fontId="7" fillId="0" borderId="4" xfId="2" quotePrefix="1" applyNumberFormat="1" applyFont="1" applyBorder="1"/>
    <xf numFmtId="42" fontId="7" fillId="0" borderId="4" xfId="2" applyNumberFormat="1" applyFont="1" applyBorder="1"/>
    <xf numFmtId="0" fontId="0" fillId="0" borderId="0" xfId="0" applyAlignment="1">
      <alignment horizontal="center"/>
    </xf>
    <xf numFmtId="0" fontId="0" fillId="6" borderId="0" xfId="0" applyFill="1"/>
    <xf numFmtId="0" fontId="3" fillId="6" borderId="0" xfId="0" applyFont="1" applyFill="1" applyAlignment="1">
      <alignment horizontal="right"/>
    </xf>
    <xf numFmtId="0" fontId="0" fillId="8" borderId="0" xfId="0" applyFill="1"/>
    <xf numFmtId="0" fontId="3" fillId="8" borderId="0" xfId="0" applyFont="1" applyFill="1" applyAlignment="1">
      <alignment horizontal="right"/>
    </xf>
    <xf numFmtId="0" fontId="0" fillId="10" borderId="0" xfId="0" applyFill="1"/>
    <xf numFmtId="0" fontId="3" fillId="10" borderId="0" xfId="0" applyFont="1" applyFill="1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right"/>
    </xf>
    <xf numFmtId="0" fontId="16" fillId="0" borderId="0" xfId="0" applyFont="1" applyAlignment="1">
      <alignment horizontal="right"/>
    </xf>
    <xf numFmtId="1" fontId="0" fillId="0" borderId="0" xfId="0" applyNumberForma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 indent="2"/>
    </xf>
    <xf numFmtId="0" fontId="3" fillId="0" borderId="0" xfId="0" applyFont="1" applyAlignment="1">
      <alignment horizontal="left"/>
    </xf>
    <xf numFmtId="0" fontId="18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3" fillId="0" borderId="29" xfId="0" applyFont="1" applyBorder="1" applyAlignment="1">
      <alignment horizontal="righ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5" applyNumberFormat="1" applyFont="1" applyFill="1" applyBorder="1" applyAlignment="1">
      <alignment horizontal="right"/>
    </xf>
    <xf numFmtId="42" fontId="11" fillId="0" borderId="30" xfId="6" applyNumberFormat="1" applyFont="1" applyBorder="1" applyAlignment="1">
      <alignment horizontal="center"/>
    </xf>
    <xf numFmtId="42" fontId="3" fillId="0" borderId="31" xfId="6" applyNumberFormat="1" applyFont="1" applyBorder="1" applyAlignment="1">
      <alignment horizontal="center"/>
    </xf>
    <xf numFmtId="42" fontId="11" fillId="0" borderId="8" xfId="6" applyNumberFormat="1" applyFont="1" applyBorder="1" applyAlignment="1">
      <alignment horizontal="center"/>
    </xf>
    <xf numFmtId="42" fontId="3" fillId="0" borderId="8" xfId="6" applyNumberFormat="1" applyFont="1" applyBorder="1" applyAlignment="1">
      <alignment horizontal="center"/>
    </xf>
    <xf numFmtId="165" fontId="3" fillId="0" borderId="31" xfId="1" applyNumberFormat="1" applyFont="1" applyBorder="1" applyAlignment="1">
      <alignment horizontal="center"/>
    </xf>
    <xf numFmtId="42" fontId="3" fillId="0" borderId="31" xfId="0" applyNumberFormat="1" applyFont="1" applyBorder="1" applyAlignment="1">
      <alignment horizontal="center"/>
    </xf>
    <xf numFmtId="0" fontId="11" fillId="0" borderId="0" xfId="5" applyNumberFormat="1" applyFont="1" applyFill="1" applyBorder="1" applyAlignment="1">
      <alignment horizontal="left"/>
    </xf>
    <xf numFmtId="42" fontId="11" fillId="0" borderId="32" xfId="6" applyNumberFormat="1" applyFont="1" applyBorder="1" applyAlignment="1">
      <alignment horizontal="center"/>
    </xf>
    <xf numFmtId="42" fontId="11" fillId="0" borderId="33" xfId="6" applyNumberFormat="1" applyFont="1" applyBorder="1" applyAlignment="1">
      <alignment horizontal="center"/>
    </xf>
    <xf numFmtId="42" fontId="11" fillId="0" borderId="0" xfId="6" applyNumberFormat="1" applyFont="1" applyAlignment="1">
      <alignment horizontal="center"/>
    </xf>
    <xf numFmtId="165" fontId="11" fillId="0" borderId="33" xfId="1" applyNumberFormat="1" applyFont="1" applyBorder="1" applyAlignment="1">
      <alignment horizontal="center"/>
    </xf>
    <xf numFmtId="42" fontId="3" fillId="0" borderId="33" xfId="0" applyNumberFormat="1" applyFont="1" applyBorder="1" applyAlignment="1">
      <alignment horizontal="center" vertical="center"/>
    </xf>
    <xf numFmtId="42" fontId="20" fillId="0" borderId="8" xfId="0" applyNumberFormat="1" applyFont="1" applyBorder="1" applyAlignment="1">
      <alignment horizontal="left"/>
    </xf>
    <xf numFmtId="0" fontId="20" fillId="0" borderId="0" xfId="4" applyFont="1" applyBorder="1" applyAlignment="1">
      <alignment horizontal="left"/>
    </xf>
    <xf numFmtId="0" fontId="3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1" fillId="0" borderId="0" xfId="0" applyFont="1"/>
    <xf numFmtId="42" fontId="0" fillId="0" borderId="0" xfId="0" applyNumberFormat="1"/>
    <xf numFmtId="42" fontId="0" fillId="0" borderId="13" xfId="0" applyNumberFormat="1" applyBorder="1"/>
    <xf numFmtId="42" fontId="0" fillId="0" borderId="11" xfId="0" applyNumberFormat="1" applyBorder="1"/>
    <xf numFmtId="42" fontId="0" fillId="0" borderId="19" xfId="0" applyNumberFormat="1" applyBorder="1"/>
    <xf numFmtId="42" fontId="0" fillId="0" borderId="34" xfId="0" applyNumberFormat="1" applyBorder="1"/>
    <xf numFmtId="0" fontId="22" fillId="0" borderId="0" xfId="0" applyFont="1"/>
    <xf numFmtId="0" fontId="0" fillId="0" borderId="11" xfId="0" applyBorder="1"/>
    <xf numFmtId="42" fontId="20" fillId="0" borderId="0" xfId="0" applyNumberFormat="1" applyFont="1" applyBorder="1" applyAlignment="1">
      <alignment horizontal="left"/>
    </xf>
    <xf numFmtId="0" fontId="20" fillId="0" borderId="0" xfId="0" applyFont="1" applyBorder="1" applyAlignment="1">
      <alignment horizontal="left"/>
    </xf>
    <xf numFmtId="0" fontId="0" fillId="0" borderId="0" xfId="0" applyBorder="1"/>
    <xf numFmtId="0" fontId="3" fillId="0" borderId="35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18" fillId="0" borderId="0" xfId="0" applyFont="1" applyAlignment="1">
      <alignment horizontal="left" indent="1"/>
    </xf>
    <xf numFmtId="0" fontId="3" fillId="0" borderId="0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24" fillId="0" borderId="0" xfId="0" applyFont="1" applyAlignment="1">
      <alignment horizontal="right"/>
    </xf>
    <xf numFmtId="0" fontId="0" fillId="0" borderId="0" xfId="0"/>
    <xf numFmtId="0" fontId="0" fillId="7" borderId="0" xfId="0" applyFill="1" applyAlignment="1" applyProtection="1">
      <alignment horizont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11" borderId="0" xfId="0" applyFill="1" applyAlignment="1" applyProtection="1">
      <alignment horizontal="center"/>
      <protection locked="0"/>
    </xf>
    <xf numFmtId="9" fontId="0" fillId="0" borderId="35" xfId="1" applyFont="1" applyFill="1" applyBorder="1" applyAlignment="1" applyProtection="1">
      <alignment horizontal="center"/>
      <protection locked="0"/>
    </xf>
    <xf numFmtId="9" fontId="0" fillId="0" borderId="0" xfId="1" applyFont="1" applyFill="1" applyBorder="1" applyAlignment="1" applyProtection="1">
      <alignment horizontal="center"/>
      <protection locked="0"/>
    </xf>
    <xf numFmtId="167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16" fillId="0" borderId="0" xfId="0" applyFont="1" applyAlignment="1" applyProtection="1">
      <alignment horizontal="center"/>
      <protection locked="0"/>
    </xf>
    <xf numFmtId="0" fontId="19" fillId="0" borderId="0" xfId="4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/>
    <xf numFmtId="0" fontId="16" fillId="0" borderId="0" xfId="0" applyFont="1" applyAlignment="1">
      <alignment horizontal="center"/>
    </xf>
    <xf numFmtId="1" fontId="0" fillId="13" borderId="36" xfId="0" applyNumberFormat="1" applyFont="1" applyFill="1" applyBorder="1" applyAlignment="1">
      <alignment horizontal="center"/>
    </xf>
    <xf numFmtId="0" fontId="0" fillId="0" borderId="0" xfId="0"/>
    <xf numFmtId="0" fontId="0" fillId="0" borderId="0" xfId="0"/>
    <xf numFmtId="165" fontId="20" fillId="0" borderId="0" xfId="1" applyNumberFormat="1" applyFont="1" applyBorder="1" applyAlignment="1">
      <alignment horizontal="center"/>
    </xf>
    <xf numFmtId="0" fontId="0" fillId="0" borderId="0" xfId="0"/>
    <xf numFmtId="0" fontId="6" fillId="0" borderId="0" xfId="2" applyFont="1" applyAlignment="1">
      <alignment horizontal="center"/>
    </xf>
    <xf numFmtId="0" fontId="4" fillId="0" borderId="1" xfId="0" applyFont="1" applyBorder="1" applyAlignment="1">
      <alignment horizontal="center"/>
    </xf>
    <xf numFmtId="165" fontId="20" fillId="0" borderId="8" xfId="1" applyNumberFormat="1" applyFont="1" applyBorder="1" applyAlignment="1">
      <alignment horizontal="left"/>
    </xf>
    <xf numFmtId="165" fontId="20" fillId="0" borderId="0" xfId="1" applyNumberFormat="1" applyFont="1" applyBorder="1" applyAlignment="1">
      <alignment horizontal="left"/>
    </xf>
    <xf numFmtId="165" fontId="20" fillId="0" borderId="0" xfId="0" applyNumberFormat="1" applyFont="1" applyBorder="1" applyAlignment="1">
      <alignment horizontal="left"/>
    </xf>
    <xf numFmtId="0" fontId="20" fillId="0" borderId="8" xfId="4" applyFont="1" applyBorder="1" applyAlignment="1">
      <alignment horizontal="left"/>
    </xf>
    <xf numFmtId="42" fontId="7" fillId="14" borderId="4" xfId="2" applyNumberFormat="1" applyFont="1" applyFill="1" applyBorder="1"/>
    <xf numFmtId="42" fontId="7" fillId="14" borderId="4" xfId="2" applyNumberFormat="1" applyFont="1" applyFill="1" applyBorder="1" applyAlignment="1">
      <alignment horizontal="right"/>
    </xf>
    <xf numFmtId="42" fontId="7" fillId="14" borderId="10" xfId="2" applyNumberFormat="1" applyFont="1" applyFill="1" applyBorder="1"/>
    <xf numFmtId="42" fontId="7" fillId="14" borderId="6" xfId="2" applyNumberFormat="1" applyFont="1" applyFill="1" applyBorder="1"/>
    <xf numFmtId="42" fontId="7" fillId="14" borderId="12" xfId="2" applyNumberFormat="1" applyFont="1" applyFill="1" applyBorder="1"/>
    <xf numFmtId="42" fontId="7" fillId="15" borderId="4" xfId="2" applyNumberFormat="1" applyFont="1" applyFill="1" applyBorder="1"/>
    <xf numFmtId="42" fontId="7" fillId="15" borderId="4" xfId="2" applyNumberFormat="1" applyFont="1" applyFill="1" applyBorder="1" applyAlignment="1">
      <alignment horizontal="right"/>
    </xf>
    <xf numFmtId="42" fontId="7" fillId="15" borderId="10" xfId="2" applyNumberFormat="1" applyFont="1" applyFill="1" applyBorder="1"/>
    <xf numFmtId="42" fontId="7" fillId="15" borderId="6" xfId="2" applyNumberFormat="1" applyFont="1" applyFill="1" applyBorder="1"/>
    <xf numFmtId="42" fontId="7" fillId="15" borderId="12" xfId="2" applyNumberFormat="1" applyFont="1" applyFill="1" applyBorder="1"/>
    <xf numFmtId="42" fontId="7" fillId="14" borderId="0" xfId="2" applyNumberFormat="1" applyFont="1" applyFill="1"/>
    <xf numFmtId="42" fontId="7" fillId="14" borderId="0" xfId="2" applyNumberFormat="1" applyFont="1" applyFill="1" applyAlignment="1">
      <alignment horizontal="right"/>
    </xf>
    <xf numFmtId="42" fontId="7" fillId="14" borderId="1" xfId="2" applyNumberFormat="1" applyFont="1" applyFill="1" applyBorder="1"/>
    <xf numFmtId="42" fontId="7" fillId="14" borderId="11" xfId="2" applyNumberFormat="1" applyFont="1" applyFill="1" applyBorder="1"/>
    <xf numFmtId="42" fontId="7" fillId="15" borderId="0" xfId="2" applyNumberFormat="1" applyFont="1" applyFill="1"/>
    <xf numFmtId="42" fontId="7" fillId="15" borderId="0" xfId="2" applyNumberFormat="1" applyFont="1" applyFill="1" applyAlignment="1">
      <alignment horizontal="right"/>
    </xf>
    <xf numFmtId="42" fontId="7" fillId="15" borderId="1" xfId="2" applyNumberFormat="1" applyFont="1" applyFill="1" applyBorder="1"/>
    <xf numFmtId="42" fontId="7" fillId="15" borderId="11" xfId="2" applyNumberFormat="1" applyFont="1" applyFill="1" applyBorder="1"/>
    <xf numFmtId="0" fontId="0" fillId="12" borderId="0" xfId="0" applyFill="1"/>
    <xf numFmtId="0" fontId="3" fillId="12" borderId="0" xfId="0" applyFont="1" applyFill="1"/>
    <xf numFmtId="0" fontId="16" fillId="0" borderId="0" xfId="0" applyFont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4"/>
    </xf>
    <xf numFmtId="0" fontId="26" fillId="12" borderId="0" xfId="0" applyFont="1" applyFill="1" applyAlignment="1">
      <alignment horizontal="center"/>
    </xf>
    <xf numFmtId="0" fontId="0" fillId="12" borderId="0" xfId="0" applyFill="1" applyAlignment="1">
      <alignment horizontal="left" indent="2"/>
    </xf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/>
    <xf numFmtId="0" fontId="6" fillId="0" borderId="0" xfId="2" applyFont="1" applyAlignment="1">
      <alignment horizontal="center"/>
    </xf>
    <xf numFmtId="0" fontId="4" fillId="0" borderId="1" xfId="0" applyFont="1" applyBorder="1" applyAlignment="1">
      <alignment horizontal="center"/>
    </xf>
    <xf numFmtId="0" fontId="7" fillId="0" borderId="3" xfId="2" applyFont="1" applyBorder="1" applyAlignment="1">
      <alignment horizontal="center" textRotation="90"/>
    </xf>
    <xf numFmtId="0" fontId="7" fillId="0" borderId="4" xfId="2" applyFont="1" applyBorder="1" applyAlignment="1">
      <alignment horizontal="center" textRotation="90"/>
    </xf>
    <xf numFmtId="0" fontId="7" fillId="0" borderId="6" xfId="2" applyFont="1" applyBorder="1" applyAlignment="1">
      <alignment horizontal="center" textRotation="90"/>
    </xf>
    <xf numFmtId="42" fontId="3" fillId="0" borderId="0" xfId="0" applyNumberFormat="1" applyFont="1" applyAlignment="1">
      <alignment horizontal="center"/>
    </xf>
    <xf numFmtId="42" fontId="1" fillId="0" borderId="0" xfId="0" applyNumberFormat="1" applyFont="1" applyAlignment="1">
      <alignment horizontal="center"/>
    </xf>
  </cellXfs>
  <cellStyles count="7">
    <cellStyle name="Comma 2" xfId="5" xr:uid="{0263C870-0C48-4492-99FA-4F562F325CCA}"/>
    <cellStyle name="Hyperlink" xfId="4" builtinId="8"/>
    <cellStyle name="Normal" xfId="0" builtinId="0"/>
    <cellStyle name="Normal 2" xfId="2" xr:uid="{6DD55FB8-F0C0-4841-93AF-E979BD3517E7}"/>
    <cellStyle name="Normal 3" xfId="6" xr:uid="{B2B946BE-0032-42F3-B194-F2032A326D24}"/>
    <cellStyle name="Percent" xfId="1" builtinId="5"/>
    <cellStyle name="Percent 2" xfId="3" xr:uid="{4928C4C9-2F1B-4C7F-B8C7-12C6246FFC5D}"/>
  </cellStyles>
  <dxfs count="36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2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FB8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</xdr:row>
          <xdr:rowOff>114300</xdr:rowOff>
        </xdr:from>
        <xdr:to>
          <xdr:col>2</xdr:col>
          <xdr:colOff>518160</xdr:colOff>
          <xdr:row>4</xdr:row>
          <xdr:rowOff>76200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Quarterly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7</xdr:row>
          <xdr:rowOff>114300</xdr:rowOff>
        </xdr:from>
        <xdr:to>
          <xdr:col>2</xdr:col>
          <xdr:colOff>518160</xdr:colOff>
          <xdr:row>9</xdr:row>
          <xdr:rowOff>76200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Seasonal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12</xdr:row>
          <xdr:rowOff>114300</xdr:rowOff>
        </xdr:from>
        <xdr:to>
          <xdr:col>2</xdr:col>
          <xdr:colOff>518160</xdr:colOff>
          <xdr:row>14</xdr:row>
          <xdr:rowOff>76200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861060</xdr:colOff>
      <xdr:row>8</xdr:row>
      <xdr:rowOff>0</xdr:rowOff>
    </xdr:from>
    <xdr:to>
      <xdr:col>6</xdr:col>
      <xdr:colOff>15240</xdr:colOff>
      <xdr:row>8</xdr:row>
      <xdr:rowOff>167640</xdr:rowOff>
    </xdr:to>
    <xdr:cxnSp macro="">
      <xdr:nvCxnSpPr>
        <xdr:cNvPr id="7" name="Connector: Elbow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4427220" y="1493520"/>
          <a:ext cx="632460" cy="167640"/>
        </a:xfrm>
        <a:prstGeom prst="bentConnector3">
          <a:avLst/>
        </a:prstGeom>
        <a:ln w="1270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rega/Google%20Drive/CUSG/Quarterly%20Report%20Generator/Quarterly%20Report%20Generator%20v.6.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reate Report"/>
      <sheetName val="Account Codes"/>
      <sheetName val="Consolidation Lists"/>
      <sheetName val="Draft"/>
      <sheetName val="Fund Balance"/>
      <sheetName val="Rev.Exp All Pgms"/>
      <sheetName val="Roll Up"/>
      <sheetName val="Administration"/>
      <sheetName val="Bear Creek Rec"/>
      <sheetName val="Building Services"/>
      <sheetName val="Capital"/>
      <sheetName val="Check-Out "/>
      <sheetName val="Equipment Services"/>
      <sheetName val="Events-Facilities Svcs"/>
      <sheetName val="FitWell Programs"/>
      <sheetName val="Inclusive Sports Summit"/>
      <sheetName val="Intramural"/>
      <sheetName val="IT"/>
      <sheetName val="Lockers"/>
      <sheetName val="Maintenance"/>
      <sheetName val="Marketing"/>
      <sheetName val="Membership"/>
      <sheetName val="Outdoor Programs"/>
      <sheetName val="Pools"/>
      <sheetName val="Pro Shop-Vending"/>
      <sheetName val="Rec Fields"/>
      <sheetName val="Rink"/>
      <sheetName val="SF Rev (2011 Expansion)"/>
      <sheetName val="SF Rev (Pre-2011 Expansion)"/>
      <sheetName val="Special Events"/>
      <sheetName val="Student Fee Sport Clubs"/>
      <sheetName val="Training Room"/>
    </sheetNames>
    <sheetDataSet>
      <sheetData sheetId="0" refreshError="1"/>
      <sheetData sheetId="1">
        <row r="3">
          <cell r="F3" t="str">
            <v>SLS</v>
          </cell>
        </row>
        <row r="4">
          <cell r="F4">
            <v>4</v>
          </cell>
        </row>
        <row r="5">
          <cell r="F5">
            <v>20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CE853F-5583-4C8A-81E0-7CFBDFA1BB45}" name="RawDataTable" displayName="RawDataTable" ref="A1:H1732" totalsRowShown="0">
  <autoFilter ref="A1:H1732" xr:uid="{DA4770C2-04B5-4ADF-B1D8-6FD8F3713930}"/>
  <sortState xmlns:xlrd2="http://schemas.microsoft.com/office/spreadsheetml/2017/richdata2" ref="A2:H1732">
    <sortCondition ref="H2:H1732"/>
    <sortCondition ref="F2:F1732"/>
    <sortCondition ref="G2:G1732"/>
    <sortCondition ref="A2:A1732"/>
  </sortState>
  <tableColumns count="8">
    <tableColumn id="1" xr3:uid="{C31E61BE-8085-4A67-B418-F317EFDD2663}" name="ACCT"/>
    <tableColumn id="2" xr3:uid="{7311BF9D-56B5-4E19-9138-FF3AB9C656F9}" name="BUDGET"/>
    <tableColumn id="3" xr3:uid="{EA455CD9-DC74-4B0F-BAF0-EF61CE5DA880}" name="ACTUALS"/>
    <tableColumn id="4" xr3:uid="{991577FB-6AA6-4D89-B8C0-3292E9F7BF09}" name="SPDTYPE CODE"/>
    <tableColumn id="5" xr3:uid="{19D352DB-F3A2-48B7-9457-8A453A51EAB5}" name="SPDTYPE DESC"/>
    <tableColumn id="6" xr3:uid="{9738DEC0-F978-41EB-AA08-45E913465649}" name="FY"/>
    <tableColumn id="7" xr3:uid="{551DBBE6-0073-4A32-9972-6B4474749A54}" name="QUARTER"/>
    <tableColumn id="8" xr3:uid="{457C7EF9-5F7B-426D-9C30-B48B89E8CC89}" name="PROGRA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17900-13A6-4003-9ACF-6E9117329A10}" name="Table2" displayName="Table2" ref="B1:F351" totalsRowShown="0" headerRowDxfId="35">
  <autoFilter ref="B1:F351" xr:uid="{D1EB6663-4705-4869-A367-19C97BD9DB6B}"/>
  <sortState xmlns:xlrd2="http://schemas.microsoft.com/office/spreadsheetml/2017/richdata2" ref="B2:F349">
    <sortCondition ref="B2:B349"/>
    <sortCondition ref="C2:C349"/>
    <sortCondition ref="E2:E349"/>
  </sortState>
  <tableColumns count="5">
    <tableColumn id="1" xr3:uid="{8A008EAD-BAC9-4453-8613-9867DB560284}" name="Row" dataDxfId="34"/>
    <tableColumn id="2" xr3:uid="{727DC2D2-95D9-4077-A475-E2FA9344A2EB}" name="Line Item Account" dataDxfId="33"/>
    <tableColumn id="3" xr3:uid="{673AD01B-576A-4F3A-8E1E-049D3E66E59A}" name="Account Code"/>
    <tableColumn id="4" xr3:uid="{F6AC6D58-FB76-474C-AFF7-A266410DDF4E}" name="Lower" dataDxfId="32"/>
    <tableColumn id="5" xr3:uid="{3DC7AD54-1E32-48C2-9FD0-E391248FCDD3}" name="Upper" dataDxfId="3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C0613A-6C0A-4853-82DD-6845859B17F8}" name="CLtable" displayName="CLtable" ref="B1:E977" totalsRowShown="0" headerRowDxfId="30">
  <autoFilter ref="B1:E977" xr:uid="{1B85E987-E511-417B-B24E-5BE2D9E0D4B0}">
    <filterColumn colId="0">
      <filters>
        <filter val="KVCU"/>
      </filters>
    </filterColumn>
  </autoFilter>
  <sortState xmlns:xlrd2="http://schemas.microsoft.com/office/spreadsheetml/2017/richdata2" ref="B154:E174">
    <sortCondition ref="B2:B137"/>
    <sortCondition ref="D2:D137"/>
    <sortCondition ref="C2:C137"/>
  </sortState>
  <tableColumns count="4">
    <tableColumn id="1" xr3:uid="{268583B7-D929-48B7-9443-DCC66A9E1A73}" name="Cost Center"/>
    <tableColumn id="2" xr3:uid="{4EEEFDA5-DAC2-4407-8281-3C92D84F028E}" name="Speedtype"/>
    <tableColumn id="3" xr3:uid="{0016023E-3566-4136-A11F-8E221E8332A1}" name="Consolidate Into" dataDxfId="29"/>
    <tableColumn id="4" xr3:uid="{5AB36047-3801-4D65-A80C-5DF1D1975220}" name="Fund Balance" dataDxfId="28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F9F2B-4260-4438-A0EC-39CE21F09F8E}">
  <sheetPr codeName="CreateReport">
    <tabColor theme="9" tint="0.39997558519241921"/>
  </sheetPr>
  <dimension ref="A1:X36"/>
  <sheetViews>
    <sheetView showGridLines="0" showRowColHeaders="0" tabSelected="1" zoomScaleNormal="100" workbookViewId="0">
      <selection activeCell="B23" sqref="B23:E23"/>
    </sheetView>
  </sheetViews>
  <sheetFormatPr defaultRowHeight="14.4"/>
  <cols>
    <col min="1" max="1" width="14" style="210" customWidth="1"/>
    <col min="2" max="3" width="12.6640625" style="210" customWidth="1"/>
    <col min="4" max="4" width="12.6640625" style="108" customWidth="1"/>
    <col min="5" max="5" width="12.6640625" style="154" customWidth="1"/>
    <col min="6" max="6" width="8.88671875" style="210"/>
    <col min="7" max="12" width="10.109375" style="210" customWidth="1"/>
    <col min="13" max="13" width="1.44140625" style="210" customWidth="1"/>
    <col min="14" max="14" width="43.33203125" style="210" hidden="1" customWidth="1"/>
    <col min="15" max="15" width="1.6640625" style="210" hidden="1" customWidth="1"/>
    <col min="16" max="16" width="29.109375" style="210" hidden="1" customWidth="1"/>
    <col min="17" max="18" width="77.6640625" style="210" hidden="1" customWidth="1"/>
    <col min="19" max="19" width="23" style="204" hidden="1" customWidth="1"/>
    <col min="20" max="20" width="8.88671875" style="205" hidden="1" customWidth="1"/>
    <col min="21" max="21" width="19.6640625" style="204" hidden="1" customWidth="1"/>
    <col min="22" max="22" width="8.88671875" style="210" hidden="1" customWidth="1"/>
    <col min="23" max="23" width="26.77734375" style="222" customWidth="1"/>
    <col min="24" max="24" width="14.6640625" style="222" bestFit="1" customWidth="1"/>
    <col min="25" max="16384" width="8.88671875" style="210"/>
  </cols>
  <sheetData>
    <row r="1" spans="1:24" ht="21">
      <c r="A1" s="259" t="s">
        <v>1666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</row>
    <row r="2" spans="1:24" ht="15.6">
      <c r="A2" s="261" t="s">
        <v>1630</v>
      </c>
      <c r="B2" s="261"/>
      <c r="C2" s="261"/>
      <c r="D2" s="261"/>
      <c r="E2" s="261"/>
      <c r="N2" s="224" t="s">
        <v>1506</v>
      </c>
      <c r="O2" s="172"/>
      <c r="P2" s="224" t="s">
        <v>1526</v>
      </c>
      <c r="S2" s="172" t="s">
        <v>1576</v>
      </c>
      <c r="T2" s="203"/>
      <c r="U2" s="172" t="s">
        <v>1577</v>
      </c>
      <c r="W2" s="220" t="s">
        <v>1628</v>
      </c>
      <c r="X2" s="220" t="s">
        <v>1629</v>
      </c>
    </row>
    <row r="3" spans="1:24">
      <c r="A3" s="155"/>
      <c r="B3" s="155"/>
      <c r="C3" s="155"/>
      <c r="D3" s="156" t="s">
        <v>181</v>
      </c>
      <c r="E3" s="211" t="s">
        <v>708</v>
      </c>
      <c r="W3" s="221" t="s">
        <v>1699</v>
      </c>
    </row>
    <row r="4" spans="1:24">
      <c r="A4" s="155"/>
      <c r="B4" s="155"/>
      <c r="C4" s="155"/>
      <c r="D4" s="156" t="s">
        <v>72</v>
      </c>
      <c r="E4" s="211">
        <v>4</v>
      </c>
      <c r="W4" s="221"/>
    </row>
    <row r="5" spans="1:24">
      <c r="A5" s="155"/>
      <c r="B5" s="155"/>
      <c r="C5" s="155"/>
      <c r="D5" s="156" t="s">
        <v>1505</v>
      </c>
      <c r="E5" s="211">
        <v>20</v>
      </c>
      <c r="W5" s="221"/>
    </row>
    <row r="6" spans="1:24">
      <c r="W6" s="221"/>
    </row>
    <row r="7" spans="1:24" ht="15.6">
      <c r="A7" s="261" t="s">
        <v>1631</v>
      </c>
      <c r="B7" s="261"/>
      <c r="C7" s="261"/>
      <c r="D7" s="261"/>
      <c r="E7" s="261"/>
      <c r="W7" s="221"/>
    </row>
    <row r="8" spans="1:24">
      <c r="A8" s="157"/>
      <c r="B8" s="157"/>
      <c r="C8" s="157"/>
      <c r="D8" s="158" t="s">
        <v>181</v>
      </c>
      <c r="E8" s="212" t="s">
        <v>818</v>
      </c>
      <c r="G8" s="171" t="s">
        <v>1507</v>
      </c>
      <c r="H8" s="202">
        <v>20</v>
      </c>
      <c r="I8" s="202">
        <v>19</v>
      </c>
      <c r="J8" s="202">
        <v>18</v>
      </c>
      <c r="K8" s="206"/>
      <c r="L8" s="206"/>
      <c r="M8" s="201"/>
      <c r="W8" s="221"/>
    </row>
    <row r="9" spans="1:24">
      <c r="A9" s="157"/>
      <c r="B9" s="157"/>
      <c r="C9" s="157"/>
      <c r="D9" s="158" t="s">
        <v>182</v>
      </c>
      <c r="E9" s="212">
        <v>3</v>
      </c>
      <c r="G9" s="171" t="s">
        <v>1508</v>
      </c>
      <c r="H9" s="214">
        <v>0.33333000000000002</v>
      </c>
      <c r="I9" s="214">
        <v>0.33333000000000002</v>
      </c>
      <c r="J9" s="214">
        <v>0.33333000000000002</v>
      </c>
      <c r="K9" s="215"/>
      <c r="L9" s="215"/>
      <c r="M9" s="201"/>
      <c r="W9" s="221"/>
    </row>
    <row r="10" spans="1:24">
      <c r="A10" s="157"/>
      <c r="B10" s="157"/>
      <c r="C10" s="157"/>
      <c r="D10" s="158" t="s">
        <v>183</v>
      </c>
      <c r="E10" s="212">
        <v>18</v>
      </c>
      <c r="W10" s="221"/>
    </row>
    <row r="11" spans="1:24">
      <c r="W11" s="221"/>
    </row>
    <row r="12" spans="1:24" ht="15.6">
      <c r="A12" s="261" t="s">
        <v>1632</v>
      </c>
      <c r="B12" s="261"/>
      <c r="C12" s="261"/>
      <c r="D12" s="261"/>
      <c r="E12" s="261"/>
      <c r="G12" s="261" t="s">
        <v>1638</v>
      </c>
      <c r="H12" s="261"/>
      <c r="I12" s="261"/>
      <c r="J12" s="261"/>
      <c r="K12" s="261"/>
      <c r="L12" s="261"/>
      <c r="W12" s="221"/>
    </row>
    <row r="13" spans="1:24">
      <c r="A13" s="159"/>
      <c r="B13" s="159"/>
      <c r="C13" s="159"/>
      <c r="D13" s="160" t="s">
        <v>184</v>
      </c>
      <c r="E13" s="213" t="b">
        <v>0</v>
      </c>
      <c r="G13" s="254" t="s">
        <v>1639</v>
      </c>
      <c r="H13" s="254"/>
      <c r="I13" s="254"/>
      <c r="J13" s="254"/>
      <c r="K13" s="254"/>
      <c r="L13" s="254"/>
      <c r="W13" s="221"/>
    </row>
    <row r="14" spans="1:24">
      <c r="A14" s="159"/>
      <c r="B14" s="159"/>
      <c r="C14" s="159"/>
      <c r="D14" s="160" t="s">
        <v>1504</v>
      </c>
      <c r="E14" s="213" t="s">
        <v>1662</v>
      </c>
      <c r="G14" s="254" t="s">
        <v>1655</v>
      </c>
      <c r="H14" s="254"/>
      <c r="I14" s="254"/>
      <c r="J14" s="254"/>
      <c r="K14" s="254"/>
      <c r="L14" s="254"/>
      <c r="W14" s="221"/>
    </row>
    <row r="15" spans="1:24">
      <c r="A15" s="159"/>
      <c r="B15" s="159"/>
      <c r="C15" s="159"/>
      <c r="D15" s="160" t="s">
        <v>1637</v>
      </c>
      <c r="E15" s="213"/>
      <c r="G15" s="254"/>
      <c r="H15" s="254"/>
      <c r="I15" s="254"/>
      <c r="J15" s="254"/>
      <c r="K15" s="254"/>
      <c r="L15" s="254"/>
      <c r="W15" s="221"/>
    </row>
    <row r="16" spans="1:24">
      <c r="G16" s="255" t="s">
        <v>1641</v>
      </c>
      <c r="H16" s="255"/>
      <c r="I16" s="255"/>
      <c r="J16" s="255"/>
      <c r="K16" s="255"/>
      <c r="L16" s="255"/>
      <c r="W16" s="221"/>
    </row>
    <row r="17" spans="1:23">
      <c r="A17" s="165" t="s">
        <v>185</v>
      </c>
      <c r="B17" s="209" t="s">
        <v>1671</v>
      </c>
      <c r="G17" s="257" t="s">
        <v>1650</v>
      </c>
      <c r="H17" s="257"/>
      <c r="I17" s="257"/>
      <c r="J17" s="257"/>
      <c r="K17" s="257"/>
      <c r="L17" s="257"/>
      <c r="W17" s="221"/>
    </row>
    <row r="18" spans="1:23">
      <c r="A18" s="165" t="s">
        <v>1578</v>
      </c>
      <c r="B18" s="210" t="s">
        <v>1670</v>
      </c>
      <c r="G18" s="254" t="s">
        <v>1642</v>
      </c>
      <c r="H18" s="254"/>
      <c r="I18" s="254"/>
      <c r="J18" s="254"/>
      <c r="K18" s="254"/>
      <c r="L18" s="254"/>
      <c r="W18" s="221"/>
    </row>
    <row r="19" spans="1:23">
      <c r="A19" s="165" t="s">
        <v>1582</v>
      </c>
      <c r="B19" s="216">
        <v>1.8518518481869251E-4</v>
      </c>
      <c r="G19" s="254" t="s">
        <v>1652</v>
      </c>
      <c r="H19" s="254"/>
      <c r="I19" s="254"/>
      <c r="J19" s="254"/>
      <c r="K19" s="254"/>
      <c r="L19" s="254"/>
      <c r="W19" s="221"/>
    </row>
    <row r="20" spans="1:23">
      <c r="G20" s="258" t="s">
        <v>1643</v>
      </c>
      <c r="H20" s="258"/>
      <c r="I20" s="258"/>
      <c r="J20" s="258"/>
      <c r="K20" s="258"/>
      <c r="L20" s="258"/>
      <c r="W20" s="221"/>
    </row>
    <row r="21" spans="1:23">
      <c r="G21" s="258" t="s">
        <v>1644</v>
      </c>
      <c r="H21" s="258"/>
      <c r="I21" s="258"/>
      <c r="J21" s="258"/>
      <c r="K21" s="258"/>
      <c r="L21" s="258"/>
      <c r="W21" s="221"/>
    </row>
    <row r="22" spans="1:23">
      <c r="A22" s="256" t="s">
        <v>1569</v>
      </c>
      <c r="B22" s="256"/>
      <c r="C22" s="256"/>
      <c r="D22" s="256"/>
      <c r="E22" s="256"/>
      <c r="G22" s="258" t="s">
        <v>1645</v>
      </c>
      <c r="H22" s="258"/>
      <c r="I22" s="258"/>
      <c r="J22" s="258"/>
      <c r="K22" s="258"/>
      <c r="L22" s="258"/>
      <c r="W22" s="221"/>
    </row>
    <row r="23" spans="1:23">
      <c r="A23" s="165" t="s">
        <v>1570</v>
      </c>
      <c r="B23" s="263" t="s">
        <v>1571</v>
      </c>
      <c r="C23" s="263"/>
      <c r="D23" s="263"/>
      <c r="E23" s="263"/>
      <c r="G23" s="254" t="s">
        <v>1646</v>
      </c>
      <c r="H23" s="254"/>
      <c r="I23" s="254"/>
      <c r="J23" s="254"/>
      <c r="K23" s="254"/>
      <c r="L23" s="254"/>
      <c r="W23" s="221"/>
    </row>
    <row r="24" spans="1:23">
      <c r="A24" s="165" t="s">
        <v>1572</v>
      </c>
      <c r="B24" s="263" t="s">
        <v>1573</v>
      </c>
      <c r="C24" s="263"/>
      <c r="D24" s="263"/>
      <c r="E24" s="263"/>
      <c r="G24" s="254" t="s">
        <v>1647</v>
      </c>
      <c r="H24" s="254"/>
      <c r="I24" s="254"/>
      <c r="J24" s="254"/>
      <c r="K24" s="254"/>
      <c r="L24" s="254"/>
      <c r="W24" s="221"/>
    </row>
    <row r="25" spans="1:23" ht="14.4" customHeight="1">
      <c r="A25" s="165" t="s">
        <v>1574</v>
      </c>
      <c r="B25" s="262" t="s">
        <v>1575</v>
      </c>
      <c r="C25" s="262"/>
      <c r="D25" s="262"/>
      <c r="E25" s="262"/>
      <c r="G25" s="254" t="s">
        <v>1660</v>
      </c>
      <c r="H25" s="254"/>
      <c r="I25" s="254"/>
      <c r="J25" s="254"/>
      <c r="K25" s="254"/>
      <c r="L25" s="254"/>
      <c r="W25" s="221"/>
    </row>
    <row r="26" spans="1:23">
      <c r="B26" s="262"/>
      <c r="C26" s="262"/>
      <c r="D26" s="262"/>
      <c r="E26" s="262"/>
      <c r="G26" s="254"/>
      <c r="H26" s="254"/>
      <c r="I26" s="254"/>
      <c r="J26" s="254"/>
      <c r="K26" s="254"/>
      <c r="L26" s="254"/>
      <c r="W26" s="221"/>
    </row>
    <row r="27" spans="1:23">
      <c r="A27" s="165" t="s">
        <v>1579</v>
      </c>
      <c r="B27" s="263" t="s">
        <v>1580</v>
      </c>
      <c r="C27" s="263"/>
      <c r="D27" s="263"/>
      <c r="E27" s="263"/>
      <c r="G27" s="255" t="s">
        <v>1648</v>
      </c>
      <c r="H27" s="255"/>
      <c r="I27" s="255"/>
      <c r="J27" s="255"/>
      <c r="K27" s="255"/>
      <c r="L27" s="255"/>
      <c r="W27" s="221"/>
    </row>
    <row r="28" spans="1:23">
      <c r="A28" s="165" t="s">
        <v>1633</v>
      </c>
      <c r="B28" s="210" t="s">
        <v>1635</v>
      </c>
      <c r="G28" s="254" t="s">
        <v>1649</v>
      </c>
      <c r="H28" s="254"/>
      <c r="I28" s="254"/>
      <c r="J28" s="254"/>
      <c r="K28" s="254"/>
      <c r="L28" s="254"/>
      <c r="W28" s="221"/>
    </row>
    <row r="29" spans="1:23">
      <c r="A29" s="165" t="s">
        <v>1634</v>
      </c>
      <c r="B29" s="210" t="s">
        <v>1636</v>
      </c>
      <c r="G29" s="254" t="s">
        <v>1651</v>
      </c>
      <c r="H29" s="254"/>
      <c r="I29" s="254"/>
      <c r="J29" s="254"/>
      <c r="K29" s="254"/>
      <c r="L29" s="254"/>
      <c r="W29" s="221"/>
    </row>
    <row r="30" spans="1:23">
      <c r="A30" s="165"/>
      <c r="G30" s="254" t="s">
        <v>1653</v>
      </c>
      <c r="H30" s="254"/>
      <c r="I30" s="254"/>
      <c r="J30" s="254"/>
      <c r="K30" s="254"/>
      <c r="L30" s="254"/>
      <c r="W30" s="221"/>
    </row>
    <row r="31" spans="1:23">
      <c r="A31" s="223" t="s">
        <v>1656</v>
      </c>
      <c r="B31" s="223"/>
      <c r="C31" s="223"/>
      <c r="D31" s="223"/>
      <c r="E31" s="223"/>
      <c r="G31" s="254" t="s">
        <v>1654</v>
      </c>
      <c r="H31" s="254"/>
      <c r="I31" s="254"/>
      <c r="J31" s="254"/>
      <c r="K31" s="254"/>
      <c r="L31" s="254"/>
      <c r="W31" s="221"/>
    </row>
    <row r="32" spans="1:23">
      <c r="A32" s="223" t="s">
        <v>1657</v>
      </c>
      <c r="B32" s="223"/>
      <c r="C32" s="223"/>
      <c r="D32" s="223"/>
      <c r="E32" s="223"/>
      <c r="G32" s="254" t="s">
        <v>1661</v>
      </c>
      <c r="H32" s="254"/>
      <c r="I32" s="254"/>
      <c r="J32" s="254"/>
      <c r="K32" s="254"/>
      <c r="L32" s="254"/>
      <c r="W32" s="221"/>
    </row>
    <row r="33" spans="1:12">
      <c r="A33" s="218" t="s">
        <v>1658</v>
      </c>
      <c r="B33" s="218"/>
      <c r="C33" s="218"/>
      <c r="D33" s="218"/>
      <c r="E33" s="218"/>
      <c r="G33" s="254" t="s">
        <v>1660</v>
      </c>
      <c r="H33" s="254"/>
      <c r="I33" s="254"/>
      <c r="J33" s="254"/>
      <c r="K33" s="254"/>
      <c r="L33" s="254"/>
    </row>
    <row r="34" spans="1:12">
      <c r="A34" s="210" t="s">
        <v>1659</v>
      </c>
      <c r="G34" s="260" t="s">
        <v>1664</v>
      </c>
      <c r="H34" s="260"/>
      <c r="I34" s="260"/>
      <c r="J34" s="260"/>
      <c r="K34" s="260"/>
      <c r="L34" s="260"/>
    </row>
    <row r="35" spans="1:12">
      <c r="G35" s="260" t="s">
        <v>1665</v>
      </c>
      <c r="H35" s="260"/>
      <c r="I35" s="260"/>
      <c r="J35" s="260"/>
      <c r="K35" s="260"/>
      <c r="L35" s="260"/>
    </row>
    <row r="36" spans="1:12">
      <c r="G36" s="254"/>
      <c r="H36" s="254"/>
      <c r="I36" s="254"/>
      <c r="J36" s="254"/>
      <c r="K36" s="254"/>
      <c r="L36" s="254"/>
    </row>
  </sheetData>
  <sheetProtection selectLockedCells="1"/>
  <mergeCells count="34">
    <mergeCell ref="A1:L1"/>
    <mergeCell ref="G35:L35"/>
    <mergeCell ref="G36:L36"/>
    <mergeCell ref="G34:L34"/>
    <mergeCell ref="G26:L26"/>
    <mergeCell ref="A2:E2"/>
    <mergeCell ref="A7:E7"/>
    <mergeCell ref="A12:E12"/>
    <mergeCell ref="B25:E26"/>
    <mergeCell ref="B24:E24"/>
    <mergeCell ref="B23:E23"/>
    <mergeCell ref="G12:L12"/>
    <mergeCell ref="G13:L13"/>
    <mergeCell ref="G14:L14"/>
    <mergeCell ref="G15:L15"/>
    <mergeCell ref="B27:E27"/>
    <mergeCell ref="A22:E22"/>
    <mergeCell ref="G16:L16"/>
    <mergeCell ref="G17:L17"/>
    <mergeCell ref="G18:L18"/>
    <mergeCell ref="G19:L19"/>
    <mergeCell ref="G20:L20"/>
    <mergeCell ref="G21:L21"/>
    <mergeCell ref="G22:L22"/>
    <mergeCell ref="G23:L23"/>
    <mergeCell ref="G24:L24"/>
    <mergeCell ref="G25:L25"/>
    <mergeCell ref="G31:L31"/>
    <mergeCell ref="G32:L32"/>
    <mergeCell ref="G33:L33"/>
    <mergeCell ref="G27:L27"/>
    <mergeCell ref="G28:L28"/>
    <mergeCell ref="G29:L29"/>
    <mergeCell ref="G30:L30"/>
  </mergeCells>
  <dataValidations count="6">
    <dataValidation type="list" showInputMessage="1" showErrorMessage="1" sqref="E13 E15" xr:uid="{11B75CBB-95CE-4703-BC62-CE47B6B9D231}">
      <formula1>"True,False"</formula1>
    </dataValidation>
    <dataValidation type="list" showInputMessage="1" showErrorMessage="1" sqref="E14" xr:uid="{356C5DBF-A5CB-4335-90B2-DD0E8CC1AE17}">
      <formula1>"Standard,Compact"</formula1>
    </dataValidation>
    <dataValidation type="list" showInputMessage="1" showErrorMessage="1" sqref="E3 E8" xr:uid="{31B4EC9B-65E4-47D2-9133-470FD7186A6D}">
      <formula1>"CEB,CSI,CUSG,DSB,ECNTR,KVCU,OCHNR,REC,SOAC,SLS,UMC,VRC"</formula1>
    </dataValidation>
    <dataValidation type="list" showInputMessage="1" showErrorMessage="1" sqref="E4" xr:uid="{616F26AE-9C13-4214-9A4B-F8A550187E63}">
      <formula1>"1,2,3,4"</formula1>
    </dataValidation>
    <dataValidation type="whole" allowBlank="1" showInputMessage="1" showErrorMessage="1" sqref="E5 E10" xr:uid="{209C606A-032B-4DA6-B4D2-9BCBF1527487}">
      <formula1>10</formula1>
      <formula2>40</formula2>
    </dataValidation>
    <dataValidation type="list" showInputMessage="1" showErrorMessage="1" sqref="E9" xr:uid="{ACE40327-3774-483C-93EE-BD2125EF1F98}">
      <formula1>"1,2,3,4,5"</formula1>
    </dataValidation>
  </dataValidations>
  <hyperlinks>
    <hyperlink ref="W3" location="'KVCU Operations'!A1" tooltip="KVCU Operations" display="1) KVCU Operations" xr:uid="{B03674DE-38CB-4CED-90BE-716708724A9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QR">
                <anchor moveWithCells="1" sizeWithCells="1">
                  <from>
                    <xdr:col>0</xdr:col>
                    <xdr:colOff>274320</xdr:colOff>
                    <xdr:row>2</xdr:row>
                    <xdr:rowOff>114300</xdr:rowOff>
                  </from>
                  <to>
                    <xdr:col>2</xdr:col>
                    <xdr:colOff>518160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B">
                <anchor moveWithCells="1" sizeWithCells="1">
                  <from>
                    <xdr:col>0</xdr:col>
                    <xdr:colOff>274320</xdr:colOff>
                    <xdr:row>7</xdr:row>
                    <xdr:rowOff>114300</xdr:rowOff>
                  </from>
                  <to>
                    <xdr:col>2</xdr:col>
                    <xdr:colOff>518160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ExportReport">
                <anchor moveWithCells="1" sizeWithCells="1">
                  <from>
                    <xdr:col>0</xdr:col>
                    <xdr:colOff>274320</xdr:colOff>
                    <xdr:row>12</xdr:row>
                    <xdr:rowOff>114300</xdr:rowOff>
                  </from>
                  <to>
                    <xdr:col>2</xdr:col>
                    <xdr:colOff>518160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820B9-4C84-495C-AF45-E8316F5D2D43}">
  <sheetPr codeName="Data">
    <tabColor theme="2" tint="-9.9978637043366805E-2"/>
  </sheetPr>
  <dimension ref="A1:H1732"/>
  <sheetViews>
    <sheetView zoomScaleNormal="100" workbookViewId="0">
      <pane ySplit="1" topLeftCell="A2" activePane="bottomLeft" state="frozen"/>
      <selection pane="bottomLeft"/>
    </sheetView>
  </sheetViews>
  <sheetFormatPr defaultRowHeight="14.4"/>
  <cols>
    <col min="1" max="1" width="43" style="229" bestFit="1" customWidth="1"/>
    <col min="2" max="2" width="10.21875" style="229" bestFit="1" customWidth="1"/>
    <col min="3" max="3" width="11" style="229" bestFit="1" customWidth="1"/>
    <col min="4" max="4" width="16" style="229" bestFit="1" customWidth="1"/>
    <col min="5" max="5" width="15.5546875" style="229" bestFit="1" customWidth="1"/>
    <col min="6" max="6" width="5.21875" style="229" bestFit="1" customWidth="1"/>
    <col min="7" max="7" width="11.33203125" bestFit="1" customWidth="1"/>
    <col min="8" max="8" width="15.77734375" bestFit="1" customWidth="1"/>
  </cols>
  <sheetData>
    <row r="1" spans="1:8">
      <c r="A1" s="229" t="s">
        <v>1583</v>
      </c>
      <c r="B1" s="229" t="s">
        <v>1623</v>
      </c>
      <c r="C1" s="229" t="s">
        <v>1624</v>
      </c>
      <c r="D1" s="229" t="s">
        <v>1688</v>
      </c>
      <c r="E1" s="229" t="s">
        <v>1689</v>
      </c>
      <c r="F1" s="229" t="s">
        <v>1507</v>
      </c>
      <c r="G1" t="s">
        <v>1691</v>
      </c>
      <c r="H1" t="s">
        <v>1625</v>
      </c>
    </row>
    <row r="2" spans="1:8">
      <c r="A2" s="229" t="s">
        <v>1584</v>
      </c>
      <c r="B2" s="229">
        <v>-143669</v>
      </c>
      <c r="D2" s="229">
        <v>12010513</v>
      </c>
      <c r="E2" s="229" t="s">
        <v>818</v>
      </c>
      <c r="F2" s="229">
        <v>2017</v>
      </c>
      <c r="G2">
        <v>1</v>
      </c>
      <c r="H2" t="s">
        <v>820</v>
      </c>
    </row>
    <row r="3" spans="1:8">
      <c r="A3" s="229" t="s">
        <v>1584</v>
      </c>
      <c r="C3" s="229">
        <v>-71835</v>
      </c>
      <c r="D3" s="229">
        <v>12010513</v>
      </c>
      <c r="E3" s="229" t="s">
        <v>818</v>
      </c>
      <c r="F3" s="229">
        <v>2017</v>
      </c>
      <c r="G3">
        <v>1</v>
      </c>
      <c r="H3" t="s">
        <v>820</v>
      </c>
    </row>
    <row r="4" spans="1:8">
      <c r="A4" s="229" t="s">
        <v>1586</v>
      </c>
      <c r="B4" s="229">
        <v>78500</v>
      </c>
      <c r="D4" s="229">
        <v>12010513</v>
      </c>
      <c r="E4" s="229" t="s">
        <v>818</v>
      </c>
      <c r="F4" s="229">
        <v>2017</v>
      </c>
      <c r="G4">
        <v>1</v>
      </c>
      <c r="H4" t="s">
        <v>820</v>
      </c>
    </row>
    <row r="5" spans="1:8">
      <c r="A5" s="229" t="s">
        <v>1587</v>
      </c>
      <c r="C5" s="229">
        <v>294.60000000000002</v>
      </c>
      <c r="D5" s="229">
        <v>12010513</v>
      </c>
      <c r="E5" s="229" t="s">
        <v>818</v>
      </c>
      <c r="F5" s="229">
        <v>2017</v>
      </c>
      <c r="G5">
        <v>1</v>
      </c>
      <c r="H5" t="s">
        <v>820</v>
      </c>
    </row>
    <row r="6" spans="1:8">
      <c r="A6" s="229" t="s">
        <v>1587</v>
      </c>
      <c r="C6" s="229">
        <v>294.60000000000002</v>
      </c>
      <c r="D6" s="229">
        <v>12010513</v>
      </c>
      <c r="E6" s="229" t="s">
        <v>818</v>
      </c>
      <c r="F6" s="229">
        <v>2017</v>
      </c>
      <c r="G6">
        <v>1</v>
      </c>
      <c r="H6" t="s">
        <v>820</v>
      </c>
    </row>
    <row r="7" spans="1:8">
      <c r="A7" s="229" t="s">
        <v>1587</v>
      </c>
      <c r="C7" s="229">
        <v>294.60000000000002</v>
      </c>
      <c r="D7" s="229">
        <v>12010513</v>
      </c>
      <c r="E7" s="229" t="s">
        <v>818</v>
      </c>
      <c r="F7" s="229">
        <v>2017</v>
      </c>
      <c r="G7">
        <v>1</v>
      </c>
      <c r="H7" t="s">
        <v>820</v>
      </c>
    </row>
    <row r="8" spans="1:8">
      <c r="A8" s="229" t="s">
        <v>1587</v>
      </c>
      <c r="C8" s="229">
        <v>235.68</v>
      </c>
      <c r="D8" s="229">
        <v>12010513</v>
      </c>
      <c r="E8" s="229" t="s">
        <v>818</v>
      </c>
      <c r="F8" s="229">
        <v>2017</v>
      </c>
      <c r="G8">
        <v>1</v>
      </c>
      <c r="H8" t="s">
        <v>820</v>
      </c>
    </row>
    <row r="9" spans="1:8">
      <c r="A9" s="229" t="s">
        <v>1587</v>
      </c>
      <c r="C9" s="229">
        <v>147.30000000000001</v>
      </c>
      <c r="D9" s="229">
        <v>12010513</v>
      </c>
      <c r="E9" s="229" t="s">
        <v>818</v>
      </c>
      <c r="F9" s="229">
        <v>2017</v>
      </c>
      <c r="G9">
        <v>1</v>
      </c>
      <c r="H9" t="s">
        <v>820</v>
      </c>
    </row>
    <row r="10" spans="1:8">
      <c r="A10" s="229" t="s">
        <v>1587</v>
      </c>
      <c r="C10" s="229">
        <v>232.63</v>
      </c>
      <c r="D10" s="229">
        <v>12010513</v>
      </c>
      <c r="E10" s="229" t="s">
        <v>818</v>
      </c>
      <c r="F10" s="229">
        <v>2017</v>
      </c>
      <c r="G10">
        <v>1</v>
      </c>
      <c r="H10" t="s">
        <v>820</v>
      </c>
    </row>
    <row r="11" spans="1:8">
      <c r="A11" s="229" t="s">
        <v>1587</v>
      </c>
      <c r="C11" s="229">
        <v>278.62</v>
      </c>
      <c r="D11" s="229">
        <v>12010513</v>
      </c>
      <c r="E11" s="229" t="s">
        <v>818</v>
      </c>
      <c r="F11" s="229">
        <v>2017</v>
      </c>
      <c r="G11">
        <v>1</v>
      </c>
      <c r="H11" t="s">
        <v>820</v>
      </c>
    </row>
    <row r="12" spans="1:8">
      <c r="A12" s="229" t="s">
        <v>1587</v>
      </c>
      <c r="C12" s="229">
        <v>351.65</v>
      </c>
      <c r="D12" s="229">
        <v>12010513</v>
      </c>
      <c r="E12" s="229" t="s">
        <v>818</v>
      </c>
      <c r="F12" s="229">
        <v>2017</v>
      </c>
      <c r="G12">
        <v>1</v>
      </c>
      <c r="H12" t="s">
        <v>820</v>
      </c>
    </row>
    <row r="13" spans="1:8">
      <c r="A13" s="229" t="s">
        <v>1587</v>
      </c>
      <c r="C13" s="229">
        <v>146.07</v>
      </c>
      <c r="D13" s="229">
        <v>12010513</v>
      </c>
      <c r="E13" s="229" t="s">
        <v>818</v>
      </c>
      <c r="F13" s="229">
        <v>2017</v>
      </c>
      <c r="G13">
        <v>1</v>
      </c>
      <c r="H13" t="s">
        <v>820</v>
      </c>
    </row>
    <row r="14" spans="1:8">
      <c r="A14" s="229" t="s">
        <v>1587</v>
      </c>
      <c r="C14" s="229">
        <v>432.8</v>
      </c>
      <c r="D14" s="229">
        <v>12010513</v>
      </c>
      <c r="E14" s="229" t="s">
        <v>818</v>
      </c>
      <c r="F14" s="229">
        <v>2017</v>
      </c>
      <c r="G14">
        <v>1</v>
      </c>
      <c r="H14" t="s">
        <v>820</v>
      </c>
    </row>
    <row r="15" spans="1:8">
      <c r="A15" s="229" t="s">
        <v>1587</v>
      </c>
      <c r="C15" s="229">
        <v>432.8</v>
      </c>
      <c r="D15" s="229">
        <v>12010513</v>
      </c>
      <c r="E15" s="229" t="s">
        <v>818</v>
      </c>
      <c r="F15" s="229">
        <v>2017</v>
      </c>
      <c r="G15">
        <v>1</v>
      </c>
      <c r="H15" t="s">
        <v>820</v>
      </c>
    </row>
    <row r="16" spans="1:8">
      <c r="A16" s="229" t="s">
        <v>1587</v>
      </c>
      <c r="C16" s="229">
        <v>324.60000000000002</v>
      </c>
      <c r="D16" s="229">
        <v>12010513</v>
      </c>
      <c r="E16" s="229" t="s">
        <v>818</v>
      </c>
      <c r="F16" s="229">
        <v>2017</v>
      </c>
      <c r="G16">
        <v>1</v>
      </c>
      <c r="H16" t="s">
        <v>820</v>
      </c>
    </row>
    <row r="17" spans="1:8">
      <c r="A17" s="229" t="s">
        <v>1587</v>
      </c>
      <c r="C17" s="229">
        <v>432.8</v>
      </c>
      <c r="D17" s="229">
        <v>12010513</v>
      </c>
      <c r="E17" s="229" t="s">
        <v>818</v>
      </c>
      <c r="F17" s="229">
        <v>2017</v>
      </c>
      <c r="G17">
        <v>1</v>
      </c>
      <c r="H17" t="s">
        <v>820</v>
      </c>
    </row>
    <row r="18" spans="1:8">
      <c r="A18" s="229" t="s">
        <v>1587</v>
      </c>
      <c r="C18" s="229">
        <v>346.24</v>
      </c>
      <c r="D18" s="229">
        <v>12010513</v>
      </c>
      <c r="E18" s="229" t="s">
        <v>818</v>
      </c>
      <c r="F18" s="229">
        <v>2017</v>
      </c>
      <c r="G18">
        <v>1</v>
      </c>
      <c r="H18" t="s">
        <v>820</v>
      </c>
    </row>
    <row r="19" spans="1:8">
      <c r="A19" s="229" t="s">
        <v>1587</v>
      </c>
      <c r="C19" s="229">
        <v>432.8</v>
      </c>
      <c r="D19" s="229">
        <v>12010513</v>
      </c>
      <c r="E19" s="229" t="s">
        <v>818</v>
      </c>
      <c r="F19" s="229">
        <v>2017</v>
      </c>
      <c r="G19">
        <v>1</v>
      </c>
      <c r="H19" t="s">
        <v>820</v>
      </c>
    </row>
    <row r="20" spans="1:8">
      <c r="A20" s="229" t="s">
        <v>1587</v>
      </c>
      <c r="C20" s="229">
        <v>389.52</v>
      </c>
      <c r="D20" s="229">
        <v>12010513</v>
      </c>
      <c r="E20" s="229" t="s">
        <v>818</v>
      </c>
      <c r="F20" s="229">
        <v>2017</v>
      </c>
      <c r="G20">
        <v>1</v>
      </c>
      <c r="H20" t="s">
        <v>820</v>
      </c>
    </row>
    <row r="21" spans="1:8">
      <c r="A21" s="229" t="s">
        <v>1587</v>
      </c>
      <c r="C21" s="229">
        <v>432.8</v>
      </c>
      <c r="D21" s="229">
        <v>12010513</v>
      </c>
      <c r="E21" s="229" t="s">
        <v>818</v>
      </c>
      <c r="F21" s="229">
        <v>2017</v>
      </c>
      <c r="G21">
        <v>1</v>
      </c>
      <c r="H21" t="s">
        <v>820</v>
      </c>
    </row>
    <row r="22" spans="1:8">
      <c r="A22" s="229" t="s">
        <v>1587</v>
      </c>
      <c r="C22" s="229">
        <v>432.8</v>
      </c>
      <c r="D22" s="229">
        <v>12010513</v>
      </c>
      <c r="E22" s="229" t="s">
        <v>818</v>
      </c>
      <c r="F22" s="229">
        <v>2017</v>
      </c>
      <c r="G22">
        <v>1</v>
      </c>
      <c r="H22" t="s">
        <v>820</v>
      </c>
    </row>
    <row r="23" spans="1:8">
      <c r="A23" s="229" t="s">
        <v>1587</v>
      </c>
      <c r="C23" s="229">
        <v>24.55</v>
      </c>
      <c r="D23" s="229">
        <v>12010513</v>
      </c>
      <c r="E23" s="229" t="s">
        <v>818</v>
      </c>
      <c r="F23" s="229">
        <v>2017</v>
      </c>
      <c r="G23">
        <v>1</v>
      </c>
      <c r="H23" t="s">
        <v>820</v>
      </c>
    </row>
    <row r="24" spans="1:8">
      <c r="A24" s="229" t="s">
        <v>1587</v>
      </c>
      <c r="C24" s="229">
        <v>98.2</v>
      </c>
      <c r="D24" s="229">
        <v>12010513</v>
      </c>
      <c r="E24" s="229" t="s">
        <v>818</v>
      </c>
      <c r="F24" s="229">
        <v>2017</v>
      </c>
      <c r="G24">
        <v>1</v>
      </c>
      <c r="H24" t="s">
        <v>820</v>
      </c>
    </row>
    <row r="25" spans="1:8">
      <c r="A25" s="229" t="s">
        <v>1587</v>
      </c>
      <c r="C25" s="229">
        <v>24.35</v>
      </c>
      <c r="D25" s="229">
        <v>12010513</v>
      </c>
      <c r="E25" s="229" t="s">
        <v>818</v>
      </c>
      <c r="F25" s="229">
        <v>2017</v>
      </c>
      <c r="G25">
        <v>1</v>
      </c>
      <c r="H25" t="s">
        <v>820</v>
      </c>
    </row>
    <row r="26" spans="1:8">
      <c r="A26" s="229" t="s">
        <v>1587</v>
      </c>
      <c r="C26" s="229">
        <v>143.37</v>
      </c>
      <c r="D26" s="229">
        <v>12010513</v>
      </c>
      <c r="E26" s="229" t="s">
        <v>818</v>
      </c>
      <c r="F26" s="229">
        <v>2017</v>
      </c>
      <c r="G26">
        <v>1</v>
      </c>
      <c r="H26" t="s">
        <v>820</v>
      </c>
    </row>
    <row r="27" spans="1:8">
      <c r="A27" s="229" t="s">
        <v>1587</v>
      </c>
      <c r="C27" s="229">
        <v>89.27</v>
      </c>
      <c r="D27" s="229">
        <v>12010513</v>
      </c>
      <c r="E27" s="229" t="s">
        <v>818</v>
      </c>
      <c r="F27" s="229">
        <v>2017</v>
      </c>
      <c r="G27">
        <v>1</v>
      </c>
      <c r="H27" t="s">
        <v>820</v>
      </c>
    </row>
    <row r="28" spans="1:8">
      <c r="A28" s="229" t="s">
        <v>1587</v>
      </c>
      <c r="C28" s="229">
        <v>151.47999999999999</v>
      </c>
      <c r="D28" s="229">
        <v>12010513</v>
      </c>
      <c r="E28" s="229" t="s">
        <v>818</v>
      </c>
      <c r="F28" s="229">
        <v>2017</v>
      </c>
      <c r="G28">
        <v>1</v>
      </c>
      <c r="H28" t="s">
        <v>820</v>
      </c>
    </row>
    <row r="29" spans="1:8">
      <c r="A29" s="229" t="s">
        <v>1587</v>
      </c>
      <c r="C29" s="229">
        <v>229.93</v>
      </c>
      <c r="D29" s="229">
        <v>12010513</v>
      </c>
      <c r="E29" s="229" t="s">
        <v>818</v>
      </c>
      <c r="F29" s="229">
        <v>2017</v>
      </c>
      <c r="G29">
        <v>1</v>
      </c>
      <c r="H29" t="s">
        <v>820</v>
      </c>
    </row>
    <row r="30" spans="1:8">
      <c r="A30" s="229" t="s">
        <v>1587</v>
      </c>
      <c r="C30" s="229">
        <v>117.84</v>
      </c>
      <c r="D30" s="229">
        <v>12010513</v>
      </c>
      <c r="E30" s="229" t="s">
        <v>818</v>
      </c>
      <c r="F30" s="229">
        <v>2017</v>
      </c>
      <c r="G30">
        <v>1</v>
      </c>
      <c r="H30" t="s">
        <v>820</v>
      </c>
    </row>
    <row r="31" spans="1:8">
      <c r="A31" s="229" t="s">
        <v>1587</v>
      </c>
      <c r="C31" s="229">
        <v>29.46</v>
      </c>
      <c r="D31" s="229">
        <v>12010513</v>
      </c>
      <c r="E31" s="229" t="s">
        <v>818</v>
      </c>
      <c r="F31" s="229">
        <v>2017</v>
      </c>
      <c r="G31">
        <v>1</v>
      </c>
      <c r="H31" t="s">
        <v>820</v>
      </c>
    </row>
    <row r="32" spans="1:8">
      <c r="A32" s="229" t="s">
        <v>1587</v>
      </c>
      <c r="C32" s="229">
        <v>88.38</v>
      </c>
      <c r="D32" s="229">
        <v>12010513</v>
      </c>
      <c r="E32" s="229" t="s">
        <v>818</v>
      </c>
      <c r="F32" s="229">
        <v>2017</v>
      </c>
      <c r="G32">
        <v>1</v>
      </c>
      <c r="H32" t="s">
        <v>820</v>
      </c>
    </row>
    <row r="33" spans="1:8">
      <c r="A33" s="229" t="s">
        <v>1587</v>
      </c>
      <c r="C33" s="229">
        <v>117.84</v>
      </c>
      <c r="D33" s="229">
        <v>12010513</v>
      </c>
      <c r="E33" s="229" t="s">
        <v>818</v>
      </c>
      <c r="F33" s="229">
        <v>2017</v>
      </c>
      <c r="G33">
        <v>1</v>
      </c>
      <c r="H33" t="s">
        <v>820</v>
      </c>
    </row>
    <row r="34" spans="1:8">
      <c r="A34" s="229" t="s">
        <v>1587</v>
      </c>
      <c r="C34" s="229">
        <v>117.84</v>
      </c>
      <c r="D34" s="229">
        <v>12010513</v>
      </c>
      <c r="E34" s="229" t="s">
        <v>818</v>
      </c>
      <c r="F34" s="229">
        <v>2017</v>
      </c>
      <c r="G34">
        <v>1</v>
      </c>
      <c r="H34" t="s">
        <v>820</v>
      </c>
    </row>
    <row r="35" spans="1:8">
      <c r="A35" s="229" t="s">
        <v>1587</v>
      </c>
      <c r="C35" s="229">
        <v>314.94</v>
      </c>
      <c r="D35" s="229">
        <v>12010513</v>
      </c>
      <c r="E35" s="229" t="s">
        <v>818</v>
      </c>
      <c r="F35" s="229">
        <v>2017</v>
      </c>
      <c r="G35">
        <v>1</v>
      </c>
      <c r="H35" t="s">
        <v>820</v>
      </c>
    </row>
    <row r="36" spans="1:8">
      <c r="A36" s="229" t="s">
        <v>1587</v>
      </c>
      <c r="C36" s="229">
        <v>108.6</v>
      </c>
      <c r="D36" s="229">
        <v>12010513</v>
      </c>
      <c r="E36" s="229" t="s">
        <v>818</v>
      </c>
      <c r="F36" s="229">
        <v>2017</v>
      </c>
      <c r="G36">
        <v>1</v>
      </c>
      <c r="H36" t="s">
        <v>820</v>
      </c>
    </row>
    <row r="37" spans="1:8">
      <c r="A37" s="229" t="s">
        <v>1587</v>
      </c>
      <c r="C37" s="229">
        <v>152.04</v>
      </c>
      <c r="D37" s="229">
        <v>12010513</v>
      </c>
      <c r="E37" s="229" t="s">
        <v>818</v>
      </c>
      <c r="F37" s="229">
        <v>2017</v>
      </c>
      <c r="G37">
        <v>1</v>
      </c>
      <c r="H37" t="s">
        <v>820</v>
      </c>
    </row>
    <row r="38" spans="1:8">
      <c r="A38" s="229" t="s">
        <v>1587</v>
      </c>
      <c r="C38" s="229">
        <v>434.4</v>
      </c>
      <c r="D38" s="229">
        <v>12010513</v>
      </c>
      <c r="E38" s="229" t="s">
        <v>818</v>
      </c>
      <c r="F38" s="229">
        <v>2017</v>
      </c>
      <c r="G38">
        <v>1</v>
      </c>
      <c r="H38" t="s">
        <v>820</v>
      </c>
    </row>
    <row r="39" spans="1:8">
      <c r="A39" s="229" t="s">
        <v>1587</v>
      </c>
      <c r="C39" s="229">
        <v>271.5</v>
      </c>
      <c r="D39" s="229">
        <v>12010513</v>
      </c>
      <c r="E39" s="229" t="s">
        <v>818</v>
      </c>
      <c r="F39" s="229">
        <v>2017</v>
      </c>
      <c r="G39">
        <v>1</v>
      </c>
      <c r="H39" t="s">
        <v>820</v>
      </c>
    </row>
    <row r="40" spans="1:8">
      <c r="A40" s="229" t="s">
        <v>1587</v>
      </c>
      <c r="C40" s="229">
        <v>162.30000000000001</v>
      </c>
      <c r="D40" s="229">
        <v>12010513</v>
      </c>
      <c r="E40" s="229" t="s">
        <v>818</v>
      </c>
      <c r="F40" s="229">
        <v>2017</v>
      </c>
      <c r="G40">
        <v>1</v>
      </c>
      <c r="H40" t="s">
        <v>820</v>
      </c>
    </row>
    <row r="41" spans="1:8">
      <c r="A41" s="229" t="s">
        <v>1587</v>
      </c>
      <c r="C41" s="229">
        <v>265.08999999999997</v>
      </c>
      <c r="D41" s="229">
        <v>12010513</v>
      </c>
      <c r="E41" s="229" t="s">
        <v>818</v>
      </c>
      <c r="F41" s="229">
        <v>2017</v>
      </c>
      <c r="G41">
        <v>1</v>
      </c>
      <c r="H41" t="s">
        <v>820</v>
      </c>
    </row>
    <row r="42" spans="1:8">
      <c r="A42" s="229" t="s">
        <v>1587</v>
      </c>
      <c r="C42" s="229">
        <v>12.75</v>
      </c>
      <c r="D42" s="229">
        <v>12010513</v>
      </c>
      <c r="E42" s="229" t="s">
        <v>818</v>
      </c>
      <c r="F42" s="229">
        <v>2017</v>
      </c>
      <c r="G42">
        <v>1</v>
      </c>
      <c r="H42" t="s">
        <v>820</v>
      </c>
    </row>
    <row r="43" spans="1:8">
      <c r="A43" s="229" t="s">
        <v>1587</v>
      </c>
      <c r="C43" s="229">
        <v>221.81</v>
      </c>
      <c r="D43" s="229">
        <v>12010513</v>
      </c>
      <c r="E43" s="229" t="s">
        <v>818</v>
      </c>
      <c r="F43" s="229">
        <v>2017</v>
      </c>
      <c r="G43">
        <v>1</v>
      </c>
      <c r="H43" t="s">
        <v>820</v>
      </c>
    </row>
    <row r="44" spans="1:8">
      <c r="A44" s="229" t="s">
        <v>1587</v>
      </c>
      <c r="C44" s="229">
        <v>162.30000000000001</v>
      </c>
      <c r="D44" s="229">
        <v>12010513</v>
      </c>
      <c r="E44" s="229" t="s">
        <v>818</v>
      </c>
      <c r="F44" s="229">
        <v>2017</v>
      </c>
      <c r="G44">
        <v>1</v>
      </c>
      <c r="H44" t="s">
        <v>820</v>
      </c>
    </row>
    <row r="45" spans="1:8">
      <c r="A45" s="229" t="s">
        <v>1587</v>
      </c>
      <c r="C45" s="229">
        <v>221.81</v>
      </c>
      <c r="D45" s="229">
        <v>12010513</v>
      </c>
      <c r="E45" s="229" t="s">
        <v>818</v>
      </c>
      <c r="F45" s="229">
        <v>2017</v>
      </c>
      <c r="G45">
        <v>1</v>
      </c>
      <c r="H45" t="s">
        <v>820</v>
      </c>
    </row>
    <row r="46" spans="1:8">
      <c r="A46" s="229" t="s">
        <v>1587</v>
      </c>
      <c r="C46" s="229">
        <v>189.35</v>
      </c>
      <c r="D46" s="229">
        <v>12010513</v>
      </c>
      <c r="E46" s="229" t="s">
        <v>818</v>
      </c>
      <c r="F46" s="229">
        <v>2017</v>
      </c>
      <c r="G46">
        <v>1</v>
      </c>
      <c r="H46" t="s">
        <v>820</v>
      </c>
    </row>
    <row r="47" spans="1:8">
      <c r="A47" s="229" t="s">
        <v>1587</v>
      </c>
      <c r="C47" s="229">
        <v>189.35</v>
      </c>
      <c r="D47" s="229">
        <v>12010513</v>
      </c>
      <c r="E47" s="229" t="s">
        <v>818</v>
      </c>
      <c r="F47" s="229">
        <v>2017</v>
      </c>
      <c r="G47">
        <v>1</v>
      </c>
      <c r="H47" t="s">
        <v>820</v>
      </c>
    </row>
    <row r="48" spans="1:8">
      <c r="A48" s="229" t="s">
        <v>1587</v>
      </c>
      <c r="C48" s="229">
        <v>167.71</v>
      </c>
      <c r="D48" s="229">
        <v>12010513</v>
      </c>
      <c r="E48" s="229" t="s">
        <v>818</v>
      </c>
      <c r="F48" s="229">
        <v>2017</v>
      </c>
      <c r="G48">
        <v>1</v>
      </c>
      <c r="H48" t="s">
        <v>820</v>
      </c>
    </row>
    <row r="49" spans="1:8">
      <c r="A49" s="229" t="s">
        <v>1587</v>
      </c>
      <c r="C49" s="229">
        <v>210.99</v>
      </c>
      <c r="D49" s="229">
        <v>12010513</v>
      </c>
      <c r="E49" s="229" t="s">
        <v>818</v>
      </c>
      <c r="F49" s="229">
        <v>2017</v>
      </c>
      <c r="G49">
        <v>1</v>
      </c>
      <c r="H49" t="s">
        <v>820</v>
      </c>
    </row>
    <row r="50" spans="1:8">
      <c r="A50" s="229" t="s">
        <v>1587</v>
      </c>
      <c r="C50" s="229">
        <v>206.22</v>
      </c>
      <c r="D50" s="229">
        <v>12010513</v>
      </c>
      <c r="E50" s="229" t="s">
        <v>818</v>
      </c>
      <c r="F50" s="229">
        <v>2017</v>
      </c>
      <c r="G50">
        <v>1</v>
      </c>
      <c r="H50" t="s">
        <v>820</v>
      </c>
    </row>
    <row r="51" spans="1:8">
      <c r="A51" s="229" t="s">
        <v>1587</v>
      </c>
      <c r="C51" s="229">
        <v>294.60000000000002</v>
      </c>
      <c r="D51" s="229">
        <v>12010513</v>
      </c>
      <c r="E51" s="229" t="s">
        <v>818</v>
      </c>
      <c r="F51" s="229">
        <v>2017</v>
      </c>
      <c r="G51">
        <v>1</v>
      </c>
      <c r="H51" t="s">
        <v>820</v>
      </c>
    </row>
    <row r="52" spans="1:8">
      <c r="A52" s="229" t="s">
        <v>1587</v>
      </c>
      <c r="C52" s="229">
        <v>196.4</v>
      </c>
      <c r="D52" s="229">
        <v>12010513</v>
      </c>
      <c r="E52" s="229" t="s">
        <v>818</v>
      </c>
      <c r="F52" s="229">
        <v>2017</v>
      </c>
      <c r="G52">
        <v>1</v>
      </c>
      <c r="H52" t="s">
        <v>820</v>
      </c>
    </row>
    <row r="53" spans="1:8">
      <c r="A53" s="229" t="s">
        <v>1587</v>
      </c>
      <c r="C53" s="229">
        <v>392.8</v>
      </c>
      <c r="D53" s="229">
        <v>12010513</v>
      </c>
      <c r="E53" s="229" t="s">
        <v>818</v>
      </c>
      <c r="F53" s="229">
        <v>2017</v>
      </c>
      <c r="G53">
        <v>1</v>
      </c>
      <c r="H53" t="s">
        <v>820</v>
      </c>
    </row>
    <row r="54" spans="1:8">
      <c r="A54" s="229" t="s">
        <v>1587</v>
      </c>
      <c r="C54" s="229">
        <v>216.4</v>
      </c>
      <c r="D54" s="229">
        <v>12010513</v>
      </c>
      <c r="E54" s="229" t="s">
        <v>818</v>
      </c>
      <c r="F54" s="229">
        <v>2017</v>
      </c>
      <c r="G54">
        <v>1</v>
      </c>
      <c r="H54" t="s">
        <v>820</v>
      </c>
    </row>
    <row r="55" spans="1:8">
      <c r="A55" s="229" t="s">
        <v>1587</v>
      </c>
      <c r="C55" s="229">
        <v>227.22</v>
      </c>
      <c r="D55" s="229">
        <v>12010513</v>
      </c>
      <c r="E55" s="229" t="s">
        <v>818</v>
      </c>
      <c r="F55" s="229">
        <v>2017</v>
      </c>
      <c r="G55">
        <v>1</v>
      </c>
      <c r="H55" t="s">
        <v>820</v>
      </c>
    </row>
    <row r="56" spans="1:8">
      <c r="A56" s="229" t="s">
        <v>1587</v>
      </c>
      <c r="C56" s="229">
        <v>216.4</v>
      </c>
      <c r="D56" s="229">
        <v>12010513</v>
      </c>
      <c r="E56" s="229" t="s">
        <v>818</v>
      </c>
      <c r="F56" s="229">
        <v>2017</v>
      </c>
      <c r="G56">
        <v>1</v>
      </c>
      <c r="H56" t="s">
        <v>820</v>
      </c>
    </row>
    <row r="57" spans="1:8">
      <c r="A57" s="229" t="s">
        <v>1587</v>
      </c>
      <c r="C57" s="229">
        <v>281.32</v>
      </c>
      <c r="D57" s="229">
        <v>12010513</v>
      </c>
      <c r="E57" s="229" t="s">
        <v>818</v>
      </c>
      <c r="F57" s="229">
        <v>2017</v>
      </c>
      <c r="G57">
        <v>1</v>
      </c>
      <c r="H57" t="s">
        <v>820</v>
      </c>
    </row>
    <row r="58" spans="1:8">
      <c r="A58" s="229" t="s">
        <v>1587</v>
      </c>
      <c r="C58" s="229">
        <v>270.5</v>
      </c>
      <c r="D58" s="229">
        <v>12010513</v>
      </c>
      <c r="E58" s="229" t="s">
        <v>818</v>
      </c>
      <c r="F58" s="229">
        <v>2017</v>
      </c>
      <c r="G58">
        <v>1</v>
      </c>
      <c r="H58" t="s">
        <v>820</v>
      </c>
    </row>
    <row r="59" spans="1:8">
      <c r="A59" s="229" t="s">
        <v>1588</v>
      </c>
      <c r="B59" s="229">
        <v>942</v>
      </c>
      <c r="D59" s="229">
        <v>12010513</v>
      </c>
      <c r="E59" s="229" t="s">
        <v>818</v>
      </c>
      <c r="F59" s="229">
        <v>2017</v>
      </c>
      <c r="G59">
        <v>1</v>
      </c>
      <c r="H59" t="s">
        <v>820</v>
      </c>
    </row>
    <row r="60" spans="1:8">
      <c r="A60" s="229" t="s">
        <v>1589</v>
      </c>
      <c r="C60" s="229">
        <v>25.65</v>
      </c>
      <c r="D60" s="229">
        <v>12010513</v>
      </c>
      <c r="E60" s="229" t="s">
        <v>818</v>
      </c>
      <c r="F60" s="229">
        <v>2017</v>
      </c>
      <c r="G60">
        <v>1</v>
      </c>
      <c r="H60" t="s">
        <v>820</v>
      </c>
    </row>
    <row r="61" spans="1:8">
      <c r="A61" s="229" t="s">
        <v>1589</v>
      </c>
      <c r="C61" s="229">
        <v>54.74</v>
      </c>
      <c r="D61" s="229">
        <v>12010513</v>
      </c>
      <c r="E61" s="229" t="s">
        <v>818</v>
      </c>
      <c r="F61" s="229">
        <v>2017</v>
      </c>
      <c r="G61">
        <v>1</v>
      </c>
      <c r="H61" t="s">
        <v>820</v>
      </c>
    </row>
    <row r="62" spans="1:8">
      <c r="A62" s="229" t="s">
        <v>1589</v>
      </c>
      <c r="C62" s="229">
        <v>70.239999999999995</v>
      </c>
      <c r="D62" s="229">
        <v>12010513</v>
      </c>
      <c r="E62" s="229" t="s">
        <v>818</v>
      </c>
      <c r="F62" s="229">
        <v>2017</v>
      </c>
      <c r="G62">
        <v>1</v>
      </c>
      <c r="H62" t="s">
        <v>820</v>
      </c>
    </row>
    <row r="63" spans="1:8">
      <c r="A63" s="229" t="s">
        <v>1590</v>
      </c>
      <c r="B63" s="229">
        <v>35220</v>
      </c>
      <c r="D63" s="229">
        <v>12010513</v>
      </c>
      <c r="E63" s="229" t="s">
        <v>818</v>
      </c>
      <c r="F63" s="229">
        <v>2017</v>
      </c>
      <c r="G63">
        <v>1</v>
      </c>
      <c r="H63" t="s">
        <v>820</v>
      </c>
    </row>
    <row r="64" spans="1:8">
      <c r="A64" s="229" t="s">
        <v>1667</v>
      </c>
      <c r="C64" s="229">
        <v>101.43</v>
      </c>
      <c r="D64" s="229">
        <v>12010513</v>
      </c>
      <c r="E64" s="229" t="s">
        <v>818</v>
      </c>
      <c r="F64" s="229">
        <v>2017</v>
      </c>
      <c r="G64">
        <v>1</v>
      </c>
      <c r="H64" t="s">
        <v>820</v>
      </c>
    </row>
    <row r="65" spans="1:8">
      <c r="A65" s="229" t="s">
        <v>1596</v>
      </c>
      <c r="C65" s="229">
        <v>49.2</v>
      </c>
      <c r="D65" s="229">
        <v>12010513</v>
      </c>
      <c r="E65" s="229" t="s">
        <v>818</v>
      </c>
      <c r="F65" s="229">
        <v>2017</v>
      </c>
      <c r="G65">
        <v>1</v>
      </c>
      <c r="H65" t="s">
        <v>820</v>
      </c>
    </row>
    <row r="66" spans="1:8">
      <c r="A66" s="229" t="s">
        <v>1596</v>
      </c>
      <c r="D66" s="229">
        <v>12010513</v>
      </c>
      <c r="E66" s="229" t="s">
        <v>818</v>
      </c>
      <c r="F66" s="229">
        <v>2017</v>
      </c>
      <c r="G66">
        <v>1</v>
      </c>
      <c r="H66" t="s">
        <v>820</v>
      </c>
    </row>
    <row r="67" spans="1:8">
      <c r="A67" s="229" t="s">
        <v>1596</v>
      </c>
      <c r="D67" s="229">
        <v>12010513</v>
      </c>
      <c r="E67" s="229" t="s">
        <v>818</v>
      </c>
      <c r="F67" s="229">
        <v>2017</v>
      </c>
      <c r="G67">
        <v>1</v>
      </c>
      <c r="H67" t="s">
        <v>820</v>
      </c>
    </row>
    <row r="68" spans="1:8">
      <c r="A68" s="229" t="s">
        <v>1596</v>
      </c>
      <c r="C68" s="229">
        <v>49.2</v>
      </c>
      <c r="D68" s="229">
        <v>12010513</v>
      </c>
      <c r="E68" s="229" t="s">
        <v>818</v>
      </c>
      <c r="F68" s="229">
        <v>2017</v>
      </c>
      <c r="G68">
        <v>1</v>
      </c>
      <c r="H68" t="s">
        <v>820</v>
      </c>
    </row>
    <row r="69" spans="1:8">
      <c r="A69" s="229" t="s">
        <v>1596</v>
      </c>
      <c r="C69" s="229">
        <v>49.2</v>
      </c>
      <c r="D69" s="229">
        <v>12010513</v>
      </c>
      <c r="E69" s="229" t="s">
        <v>818</v>
      </c>
      <c r="F69" s="229">
        <v>2017</v>
      </c>
      <c r="G69">
        <v>1</v>
      </c>
      <c r="H69" t="s">
        <v>820</v>
      </c>
    </row>
    <row r="70" spans="1:8">
      <c r="A70" s="229" t="s">
        <v>1596</v>
      </c>
      <c r="D70" s="229">
        <v>12010513</v>
      </c>
      <c r="E70" s="229" t="s">
        <v>818</v>
      </c>
      <c r="F70" s="229">
        <v>2017</v>
      </c>
      <c r="G70">
        <v>1</v>
      </c>
      <c r="H70" t="s">
        <v>820</v>
      </c>
    </row>
    <row r="71" spans="1:8">
      <c r="A71" s="229" t="s">
        <v>1677</v>
      </c>
      <c r="C71" s="229">
        <v>79.989999999999995</v>
      </c>
      <c r="D71" s="229">
        <v>12010513</v>
      </c>
      <c r="E71" s="229" t="s">
        <v>818</v>
      </c>
      <c r="F71" s="229">
        <v>2017</v>
      </c>
      <c r="G71">
        <v>1</v>
      </c>
      <c r="H71" t="s">
        <v>820</v>
      </c>
    </row>
    <row r="72" spans="1:8">
      <c r="A72" s="229" t="s">
        <v>1602</v>
      </c>
      <c r="C72" s="229">
        <v>339.9</v>
      </c>
      <c r="D72" s="229">
        <v>12010513</v>
      </c>
      <c r="E72" s="229" t="s">
        <v>818</v>
      </c>
      <c r="F72" s="229">
        <v>2017</v>
      </c>
      <c r="G72">
        <v>1</v>
      </c>
      <c r="H72" t="s">
        <v>820</v>
      </c>
    </row>
    <row r="73" spans="1:8">
      <c r="A73" s="229" t="s">
        <v>1680</v>
      </c>
      <c r="C73" s="229">
        <v>150</v>
      </c>
      <c r="D73" s="229">
        <v>12010513</v>
      </c>
      <c r="E73" s="229" t="s">
        <v>818</v>
      </c>
      <c r="F73" s="229">
        <v>2017</v>
      </c>
      <c r="G73">
        <v>1</v>
      </c>
      <c r="H73" t="s">
        <v>820</v>
      </c>
    </row>
    <row r="74" spans="1:8">
      <c r="A74" s="229" t="s">
        <v>1604</v>
      </c>
      <c r="C74" s="229">
        <v>1576.24</v>
      </c>
      <c r="D74" s="229">
        <v>12010513</v>
      </c>
      <c r="E74" s="229" t="s">
        <v>818</v>
      </c>
      <c r="F74" s="229">
        <v>2017</v>
      </c>
      <c r="G74">
        <v>1</v>
      </c>
      <c r="H74" t="s">
        <v>820</v>
      </c>
    </row>
    <row r="75" spans="1:8">
      <c r="A75" s="229" t="s">
        <v>1605</v>
      </c>
      <c r="C75" s="229">
        <v>-371.68</v>
      </c>
      <c r="D75" s="229">
        <v>12010513</v>
      </c>
      <c r="E75" s="229" t="s">
        <v>818</v>
      </c>
      <c r="F75" s="229">
        <v>2017</v>
      </c>
      <c r="G75">
        <v>1</v>
      </c>
      <c r="H75" t="s">
        <v>820</v>
      </c>
    </row>
    <row r="76" spans="1:8">
      <c r="A76" s="229" t="s">
        <v>1605</v>
      </c>
      <c r="C76" s="229">
        <v>371.68</v>
      </c>
      <c r="D76" s="229">
        <v>12010513</v>
      </c>
      <c r="E76" s="229" t="s">
        <v>818</v>
      </c>
      <c r="F76" s="229">
        <v>2017</v>
      </c>
      <c r="G76">
        <v>1</v>
      </c>
      <c r="H76" t="s">
        <v>820</v>
      </c>
    </row>
    <row r="77" spans="1:8">
      <c r="A77" s="229" t="s">
        <v>1611</v>
      </c>
      <c r="D77" s="229">
        <v>12010513</v>
      </c>
      <c r="E77" s="229" t="s">
        <v>818</v>
      </c>
      <c r="F77" s="229">
        <v>2017</v>
      </c>
      <c r="G77">
        <v>1</v>
      </c>
      <c r="H77" t="s">
        <v>820</v>
      </c>
    </row>
    <row r="78" spans="1:8">
      <c r="A78" s="229" t="s">
        <v>1611</v>
      </c>
      <c r="D78" s="229">
        <v>12010513</v>
      </c>
      <c r="E78" s="229" t="s">
        <v>818</v>
      </c>
      <c r="F78" s="229">
        <v>2017</v>
      </c>
      <c r="G78">
        <v>1</v>
      </c>
      <c r="H78" t="s">
        <v>820</v>
      </c>
    </row>
    <row r="79" spans="1:8">
      <c r="A79" s="229" t="s">
        <v>1611</v>
      </c>
      <c r="C79" s="229">
        <v>600</v>
      </c>
      <c r="D79" s="229">
        <v>12010513</v>
      </c>
      <c r="E79" s="229" t="s">
        <v>818</v>
      </c>
      <c r="F79" s="229">
        <v>2017</v>
      </c>
      <c r="G79">
        <v>1</v>
      </c>
      <c r="H79" t="s">
        <v>820</v>
      </c>
    </row>
    <row r="80" spans="1:8">
      <c r="A80" s="229" t="s">
        <v>1611</v>
      </c>
      <c r="D80" s="229">
        <v>12010513</v>
      </c>
      <c r="E80" s="229" t="s">
        <v>818</v>
      </c>
      <c r="F80" s="229">
        <v>2017</v>
      </c>
      <c r="G80">
        <v>1</v>
      </c>
      <c r="H80" t="s">
        <v>820</v>
      </c>
    </row>
    <row r="81" spans="1:8">
      <c r="A81" s="229" t="s">
        <v>1611</v>
      </c>
      <c r="C81" s="229">
        <v>600</v>
      </c>
      <c r="D81" s="229">
        <v>12010513</v>
      </c>
      <c r="E81" s="229" t="s">
        <v>818</v>
      </c>
      <c r="F81" s="229">
        <v>2017</v>
      </c>
      <c r="G81">
        <v>1</v>
      </c>
      <c r="H81" t="s">
        <v>820</v>
      </c>
    </row>
    <row r="82" spans="1:8">
      <c r="A82" s="229" t="s">
        <v>1611</v>
      </c>
      <c r="D82" s="229">
        <v>12010513</v>
      </c>
      <c r="E82" s="229" t="s">
        <v>818</v>
      </c>
      <c r="F82" s="229">
        <v>2017</v>
      </c>
      <c r="G82">
        <v>1</v>
      </c>
      <c r="H82" t="s">
        <v>820</v>
      </c>
    </row>
    <row r="83" spans="1:8">
      <c r="A83" s="229" t="s">
        <v>1611</v>
      </c>
      <c r="C83" s="229">
        <v>600</v>
      </c>
      <c r="D83" s="229">
        <v>12010513</v>
      </c>
      <c r="E83" s="229" t="s">
        <v>818</v>
      </c>
      <c r="F83" s="229">
        <v>2017</v>
      </c>
      <c r="G83">
        <v>1</v>
      </c>
      <c r="H83" t="s">
        <v>820</v>
      </c>
    </row>
    <row r="84" spans="1:8">
      <c r="A84" s="229" t="s">
        <v>1615</v>
      </c>
      <c r="B84" s="229">
        <v>1500</v>
      </c>
      <c r="D84" s="229">
        <v>12010513</v>
      </c>
      <c r="E84" s="229" t="s">
        <v>818</v>
      </c>
      <c r="F84" s="229">
        <v>2017</v>
      </c>
      <c r="G84">
        <v>1</v>
      </c>
      <c r="H84" t="s">
        <v>820</v>
      </c>
    </row>
    <row r="85" spans="1:8">
      <c r="A85" s="229" t="s">
        <v>1685</v>
      </c>
      <c r="C85" s="229">
        <v>982.26</v>
      </c>
      <c r="D85" s="229">
        <v>12010513</v>
      </c>
      <c r="E85" s="229" t="s">
        <v>818</v>
      </c>
      <c r="F85" s="229">
        <v>2017</v>
      </c>
      <c r="G85">
        <v>1</v>
      </c>
      <c r="H85" t="s">
        <v>820</v>
      </c>
    </row>
    <row r="86" spans="1:8">
      <c r="A86" s="229" t="s">
        <v>1687</v>
      </c>
      <c r="B86" s="229">
        <v>18688</v>
      </c>
      <c r="D86" s="229">
        <v>12010513</v>
      </c>
      <c r="E86" s="229" t="s">
        <v>818</v>
      </c>
      <c r="F86" s="229">
        <v>2017</v>
      </c>
      <c r="G86">
        <v>1</v>
      </c>
      <c r="H86" t="s">
        <v>820</v>
      </c>
    </row>
    <row r="87" spans="1:8">
      <c r="A87" s="229" t="s">
        <v>1618</v>
      </c>
      <c r="B87" s="229">
        <v>8145</v>
      </c>
      <c r="D87" s="229">
        <v>12010513</v>
      </c>
      <c r="E87" s="229" t="s">
        <v>818</v>
      </c>
      <c r="F87" s="229">
        <v>2017</v>
      </c>
      <c r="G87">
        <v>1</v>
      </c>
      <c r="H87" t="s">
        <v>820</v>
      </c>
    </row>
    <row r="88" spans="1:8">
      <c r="A88" s="229" t="s">
        <v>1618</v>
      </c>
      <c r="C88" s="229">
        <v>-118.94</v>
      </c>
      <c r="D88" s="229">
        <v>12010513</v>
      </c>
      <c r="E88" s="229" t="s">
        <v>818</v>
      </c>
      <c r="F88" s="229">
        <v>2017</v>
      </c>
      <c r="G88">
        <v>1</v>
      </c>
      <c r="H88" t="s">
        <v>820</v>
      </c>
    </row>
    <row r="89" spans="1:8">
      <c r="A89" s="229" t="s">
        <v>1618</v>
      </c>
      <c r="C89" s="229">
        <v>237.88</v>
      </c>
      <c r="D89" s="229">
        <v>12010513</v>
      </c>
      <c r="E89" s="229" t="s">
        <v>818</v>
      </c>
      <c r="F89" s="229">
        <v>2017</v>
      </c>
      <c r="G89">
        <v>1</v>
      </c>
      <c r="H89" t="s">
        <v>820</v>
      </c>
    </row>
    <row r="90" spans="1:8">
      <c r="A90" s="229" t="s">
        <v>1618</v>
      </c>
      <c r="C90" s="229">
        <v>-217.07</v>
      </c>
      <c r="D90" s="229">
        <v>12010513</v>
      </c>
      <c r="E90" s="229" t="s">
        <v>818</v>
      </c>
      <c r="F90" s="229">
        <v>2017</v>
      </c>
      <c r="G90">
        <v>1</v>
      </c>
      <c r="H90" t="s">
        <v>820</v>
      </c>
    </row>
    <row r="91" spans="1:8">
      <c r="A91" s="229" t="s">
        <v>1618</v>
      </c>
      <c r="C91" s="229">
        <v>434.14</v>
      </c>
      <c r="D91" s="229">
        <v>12010513</v>
      </c>
      <c r="E91" s="229" t="s">
        <v>818</v>
      </c>
      <c r="F91" s="229">
        <v>2017</v>
      </c>
      <c r="G91">
        <v>1</v>
      </c>
      <c r="H91" t="s">
        <v>820</v>
      </c>
    </row>
    <row r="92" spans="1:8">
      <c r="A92" s="229" t="s">
        <v>1618</v>
      </c>
      <c r="C92" s="229">
        <v>-203.98</v>
      </c>
      <c r="D92" s="229">
        <v>12010513</v>
      </c>
      <c r="E92" s="229" t="s">
        <v>818</v>
      </c>
      <c r="F92" s="229">
        <v>2017</v>
      </c>
      <c r="G92">
        <v>1</v>
      </c>
      <c r="H92" t="s">
        <v>820</v>
      </c>
    </row>
    <row r="93" spans="1:8">
      <c r="A93" s="229" t="s">
        <v>1618</v>
      </c>
      <c r="C93" s="229">
        <v>407.95</v>
      </c>
      <c r="D93" s="229">
        <v>12010513</v>
      </c>
      <c r="E93" s="229" t="s">
        <v>818</v>
      </c>
      <c r="F93" s="229">
        <v>2017</v>
      </c>
      <c r="G93">
        <v>1</v>
      </c>
      <c r="H93" t="s">
        <v>820</v>
      </c>
    </row>
    <row r="94" spans="1:8">
      <c r="A94" s="229" t="s">
        <v>1619</v>
      </c>
      <c r="B94" s="229">
        <v>674</v>
      </c>
      <c r="D94" s="229">
        <v>12010513</v>
      </c>
      <c r="E94" s="229" t="s">
        <v>818</v>
      </c>
      <c r="F94" s="229">
        <v>2017</v>
      </c>
      <c r="G94">
        <v>1</v>
      </c>
      <c r="H94" t="s">
        <v>820</v>
      </c>
    </row>
    <row r="95" spans="1:8">
      <c r="A95" s="229" t="s">
        <v>1619</v>
      </c>
      <c r="C95" s="229">
        <v>19.690000000000001</v>
      </c>
      <c r="D95" s="229">
        <v>12010513</v>
      </c>
      <c r="E95" s="229" t="s">
        <v>818</v>
      </c>
      <c r="F95" s="229">
        <v>2017</v>
      </c>
      <c r="G95">
        <v>1</v>
      </c>
      <c r="H95" t="s">
        <v>820</v>
      </c>
    </row>
    <row r="96" spans="1:8">
      <c r="A96" s="229" t="s">
        <v>1619</v>
      </c>
      <c r="C96" s="229">
        <v>35.94</v>
      </c>
      <c r="D96" s="229">
        <v>12010513</v>
      </c>
      <c r="E96" s="229" t="s">
        <v>818</v>
      </c>
      <c r="F96" s="229">
        <v>2017</v>
      </c>
      <c r="G96">
        <v>1</v>
      </c>
      <c r="H96" t="s">
        <v>820</v>
      </c>
    </row>
    <row r="97" spans="1:8">
      <c r="A97" s="229" t="s">
        <v>1619</v>
      </c>
      <c r="C97" s="229">
        <v>33.770000000000003</v>
      </c>
      <c r="D97" s="229">
        <v>12010513</v>
      </c>
      <c r="E97" s="229" t="s">
        <v>818</v>
      </c>
      <c r="F97" s="229">
        <v>2017</v>
      </c>
      <c r="G97">
        <v>1</v>
      </c>
      <c r="H97" t="s">
        <v>820</v>
      </c>
    </row>
    <row r="98" spans="1:8">
      <c r="A98" s="229" t="s">
        <v>1620</v>
      </c>
      <c r="C98" s="229">
        <v>118.94</v>
      </c>
      <c r="D98" s="229">
        <v>12010513</v>
      </c>
      <c r="E98" s="229" t="s">
        <v>818</v>
      </c>
      <c r="F98" s="229">
        <v>2017</v>
      </c>
      <c r="G98">
        <v>1</v>
      </c>
      <c r="H98" t="s">
        <v>820</v>
      </c>
    </row>
    <row r="99" spans="1:8">
      <c r="A99" s="229" t="s">
        <v>1620</v>
      </c>
      <c r="C99" s="229">
        <v>217.07</v>
      </c>
      <c r="D99" s="229">
        <v>12010513</v>
      </c>
      <c r="E99" s="229" t="s">
        <v>818</v>
      </c>
      <c r="F99" s="229">
        <v>2017</v>
      </c>
      <c r="G99">
        <v>1</v>
      </c>
      <c r="H99" t="s">
        <v>820</v>
      </c>
    </row>
    <row r="100" spans="1:8">
      <c r="A100" s="229" t="s">
        <v>1620</v>
      </c>
      <c r="C100" s="229">
        <v>203.98</v>
      </c>
      <c r="D100" s="229">
        <v>12010513</v>
      </c>
      <c r="E100" s="229" t="s">
        <v>818</v>
      </c>
      <c r="F100" s="229">
        <v>2017</v>
      </c>
      <c r="G100">
        <v>1</v>
      </c>
      <c r="H100" t="s">
        <v>820</v>
      </c>
    </row>
    <row r="101" spans="1:8">
      <c r="A101" s="229" t="s">
        <v>1587</v>
      </c>
      <c r="C101" s="229">
        <v>176.76</v>
      </c>
      <c r="D101" s="229">
        <v>12010513</v>
      </c>
      <c r="E101" s="229" t="s">
        <v>818</v>
      </c>
      <c r="F101" s="229">
        <v>2017</v>
      </c>
      <c r="G101">
        <v>2</v>
      </c>
      <c r="H101" t="s">
        <v>820</v>
      </c>
    </row>
    <row r="102" spans="1:8">
      <c r="A102" s="229" t="s">
        <v>1587</v>
      </c>
      <c r="C102" s="229">
        <v>176.76</v>
      </c>
      <c r="D102" s="229">
        <v>12010513</v>
      </c>
      <c r="E102" s="229" t="s">
        <v>818</v>
      </c>
      <c r="F102" s="229">
        <v>2017</v>
      </c>
      <c r="G102">
        <v>2</v>
      </c>
      <c r="H102" t="s">
        <v>820</v>
      </c>
    </row>
    <row r="103" spans="1:8">
      <c r="A103" s="229" t="s">
        <v>1587</v>
      </c>
      <c r="C103" s="229">
        <v>176.76</v>
      </c>
      <c r="D103" s="229">
        <v>12010513</v>
      </c>
      <c r="E103" s="229" t="s">
        <v>818</v>
      </c>
      <c r="F103" s="229">
        <v>2017</v>
      </c>
      <c r="G103">
        <v>2</v>
      </c>
      <c r="H103" t="s">
        <v>820</v>
      </c>
    </row>
    <row r="104" spans="1:8">
      <c r="A104" s="229" t="s">
        <v>1587</v>
      </c>
      <c r="C104" s="229">
        <v>166.94</v>
      </c>
      <c r="D104" s="229">
        <v>12010513</v>
      </c>
      <c r="E104" s="229" t="s">
        <v>818</v>
      </c>
      <c r="F104" s="229">
        <v>2017</v>
      </c>
      <c r="G104">
        <v>2</v>
      </c>
      <c r="H104" t="s">
        <v>820</v>
      </c>
    </row>
    <row r="105" spans="1:8">
      <c r="A105" s="229" t="s">
        <v>1587</v>
      </c>
      <c r="C105" s="229">
        <v>176.76</v>
      </c>
      <c r="D105" s="229">
        <v>12010513</v>
      </c>
      <c r="E105" s="229" t="s">
        <v>818</v>
      </c>
      <c r="F105" s="229">
        <v>2017</v>
      </c>
      <c r="G105">
        <v>2</v>
      </c>
      <c r="H105" t="s">
        <v>820</v>
      </c>
    </row>
    <row r="106" spans="1:8">
      <c r="A106" s="229" t="s">
        <v>1587</v>
      </c>
      <c r="C106" s="229">
        <v>88.38</v>
      </c>
      <c r="D106" s="229">
        <v>12010513</v>
      </c>
      <c r="E106" s="229" t="s">
        <v>818</v>
      </c>
      <c r="F106" s="229">
        <v>2017</v>
      </c>
      <c r="G106">
        <v>2</v>
      </c>
      <c r="H106" t="s">
        <v>820</v>
      </c>
    </row>
    <row r="107" spans="1:8">
      <c r="A107" s="229" t="s">
        <v>1587</v>
      </c>
      <c r="C107" s="229">
        <v>176.76</v>
      </c>
      <c r="D107" s="229">
        <v>12010513</v>
      </c>
      <c r="E107" s="229" t="s">
        <v>818</v>
      </c>
      <c r="F107" s="229">
        <v>2017</v>
      </c>
      <c r="G107">
        <v>2</v>
      </c>
      <c r="H107" t="s">
        <v>820</v>
      </c>
    </row>
    <row r="108" spans="1:8">
      <c r="A108" s="229" t="s">
        <v>1587</v>
      </c>
      <c r="C108" s="229">
        <v>-497.72</v>
      </c>
      <c r="D108" s="229">
        <v>12010513</v>
      </c>
      <c r="E108" s="229" t="s">
        <v>818</v>
      </c>
      <c r="F108" s="229">
        <v>2017</v>
      </c>
      <c r="G108">
        <v>2</v>
      </c>
      <c r="H108" t="s">
        <v>820</v>
      </c>
    </row>
    <row r="109" spans="1:8">
      <c r="A109" s="229" t="s">
        <v>1587</v>
      </c>
      <c r="C109" s="229">
        <v>248.86</v>
      </c>
      <c r="D109" s="229">
        <v>12010513</v>
      </c>
      <c r="E109" s="229" t="s">
        <v>818</v>
      </c>
      <c r="F109" s="229">
        <v>2017</v>
      </c>
      <c r="G109">
        <v>2</v>
      </c>
      <c r="H109" t="s">
        <v>820</v>
      </c>
    </row>
    <row r="110" spans="1:8">
      <c r="A110" s="229" t="s">
        <v>1587</v>
      </c>
      <c r="C110" s="229">
        <v>497.72</v>
      </c>
      <c r="D110" s="229">
        <v>12010513</v>
      </c>
      <c r="E110" s="229" t="s">
        <v>818</v>
      </c>
      <c r="F110" s="229">
        <v>2017</v>
      </c>
      <c r="G110">
        <v>2</v>
      </c>
      <c r="H110" t="s">
        <v>820</v>
      </c>
    </row>
    <row r="111" spans="1:8">
      <c r="A111" s="229" t="s">
        <v>1587</v>
      </c>
      <c r="C111" s="229">
        <v>232.63</v>
      </c>
      <c r="D111" s="229">
        <v>12010513</v>
      </c>
      <c r="E111" s="229" t="s">
        <v>818</v>
      </c>
      <c r="F111" s="229">
        <v>2017</v>
      </c>
      <c r="G111">
        <v>2</v>
      </c>
      <c r="H111" t="s">
        <v>820</v>
      </c>
    </row>
    <row r="112" spans="1:8">
      <c r="A112" s="229" t="s">
        <v>1587</v>
      </c>
      <c r="C112" s="229">
        <v>286.73</v>
      </c>
      <c r="D112" s="229">
        <v>12010513</v>
      </c>
      <c r="E112" s="229" t="s">
        <v>818</v>
      </c>
      <c r="F112" s="229">
        <v>2017</v>
      </c>
      <c r="G112">
        <v>2</v>
      </c>
      <c r="H112" t="s">
        <v>820</v>
      </c>
    </row>
    <row r="113" spans="1:8">
      <c r="A113" s="229" t="s">
        <v>1587</v>
      </c>
      <c r="C113" s="229">
        <v>321.89999999999998</v>
      </c>
      <c r="D113" s="229">
        <v>12010513</v>
      </c>
      <c r="E113" s="229" t="s">
        <v>818</v>
      </c>
      <c r="F113" s="229">
        <v>2017</v>
      </c>
      <c r="G113">
        <v>2</v>
      </c>
      <c r="H113" t="s">
        <v>820</v>
      </c>
    </row>
    <row r="114" spans="1:8">
      <c r="A114" s="229" t="s">
        <v>1587</v>
      </c>
      <c r="C114" s="229">
        <v>202.88</v>
      </c>
      <c r="D114" s="229">
        <v>12010513</v>
      </c>
      <c r="E114" s="229" t="s">
        <v>818</v>
      </c>
      <c r="F114" s="229">
        <v>2017</v>
      </c>
      <c r="G114">
        <v>2</v>
      </c>
      <c r="H114" t="s">
        <v>820</v>
      </c>
    </row>
    <row r="115" spans="1:8">
      <c r="A115" s="229" t="s">
        <v>1587</v>
      </c>
      <c r="C115" s="229">
        <v>113.61</v>
      </c>
      <c r="D115" s="229">
        <v>12010513</v>
      </c>
      <c r="E115" s="229" t="s">
        <v>818</v>
      </c>
      <c r="F115" s="229">
        <v>2017</v>
      </c>
      <c r="G115">
        <v>2</v>
      </c>
      <c r="H115" t="s">
        <v>820</v>
      </c>
    </row>
    <row r="116" spans="1:8">
      <c r="A116" s="229" t="s">
        <v>1587</v>
      </c>
      <c r="C116" s="229">
        <v>346.24</v>
      </c>
      <c r="D116" s="229">
        <v>12010513</v>
      </c>
      <c r="E116" s="229" t="s">
        <v>818</v>
      </c>
      <c r="F116" s="229">
        <v>2017</v>
      </c>
      <c r="G116">
        <v>2</v>
      </c>
      <c r="H116" t="s">
        <v>820</v>
      </c>
    </row>
    <row r="117" spans="1:8">
      <c r="A117" s="229" t="s">
        <v>1587</v>
      </c>
      <c r="C117" s="229">
        <v>432.8</v>
      </c>
      <c r="D117" s="229">
        <v>12010513</v>
      </c>
      <c r="E117" s="229" t="s">
        <v>818</v>
      </c>
      <c r="F117" s="229">
        <v>2017</v>
      </c>
      <c r="G117">
        <v>2</v>
      </c>
      <c r="H117" t="s">
        <v>820</v>
      </c>
    </row>
    <row r="118" spans="1:8">
      <c r="A118" s="229" t="s">
        <v>1587</v>
      </c>
      <c r="C118" s="229">
        <v>432.8</v>
      </c>
      <c r="D118" s="229">
        <v>12010513</v>
      </c>
      <c r="E118" s="229" t="s">
        <v>818</v>
      </c>
      <c r="F118" s="229">
        <v>2017</v>
      </c>
      <c r="G118">
        <v>2</v>
      </c>
      <c r="H118" t="s">
        <v>820</v>
      </c>
    </row>
    <row r="119" spans="1:8">
      <c r="A119" s="229" t="s">
        <v>1587</v>
      </c>
      <c r="C119" s="229">
        <v>151.47999999999999</v>
      </c>
      <c r="D119" s="229">
        <v>12010513</v>
      </c>
      <c r="E119" s="229" t="s">
        <v>818</v>
      </c>
      <c r="F119" s="229">
        <v>2017</v>
      </c>
      <c r="G119">
        <v>2</v>
      </c>
      <c r="H119" t="s">
        <v>820</v>
      </c>
    </row>
    <row r="120" spans="1:8">
      <c r="A120" s="229" t="s">
        <v>1587</v>
      </c>
      <c r="C120" s="229">
        <v>173.12</v>
      </c>
      <c r="D120" s="229">
        <v>12010513</v>
      </c>
      <c r="E120" s="229" t="s">
        <v>818</v>
      </c>
      <c r="F120" s="229">
        <v>2017</v>
      </c>
      <c r="G120">
        <v>2</v>
      </c>
      <c r="H120" t="s">
        <v>820</v>
      </c>
    </row>
    <row r="121" spans="1:8">
      <c r="A121" s="229" t="s">
        <v>1587</v>
      </c>
      <c r="C121" s="229">
        <v>432.8</v>
      </c>
      <c r="D121" s="229">
        <v>12010513</v>
      </c>
      <c r="E121" s="229" t="s">
        <v>818</v>
      </c>
      <c r="F121" s="229">
        <v>2017</v>
      </c>
      <c r="G121">
        <v>2</v>
      </c>
      <c r="H121" t="s">
        <v>820</v>
      </c>
    </row>
    <row r="122" spans="1:8">
      <c r="A122" s="229" t="s">
        <v>1587</v>
      </c>
      <c r="C122" s="229">
        <v>432.8</v>
      </c>
      <c r="D122" s="229">
        <v>12010513</v>
      </c>
      <c r="E122" s="229" t="s">
        <v>818</v>
      </c>
      <c r="F122" s="229">
        <v>2017</v>
      </c>
      <c r="G122">
        <v>2</v>
      </c>
      <c r="H122" t="s">
        <v>820</v>
      </c>
    </row>
    <row r="123" spans="1:8">
      <c r="A123" s="229" t="s">
        <v>1587</v>
      </c>
      <c r="C123" s="229">
        <v>432.8</v>
      </c>
      <c r="D123" s="229">
        <v>12010513</v>
      </c>
      <c r="E123" s="229" t="s">
        <v>818</v>
      </c>
      <c r="F123" s="229">
        <v>2017</v>
      </c>
      <c r="G123">
        <v>2</v>
      </c>
      <c r="H123" t="s">
        <v>820</v>
      </c>
    </row>
    <row r="124" spans="1:8">
      <c r="A124" s="229" t="s">
        <v>1587</v>
      </c>
      <c r="C124" s="229">
        <v>432.8</v>
      </c>
      <c r="D124" s="229">
        <v>12010513</v>
      </c>
      <c r="E124" s="229" t="s">
        <v>818</v>
      </c>
      <c r="F124" s="229">
        <v>2017</v>
      </c>
      <c r="G124">
        <v>2</v>
      </c>
      <c r="H124" t="s">
        <v>820</v>
      </c>
    </row>
    <row r="125" spans="1:8">
      <c r="A125" s="229" t="s">
        <v>1587</v>
      </c>
      <c r="C125" s="229">
        <v>432.8</v>
      </c>
      <c r="D125" s="229">
        <v>12010513</v>
      </c>
      <c r="E125" s="229" t="s">
        <v>818</v>
      </c>
      <c r="F125" s="229">
        <v>2017</v>
      </c>
      <c r="G125">
        <v>2</v>
      </c>
      <c r="H125" t="s">
        <v>820</v>
      </c>
    </row>
    <row r="126" spans="1:8">
      <c r="A126" s="229" t="s">
        <v>1587</v>
      </c>
      <c r="C126" s="229">
        <v>216.4</v>
      </c>
      <c r="D126" s="229">
        <v>12010513</v>
      </c>
      <c r="E126" s="229" t="s">
        <v>818</v>
      </c>
      <c r="F126" s="229">
        <v>2017</v>
      </c>
      <c r="G126">
        <v>2</v>
      </c>
      <c r="H126" t="s">
        <v>820</v>
      </c>
    </row>
    <row r="127" spans="1:8">
      <c r="A127" s="229" t="s">
        <v>1587</v>
      </c>
      <c r="C127" s="229">
        <v>432.8</v>
      </c>
      <c r="D127" s="229">
        <v>12010513</v>
      </c>
      <c r="E127" s="229" t="s">
        <v>818</v>
      </c>
      <c r="F127" s="229">
        <v>2017</v>
      </c>
      <c r="G127">
        <v>2</v>
      </c>
      <c r="H127" t="s">
        <v>820</v>
      </c>
    </row>
    <row r="128" spans="1:8">
      <c r="A128" s="229" t="s">
        <v>1587</v>
      </c>
      <c r="C128" s="229">
        <v>-147.30000000000001</v>
      </c>
      <c r="D128" s="229">
        <v>12010513</v>
      </c>
      <c r="E128" s="229" t="s">
        <v>818</v>
      </c>
      <c r="F128" s="229">
        <v>2017</v>
      </c>
      <c r="G128">
        <v>2</v>
      </c>
      <c r="H128" t="s">
        <v>820</v>
      </c>
    </row>
    <row r="129" spans="1:8">
      <c r="A129" s="229" t="s">
        <v>1587</v>
      </c>
      <c r="C129" s="229">
        <v>73.650000000000006</v>
      </c>
      <c r="D129" s="229">
        <v>12010513</v>
      </c>
      <c r="E129" s="229" t="s">
        <v>818</v>
      </c>
      <c r="F129" s="229">
        <v>2017</v>
      </c>
      <c r="G129">
        <v>2</v>
      </c>
      <c r="H129" t="s">
        <v>820</v>
      </c>
    </row>
    <row r="130" spans="1:8">
      <c r="A130" s="229" t="s">
        <v>1587</v>
      </c>
      <c r="C130" s="229">
        <v>147.30000000000001</v>
      </c>
      <c r="D130" s="229">
        <v>12010513</v>
      </c>
      <c r="E130" s="229" t="s">
        <v>818</v>
      </c>
      <c r="F130" s="229">
        <v>2017</v>
      </c>
      <c r="G130">
        <v>2</v>
      </c>
      <c r="H130" t="s">
        <v>820</v>
      </c>
    </row>
    <row r="131" spans="1:8">
      <c r="A131" s="229" t="s">
        <v>1587</v>
      </c>
      <c r="C131" s="229">
        <v>58.92</v>
      </c>
      <c r="D131" s="229">
        <v>12010513</v>
      </c>
      <c r="E131" s="229" t="s">
        <v>818</v>
      </c>
      <c r="F131" s="229">
        <v>2017</v>
      </c>
      <c r="G131">
        <v>2</v>
      </c>
      <c r="H131" t="s">
        <v>820</v>
      </c>
    </row>
    <row r="132" spans="1:8">
      <c r="A132" s="229" t="s">
        <v>1587</v>
      </c>
      <c r="C132" s="229">
        <v>88.38</v>
      </c>
      <c r="D132" s="229">
        <v>12010513</v>
      </c>
      <c r="E132" s="229" t="s">
        <v>818</v>
      </c>
      <c r="F132" s="229">
        <v>2017</v>
      </c>
      <c r="G132">
        <v>2</v>
      </c>
      <c r="H132" t="s">
        <v>820</v>
      </c>
    </row>
    <row r="133" spans="1:8">
      <c r="A133" s="229" t="s">
        <v>1587</v>
      </c>
      <c r="C133" s="229">
        <v>117.84</v>
      </c>
      <c r="D133" s="229">
        <v>12010513</v>
      </c>
      <c r="E133" s="229" t="s">
        <v>818</v>
      </c>
      <c r="F133" s="229">
        <v>2017</v>
      </c>
      <c r="G133">
        <v>2</v>
      </c>
      <c r="H133" t="s">
        <v>820</v>
      </c>
    </row>
    <row r="134" spans="1:8">
      <c r="A134" s="229" t="s">
        <v>1587</v>
      </c>
      <c r="C134" s="229">
        <v>110.48</v>
      </c>
      <c r="D134" s="229">
        <v>12010513</v>
      </c>
      <c r="E134" s="229" t="s">
        <v>818</v>
      </c>
      <c r="F134" s="229">
        <v>2017</v>
      </c>
      <c r="G134">
        <v>2</v>
      </c>
      <c r="H134" t="s">
        <v>820</v>
      </c>
    </row>
    <row r="135" spans="1:8">
      <c r="A135" s="229" t="s">
        <v>1587</v>
      </c>
      <c r="C135" s="229">
        <v>88.38</v>
      </c>
      <c r="D135" s="229">
        <v>12010513</v>
      </c>
      <c r="E135" s="229" t="s">
        <v>818</v>
      </c>
      <c r="F135" s="229">
        <v>2017</v>
      </c>
      <c r="G135">
        <v>2</v>
      </c>
      <c r="H135" t="s">
        <v>820</v>
      </c>
    </row>
    <row r="136" spans="1:8">
      <c r="A136" s="229" t="s">
        <v>1587</v>
      </c>
      <c r="C136" s="229">
        <v>108.02</v>
      </c>
      <c r="D136" s="229">
        <v>12010513</v>
      </c>
      <c r="E136" s="229" t="s">
        <v>818</v>
      </c>
      <c r="F136" s="229">
        <v>2017</v>
      </c>
      <c r="G136">
        <v>2</v>
      </c>
      <c r="H136" t="s">
        <v>820</v>
      </c>
    </row>
    <row r="137" spans="1:8">
      <c r="A137" s="229" t="s">
        <v>1587</v>
      </c>
      <c r="C137" s="229">
        <v>-346.24</v>
      </c>
      <c r="D137" s="229">
        <v>12010513</v>
      </c>
      <c r="E137" s="229" t="s">
        <v>818</v>
      </c>
      <c r="F137" s="229">
        <v>2017</v>
      </c>
      <c r="G137">
        <v>2</v>
      </c>
      <c r="H137" t="s">
        <v>820</v>
      </c>
    </row>
    <row r="138" spans="1:8">
      <c r="A138" s="229" t="s">
        <v>1587</v>
      </c>
      <c r="C138" s="229">
        <v>173.12</v>
      </c>
      <c r="D138" s="229">
        <v>12010513</v>
      </c>
      <c r="E138" s="229" t="s">
        <v>818</v>
      </c>
      <c r="F138" s="229">
        <v>2017</v>
      </c>
      <c r="G138">
        <v>2</v>
      </c>
      <c r="H138" t="s">
        <v>820</v>
      </c>
    </row>
    <row r="139" spans="1:8">
      <c r="A139" s="229" t="s">
        <v>1587</v>
      </c>
      <c r="C139" s="229">
        <v>346.24</v>
      </c>
      <c r="D139" s="229">
        <v>12010513</v>
      </c>
      <c r="E139" s="229" t="s">
        <v>818</v>
      </c>
      <c r="F139" s="229">
        <v>2017</v>
      </c>
      <c r="G139">
        <v>2</v>
      </c>
      <c r="H139" t="s">
        <v>820</v>
      </c>
    </row>
    <row r="140" spans="1:8">
      <c r="A140" s="229" t="s">
        <v>1587</v>
      </c>
      <c r="C140" s="229">
        <v>132.55000000000001</v>
      </c>
      <c r="D140" s="229">
        <v>12010513</v>
      </c>
      <c r="E140" s="229" t="s">
        <v>818</v>
      </c>
      <c r="F140" s="229">
        <v>2017</v>
      </c>
      <c r="G140">
        <v>2</v>
      </c>
      <c r="H140" t="s">
        <v>820</v>
      </c>
    </row>
    <row r="141" spans="1:8">
      <c r="A141" s="229" t="s">
        <v>1587</v>
      </c>
      <c r="C141" s="229">
        <v>88.38</v>
      </c>
      <c r="D141" s="229">
        <v>12010513</v>
      </c>
      <c r="E141" s="229" t="s">
        <v>818</v>
      </c>
      <c r="F141" s="229">
        <v>2017</v>
      </c>
      <c r="G141">
        <v>2</v>
      </c>
      <c r="H141" t="s">
        <v>820</v>
      </c>
    </row>
    <row r="142" spans="1:8">
      <c r="A142" s="229" t="s">
        <v>1587</v>
      </c>
      <c r="C142" s="229">
        <v>117.84</v>
      </c>
      <c r="D142" s="229">
        <v>12010513</v>
      </c>
      <c r="E142" s="229" t="s">
        <v>818</v>
      </c>
      <c r="F142" s="229">
        <v>2017</v>
      </c>
      <c r="G142">
        <v>2</v>
      </c>
      <c r="H142" t="s">
        <v>820</v>
      </c>
    </row>
    <row r="143" spans="1:8">
      <c r="A143" s="229" t="s">
        <v>1587</v>
      </c>
      <c r="C143" s="229">
        <v>117.84</v>
      </c>
      <c r="D143" s="229">
        <v>12010513</v>
      </c>
      <c r="E143" s="229" t="s">
        <v>818</v>
      </c>
      <c r="F143" s="229">
        <v>2017</v>
      </c>
      <c r="G143">
        <v>2</v>
      </c>
      <c r="H143" t="s">
        <v>820</v>
      </c>
    </row>
    <row r="144" spans="1:8">
      <c r="A144" s="229" t="s">
        <v>1587</v>
      </c>
      <c r="C144" s="229">
        <v>110.48</v>
      </c>
      <c r="D144" s="229">
        <v>12010513</v>
      </c>
      <c r="E144" s="229" t="s">
        <v>818</v>
      </c>
      <c r="F144" s="229">
        <v>2017</v>
      </c>
      <c r="G144">
        <v>2</v>
      </c>
      <c r="H144" t="s">
        <v>820</v>
      </c>
    </row>
    <row r="145" spans="1:8">
      <c r="A145" s="229" t="s">
        <v>1587</v>
      </c>
      <c r="C145" s="229">
        <v>117.84</v>
      </c>
      <c r="D145" s="229">
        <v>12010513</v>
      </c>
      <c r="E145" s="229" t="s">
        <v>818</v>
      </c>
      <c r="F145" s="229">
        <v>2017</v>
      </c>
      <c r="G145">
        <v>2</v>
      </c>
      <c r="H145" t="s">
        <v>820</v>
      </c>
    </row>
    <row r="146" spans="1:8">
      <c r="A146" s="229" t="s">
        <v>1587</v>
      </c>
      <c r="C146" s="229">
        <v>88.38</v>
      </c>
      <c r="D146" s="229">
        <v>12010513</v>
      </c>
      <c r="E146" s="229" t="s">
        <v>818</v>
      </c>
      <c r="F146" s="229">
        <v>2017</v>
      </c>
      <c r="G146">
        <v>2</v>
      </c>
      <c r="H146" t="s">
        <v>820</v>
      </c>
    </row>
    <row r="147" spans="1:8">
      <c r="A147" s="229" t="s">
        <v>1587</v>
      </c>
      <c r="C147" s="229">
        <v>117.84</v>
      </c>
      <c r="D147" s="229">
        <v>12010513</v>
      </c>
      <c r="E147" s="229" t="s">
        <v>818</v>
      </c>
      <c r="F147" s="229">
        <v>2017</v>
      </c>
      <c r="G147">
        <v>2</v>
      </c>
      <c r="H147" t="s">
        <v>820</v>
      </c>
    </row>
    <row r="148" spans="1:8">
      <c r="A148" s="229" t="s">
        <v>1587</v>
      </c>
      <c r="C148" s="229">
        <v>390.96</v>
      </c>
      <c r="D148" s="229">
        <v>12010513</v>
      </c>
      <c r="E148" s="229" t="s">
        <v>818</v>
      </c>
      <c r="F148" s="229">
        <v>2017</v>
      </c>
      <c r="G148">
        <v>2</v>
      </c>
      <c r="H148" t="s">
        <v>820</v>
      </c>
    </row>
    <row r="149" spans="1:8">
      <c r="A149" s="229" t="s">
        <v>1587</v>
      </c>
      <c r="C149" s="229">
        <v>304.08</v>
      </c>
      <c r="D149" s="229">
        <v>12010513</v>
      </c>
      <c r="E149" s="229" t="s">
        <v>818</v>
      </c>
      <c r="F149" s="229">
        <v>2017</v>
      </c>
      <c r="G149">
        <v>2</v>
      </c>
      <c r="H149" t="s">
        <v>820</v>
      </c>
    </row>
    <row r="150" spans="1:8">
      <c r="A150" s="229" t="s">
        <v>1587</v>
      </c>
      <c r="C150" s="229">
        <v>206.34</v>
      </c>
      <c r="D150" s="229">
        <v>12010513</v>
      </c>
      <c r="E150" s="229" t="s">
        <v>818</v>
      </c>
      <c r="F150" s="229">
        <v>2017</v>
      </c>
      <c r="G150">
        <v>2</v>
      </c>
      <c r="H150" t="s">
        <v>820</v>
      </c>
    </row>
    <row r="151" spans="1:8">
      <c r="A151" s="229" t="s">
        <v>1587</v>
      </c>
      <c r="C151" s="229">
        <v>217.2</v>
      </c>
      <c r="D151" s="229">
        <v>12010513</v>
      </c>
      <c r="E151" s="229" t="s">
        <v>818</v>
      </c>
      <c r="F151" s="229">
        <v>2017</v>
      </c>
      <c r="G151">
        <v>2</v>
      </c>
      <c r="H151" t="s">
        <v>820</v>
      </c>
    </row>
    <row r="152" spans="1:8">
      <c r="A152" s="229" t="s">
        <v>1587</v>
      </c>
      <c r="C152" s="229">
        <v>217.2</v>
      </c>
      <c r="D152" s="229">
        <v>12010513</v>
      </c>
      <c r="E152" s="229" t="s">
        <v>818</v>
      </c>
      <c r="F152" s="229">
        <v>2017</v>
      </c>
      <c r="G152">
        <v>2</v>
      </c>
      <c r="H152" t="s">
        <v>820</v>
      </c>
    </row>
    <row r="153" spans="1:8">
      <c r="A153" s="229" t="s">
        <v>1587</v>
      </c>
      <c r="C153" s="229">
        <v>141.18</v>
      </c>
      <c r="D153" s="229">
        <v>12010513</v>
      </c>
      <c r="E153" s="229" t="s">
        <v>818</v>
      </c>
      <c r="F153" s="229">
        <v>2017</v>
      </c>
      <c r="G153">
        <v>2</v>
      </c>
      <c r="H153" t="s">
        <v>820</v>
      </c>
    </row>
    <row r="154" spans="1:8">
      <c r="A154" s="229" t="s">
        <v>1587</v>
      </c>
      <c r="C154" s="229">
        <v>59.73</v>
      </c>
      <c r="D154" s="229">
        <v>12010513</v>
      </c>
      <c r="E154" s="229" t="s">
        <v>818</v>
      </c>
      <c r="F154" s="229">
        <v>2017</v>
      </c>
      <c r="G154">
        <v>2</v>
      </c>
      <c r="H154" t="s">
        <v>820</v>
      </c>
    </row>
    <row r="155" spans="1:8">
      <c r="A155" s="229" t="s">
        <v>1587</v>
      </c>
      <c r="C155" s="229">
        <v>156.88999999999999</v>
      </c>
      <c r="D155" s="229">
        <v>12010513</v>
      </c>
      <c r="E155" s="229" t="s">
        <v>818</v>
      </c>
      <c r="F155" s="229">
        <v>2017</v>
      </c>
      <c r="G155">
        <v>2</v>
      </c>
      <c r="H155" t="s">
        <v>820</v>
      </c>
    </row>
    <row r="156" spans="1:8">
      <c r="A156" s="229" t="s">
        <v>1587</v>
      </c>
      <c r="C156" s="229">
        <v>200.17</v>
      </c>
      <c r="D156" s="229">
        <v>12010513</v>
      </c>
      <c r="E156" s="229" t="s">
        <v>818</v>
      </c>
      <c r="F156" s="229">
        <v>2017</v>
      </c>
      <c r="G156">
        <v>2</v>
      </c>
      <c r="H156" t="s">
        <v>820</v>
      </c>
    </row>
    <row r="157" spans="1:8">
      <c r="A157" s="229" t="s">
        <v>1587</v>
      </c>
      <c r="C157" s="229">
        <v>108.2</v>
      </c>
      <c r="D157" s="229">
        <v>12010513</v>
      </c>
      <c r="E157" s="229" t="s">
        <v>818</v>
      </c>
      <c r="F157" s="229">
        <v>2017</v>
      </c>
      <c r="G157">
        <v>2</v>
      </c>
      <c r="H157" t="s">
        <v>820</v>
      </c>
    </row>
    <row r="158" spans="1:8">
      <c r="A158" s="229" t="s">
        <v>1587</v>
      </c>
      <c r="C158" s="229">
        <v>205.58</v>
      </c>
      <c r="D158" s="229">
        <v>12010513</v>
      </c>
      <c r="E158" s="229" t="s">
        <v>818</v>
      </c>
      <c r="F158" s="229">
        <v>2017</v>
      </c>
      <c r="G158">
        <v>2</v>
      </c>
      <c r="H158" t="s">
        <v>820</v>
      </c>
    </row>
    <row r="159" spans="1:8">
      <c r="A159" s="229" t="s">
        <v>1587</v>
      </c>
      <c r="C159" s="229">
        <v>108.2</v>
      </c>
      <c r="D159" s="229">
        <v>12010513</v>
      </c>
      <c r="E159" s="229" t="s">
        <v>818</v>
      </c>
      <c r="F159" s="229">
        <v>2017</v>
      </c>
      <c r="G159">
        <v>2</v>
      </c>
      <c r="H159" t="s">
        <v>820</v>
      </c>
    </row>
    <row r="160" spans="1:8">
      <c r="A160" s="229" t="s">
        <v>1587</v>
      </c>
      <c r="C160" s="229">
        <v>238.04</v>
      </c>
      <c r="D160" s="229">
        <v>12010513</v>
      </c>
      <c r="E160" s="229" t="s">
        <v>818</v>
      </c>
      <c r="F160" s="229">
        <v>2017</v>
      </c>
      <c r="G160">
        <v>2</v>
      </c>
      <c r="H160" t="s">
        <v>820</v>
      </c>
    </row>
    <row r="161" spans="1:8">
      <c r="A161" s="229" t="s">
        <v>1587</v>
      </c>
      <c r="C161" s="229">
        <v>210.99</v>
      </c>
      <c r="D161" s="229">
        <v>12010513</v>
      </c>
      <c r="E161" s="229" t="s">
        <v>818</v>
      </c>
      <c r="F161" s="229">
        <v>2017</v>
      </c>
      <c r="G161">
        <v>2</v>
      </c>
      <c r="H161" t="s">
        <v>820</v>
      </c>
    </row>
    <row r="162" spans="1:8">
      <c r="A162" s="229" t="s">
        <v>1587</v>
      </c>
      <c r="C162" s="229">
        <v>308.37</v>
      </c>
      <c r="D162" s="229">
        <v>12010513</v>
      </c>
      <c r="E162" s="229" t="s">
        <v>818</v>
      </c>
      <c r="F162" s="229">
        <v>2017</v>
      </c>
      <c r="G162">
        <v>2</v>
      </c>
      <c r="H162" t="s">
        <v>820</v>
      </c>
    </row>
    <row r="163" spans="1:8">
      <c r="A163" s="229" t="s">
        <v>1587</v>
      </c>
      <c r="C163" s="229">
        <v>321.89999999999998</v>
      </c>
      <c r="D163" s="229">
        <v>12010513</v>
      </c>
      <c r="E163" s="229" t="s">
        <v>818</v>
      </c>
      <c r="F163" s="229">
        <v>2017</v>
      </c>
      <c r="G163">
        <v>2</v>
      </c>
      <c r="H163" t="s">
        <v>820</v>
      </c>
    </row>
    <row r="164" spans="1:8">
      <c r="A164" s="229" t="s">
        <v>1587</v>
      </c>
      <c r="C164" s="229">
        <v>311.08</v>
      </c>
      <c r="D164" s="229">
        <v>12010513</v>
      </c>
      <c r="E164" s="229" t="s">
        <v>818</v>
      </c>
      <c r="F164" s="229">
        <v>2017</v>
      </c>
      <c r="G164">
        <v>2</v>
      </c>
      <c r="H164" t="s">
        <v>820</v>
      </c>
    </row>
    <row r="165" spans="1:8">
      <c r="A165" s="229" t="s">
        <v>1587</v>
      </c>
      <c r="C165" s="229">
        <v>340.83</v>
      </c>
      <c r="D165" s="229">
        <v>12010513</v>
      </c>
      <c r="E165" s="229" t="s">
        <v>818</v>
      </c>
      <c r="F165" s="229">
        <v>2017</v>
      </c>
      <c r="G165">
        <v>2</v>
      </c>
      <c r="H165" t="s">
        <v>820</v>
      </c>
    </row>
    <row r="166" spans="1:8">
      <c r="A166" s="229" t="s">
        <v>1587</v>
      </c>
      <c r="C166" s="229">
        <v>140.66</v>
      </c>
      <c r="D166" s="229">
        <v>12010513</v>
      </c>
      <c r="E166" s="229" t="s">
        <v>818</v>
      </c>
      <c r="F166" s="229">
        <v>2017</v>
      </c>
      <c r="G166">
        <v>2</v>
      </c>
      <c r="H166" t="s">
        <v>820</v>
      </c>
    </row>
    <row r="167" spans="1:8">
      <c r="A167" s="229" t="s">
        <v>1587</v>
      </c>
      <c r="C167" s="229">
        <v>248.86</v>
      </c>
      <c r="D167" s="229">
        <v>12010513</v>
      </c>
      <c r="E167" s="229" t="s">
        <v>818</v>
      </c>
      <c r="F167" s="229">
        <v>2017</v>
      </c>
      <c r="G167">
        <v>2</v>
      </c>
      <c r="H167" t="s">
        <v>820</v>
      </c>
    </row>
    <row r="168" spans="1:8">
      <c r="A168" s="229" t="s">
        <v>1587</v>
      </c>
      <c r="C168" s="229">
        <v>270.5</v>
      </c>
      <c r="D168" s="229">
        <v>12010513</v>
      </c>
      <c r="E168" s="229" t="s">
        <v>818</v>
      </c>
      <c r="F168" s="229">
        <v>2017</v>
      </c>
      <c r="G168">
        <v>2</v>
      </c>
      <c r="H168" t="s">
        <v>820</v>
      </c>
    </row>
    <row r="169" spans="1:8">
      <c r="A169" s="229" t="s">
        <v>1587</v>
      </c>
      <c r="C169" s="229">
        <v>270.5</v>
      </c>
      <c r="D169" s="229">
        <v>12010513</v>
      </c>
      <c r="E169" s="229" t="s">
        <v>818</v>
      </c>
      <c r="F169" s="229">
        <v>2017</v>
      </c>
      <c r="G169">
        <v>2</v>
      </c>
      <c r="H169" t="s">
        <v>820</v>
      </c>
    </row>
    <row r="170" spans="1:8">
      <c r="A170" s="229" t="s">
        <v>1587</v>
      </c>
      <c r="C170" s="229">
        <v>270.5</v>
      </c>
      <c r="D170" s="229">
        <v>12010513</v>
      </c>
      <c r="E170" s="229" t="s">
        <v>818</v>
      </c>
      <c r="F170" s="229">
        <v>2017</v>
      </c>
      <c r="G170">
        <v>2</v>
      </c>
      <c r="H170" t="s">
        <v>820</v>
      </c>
    </row>
    <row r="171" spans="1:8">
      <c r="A171" s="229" t="s">
        <v>1587</v>
      </c>
      <c r="C171" s="229">
        <v>238.04</v>
      </c>
      <c r="D171" s="229">
        <v>12010513</v>
      </c>
      <c r="E171" s="229" t="s">
        <v>818</v>
      </c>
      <c r="F171" s="229">
        <v>2017</v>
      </c>
      <c r="G171">
        <v>2</v>
      </c>
      <c r="H171" t="s">
        <v>820</v>
      </c>
    </row>
    <row r="172" spans="1:8">
      <c r="A172" s="229" t="s">
        <v>1587</v>
      </c>
      <c r="C172" s="229">
        <v>140.66</v>
      </c>
      <c r="D172" s="229">
        <v>12010513</v>
      </c>
      <c r="E172" s="229" t="s">
        <v>818</v>
      </c>
      <c r="F172" s="229">
        <v>2017</v>
      </c>
      <c r="G172">
        <v>2</v>
      </c>
      <c r="H172" t="s">
        <v>820</v>
      </c>
    </row>
    <row r="173" spans="1:8">
      <c r="A173" s="229" t="s">
        <v>1587</v>
      </c>
      <c r="C173" s="229">
        <v>194.76</v>
      </c>
      <c r="D173" s="229">
        <v>12010513</v>
      </c>
      <c r="E173" s="229" t="s">
        <v>818</v>
      </c>
      <c r="F173" s="229">
        <v>2017</v>
      </c>
      <c r="G173">
        <v>2</v>
      </c>
      <c r="H173" t="s">
        <v>820</v>
      </c>
    </row>
    <row r="174" spans="1:8">
      <c r="A174" s="229" t="s">
        <v>1587</v>
      </c>
      <c r="C174" s="229">
        <v>208.29</v>
      </c>
      <c r="D174" s="229">
        <v>12010513</v>
      </c>
      <c r="E174" s="229" t="s">
        <v>818</v>
      </c>
      <c r="F174" s="229">
        <v>2017</v>
      </c>
      <c r="G174">
        <v>2</v>
      </c>
      <c r="H174" t="s">
        <v>820</v>
      </c>
    </row>
    <row r="175" spans="1:8">
      <c r="A175" s="229" t="s">
        <v>1587</v>
      </c>
      <c r="C175" s="229">
        <v>83.86</v>
      </c>
      <c r="D175" s="229">
        <v>12010513</v>
      </c>
      <c r="E175" s="229" t="s">
        <v>818</v>
      </c>
      <c r="F175" s="229">
        <v>2017</v>
      </c>
      <c r="G175">
        <v>2</v>
      </c>
      <c r="H175" t="s">
        <v>820</v>
      </c>
    </row>
    <row r="176" spans="1:8">
      <c r="A176" s="229" t="s">
        <v>1587</v>
      </c>
      <c r="C176" s="229">
        <v>167.71</v>
      </c>
      <c r="D176" s="229">
        <v>12010513</v>
      </c>
      <c r="E176" s="229" t="s">
        <v>818</v>
      </c>
      <c r="F176" s="229">
        <v>2017</v>
      </c>
      <c r="G176">
        <v>2</v>
      </c>
      <c r="H176" t="s">
        <v>820</v>
      </c>
    </row>
    <row r="177" spans="1:8">
      <c r="A177" s="229" t="s">
        <v>1589</v>
      </c>
      <c r="C177" s="229">
        <v>60.99</v>
      </c>
      <c r="D177" s="229">
        <v>12010513</v>
      </c>
      <c r="E177" s="229" t="s">
        <v>818</v>
      </c>
      <c r="F177" s="229">
        <v>2017</v>
      </c>
      <c r="G177">
        <v>2</v>
      </c>
      <c r="H177" t="s">
        <v>820</v>
      </c>
    </row>
    <row r="178" spans="1:8">
      <c r="A178" s="229" t="s">
        <v>1589</v>
      </c>
      <c r="C178" s="229">
        <v>55.16</v>
      </c>
      <c r="D178" s="229">
        <v>12010513</v>
      </c>
      <c r="E178" s="229" t="s">
        <v>818</v>
      </c>
      <c r="F178" s="229">
        <v>2017</v>
      </c>
      <c r="G178">
        <v>2</v>
      </c>
      <c r="H178" t="s">
        <v>820</v>
      </c>
    </row>
    <row r="179" spans="1:8">
      <c r="A179" s="229" t="s">
        <v>1589</v>
      </c>
      <c r="C179" s="229">
        <v>62.49</v>
      </c>
      <c r="D179" s="229">
        <v>12010513</v>
      </c>
      <c r="E179" s="229" t="s">
        <v>818</v>
      </c>
      <c r="F179" s="229">
        <v>2017</v>
      </c>
      <c r="G179">
        <v>2</v>
      </c>
      <c r="H179" t="s">
        <v>820</v>
      </c>
    </row>
    <row r="180" spans="1:8">
      <c r="A180" s="229" t="s">
        <v>1591</v>
      </c>
      <c r="C180" s="229">
        <v>7.32</v>
      </c>
      <c r="D180" s="229">
        <v>12010513</v>
      </c>
      <c r="E180" s="229" t="s">
        <v>818</v>
      </c>
      <c r="F180" s="229">
        <v>2017</v>
      </c>
      <c r="G180">
        <v>2</v>
      </c>
      <c r="H180" t="s">
        <v>820</v>
      </c>
    </row>
    <row r="181" spans="1:8">
      <c r="A181" s="229" t="s">
        <v>1596</v>
      </c>
      <c r="D181" s="229">
        <v>12010513</v>
      </c>
      <c r="E181" s="229" t="s">
        <v>818</v>
      </c>
      <c r="F181" s="229">
        <v>2017</v>
      </c>
      <c r="G181">
        <v>2</v>
      </c>
      <c r="H181" t="s">
        <v>820</v>
      </c>
    </row>
    <row r="182" spans="1:8">
      <c r="A182" s="229" t="s">
        <v>1596</v>
      </c>
      <c r="C182" s="229">
        <v>49.2</v>
      </c>
      <c r="D182" s="229">
        <v>12010513</v>
      </c>
      <c r="E182" s="229" t="s">
        <v>818</v>
      </c>
      <c r="F182" s="229">
        <v>2017</v>
      </c>
      <c r="G182">
        <v>2</v>
      </c>
      <c r="H182" t="s">
        <v>820</v>
      </c>
    </row>
    <row r="183" spans="1:8">
      <c r="A183" s="229" t="s">
        <v>1596</v>
      </c>
      <c r="D183" s="229">
        <v>12010513</v>
      </c>
      <c r="E183" s="229" t="s">
        <v>818</v>
      </c>
      <c r="F183" s="229">
        <v>2017</v>
      </c>
      <c r="G183">
        <v>2</v>
      </c>
      <c r="H183" t="s">
        <v>820</v>
      </c>
    </row>
    <row r="184" spans="1:8">
      <c r="A184" s="229" t="s">
        <v>1596</v>
      </c>
      <c r="C184" s="229">
        <v>49.2</v>
      </c>
      <c r="D184" s="229">
        <v>12010513</v>
      </c>
      <c r="E184" s="229" t="s">
        <v>818</v>
      </c>
      <c r="F184" s="229">
        <v>2017</v>
      </c>
      <c r="G184">
        <v>2</v>
      </c>
      <c r="H184" t="s">
        <v>820</v>
      </c>
    </row>
    <row r="185" spans="1:8">
      <c r="A185" s="229" t="s">
        <v>1596</v>
      </c>
      <c r="C185" s="229">
        <v>49.2</v>
      </c>
      <c r="D185" s="229">
        <v>12010513</v>
      </c>
      <c r="E185" s="229" t="s">
        <v>818</v>
      </c>
      <c r="F185" s="229">
        <v>2017</v>
      </c>
      <c r="G185">
        <v>2</v>
      </c>
      <c r="H185" t="s">
        <v>820</v>
      </c>
    </row>
    <row r="186" spans="1:8">
      <c r="A186" s="229" t="s">
        <v>1597</v>
      </c>
      <c r="C186" s="229">
        <v>759</v>
      </c>
      <c r="D186" s="229">
        <v>12010513</v>
      </c>
      <c r="E186" s="229" t="s">
        <v>818</v>
      </c>
      <c r="F186" s="229">
        <v>2017</v>
      </c>
      <c r="G186">
        <v>2</v>
      </c>
      <c r="H186" t="s">
        <v>820</v>
      </c>
    </row>
    <row r="187" spans="1:8">
      <c r="A187" s="229" t="s">
        <v>1601</v>
      </c>
      <c r="C187" s="229">
        <v>500</v>
      </c>
      <c r="D187" s="229">
        <v>12010513</v>
      </c>
      <c r="E187" s="229" t="s">
        <v>818</v>
      </c>
      <c r="F187" s="229">
        <v>2017</v>
      </c>
      <c r="G187">
        <v>2</v>
      </c>
      <c r="H187" t="s">
        <v>820</v>
      </c>
    </row>
    <row r="188" spans="1:8">
      <c r="A188" s="229" t="s">
        <v>1602</v>
      </c>
      <c r="C188" s="229">
        <v>2197.62</v>
      </c>
      <c r="D188" s="229">
        <v>12010513</v>
      </c>
      <c r="E188" s="229" t="s">
        <v>818</v>
      </c>
      <c r="F188" s="229">
        <v>2017</v>
      </c>
      <c r="G188">
        <v>2</v>
      </c>
      <c r="H188" t="s">
        <v>820</v>
      </c>
    </row>
    <row r="189" spans="1:8">
      <c r="A189" s="229" t="s">
        <v>1604</v>
      </c>
      <c r="C189" s="229">
        <v>390.68</v>
      </c>
      <c r="D189" s="229">
        <v>12010513</v>
      </c>
      <c r="E189" s="229" t="s">
        <v>818</v>
      </c>
      <c r="F189" s="229">
        <v>2017</v>
      </c>
      <c r="G189">
        <v>2</v>
      </c>
      <c r="H189" t="s">
        <v>820</v>
      </c>
    </row>
    <row r="190" spans="1:8">
      <c r="A190" s="229" t="s">
        <v>1604</v>
      </c>
      <c r="C190" s="229">
        <v>398</v>
      </c>
      <c r="D190" s="229">
        <v>12010513</v>
      </c>
      <c r="E190" s="229" t="s">
        <v>818</v>
      </c>
      <c r="F190" s="229">
        <v>2017</v>
      </c>
      <c r="G190">
        <v>2</v>
      </c>
      <c r="H190" t="s">
        <v>820</v>
      </c>
    </row>
    <row r="191" spans="1:8">
      <c r="A191" s="229" t="s">
        <v>1604</v>
      </c>
      <c r="C191" s="229">
        <v>101.78</v>
      </c>
      <c r="D191" s="229">
        <v>12010513</v>
      </c>
      <c r="E191" s="229" t="s">
        <v>818</v>
      </c>
      <c r="F191" s="229">
        <v>2017</v>
      </c>
      <c r="G191">
        <v>2</v>
      </c>
      <c r="H191" t="s">
        <v>820</v>
      </c>
    </row>
    <row r="192" spans="1:8">
      <c r="A192" s="229" t="s">
        <v>1608</v>
      </c>
      <c r="C192" s="229">
        <v>23</v>
      </c>
      <c r="D192" s="229">
        <v>12010513</v>
      </c>
      <c r="E192" s="229" t="s">
        <v>818</v>
      </c>
      <c r="F192" s="229">
        <v>2017</v>
      </c>
      <c r="G192">
        <v>2</v>
      </c>
      <c r="H192" t="s">
        <v>820</v>
      </c>
    </row>
    <row r="193" spans="1:8">
      <c r="A193" s="229" t="s">
        <v>1611</v>
      </c>
      <c r="D193" s="229">
        <v>12010513</v>
      </c>
      <c r="E193" s="229" t="s">
        <v>818</v>
      </c>
      <c r="F193" s="229">
        <v>2017</v>
      </c>
      <c r="G193">
        <v>2</v>
      </c>
      <c r="H193" t="s">
        <v>820</v>
      </c>
    </row>
    <row r="194" spans="1:8">
      <c r="A194" s="229" t="s">
        <v>1611</v>
      </c>
      <c r="C194" s="229">
        <v>600</v>
      </c>
      <c r="D194" s="229">
        <v>12010513</v>
      </c>
      <c r="E194" s="229" t="s">
        <v>818</v>
      </c>
      <c r="F194" s="229">
        <v>2017</v>
      </c>
      <c r="G194">
        <v>2</v>
      </c>
      <c r="H194" t="s">
        <v>820</v>
      </c>
    </row>
    <row r="195" spans="1:8">
      <c r="A195" s="229" t="s">
        <v>1611</v>
      </c>
      <c r="D195" s="229">
        <v>12010513</v>
      </c>
      <c r="E195" s="229" t="s">
        <v>818</v>
      </c>
      <c r="F195" s="229">
        <v>2017</v>
      </c>
      <c r="G195">
        <v>2</v>
      </c>
      <c r="H195" t="s">
        <v>820</v>
      </c>
    </row>
    <row r="196" spans="1:8">
      <c r="A196" s="229" t="s">
        <v>1611</v>
      </c>
      <c r="C196" s="229">
        <v>600</v>
      </c>
      <c r="D196" s="229">
        <v>12010513</v>
      </c>
      <c r="E196" s="229" t="s">
        <v>818</v>
      </c>
      <c r="F196" s="229">
        <v>2017</v>
      </c>
      <c r="G196">
        <v>2</v>
      </c>
      <c r="H196" t="s">
        <v>820</v>
      </c>
    </row>
    <row r="197" spans="1:8">
      <c r="A197" s="229" t="s">
        <v>1611</v>
      </c>
      <c r="D197" s="229">
        <v>12010513</v>
      </c>
      <c r="E197" s="229" t="s">
        <v>818</v>
      </c>
      <c r="F197" s="229">
        <v>2017</v>
      </c>
      <c r="G197">
        <v>2</v>
      </c>
      <c r="H197" t="s">
        <v>820</v>
      </c>
    </row>
    <row r="198" spans="1:8">
      <c r="A198" s="229" t="s">
        <v>1611</v>
      </c>
      <c r="C198" s="229">
        <v>600</v>
      </c>
      <c r="D198" s="229">
        <v>12010513</v>
      </c>
      <c r="E198" s="229" t="s">
        <v>818</v>
      </c>
      <c r="F198" s="229">
        <v>2017</v>
      </c>
      <c r="G198">
        <v>2</v>
      </c>
      <c r="H198" t="s">
        <v>820</v>
      </c>
    </row>
    <row r="199" spans="1:8">
      <c r="A199" s="229" t="s">
        <v>1613</v>
      </c>
      <c r="C199" s="229">
        <v>1125</v>
      </c>
      <c r="D199" s="229">
        <v>12010513</v>
      </c>
      <c r="E199" s="229" t="s">
        <v>818</v>
      </c>
      <c r="F199" s="229">
        <v>2017</v>
      </c>
      <c r="G199">
        <v>2</v>
      </c>
      <c r="H199" t="s">
        <v>820</v>
      </c>
    </row>
    <row r="200" spans="1:8">
      <c r="A200" s="229" t="s">
        <v>1685</v>
      </c>
      <c r="C200" s="229">
        <v>14.98</v>
      </c>
      <c r="D200" s="229">
        <v>12010513</v>
      </c>
      <c r="E200" s="229" t="s">
        <v>818</v>
      </c>
      <c r="F200" s="229">
        <v>2017</v>
      </c>
      <c r="G200">
        <v>2</v>
      </c>
      <c r="H200" t="s">
        <v>820</v>
      </c>
    </row>
    <row r="201" spans="1:8">
      <c r="A201" s="229" t="s">
        <v>1685</v>
      </c>
      <c r="C201" s="229">
        <v>291.86</v>
      </c>
      <c r="D201" s="229">
        <v>12010513</v>
      </c>
      <c r="E201" s="229" t="s">
        <v>818</v>
      </c>
      <c r="F201" s="229">
        <v>2017</v>
      </c>
      <c r="G201">
        <v>2</v>
      </c>
      <c r="H201" t="s">
        <v>820</v>
      </c>
    </row>
    <row r="202" spans="1:8">
      <c r="A202" s="229" t="s">
        <v>1685</v>
      </c>
      <c r="C202" s="229">
        <v>29.84</v>
      </c>
      <c r="D202" s="229">
        <v>12010513</v>
      </c>
      <c r="E202" s="229" t="s">
        <v>818</v>
      </c>
      <c r="F202" s="229">
        <v>2017</v>
      </c>
      <c r="G202">
        <v>2</v>
      </c>
      <c r="H202" t="s">
        <v>820</v>
      </c>
    </row>
    <row r="203" spans="1:8">
      <c r="A203" s="229" t="s">
        <v>1685</v>
      </c>
      <c r="C203" s="229">
        <v>369.9</v>
      </c>
      <c r="D203" s="229">
        <v>12010513</v>
      </c>
      <c r="E203" s="229" t="s">
        <v>818</v>
      </c>
      <c r="F203" s="229">
        <v>2017</v>
      </c>
      <c r="G203">
        <v>2</v>
      </c>
      <c r="H203" t="s">
        <v>820</v>
      </c>
    </row>
    <row r="204" spans="1:8">
      <c r="A204" s="229" t="s">
        <v>1685</v>
      </c>
      <c r="C204" s="229">
        <v>64.67</v>
      </c>
      <c r="D204" s="229">
        <v>12010513</v>
      </c>
      <c r="E204" s="229" t="s">
        <v>818</v>
      </c>
      <c r="F204" s="229">
        <v>2017</v>
      </c>
      <c r="G204">
        <v>2</v>
      </c>
      <c r="H204" t="s">
        <v>820</v>
      </c>
    </row>
    <row r="205" spans="1:8">
      <c r="A205" s="229" t="s">
        <v>1685</v>
      </c>
      <c r="C205" s="229">
        <v>9</v>
      </c>
      <c r="D205" s="229">
        <v>12010513</v>
      </c>
      <c r="E205" s="229" t="s">
        <v>818</v>
      </c>
      <c r="F205" s="229">
        <v>2017</v>
      </c>
      <c r="G205">
        <v>2</v>
      </c>
      <c r="H205" t="s">
        <v>820</v>
      </c>
    </row>
    <row r="206" spans="1:8">
      <c r="A206" s="229" t="s">
        <v>1685</v>
      </c>
      <c r="C206" s="229">
        <v>264.35000000000002</v>
      </c>
      <c r="D206" s="229">
        <v>12010513</v>
      </c>
      <c r="E206" s="229" t="s">
        <v>818</v>
      </c>
      <c r="F206" s="229">
        <v>2017</v>
      </c>
      <c r="G206">
        <v>2</v>
      </c>
      <c r="H206" t="s">
        <v>820</v>
      </c>
    </row>
    <row r="207" spans="1:8">
      <c r="A207" s="229" t="s">
        <v>1618</v>
      </c>
      <c r="C207" s="229">
        <v>-257.10000000000002</v>
      </c>
      <c r="D207" s="229">
        <v>12010513</v>
      </c>
      <c r="E207" s="229" t="s">
        <v>818</v>
      </c>
      <c r="F207" s="229">
        <v>2017</v>
      </c>
      <c r="G207">
        <v>2</v>
      </c>
      <c r="H207" t="s">
        <v>820</v>
      </c>
    </row>
    <row r="208" spans="1:8">
      <c r="A208" s="229" t="s">
        <v>1618</v>
      </c>
      <c r="C208" s="229">
        <v>514.20000000000005</v>
      </c>
      <c r="D208" s="229">
        <v>12010513</v>
      </c>
      <c r="E208" s="229" t="s">
        <v>818</v>
      </c>
      <c r="F208" s="229">
        <v>2017</v>
      </c>
      <c r="G208">
        <v>2</v>
      </c>
      <c r="H208" t="s">
        <v>820</v>
      </c>
    </row>
    <row r="209" spans="1:8">
      <c r="A209" s="229" t="s">
        <v>1618</v>
      </c>
      <c r="C209" s="229">
        <v>-202.03</v>
      </c>
      <c r="D209" s="229">
        <v>12010513</v>
      </c>
      <c r="E209" s="229" t="s">
        <v>818</v>
      </c>
      <c r="F209" s="229">
        <v>2017</v>
      </c>
      <c r="G209">
        <v>2</v>
      </c>
      <c r="H209" t="s">
        <v>820</v>
      </c>
    </row>
    <row r="210" spans="1:8">
      <c r="A210" s="229" t="s">
        <v>1618</v>
      </c>
      <c r="C210" s="229">
        <v>404.05</v>
      </c>
      <c r="D210" s="229">
        <v>12010513</v>
      </c>
      <c r="E210" s="229" t="s">
        <v>818</v>
      </c>
      <c r="F210" s="229">
        <v>2017</v>
      </c>
      <c r="G210">
        <v>2</v>
      </c>
      <c r="H210" t="s">
        <v>820</v>
      </c>
    </row>
    <row r="211" spans="1:8">
      <c r="A211" s="229" t="s">
        <v>1618</v>
      </c>
      <c r="C211" s="229">
        <v>-252.38</v>
      </c>
      <c r="D211" s="229">
        <v>12010513</v>
      </c>
      <c r="E211" s="229" t="s">
        <v>818</v>
      </c>
      <c r="F211" s="229">
        <v>2017</v>
      </c>
      <c r="G211">
        <v>2</v>
      </c>
      <c r="H211" t="s">
        <v>820</v>
      </c>
    </row>
    <row r="212" spans="1:8">
      <c r="A212" s="229" t="s">
        <v>1618</v>
      </c>
      <c r="C212" s="229">
        <v>504.77</v>
      </c>
      <c r="D212" s="229">
        <v>12010513</v>
      </c>
      <c r="E212" s="229" t="s">
        <v>818</v>
      </c>
      <c r="F212" s="229">
        <v>2017</v>
      </c>
      <c r="G212">
        <v>2</v>
      </c>
      <c r="H212" t="s">
        <v>820</v>
      </c>
    </row>
    <row r="213" spans="1:8">
      <c r="A213" s="229" t="s">
        <v>1619</v>
      </c>
      <c r="C213" s="229">
        <v>42.57</v>
      </c>
      <c r="D213" s="229">
        <v>12010513</v>
      </c>
      <c r="E213" s="229" t="s">
        <v>818</v>
      </c>
      <c r="F213" s="229">
        <v>2017</v>
      </c>
      <c r="G213">
        <v>2</v>
      </c>
      <c r="H213" t="s">
        <v>820</v>
      </c>
    </row>
    <row r="214" spans="1:8">
      <c r="A214" s="229" t="s">
        <v>1619</v>
      </c>
      <c r="C214" s="229">
        <v>33.450000000000003</v>
      </c>
      <c r="D214" s="229">
        <v>12010513</v>
      </c>
      <c r="E214" s="229" t="s">
        <v>818</v>
      </c>
      <c r="F214" s="229">
        <v>2017</v>
      </c>
      <c r="G214">
        <v>2</v>
      </c>
      <c r="H214" t="s">
        <v>820</v>
      </c>
    </row>
    <row r="215" spans="1:8">
      <c r="A215" s="229" t="s">
        <v>1619</v>
      </c>
      <c r="C215" s="229">
        <v>41.79</v>
      </c>
      <c r="D215" s="229">
        <v>12010513</v>
      </c>
      <c r="E215" s="229" t="s">
        <v>818</v>
      </c>
      <c r="F215" s="229">
        <v>2017</v>
      </c>
      <c r="G215">
        <v>2</v>
      </c>
      <c r="H215" t="s">
        <v>820</v>
      </c>
    </row>
    <row r="216" spans="1:8">
      <c r="A216" s="229" t="s">
        <v>1620</v>
      </c>
      <c r="C216" s="229">
        <v>257.10000000000002</v>
      </c>
      <c r="D216" s="229">
        <v>12010513</v>
      </c>
      <c r="E216" s="229" t="s">
        <v>818</v>
      </c>
      <c r="F216" s="229">
        <v>2017</v>
      </c>
      <c r="G216">
        <v>2</v>
      </c>
      <c r="H216" t="s">
        <v>820</v>
      </c>
    </row>
    <row r="217" spans="1:8">
      <c r="A217" s="229" t="s">
        <v>1620</v>
      </c>
      <c r="C217" s="229">
        <v>202.03</v>
      </c>
      <c r="D217" s="229">
        <v>12010513</v>
      </c>
      <c r="E217" s="229" t="s">
        <v>818</v>
      </c>
      <c r="F217" s="229">
        <v>2017</v>
      </c>
      <c r="G217">
        <v>2</v>
      </c>
      <c r="H217" t="s">
        <v>820</v>
      </c>
    </row>
    <row r="218" spans="1:8">
      <c r="A218" s="229" t="s">
        <v>1620</v>
      </c>
      <c r="C218" s="229">
        <v>252.38</v>
      </c>
      <c r="D218" s="229">
        <v>12010513</v>
      </c>
      <c r="E218" s="229" t="s">
        <v>818</v>
      </c>
      <c r="F218" s="229">
        <v>2017</v>
      </c>
      <c r="G218">
        <v>2</v>
      </c>
      <c r="H218" t="s">
        <v>820</v>
      </c>
    </row>
    <row r="219" spans="1:8">
      <c r="A219" s="229" t="s">
        <v>1622</v>
      </c>
      <c r="C219" s="229">
        <v>4498</v>
      </c>
      <c r="D219" s="229">
        <v>12010512</v>
      </c>
      <c r="E219" s="229" t="s">
        <v>818</v>
      </c>
      <c r="F219" s="229">
        <v>2017</v>
      </c>
      <c r="G219">
        <v>2</v>
      </c>
      <c r="H219" t="s">
        <v>820</v>
      </c>
    </row>
    <row r="220" spans="1:8">
      <c r="A220" s="229" t="s">
        <v>1584</v>
      </c>
      <c r="C220" s="229">
        <v>-71834</v>
      </c>
      <c r="D220" s="229">
        <v>12010513</v>
      </c>
      <c r="E220" s="229" t="s">
        <v>818</v>
      </c>
      <c r="F220" s="229">
        <v>2017</v>
      </c>
      <c r="G220">
        <v>3</v>
      </c>
      <c r="H220" t="s">
        <v>820</v>
      </c>
    </row>
    <row r="221" spans="1:8">
      <c r="A221" s="229" t="s">
        <v>1587</v>
      </c>
      <c r="C221" s="229">
        <v>117.84</v>
      </c>
      <c r="D221" s="229">
        <v>12010513</v>
      </c>
      <c r="E221" s="229" t="s">
        <v>818</v>
      </c>
      <c r="F221" s="229">
        <v>2017</v>
      </c>
      <c r="G221">
        <v>3</v>
      </c>
      <c r="H221" t="s">
        <v>820</v>
      </c>
    </row>
    <row r="222" spans="1:8">
      <c r="A222" s="229" t="s">
        <v>1587</v>
      </c>
      <c r="C222" s="229">
        <v>176.76</v>
      </c>
      <c r="D222" s="229">
        <v>12010513</v>
      </c>
      <c r="E222" s="229" t="s">
        <v>818</v>
      </c>
      <c r="F222" s="229">
        <v>2017</v>
      </c>
      <c r="G222">
        <v>3</v>
      </c>
      <c r="H222" t="s">
        <v>820</v>
      </c>
    </row>
    <row r="223" spans="1:8">
      <c r="A223" s="229" t="s">
        <v>1587</v>
      </c>
      <c r="C223" s="229">
        <v>183.94</v>
      </c>
      <c r="D223" s="229">
        <v>12010513</v>
      </c>
      <c r="E223" s="229" t="s">
        <v>818</v>
      </c>
      <c r="F223" s="229">
        <v>2017</v>
      </c>
      <c r="G223">
        <v>3</v>
      </c>
      <c r="H223" t="s">
        <v>820</v>
      </c>
    </row>
    <row r="224" spans="1:8">
      <c r="A224" s="229" t="s">
        <v>1587</v>
      </c>
      <c r="C224" s="229">
        <v>81.150000000000006</v>
      </c>
      <c r="D224" s="229">
        <v>12010513</v>
      </c>
      <c r="E224" s="229" t="s">
        <v>818</v>
      </c>
      <c r="F224" s="229">
        <v>2017</v>
      </c>
      <c r="G224">
        <v>3</v>
      </c>
      <c r="H224" t="s">
        <v>820</v>
      </c>
    </row>
    <row r="225" spans="1:8">
      <c r="A225" s="229" t="s">
        <v>1587</v>
      </c>
      <c r="C225" s="229">
        <v>238.04</v>
      </c>
      <c r="D225" s="229">
        <v>12010513</v>
      </c>
      <c r="E225" s="229" t="s">
        <v>818</v>
      </c>
      <c r="F225" s="229">
        <v>2017</v>
      </c>
      <c r="G225">
        <v>3</v>
      </c>
      <c r="H225" t="s">
        <v>820</v>
      </c>
    </row>
    <row r="226" spans="1:8">
      <c r="A226" s="229" t="s">
        <v>1587</v>
      </c>
      <c r="C226" s="229">
        <v>210.99</v>
      </c>
      <c r="D226" s="229">
        <v>12010513</v>
      </c>
      <c r="E226" s="229" t="s">
        <v>818</v>
      </c>
      <c r="F226" s="229">
        <v>2017</v>
      </c>
      <c r="G226">
        <v>3</v>
      </c>
      <c r="H226" t="s">
        <v>820</v>
      </c>
    </row>
    <row r="227" spans="1:8">
      <c r="A227" s="229" t="s">
        <v>1587</v>
      </c>
      <c r="C227" s="229">
        <v>367.88</v>
      </c>
      <c r="D227" s="229">
        <v>12010513</v>
      </c>
      <c r="E227" s="229" t="s">
        <v>818</v>
      </c>
      <c r="F227" s="229">
        <v>2017</v>
      </c>
      <c r="G227">
        <v>3</v>
      </c>
      <c r="H227" t="s">
        <v>820</v>
      </c>
    </row>
    <row r="228" spans="1:8">
      <c r="A228" s="229" t="s">
        <v>1587</v>
      </c>
      <c r="C228" s="229">
        <v>367.88</v>
      </c>
      <c r="D228" s="229">
        <v>12010513</v>
      </c>
      <c r="E228" s="229" t="s">
        <v>818</v>
      </c>
      <c r="F228" s="229">
        <v>2017</v>
      </c>
      <c r="G228">
        <v>3</v>
      </c>
      <c r="H228" t="s">
        <v>820</v>
      </c>
    </row>
    <row r="229" spans="1:8">
      <c r="A229" s="229" t="s">
        <v>1587</v>
      </c>
      <c r="C229" s="229">
        <v>259.68</v>
      </c>
      <c r="D229" s="229">
        <v>12010513</v>
      </c>
      <c r="E229" s="229" t="s">
        <v>818</v>
      </c>
      <c r="F229" s="229">
        <v>2017</v>
      </c>
      <c r="G229">
        <v>3</v>
      </c>
      <c r="H229" t="s">
        <v>820</v>
      </c>
    </row>
    <row r="230" spans="1:8">
      <c r="A230" s="229" t="s">
        <v>1587</v>
      </c>
      <c r="C230" s="229">
        <v>367.88</v>
      </c>
      <c r="D230" s="229">
        <v>12010513</v>
      </c>
      <c r="E230" s="229" t="s">
        <v>818</v>
      </c>
      <c r="F230" s="229">
        <v>2017</v>
      </c>
      <c r="G230">
        <v>3</v>
      </c>
      <c r="H230" t="s">
        <v>820</v>
      </c>
    </row>
    <row r="231" spans="1:8">
      <c r="A231" s="229" t="s">
        <v>1587</v>
      </c>
      <c r="C231" s="229">
        <v>238.04</v>
      </c>
      <c r="D231" s="229">
        <v>12010513</v>
      </c>
      <c r="E231" s="229" t="s">
        <v>818</v>
      </c>
      <c r="F231" s="229">
        <v>2017</v>
      </c>
      <c r="G231">
        <v>3</v>
      </c>
      <c r="H231" t="s">
        <v>820</v>
      </c>
    </row>
    <row r="232" spans="1:8">
      <c r="A232" s="229" t="s">
        <v>1587</v>
      </c>
      <c r="C232" s="229">
        <v>432.8</v>
      </c>
      <c r="D232" s="229">
        <v>12010513</v>
      </c>
      <c r="E232" s="229" t="s">
        <v>818</v>
      </c>
      <c r="F232" s="229">
        <v>2017</v>
      </c>
      <c r="G232">
        <v>3</v>
      </c>
      <c r="H232" t="s">
        <v>820</v>
      </c>
    </row>
    <row r="233" spans="1:8">
      <c r="A233" s="229" t="s">
        <v>1587</v>
      </c>
      <c r="C233" s="229">
        <v>432.8</v>
      </c>
      <c r="D233" s="229">
        <v>12010513</v>
      </c>
      <c r="E233" s="229" t="s">
        <v>818</v>
      </c>
      <c r="F233" s="229">
        <v>2017</v>
      </c>
      <c r="G233">
        <v>3</v>
      </c>
      <c r="H233" t="s">
        <v>820</v>
      </c>
    </row>
    <row r="234" spans="1:8">
      <c r="A234" s="229" t="s">
        <v>1587</v>
      </c>
      <c r="C234" s="229">
        <v>432.8</v>
      </c>
      <c r="D234" s="229">
        <v>12010513</v>
      </c>
      <c r="E234" s="229" t="s">
        <v>818</v>
      </c>
      <c r="F234" s="229">
        <v>2017</v>
      </c>
      <c r="G234">
        <v>3</v>
      </c>
      <c r="H234" t="s">
        <v>820</v>
      </c>
    </row>
    <row r="235" spans="1:8">
      <c r="A235" s="229" t="s">
        <v>1587</v>
      </c>
      <c r="C235" s="229">
        <v>432.8</v>
      </c>
      <c r="D235" s="229">
        <v>12010513</v>
      </c>
      <c r="E235" s="229" t="s">
        <v>818</v>
      </c>
      <c r="F235" s="229">
        <v>2017</v>
      </c>
      <c r="G235">
        <v>3</v>
      </c>
      <c r="H235" t="s">
        <v>820</v>
      </c>
    </row>
    <row r="236" spans="1:8">
      <c r="A236" s="229" t="s">
        <v>1587</v>
      </c>
      <c r="C236" s="229">
        <v>58.92</v>
      </c>
      <c r="D236" s="229">
        <v>12010513</v>
      </c>
      <c r="E236" s="229" t="s">
        <v>818</v>
      </c>
      <c r="F236" s="229">
        <v>2017</v>
      </c>
      <c r="G236">
        <v>3</v>
      </c>
      <c r="H236" t="s">
        <v>820</v>
      </c>
    </row>
    <row r="237" spans="1:8">
      <c r="A237" s="229" t="s">
        <v>1587</v>
      </c>
      <c r="C237" s="229">
        <v>29.46</v>
      </c>
      <c r="D237" s="229">
        <v>12010513</v>
      </c>
      <c r="E237" s="229" t="s">
        <v>818</v>
      </c>
      <c r="F237" s="229">
        <v>2017</v>
      </c>
      <c r="G237">
        <v>3</v>
      </c>
      <c r="H237" t="s">
        <v>820</v>
      </c>
    </row>
    <row r="238" spans="1:8">
      <c r="A238" s="229" t="s">
        <v>1587</v>
      </c>
      <c r="C238" s="229">
        <v>127.66</v>
      </c>
      <c r="D238" s="229">
        <v>12010513</v>
      </c>
      <c r="E238" s="229" t="s">
        <v>818</v>
      </c>
      <c r="F238" s="229">
        <v>2017</v>
      </c>
      <c r="G238">
        <v>3</v>
      </c>
      <c r="H238" t="s">
        <v>820</v>
      </c>
    </row>
    <row r="239" spans="1:8">
      <c r="A239" s="229" t="s">
        <v>1587</v>
      </c>
      <c r="C239" s="229">
        <v>137.47999999999999</v>
      </c>
      <c r="D239" s="229">
        <v>12010513</v>
      </c>
      <c r="E239" s="229" t="s">
        <v>818</v>
      </c>
      <c r="F239" s="229">
        <v>2017</v>
      </c>
      <c r="G239">
        <v>3</v>
      </c>
      <c r="H239" t="s">
        <v>820</v>
      </c>
    </row>
    <row r="240" spans="1:8">
      <c r="A240" s="229" t="s">
        <v>1587</v>
      </c>
      <c r="C240" s="229">
        <v>137.47999999999999</v>
      </c>
      <c r="D240" s="229">
        <v>12010513</v>
      </c>
      <c r="E240" s="229" t="s">
        <v>818</v>
      </c>
      <c r="F240" s="229">
        <v>2017</v>
      </c>
      <c r="G240">
        <v>3</v>
      </c>
      <c r="H240" t="s">
        <v>820</v>
      </c>
    </row>
    <row r="241" spans="1:8">
      <c r="A241" s="229" t="s">
        <v>1587</v>
      </c>
      <c r="C241" s="229">
        <v>152.21</v>
      </c>
      <c r="D241" s="229">
        <v>12010513</v>
      </c>
      <c r="E241" s="229" t="s">
        <v>818</v>
      </c>
      <c r="F241" s="229">
        <v>2017</v>
      </c>
      <c r="G241">
        <v>3</v>
      </c>
      <c r="H241" t="s">
        <v>820</v>
      </c>
    </row>
    <row r="242" spans="1:8">
      <c r="A242" s="229" t="s">
        <v>1587</v>
      </c>
      <c r="C242" s="229">
        <v>227.23</v>
      </c>
      <c r="D242" s="229">
        <v>12010513</v>
      </c>
      <c r="E242" s="229" t="s">
        <v>818</v>
      </c>
      <c r="F242" s="229">
        <v>2017</v>
      </c>
      <c r="G242">
        <v>3</v>
      </c>
      <c r="H242" t="s">
        <v>820</v>
      </c>
    </row>
    <row r="243" spans="1:8">
      <c r="A243" s="229" t="s">
        <v>1587</v>
      </c>
      <c r="C243" s="229">
        <v>140.66</v>
      </c>
      <c r="D243" s="229">
        <v>12010513</v>
      </c>
      <c r="E243" s="229" t="s">
        <v>818</v>
      </c>
      <c r="F243" s="229">
        <v>2017</v>
      </c>
      <c r="G243">
        <v>3</v>
      </c>
      <c r="H243" t="s">
        <v>820</v>
      </c>
    </row>
    <row r="244" spans="1:8">
      <c r="A244" s="229" t="s">
        <v>1587</v>
      </c>
      <c r="C244" s="229">
        <v>24.55</v>
      </c>
      <c r="D244" s="229">
        <v>12010513</v>
      </c>
      <c r="E244" s="229" t="s">
        <v>818</v>
      </c>
      <c r="F244" s="229">
        <v>2017</v>
      </c>
      <c r="G244">
        <v>3</v>
      </c>
      <c r="H244" t="s">
        <v>820</v>
      </c>
    </row>
    <row r="245" spans="1:8">
      <c r="A245" s="229" t="s">
        <v>1587</v>
      </c>
      <c r="C245" s="229">
        <v>81.02</v>
      </c>
      <c r="D245" s="229">
        <v>12010513</v>
      </c>
      <c r="E245" s="229" t="s">
        <v>818</v>
      </c>
      <c r="F245" s="229">
        <v>2017</v>
      </c>
      <c r="G245">
        <v>3</v>
      </c>
      <c r="H245" t="s">
        <v>820</v>
      </c>
    </row>
    <row r="246" spans="1:8">
      <c r="A246" s="229" t="s">
        <v>1587</v>
      </c>
      <c r="C246" s="229">
        <v>117.84</v>
      </c>
      <c r="D246" s="229">
        <v>12010513</v>
      </c>
      <c r="E246" s="229" t="s">
        <v>818</v>
      </c>
      <c r="F246" s="229">
        <v>2017</v>
      </c>
      <c r="G246">
        <v>3</v>
      </c>
      <c r="H246" t="s">
        <v>820</v>
      </c>
    </row>
    <row r="247" spans="1:8">
      <c r="A247" s="229" t="s">
        <v>1587</v>
      </c>
      <c r="C247" s="229">
        <v>117.84</v>
      </c>
      <c r="D247" s="229">
        <v>12010513</v>
      </c>
      <c r="E247" s="229" t="s">
        <v>818</v>
      </c>
      <c r="F247" s="229">
        <v>2017</v>
      </c>
      <c r="G247">
        <v>3</v>
      </c>
      <c r="H247" t="s">
        <v>820</v>
      </c>
    </row>
    <row r="248" spans="1:8">
      <c r="A248" s="229" t="s">
        <v>1587</v>
      </c>
      <c r="C248" s="229">
        <v>88.38</v>
      </c>
      <c r="D248" s="229">
        <v>12010513</v>
      </c>
      <c r="E248" s="229" t="s">
        <v>818</v>
      </c>
      <c r="F248" s="229">
        <v>2017</v>
      </c>
      <c r="G248">
        <v>3</v>
      </c>
      <c r="H248" t="s">
        <v>820</v>
      </c>
    </row>
    <row r="249" spans="1:8">
      <c r="A249" s="229" t="s">
        <v>1587</v>
      </c>
      <c r="C249" s="229">
        <v>117.84</v>
      </c>
      <c r="D249" s="229">
        <v>12010513</v>
      </c>
      <c r="E249" s="229" t="s">
        <v>818</v>
      </c>
      <c r="F249" s="229">
        <v>2017</v>
      </c>
      <c r="G249">
        <v>3</v>
      </c>
      <c r="H249" t="s">
        <v>820</v>
      </c>
    </row>
    <row r="250" spans="1:8">
      <c r="A250" s="229" t="s">
        <v>1587</v>
      </c>
      <c r="C250" s="229">
        <v>108.2</v>
      </c>
      <c r="D250" s="229">
        <v>12010513</v>
      </c>
      <c r="E250" s="229" t="s">
        <v>818</v>
      </c>
      <c r="F250" s="229">
        <v>2017</v>
      </c>
      <c r="G250">
        <v>3</v>
      </c>
      <c r="H250" t="s">
        <v>820</v>
      </c>
    </row>
    <row r="251" spans="1:8">
      <c r="A251" s="229" t="s">
        <v>1587</v>
      </c>
      <c r="C251" s="229">
        <v>105.5</v>
      </c>
      <c r="D251" s="229">
        <v>12010513</v>
      </c>
      <c r="E251" s="229" t="s">
        <v>818</v>
      </c>
      <c r="F251" s="229">
        <v>2017</v>
      </c>
      <c r="G251">
        <v>3</v>
      </c>
      <c r="H251" t="s">
        <v>820</v>
      </c>
    </row>
    <row r="252" spans="1:8">
      <c r="A252" s="229" t="s">
        <v>1587</v>
      </c>
      <c r="C252" s="229">
        <v>105.5</v>
      </c>
      <c r="D252" s="229">
        <v>12010513</v>
      </c>
      <c r="E252" s="229" t="s">
        <v>818</v>
      </c>
      <c r="F252" s="229">
        <v>2017</v>
      </c>
      <c r="G252">
        <v>3</v>
      </c>
      <c r="H252" t="s">
        <v>820</v>
      </c>
    </row>
    <row r="253" spans="1:8">
      <c r="A253" s="229" t="s">
        <v>1587</v>
      </c>
      <c r="C253" s="229">
        <v>113.61</v>
      </c>
      <c r="D253" s="229">
        <v>12010513</v>
      </c>
      <c r="E253" s="229" t="s">
        <v>818</v>
      </c>
      <c r="F253" s="229">
        <v>2017</v>
      </c>
      <c r="G253">
        <v>3</v>
      </c>
      <c r="H253" t="s">
        <v>820</v>
      </c>
    </row>
    <row r="254" spans="1:8">
      <c r="A254" s="229" t="s">
        <v>1587</v>
      </c>
      <c r="C254" s="229">
        <v>76.02</v>
      </c>
      <c r="D254" s="229">
        <v>12010513</v>
      </c>
      <c r="E254" s="229" t="s">
        <v>818</v>
      </c>
      <c r="F254" s="229">
        <v>2017</v>
      </c>
      <c r="G254">
        <v>3</v>
      </c>
      <c r="H254" t="s">
        <v>820</v>
      </c>
    </row>
    <row r="255" spans="1:8">
      <c r="A255" s="229" t="s">
        <v>1587</v>
      </c>
      <c r="C255" s="229">
        <v>195.48</v>
      </c>
      <c r="D255" s="229">
        <v>12010513</v>
      </c>
      <c r="E255" s="229" t="s">
        <v>818</v>
      </c>
      <c r="F255" s="229">
        <v>2017</v>
      </c>
      <c r="G255">
        <v>3</v>
      </c>
      <c r="H255" t="s">
        <v>820</v>
      </c>
    </row>
    <row r="256" spans="1:8">
      <c r="A256" s="229" t="s">
        <v>1587</v>
      </c>
      <c r="C256" s="229">
        <v>233.49</v>
      </c>
      <c r="D256" s="229">
        <v>12010513</v>
      </c>
      <c r="E256" s="229" t="s">
        <v>818</v>
      </c>
      <c r="F256" s="229">
        <v>2017</v>
      </c>
      <c r="G256">
        <v>3</v>
      </c>
      <c r="H256" t="s">
        <v>820</v>
      </c>
    </row>
    <row r="257" spans="1:8">
      <c r="A257" s="229" t="s">
        <v>1587</v>
      </c>
      <c r="C257" s="229">
        <v>228.06</v>
      </c>
      <c r="D257" s="229">
        <v>12010513</v>
      </c>
      <c r="E257" s="229" t="s">
        <v>818</v>
      </c>
      <c r="F257" s="229">
        <v>2017</v>
      </c>
      <c r="G257">
        <v>3</v>
      </c>
      <c r="H257" t="s">
        <v>820</v>
      </c>
    </row>
    <row r="258" spans="1:8">
      <c r="A258" s="229" t="s">
        <v>1587</v>
      </c>
      <c r="C258" s="229">
        <v>238.92</v>
      </c>
      <c r="D258" s="229">
        <v>12010513</v>
      </c>
      <c r="E258" s="229" t="s">
        <v>818</v>
      </c>
      <c r="F258" s="229">
        <v>2017</v>
      </c>
      <c r="G258">
        <v>3</v>
      </c>
      <c r="H258" t="s">
        <v>820</v>
      </c>
    </row>
    <row r="259" spans="1:8">
      <c r="A259" s="229" t="s">
        <v>1587</v>
      </c>
      <c r="C259" s="229">
        <v>140.66</v>
      </c>
      <c r="D259" s="229">
        <v>12010513</v>
      </c>
      <c r="E259" s="229" t="s">
        <v>818</v>
      </c>
      <c r="F259" s="229">
        <v>2017</v>
      </c>
      <c r="G259">
        <v>3</v>
      </c>
      <c r="H259" t="s">
        <v>820</v>
      </c>
    </row>
    <row r="260" spans="1:8">
      <c r="A260" s="229" t="s">
        <v>1587</v>
      </c>
      <c r="C260" s="229">
        <v>194.76</v>
      </c>
      <c r="D260" s="229">
        <v>12010513</v>
      </c>
      <c r="E260" s="229" t="s">
        <v>818</v>
      </c>
      <c r="F260" s="229">
        <v>2017</v>
      </c>
      <c r="G260">
        <v>3</v>
      </c>
      <c r="H260" t="s">
        <v>820</v>
      </c>
    </row>
    <row r="261" spans="1:8">
      <c r="A261" s="229" t="s">
        <v>1587</v>
      </c>
      <c r="C261" s="229">
        <v>194.76</v>
      </c>
      <c r="D261" s="229">
        <v>12010513</v>
      </c>
      <c r="E261" s="229" t="s">
        <v>818</v>
      </c>
      <c r="F261" s="229">
        <v>2017</v>
      </c>
      <c r="G261">
        <v>3</v>
      </c>
      <c r="H261" t="s">
        <v>820</v>
      </c>
    </row>
    <row r="262" spans="1:8">
      <c r="A262" s="229" t="s">
        <v>1587</v>
      </c>
      <c r="C262" s="229">
        <v>173.12</v>
      </c>
      <c r="D262" s="229">
        <v>12010513</v>
      </c>
      <c r="E262" s="229" t="s">
        <v>818</v>
      </c>
      <c r="F262" s="229">
        <v>2017</v>
      </c>
      <c r="G262">
        <v>3</v>
      </c>
      <c r="H262" t="s">
        <v>820</v>
      </c>
    </row>
    <row r="263" spans="1:8">
      <c r="A263" s="229" t="s">
        <v>1587</v>
      </c>
      <c r="C263" s="229">
        <v>194.76</v>
      </c>
      <c r="D263" s="229">
        <v>12010513</v>
      </c>
      <c r="E263" s="229" t="s">
        <v>818</v>
      </c>
      <c r="F263" s="229">
        <v>2017</v>
      </c>
      <c r="G263">
        <v>3</v>
      </c>
      <c r="H263" t="s">
        <v>820</v>
      </c>
    </row>
    <row r="264" spans="1:8">
      <c r="A264" s="229" t="s">
        <v>1587</v>
      </c>
      <c r="C264" s="229">
        <v>346.24</v>
      </c>
      <c r="D264" s="229">
        <v>12010513</v>
      </c>
      <c r="E264" s="229" t="s">
        <v>818</v>
      </c>
      <c r="F264" s="229">
        <v>2017</v>
      </c>
      <c r="G264">
        <v>3</v>
      </c>
      <c r="H264" t="s">
        <v>820</v>
      </c>
    </row>
    <row r="265" spans="1:8">
      <c r="A265" s="229" t="s">
        <v>1587</v>
      </c>
      <c r="C265" s="229">
        <v>259.68</v>
      </c>
      <c r="D265" s="229">
        <v>12010513</v>
      </c>
      <c r="E265" s="229" t="s">
        <v>818</v>
      </c>
      <c r="F265" s="229">
        <v>2017</v>
      </c>
      <c r="G265">
        <v>3</v>
      </c>
      <c r="H265" t="s">
        <v>820</v>
      </c>
    </row>
    <row r="266" spans="1:8">
      <c r="A266" s="229" t="s">
        <v>1587</v>
      </c>
      <c r="C266" s="229">
        <v>281.32</v>
      </c>
      <c r="D266" s="229">
        <v>12010513</v>
      </c>
      <c r="E266" s="229" t="s">
        <v>818</v>
      </c>
      <c r="F266" s="229">
        <v>2017</v>
      </c>
      <c r="G266">
        <v>3</v>
      </c>
      <c r="H266" t="s">
        <v>820</v>
      </c>
    </row>
    <row r="267" spans="1:8">
      <c r="A267" s="229" t="s">
        <v>1587</v>
      </c>
      <c r="C267" s="229">
        <v>270.5</v>
      </c>
      <c r="D267" s="229">
        <v>12010513</v>
      </c>
      <c r="E267" s="229" t="s">
        <v>818</v>
      </c>
      <c r="F267" s="229">
        <v>2017</v>
      </c>
      <c r="G267">
        <v>3</v>
      </c>
      <c r="H267" t="s">
        <v>820</v>
      </c>
    </row>
    <row r="268" spans="1:8">
      <c r="A268" s="229" t="s">
        <v>1587</v>
      </c>
      <c r="C268" s="229">
        <v>270.5</v>
      </c>
      <c r="D268" s="229">
        <v>12010513</v>
      </c>
      <c r="E268" s="229" t="s">
        <v>818</v>
      </c>
      <c r="F268" s="229">
        <v>2017</v>
      </c>
      <c r="G268">
        <v>3</v>
      </c>
      <c r="H268" t="s">
        <v>820</v>
      </c>
    </row>
    <row r="269" spans="1:8">
      <c r="A269" s="229" t="s">
        <v>1587</v>
      </c>
      <c r="C269" s="229">
        <v>259.68</v>
      </c>
      <c r="D269" s="229">
        <v>12010513</v>
      </c>
      <c r="E269" s="229" t="s">
        <v>818</v>
      </c>
      <c r="F269" s="229">
        <v>2017</v>
      </c>
      <c r="G269">
        <v>3</v>
      </c>
      <c r="H269" t="s">
        <v>820</v>
      </c>
    </row>
    <row r="270" spans="1:8">
      <c r="A270" s="229" t="s">
        <v>1587</v>
      </c>
      <c r="C270" s="229">
        <v>238.04</v>
      </c>
      <c r="D270" s="229">
        <v>12010513</v>
      </c>
      <c r="E270" s="229" t="s">
        <v>818</v>
      </c>
      <c r="F270" s="229">
        <v>2017</v>
      </c>
      <c r="G270">
        <v>3</v>
      </c>
      <c r="H270" t="s">
        <v>820</v>
      </c>
    </row>
    <row r="271" spans="1:8">
      <c r="A271" s="229" t="s">
        <v>1587</v>
      </c>
      <c r="C271" s="229">
        <v>37.869999999999997</v>
      </c>
      <c r="D271" s="229">
        <v>12010513</v>
      </c>
      <c r="E271" s="229" t="s">
        <v>818</v>
      </c>
      <c r="F271" s="229">
        <v>2017</v>
      </c>
      <c r="G271">
        <v>3</v>
      </c>
      <c r="H271" t="s">
        <v>820</v>
      </c>
    </row>
    <row r="272" spans="1:8">
      <c r="A272" s="229" t="s">
        <v>1587</v>
      </c>
      <c r="C272" s="229">
        <v>16.23</v>
      </c>
      <c r="D272" s="229">
        <v>12010513</v>
      </c>
      <c r="E272" s="229" t="s">
        <v>818</v>
      </c>
      <c r="F272" s="229">
        <v>2017</v>
      </c>
      <c r="G272">
        <v>3</v>
      </c>
      <c r="H272" t="s">
        <v>820</v>
      </c>
    </row>
    <row r="273" spans="1:8">
      <c r="A273" s="229" t="s">
        <v>1587</v>
      </c>
      <c r="C273" s="229">
        <v>321.89999999999998</v>
      </c>
      <c r="D273" s="229">
        <v>12010513</v>
      </c>
      <c r="E273" s="229" t="s">
        <v>818</v>
      </c>
      <c r="F273" s="229">
        <v>2017</v>
      </c>
      <c r="G273">
        <v>3</v>
      </c>
      <c r="H273" t="s">
        <v>820</v>
      </c>
    </row>
    <row r="274" spans="1:8">
      <c r="A274" s="229" t="s">
        <v>1587</v>
      </c>
      <c r="C274" s="229">
        <v>292.14</v>
      </c>
      <c r="D274" s="229">
        <v>12010513</v>
      </c>
      <c r="E274" s="229" t="s">
        <v>818</v>
      </c>
      <c r="F274" s="229">
        <v>2017</v>
      </c>
      <c r="G274">
        <v>3</v>
      </c>
      <c r="H274" t="s">
        <v>820</v>
      </c>
    </row>
    <row r="275" spans="1:8">
      <c r="A275" s="229" t="s">
        <v>1587</v>
      </c>
      <c r="C275" s="229">
        <v>308.37</v>
      </c>
      <c r="D275" s="229">
        <v>12010513</v>
      </c>
      <c r="E275" s="229" t="s">
        <v>818</v>
      </c>
      <c r="F275" s="229">
        <v>2017</v>
      </c>
      <c r="G275">
        <v>3</v>
      </c>
      <c r="H275" t="s">
        <v>820</v>
      </c>
    </row>
    <row r="276" spans="1:8">
      <c r="A276" s="229" t="s">
        <v>1587</v>
      </c>
      <c r="C276" s="229">
        <v>170.42</v>
      </c>
      <c r="D276" s="229">
        <v>12010513</v>
      </c>
      <c r="E276" s="229" t="s">
        <v>818</v>
      </c>
      <c r="F276" s="229">
        <v>2017</v>
      </c>
      <c r="G276">
        <v>3</v>
      </c>
      <c r="H276" t="s">
        <v>820</v>
      </c>
    </row>
    <row r="277" spans="1:8">
      <c r="A277" s="229" t="s">
        <v>1589</v>
      </c>
      <c r="C277" s="229">
        <v>14.7</v>
      </c>
      <c r="D277" s="229">
        <v>12010513</v>
      </c>
      <c r="E277" s="229" t="s">
        <v>818</v>
      </c>
      <c r="F277" s="229">
        <v>2017</v>
      </c>
      <c r="G277">
        <v>3</v>
      </c>
      <c r="H277" t="s">
        <v>820</v>
      </c>
    </row>
    <row r="278" spans="1:8">
      <c r="A278" s="229" t="s">
        <v>1589</v>
      </c>
      <c r="C278" s="229">
        <v>58.81</v>
      </c>
      <c r="D278" s="229">
        <v>12010513</v>
      </c>
      <c r="E278" s="229" t="s">
        <v>818</v>
      </c>
      <c r="F278" s="229">
        <v>2017</v>
      </c>
      <c r="G278">
        <v>3</v>
      </c>
      <c r="H278" t="s">
        <v>820</v>
      </c>
    </row>
    <row r="279" spans="1:8">
      <c r="A279" s="229" t="s">
        <v>1589</v>
      </c>
      <c r="C279" s="229">
        <v>61.8</v>
      </c>
      <c r="D279" s="229">
        <v>12010513</v>
      </c>
      <c r="E279" s="229" t="s">
        <v>818</v>
      </c>
      <c r="F279" s="229">
        <v>2017</v>
      </c>
      <c r="G279">
        <v>3</v>
      </c>
      <c r="H279" t="s">
        <v>820</v>
      </c>
    </row>
    <row r="280" spans="1:8">
      <c r="A280" s="229" t="s">
        <v>1596</v>
      </c>
      <c r="C280" s="229">
        <v>49.2</v>
      </c>
      <c r="D280" s="229">
        <v>12010513</v>
      </c>
      <c r="E280" s="229" t="s">
        <v>818</v>
      </c>
      <c r="F280" s="229">
        <v>2017</v>
      </c>
      <c r="G280">
        <v>3</v>
      </c>
      <c r="H280" t="s">
        <v>820</v>
      </c>
    </row>
    <row r="281" spans="1:8">
      <c r="A281" s="229" t="s">
        <v>1596</v>
      </c>
      <c r="C281" s="229">
        <v>49.2</v>
      </c>
      <c r="D281" s="229">
        <v>12010513</v>
      </c>
      <c r="E281" s="229" t="s">
        <v>818</v>
      </c>
      <c r="F281" s="229">
        <v>2017</v>
      </c>
      <c r="G281">
        <v>3</v>
      </c>
      <c r="H281" t="s">
        <v>820</v>
      </c>
    </row>
    <row r="282" spans="1:8">
      <c r="A282" s="229" t="s">
        <v>1596</v>
      </c>
      <c r="D282" s="229">
        <v>12010513</v>
      </c>
      <c r="E282" s="229" t="s">
        <v>818</v>
      </c>
      <c r="F282" s="229">
        <v>2017</v>
      </c>
      <c r="G282">
        <v>3</v>
      </c>
      <c r="H282" t="s">
        <v>820</v>
      </c>
    </row>
    <row r="283" spans="1:8">
      <c r="A283" s="229" t="s">
        <v>1596</v>
      </c>
      <c r="D283" s="229">
        <v>12010513</v>
      </c>
      <c r="E283" s="229" t="s">
        <v>818</v>
      </c>
      <c r="F283" s="229">
        <v>2017</v>
      </c>
      <c r="G283">
        <v>3</v>
      </c>
      <c r="H283" t="s">
        <v>820</v>
      </c>
    </row>
    <row r="284" spans="1:8">
      <c r="A284" s="229" t="s">
        <v>1596</v>
      </c>
      <c r="C284" s="229">
        <v>49.2</v>
      </c>
      <c r="D284" s="229">
        <v>12010513</v>
      </c>
      <c r="E284" s="229" t="s">
        <v>818</v>
      </c>
      <c r="F284" s="229">
        <v>2017</v>
      </c>
      <c r="G284">
        <v>3</v>
      </c>
      <c r="H284" t="s">
        <v>820</v>
      </c>
    </row>
    <row r="285" spans="1:8">
      <c r="A285" s="229" t="s">
        <v>1596</v>
      </c>
      <c r="D285" s="229">
        <v>12010513</v>
      </c>
      <c r="E285" s="229" t="s">
        <v>818</v>
      </c>
      <c r="F285" s="229">
        <v>2017</v>
      </c>
      <c r="G285">
        <v>3</v>
      </c>
      <c r="H285" t="s">
        <v>820</v>
      </c>
    </row>
    <row r="286" spans="1:8">
      <c r="A286" s="229" t="s">
        <v>1596</v>
      </c>
      <c r="D286" s="229">
        <v>12010513</v>
      </c>
      <c r="E286" s="229" t="s">
        <v>818</v>
      </c>
      <c r="F286" s="229">
        <v>2017</v>
      </c>
      <c r="G286">
        <v>3</v>
      </c>
      <c r="H286" t="s">
        <v>820</v>
      </c>
    </row>
    <row r="287" spans="1:8">
      <c r="A287" s="229" t="s">
        <v>1597</v>
      </c>
      <c r="C287" s="229">
        <v>115.61</v>
      </c>
      <c r="D287" s="229">
        <v>12010513</v>
      </c>
      <c r="E287" s="229" t="s">
        <v>818</v>
      </c>
      <c r="F287" s="229">
        <v>2017</v>
      </c>
      <c r="G287">
        <v>3</v>
      </c>
      <c r="H287" t="s">
        <v>820</v>
      </c>
    </row>
    <row r="288" spans="1:8">
      <c r="A288" s="229" t="s">
        <v>1611</v>
      </c>
      <c r="D288" s="229">
        <v>12010513</v>
      </c>
      <c r="E288" s="229" t="s">
        <v>818</v>
      </c>
      <c r="F288" s="229">
        <v>2017</v>
      </c>
      <c r="G288">
        <v>3</v>
      </c>
      <c r="H288" t="s">
        <v>820</v>
      </c>
    </row>
    <row r="289" spans="1:8">
      <c r="A289" s="229" t="s">
        <v>1611</v>
      </c>
      <c r="C289" s="229">
        <v>600</v>
      </c>
      <c r="D289" s="229">
        <v>12010513</v>
      </c>
      <c r="E289" s="229" t="s">
        <v>818</v>
      </c>
      <c r="F289" s="229">
        <v>2017</v>
      </c>
      <c r="G289">
        <v>3</v>
      </c>
      <c r="H289" t="s">
        <v>820</v>
      </c>
    </row>
    <row r="290" spans="1:8">
      <c r="A290" s="229" t="s">
        <v>1611</v>
      </c>
      <c r="D290" s="229">
        <v>12010513</v>
      </c>
      <c r="E290" s="229" t="s">
        <v>818</v>
      </c>
      <c r="F290" s="229">
        <v>2017</v>
      </c>
      <c r="G290">
        <v>3</v>
      </c>
      <c r="H290" t="s">
        <v>820</v>
      </c>
    </row>
    <row r="291" spans="1:8">
      <c r="A291" s="229" t="s">
        <v>1611</v>
      </c>
      <c r="C291" s="229">
        <v>600</v>
      </c>
      <c r="D291" s="229">
        <v>12010513</v>
      </c>
      <c r="E291" s="229" t="s">
        <v>818</v>
      </c>
      <c r="F291" s="229">
        <v>2017</v>
      </c>
      <c r="G291">
        <v>3</v>
      </c>
      <c r="H291" t="s">
        <v>820</v>
      </c>
    </row>
    <row r="292" spans="1:8">
      <c r="A292" s="229" t="s">
        <v>1611</v>
      </c>
      <c r="D292" s="229">
        <v>12010513</v>
      </c>
      <c r="E292" s="229" t="s">
        <v>818</v>
      </c>
      <c r="F292" s="229">
        <v>2017</v>
      </c>
      <c r="G292">
        <v>3</v>
      </c>
      <c r="H292" t="s">
        <v>820</v>
      </c>
    </row>
    <row r="293" spans="1:8">
      <c r="A293" s="229" t="s">
        <v>1611</v>
      </c>
      <c r="C293" s="229">
        <v>600</v>
      </c>
      <c r="D293" s="229">
        <v>12010513</v>
      </c>
      <c r="E293" s="229" t="s">
        <v>818</v>
      </c>
      <c r="F293" s="229">
        <v>2017</v>
      </c>
      <c r="G293">
        <v>3</v>
      </c>
      <c r="H293" t="s">
        <v>820</v>
      </c>
    </row>
    <row r="294" spans="1:8">
      <c r="A294" s="229" t="s">
        <v>1684</v>
      </c>
      <c r="C294" s="229">
        <v>0</v>
      </c>
      <c r="D294" s="229">
        <v>12010513</v>
      </c>
      <c r="E294" s="229" t="s">
        <v>818</v>
      </c>
      <c r="F294" s="229">
        <v>2017</v>
      </c>
      <c r="G294">
        <v>3</v>
      </c>
      <c r="H294" t="s">
        <v>820</v>
      </c>
    </row>
    <row r="295" spans="1:8">
      <c r="A295" s="229" t="s">
        <v>1618</v>
      </c>
      <c r="C295" s="229">
        <v>-60.52</v>
      </c>
      <c r="D295" s="229">
        <v>12010513</v>
      </c>
      <c r="E295" s="229" t="s">
        <v>818</v>
      </c>
      <c r="F295" s="229">
        <v>2017</v>
      </c>
      <c r="G295">
        <v>3</v>
      </c>
      <c r="H295" t="s">
        <v>820</v>
      </c>
    </row>
    <row r="296" spans="1:8">
      <c r="A296" s="229" t="s">
        <v>1618</v>
      </c>
      <c r="C296" s="229">
        <v>121.05</v>
      </c>
      <c r="D296" s="229">
        <v>12010513</v>
      </c>
      <c r="E296" s="229" t="s">
        <v>818</v>
      </c>
      <c r="F296" s="229">
        <v>2017</v>
      </c>
      <c r="G296">
        <v>3</v>
      </c>
      <c r="H296" t="s">
        <v>820</v>
      </c>
    </row>
    <row r="297" spans="1:8">
      <c r="A297" s="229" t="s">
        <v>1618</v>
      </c>
      <c r="C297" s="229">
        <v>-169.39</v>
      </c>
      <c r="D297" s="229">
        <v>12010513</v>
      </c>
      <c r="E297" s="229" t="s">
        <v>818</v>
      </c>
      <c r="F297" s="229">
        <v>2017</v>
      </c>
      <c r="G297">
        <v>3</v>
      </c>
      <c r="H297" t="s">
        <v>820</v>
      </c>
    </row>
    <row r="298" spans="1:8">
      <c r="A298" s="229" t="s">
        <v>1618</v>
      </c>
      <c r="C298" s="229">
        <v>338.77</v>
      </c>
      <c r="D298" s="229">
        <v>12010513</v>
      </c>
      <c r="E298" s="229" t="s">
        <v>818</v>
      </c>
      <c r="F298" s="229">
        <v>2017</v>
      </c>
      <c r="G298">
        <v>3</v>
      </c>
      <c r="H298" t="s">
        <v>820</v>
      </c>
    </row>
    <row r="299" spans="1:8">
      <c r="A299" s="229" t="s">
        <v>1618</v>
      </c>
      <c r="C299" s="229">
        <v>-177.01</v>
      </c>
      <c r="D299" s="229">
        <v>12010513</v>
      </c>
      <c r="E299" s="229" t="s">
        <v>818</v>
      </c>
      <c r="F299" s="229">
        <v>2017</v>
      </c>
      <c r="G299">
        <v>3</v>
      </c>
      <c r="H299" t="s">
        <v>820</v>
      </c>
    </row>
    <row r="300" spans="1:8">
      <c r="A300" s="229" t="s">
        <v>1618</v>
      </c>
      <c r="C300" s="229">
        <v>354.02</v>
      </c>
      <c r="D300" s="229">
        <v>12010513</v>
      </c>
      <c r="E300" s="229" t="s">
        <v>818</v>
      </c>
      <c r="F300" s="229">
        <v>2017</v>
      </c>
      <c r="G300">
        <v>3</v>
      </c>
      <c r="H300" t="s">
        <v>820</v>
      </c>
    </row>
    <row r="301" spans="1:8">
      <c r="A301" s="229" t="s">
        <v>1619</v>
      </c>
      <c r="C301" s="229">
        <v>10.02</v>
      </c>
      <c r="D301" s="229">
        <v>12010513</v>
      </c>
      <c r="E301" s="229" t="s">
        <v>818</v>
      </c>
      <c r="F301" s="229">
        <v>2017</v>
      </c>
      <c r="G301">
        <v>3</v>
      </c>
      <c r="H301" t="s">
        <v>820</v>
      </c>
    </row>
    <row r="302" spans="1:8">
      <c r="A302" s="229" t="s">
        <v>1619</v>
      </c>
      <c r="C302" s="229">
        <v>28.04</v>
      </c>
      <c r="D302" s="229">
        <v>12010513</v>
      </c>
      <c r="E302" s="229" t="s">
        <v>818</v>
      </c>
      <c r="F302" s="229">
        <v>2017</v>
      </c>
      <c r="G302">
        <v>3</v>
      </c>
      <c r="H302" t="s">
        <v>820</v>
      </c>
    </row>
    <row r="303" spans="1:8">
      <c r="A303" s="229" t="s">
        <v>1619</v>
      </c>
      <c r="C303" s="229">
        <v>29.31</v>
      </c>
      <c r="D303" s="229">
        <v>12010513</v>
      </c>
      <c r="E303" s="229" t="s">
        <v>818</v>
      </c>
      <c r="F303" s="229">
        <v>2017</v>
      </c>
      <c r="G303">
        <v>3</v>
      </c>
      <c r="H303" t="s">
        <v>820</v>
      </c>
    </row>
    <row r="304" spans="1:8">
      <c r="A304" s="229" t="s">
        <v>1620</v>
      </c>
      <c r="C304" s="229">
        <v>60.52</v>
      </c>
      <c r="D304" s="229">
        <v>12010513</v>
      </c>
      <c r="E304" s="229" t="s">
        <v>818</v>
      </c>
      <c r="F304" s="229">
        <v>2017</v>
      </c>
      <c r="G304">
        <v>3</v>
      </c>
      <c r="H304" t="s">
        <v>820</v>
      </c>
    </row>
    <row r="305" spans="1:8">
      <c r="A305" s="229" t="s">
        <v>1620</v>
      </c>
      <c r="C305" s="229">
        <v>169.39</v>
      </c>
      <c r="D305" s="229">
        <v>12010513</v>
      </c>
      <c r="E305" s="229" t="s">
        <v>818</v>
      </c>
      <c r="F305" s="229">
        <v>2017</v>
      </c>
      <c r="G305">
        <v>3</v>
      </c>
      <c r="H305" t="s">
        <v>820</v>
      </c>
    </row>
    <row r="306" spans="1:8">
      <c r="A306" s="229" t="s">
        <v>1620</v>
      </c>
      <c r="C306" s="229">
        <v>177.01</v>
      </c>
      <c r="D306" s="229">
        <v>12010513</v>
      </c>
      <c r="E306" s="229" t="s">
        <v>818</v>
      </c>
      <c r="F306" s="229">
        <v>2017</v>
      </c>
      <c r="G306">
        <v>3</v>
      </c>
      <c r="H306" t="s">
        <v>820</v>
      </c>
    </row>
    <row r="307" spans="1:8">
      <c r="A307" s="229" t="s">
        <v>1587</v>
      </c>
      <c r="C307" s="229">
        <v>216.4</v>
      </c>
      <c r="D307" s="229">
        <v>12010513</v>
      </c>
      <c r="E307" s="229" t="s">
        <v>818</v>
      </c>
      <c r="F307" s="229">
        <v>2017</v>
      </c>
      <c r="G307">
        <v>4</v>
      </c>
      <c r="H307" t="s">
        <v>820</v>
      </c>
    </row>
    <row r="308" spans="1:8">
      <c r="A308" s="229" t="s">
        <v>1587</v>
      </c>
      <c r="C308" s="229">
        <v>167.71</v>
      </c>
      <c r="D308" s="229">
        <v>12010513</v>
      </c>
      <c r="E308" s="229" t="s">
        <v>818</v>
      </c>
      <c r="F308" s="229">
        <v>2017</v>
      </c>
      <c r="G308">
        <v>4</v>
      </c>
      <c r="H308" t="s">
        <v>820</v>
      </c>
    </row>
    <row r="309" spans="1:8">
      <c r="A309" s="229" t="s">
        <v>1587</v>
      </c>
      <c r="C309" s="229">
        <v>238.04</v>
      </c>
      <c r="D309" s="229">
        <v>12010513</v>
      </c>
      <c r="E309" s="229" t="s">
        <v>818</v>
      </c>
      <c r="F309" s="229">
        <v>2017</v>
      </c>
      <c r="G309">
        <v>4</v>
      </c>
      <c r="H309" t="s">
        <v>820</v>
      </c>
    </row>
    <row r="310" spans="1:8">
      <c r="A310" s="229" t="s">
        <v>1587</v>
      </c>
      <c r="C310" s="229">
        <v>243.45</v>
      </c>
      <c r="D310" s="229">
        <v>12010513</v>
      </c>
      <c r="E310" s="229" t="s">
        <v>818</v>
      </c>
      <c r="F310" s="229">
        <v>2017</v>
      </c>
      <c r="G310">
        <v>4</v>
      </c>
      <c r="H310" t="s">
        <v>820</v>
      </c>
    </row>
    <row r="311" spans="1:8">
      <c r="A311" s="229" t="s">
        <v>1587</v>
      </c>
      <c r="C311" s="229">
        <v>210.99</v>
      </c>
      <c r="D311" s="229">
        <v>12010513</v>
      </c>
      <c r="E311" s="229" t="s">
        <v>818</v>
      </c>
      <c r="F311" s="229">
        <v>2017</v>
      </c>
      <c r="G311">
        <v>4</v>
      </c>
      <c r="H311" t="s">
        <v>820</v>
      </c>
    </row>
    <row r="312" spans="1:8">
      <c r="A312" s="229" t="s">
        <v>1587</v>
      </c>
      <c r="C312" s="229">
        <v>167.71</v>
      </c>
      <c r="D312" s="229">
        <v>12010513</v>
      </c>
      <c r="E312" s="229" t="s">
        <v>818</v>
      </c>
      <c r="F312" s="229">
        <v>2017</v>
      </c>
      <c r="G312">
        <v>4</v>
      </c>
      <c r="H312" t="s">
        <v>820</v>
      </c>
    </row>
    <row r="313" spans="1:8">
      <c r="A313" s="229" t="s">
        <v>1587</v>
      </c>
      <c r="C313" s="229">
        <v>194.76</v>
      </c>
      <c r="D313" s="229">
        <v>12010513</v>
      </c>
      <c r="E313" s="229" t="s">
        <v>818</v>
      </c>
      <c r="F313" s="229">
        <v>2017</v>
      </c>
      <c r="G313">
        <v>4</v>
      </c>
      <c r="H313" t="s">
        <v>820</v>
      </c>
    </row>
    <row r="314" spans="1:8">
      <c r="A314" s="229" t="s">
        <v>1587</v>
      </c>
      <c r="C314" s="229">
        <v>162.30000000000001</v>
      </c>
      <c r="D314" s="229">
        <v>12010513</v>
      </c>
      <c r="E314" s="229" t="s">
        <v>818</v>
      </c>
      <c r="F314" s="229">
        <v>2017</v>
      </c>
      <c r="G314">
        <v>4</v>
      </c>
      <c r="H314" t="s">
        <v>820</v>
      </c>
    </row>
    <row r="315" spans="1:8">
      <c r="A315" s="229" t="s">
        <v>1587</v>
      </c>
      <c r="C315" s="229">
        <v>324.60000000000002</v>
      </c>
      <c r="D315" s="229">
        <v>12010513</v>
      </c>
      <c r="E315" s="229" t="s">
        <v>818</v>
      </c>
      <c r="F315" s="229">
        <v>2017</v>
      </c>
      <c r="G315">
        <v>4</v>
      </c>
      <c r="H315" t="s">
        <v>820</v>
      </c>
    </row>
    <row r="316" spans="1:8">
      <c r="A316" s="229" t="s">
        <v>1587</v>
      </c>
      <c r="C316" s="229">
        <v>324.60000000000002</v>
      </c>
      <c r="D316" s="229">
        <v>12010513</v>
      </c>
      <c r="E316" s="229" t="s">
        <v>818</v>
      </c>
      <c r="F316" s="229">
        <v>2017</v>
      </c>
      <c r="G316">
        <v>4</v>
      </c>
      <c r="H316" t="s">
        <v>820</v>
      </c>
    </row>
    <row r="317" spans="1:8">
      <c r="A317" s="229" t="s">
        <v>1587</v>
      </c>
      <c r="C317" s="229">
        <v>324.60000000000002</v>
      </c>
      <c r="D317" s="229">
        <v>12010513</v>
      </c>
      <c r="E317" s="229" t="s">
        <v>818</v>
      </c>
      <c r="F317" s="229">
        <v>2017</v>
      </c>
      <c r="G317">
        <v>4</v>
      </c>
      <c r="H317" t="s">
        <v>820</v>
      </c>
    </row>
    <row r="318" spans="1:8">
      <c r="A318" s="229" t="s">
        <v>1587</v>
      </c>
      <c r="C318" s="229">
        <v>238.04</v>
      </c>
      <c r="D318" s="229">
        <v>12010513</v>
      </c>
      <c r="E318" s="229" t="s">
        <v>818</v>
      </c>
      <c r="F318" s="229">
        <v>2017</v>
      </c>
      <c r="G318">
        <v>4</v>
      </c>
      <c r="H318" t="s">
        <v>820</v>
      </c>
    </row>
    <row r="319" spans="1:8">
      <c r="A319" s="229" t="s">
        <v>1587</v>
      </c>
      <c r="C319" s="229">
        <v>324.60000000000002</v>
      </c>
      <c r="D319" s="229">
        <v>12010513</v>
      </c>
      <c r="E319" s="229" t="s">
        <v>818</v>
      </c>
      <c r="F319" s="229">
        <v>2017</v>
      </c>
      <c r="G319">
        <v>4</v>
      </c>
      <c r="H319" t="s">
        <v>820</v>
      </c>
    </row>
    <row r="320" spans="1:8">
      <c r="A320" s="229" t="s">
        <v>1587</v>
      </c>
      <c r="C320" s="229">
        <v>151.47999999999999</v>
      </c>
      <c r="D320" s="229">
        <v>12010513</v>
      </c>
      <c r="E320" s="229" t="s">
        <v>818</v>
      </c>
      <c r="F320" s="229">
        <v>2017</v>
      </c>
      <c r="G320">
        <v>4</v>
      </c>
      <c r="H320" t="s">
        <v>820</v>
      </c>
    </row>
    <row r="321" spans="1:8">
      <c r="A321" s="229" t="s">
        <v>1587</v>
      </c>
      <c r="C321" s="229">
        <v>216.4</v>
      </c>
      <c r="D321" s="229">
        <v>12010513</v>
      </c>
      <c r="E321" s="229" t="s">
        <v>818</v>
      </c>
      <c r="F321" s="229">
        <v>2017</v>
      </c>
      <c r="G321">
        <v>4</v>
      </c>
      <c r="H321" t="s">
        <v>820</v>
      </c>
    </row>
    <row r="322" spans="1:8">
      <c r="A322" s="229" t="s">
        <v>1587</v>
      </c>
      <c r="C322" s="229">
        <v>432.8</v>
      </c>
      <c r="D322" s="229">
        <v>12010513</v>
      </c>
      <c r="E322" s="229" t="s">
        <v>818</v>
      </c>
      <c r="F322" s="229">
        <v>2017</v>
      </c>
      <c r="G322">
        <v>4</v>
      </c>
      <c r="H322" t="s">
        <v>820</v>
      </c>
    </row>
    <row r="323" spans="1:8">
      <c r="A323" s="229" t="s">
        <v>1587</v>
      </c>
      <c r="C323" s="229">
        <v>432.8</v>
      </c>
      <c r="D323" s="229">
        <v>12010513</v>
      </c>
      <c r="E323" s="229" t="s">
        <v>818</v>
      </c>
      <c r="F323" s="229">
        <v>2017</v>
      </c>
      <c r="G323">
        <v>4</v>
      </c>
      <c r="H323" t="s">
        <v>820</v>
      </c>
    </row>
    <row r="324" spans="1:8">
      <c r="A324" s="229" t="s">
        <v>1587</v>
      </c>
      <c r="C324" s="229">
        <v>432.8</v>
      </c>
      <c r="D324" s="229">
        <v>12010513</v>
      </c>
      <c r="E324" s="229" t="s">
        <v>818</v>
      </c>
      <c r="F324" s="229">
        <v>2017</v>
      </c>
      <c r="G324">
        <v>4</v>
      </c>
      <c r="H324" t="s">
        <v>820</v>
      </c>
    </row>
    <row r="325" spans="1:8">
      <c r="A325" s="229" t="s">
        <v>1587</v>
      </c>
      <c r="C325" s="229">
        <v>259.68</v>
      </c>
      <c r="D325" s="229">
        <v>12010513</v>
      </c>
      <c r="E325" s="229" t="s">
        <v>818</v>
      </c>
      <c r="F325" s="229">
        <v>2017</v>
      </c>
      <c r="G325">
        <v>4</v>
      </c>
      <c r="H325" t="s">
        <v>820</v>
      </c>
    </row>
    <row r="326" spans="1:8">
      <c r="A326" s="229" t="s">
        <v>1587</v>
      </c>
      <c r="C326" s="229">
        <v>76.11</v>
      </c>
      <c r="D326" s="229">
        <v>12010513</v>
      </c>
      <c r="E326" s="229" t="s">
        <v>818</v>
      </c>
      <c r="F326" s="229">
        <v>2017</v>
      </c>
      <c r="G326">
        <v>4</v>
      </c>
      <c r="H326" t="s">
        <v>820</v>
      </c>
    </row>
    <row r="327" spans="1:8">
      <c r="A327" s="229" t="s">
        <v>1587</v>
      </c>
      <c r="C327" s="229">
        <v>135.03</v>
      </c>
      <c r="D327" s="229">
        <v>12010513</v>
      </c>
      <c r="E327" s="229" t="s">
        <v>818</v>
      </c>
      <c r="F327" s="229">
        <v>2017</v>
      </c>
      <c r="G327">
        <v>4</v>
      </c>
      <c r="H327" t="s">
        <v>820</v>
      </c>
    </row>
    <row r="328" spans="1:8">
      <c r="A328" s="229" t="s">
        <v>1587</v>
      </c>
      <c r="C328" s="229">
        <v>157.12</v>
      </c>
      <c r="D328" s="229">
        <v>12010513</v>
      </c>
      <c r="E328" s="229" t="s">
        <v>818</v>
      </c>
      <c r="F328" s="229">
        <v>2017</v>
      </c>
      <c r="G328">
        <v>4</v>
      </c>
      <c r="H328" t="s">
        <v>820</v>
      </c>
    </row>
    <row r="329" spans="1:8">
      <c r="A329" s="229" t="s">
        <v>1587</v>
      </c>
      <c r="C329" s="229">
        <v>166.94</v>
      </c>
      <c r="D329" s="229">
        <v>12010513</v>
      </c>
      <c r="E329" s="229" t="s">
        <v>818</v>
      </c>
      <c r="F329" s="229">
        <v>2017</v>
      </c>
      <c r="G329">
        <v>4</v>
      </c>
      <c r="H329" t="s">
        <v>820</v>
      </c>
    </row>
    <row r="330" spans="1:8">
      <c r="A330" s="229" t="s">
        <v>1587</v>
      </c>
      <c r="C330" s="229">
        <v>88.38</v>
      </c>
      <c r="D330" s="229">
        <v>12010513</v>
      </c>
      <c r="E330" s="229" t="s">
        <v>818</v>
      </c>
      <c r="F330" s="229">
        <v>2017</v>
      </c>
      <c r="G330">
        <v>4</v>
      </c>
      <c r="H330" t="s">
        <v>820</v>
      </c>
    </row>
    <row r="331" spans="1:8">
      <c r="A331" s="229" t="s">
        <v>1587</v>
      </c>
      <c r="C331" s="229">
        <v>176.76</v>
      </c>
      <c r="D331" s="229">
        <v>12010513</v>
      </c>
      <c r="E331" s="229" t="s">
        <v>818</v>
      </c>
      <c r="F331" s="229">
        <v>2017</v>
      </c>
      <c r="G331">
        <v>4</v>
      </c>
      <c r="H331" t="s">
        <v>820</v>
      </c>
    </row>
    <row r="332" spans="1:8">
      <c r="A332" s="229" t="s">
        <v>1587</v>
      </c>
      <c r="C332" s="229">
        <v>176.76</v>
      </c>
      <c r="D332" s="229">
        <v>12010513</v>
      </c>
      <c r="E332" s="229" t="s">
        <v>818</v>
      </c>
      <c r="F332" s="229">
        <v>2017</v>
      </c>
      <c r="G332">
        <v>4</v>
      </c>
      <c r="H332" t="s">
        <v>820</v>
      </c>
    </row>
    <row r="333" spans="1:8">
      <c r="A333" s="229" t="s">
        <v>1587</v>
      </c>
      <c r="C333" s="229">
        <v>54.1</v>
      </c>
      <c r="D333" s="229">
        <v>12010513</v>
      </c>
      <c r="E333" s="229" t="s">
        <v>818</v>
      </c>
      <c r="F333" s="229">
        <v>2017</v>
      </c>
      <c r="G333">
        <v>4</v>
      </c>
      <c r="H333" t="s">
        <v>820</v>
      </c>
    </row>
    <row r="334" spans="1:8">
      <c r="A334" s="229" t="s">
        <v>1587</v>
      </c>
      <c r="C334" s="229">
        <v>70.33</v>
      </c>
      <c r="D334" s="229">
        <v>12010513</v>
      </c>
      <c r="E334" s="229" t="s">
        <v>818</v>
      </c>
      <c r="F334" s="229">
        <v>2017</v>
      </c>
      <c r="G334">
        <v>4</v>
      </c>
      <c r="H334" t="s">
        <v>820</v>
      </c>
    </row>
    <row r="335" spans="1:8">
      <c r="A335" s="229" t="s">
        <v>1587</v>
      </c>
      <c r="C335" s="229">
        <v>8.1199999999999992</v>
      </c>
      <c r="D335" s="229">
        <v>12010513</v>
      </c>
      <c r="E335" s="229" t="s">
        <v>818</v>
      </c>
      <c r="F335" s="229">
        <v>2017</v>
      </c>
      <c r="G335">
        <v>4</v>
      </c>
      <c r="H335" t="s">
        <v>820</v>
      </c>
    </row>
    <row r="336" spans="1:8">
      <c r="A336" s="229" t="s">
        <v>1587</v>
      </c>
      <c r="C336" s="229">
        <v>78.56</v>
      </c>
      <c r="D336" s="229">
        <v>12010513</v>
      </c>
      <c r="E336" s="229" t="s">
        <v>818</v>
      </c>
      <c r="F336" s="229">
        <v>2017</v>
      </c>
      <c r="G336">
        <v>4</v>
      </c>
      <c r="H336" t="s">
        <v>820</v>
      </c>
    </row>
    <row r="337" spans="1:8">
      <c r="A337" s="229" t="s">
        <v>1587</v>
      </c>
      <c r="C337" s="229">
        <v>117.84</v>
      </c>
      <c r="D337" s="229">
        <v>12010513</v>
      </c>
      <c r="E337" s="229" t="s">
        <v>818</v>
      </c>
      <c r="F337" s="229">
        <v>2017</v>
      </c>
      <c r="G337">
        <v>4</v>
      </c>
      <c r="H337" t="s">
        <v>820</v>
      </c>
    </row>
    <row r="338" spans="1:8">
      <c r="A338" s="229" t="s">
        <v>1587</v>
      </c>
      <c r="C338" s="229">
        <v>117.84</v>
      </c>
      <c r="D338" s="229">
        <v>12010513</v>
      </c>
      <c r="E338" s="229" t="s">
        <v>818</v>
      </c>
      <c r="F338" s="229">
        <v>2017</v>
      </c>
      <c r="G338">
        <v>4</v>
      </c>
      <c r="H338" t="s">
        <v>820</v>
      </c>
    </row>
    <row r="339" spans="1:8">
      <c r="A339" s="229" t="s">
        <v>1587</v>
      </c>
      <c r="C339" s="229">
        <v>85.93</v>
      </c>
      <c r="D339" s="229">
        <v>12010513</v>
      </c>
      <c r="E339" s="229" t="s">
        <v>818</v>
      </c>
      <c r="F339" s="229">
        <v>2017</v>
      </c>
      <c r="G339">
        <v>4</v>
      </c>
      <c r="H339" t="s">
        <v>820</v>
      </c>
    </row>
    <row r="340" spans="1:8">
      <c r="A340" s="229" t="s">
        <v>1587</v>
      </c>
      <c r="C340" s="229">
        <v>117.84</v>
      </c>
      <c r="D340" s="229">
        <v>12010513</v>
      </c>
      <c r="E340" s="229" t="s">
        <v>818</v>
      </c>
      <c r="F340" s="229">
        <v>2017</v>
      </c>
      <c r="G340">
        <v>4</v>
      </c>
      <c r="H340" t="s">
        <v>820</v>
      </c>
    </row>
    <row r="341" spans="1:8">
      <c r="A341" s="229" t="s">
        <v>1587</v>
      </c>
      <c r="C341" s="229">
        <v>117.84</v>
      </c>
      <c r="D341" s="229">
        <v>12010513</v>
      </c>
      <c r="E341" s="229" t="s">
        <v>818</v>
      </c>
      <c r="F341" s="229">
        <v>2017</v>
      </c>
      <c r="G341">
        <v>4</v>
      </c>
      <c r="H341" t="s">
        <v>820</v>
      </c>
    </row>
    <row r="342" spans="1:8">
      <c r="A342" s="229" t="s">
        <v>1587</v>
      </c>
      <c r="C342" s="229">
        <v>117.84</v>
      </c>
      <c r="D342" s="229">
        <v>12010513</v>
      </c>
      <c r="E342" s="229" t="s">
        <v>818</v>
      </c>
      <c r="F342" s="229">
        <v>2017</v>
      </c>
      <c r="G342">
        <v>4</v>
      </c>
      <c r="H342" t="s">
        <v>820</v>
      </c>
    </row>
    <row r="343" spans="1:8">
      <c r="A343" s="229" t="s">
        <v>1587</v>
      </c>
      <c r="C343" s="229">
        <v>86.56</v>
      </c>
      <c r="D343" s="229">
        <v>12010513</v>
      </c>
      <c r="E343" s="229" t="s">
        <v>818</v>
      </c>
      <c r="F343" s="229">
        <v>2017</v>
      </c>
      <c r="G343">
        <v>4</v>
      </c>
      <c r="H343" t="s">
        <v>820</v>
      </c>
    </row>
    <row r="344" spans="1:8">
      <c r="A344" s="229" t="s">
        <v>1587</v>
      </c>
      <c r="C344" s="229">
        <v>54.1</v>
      </c>
      <c r="D344" s="229">
        <v>12010513</v>
      </c>
      <c r="E344" s="229" t="s">
        <v>818</v>
      </c>
      <c r="F344" s="229">
        <v>2017</v>
      </c>
      <c r="G344">
        <v>4</v>
      </c>
      <c r="H344" t="s">
        <v>820</v>
      </c>
    </row>
    <row r="345" spans="1:8">
      <c r="A345" s="229" t="s">
        <v>1587</v>
      </c>
      <c r="C345" s="229">
        <v>105.5</v>
      </c>
      <c r="D345" s="229">
        <v>12010513</v>
      </c>
      <c r="E345" s="229" t="s">
        <v>818</v>
      </c>
      <c r="F345" s="229">
        <v>2017</v>
      </c>
      <c r="G345">
        <v>4</v>
      </c>
      <c r="H345" t="s">
        <v>820</v>
      </c>
    </row>
    <row r="346" spans="1:8">
      <c r="A346" s="229" t="s">
        <v>1587</v>
      </c>
      <c r="C346" s="229">
        <v>75.739999999999995</v>
      </c>
      <c r="D346" s="229">
        <v>12010513</v>
      </c>
      <c r="E346" s="229" t="s">
        <v>818</v>
      </c>
      <c r="F346" s="229">
        <v>2017</v>
      </c>
      <c r="G346">
        <v>4</v>
      </c>
      <c r="H346" t="s">
        <v>820</v>
      </c>
    </row>
    <row r="347" spans="1:8">
      <c r="A347" s="229" t="s">
        <v>1587</v>
      </c>
      <c r="C347" s="229">
        <v>121.73</v>
      </c>
      <c r="D347" s="229">
        <v>12010513</v>
      </c>
      <c r="E347" s="229" t="s">
        <v>818</v>
      </c>
      <c r="F347" s="229">
        <v>2017</v>
      </c>
      <c r="G347">
        <v>4</v>
      </c>
      <c r="H347" t="s">
        <v>820</v>
      </c>
    </row>
    <row r="348" spans="1:8">
      <c r="A348" s="229" t="s">
        <v>1587</v>
      </c>
      <c r="C348" s="229">
        <v>129.84</v>
      </c>
      <c r="D348" s="229">
        <v>12010513</v>
      </c>
      <c r="E348" s="229" t="s">
        <v>818</v>
      </c>
      <c r="F348" s="229">
        <v>2017</v>
      </c>
      <c r="G348">
        <v>4</v>
      </c>
      <c r="H348" t="s">
        <v>820</v>
      </c>
    </row>
    <row r="349" spans="1:8">
      <c r="A349" s="229" t="s">
        <v>1587</v>
      </c>
      <c r="C349" s="229">
        <v>97.38</v>
      </c>
      <c r="D349" s="229">
        <v>12010513</v>
      </c>
      <c r="E349" s="229" t="s">
        <v>818</v>
      </c>
      <c r="F349" s="229">
        <v>2017</v>
      </c>
      <c r="G349">
        <v>4</v>
      </c>
      <c r="H349" t="s">
        <v>820</v>
      </c>
    </row>
    <row r="350" spans="1:8">
      <c r="A350" s="229" t="s">
        <v>1587</v>
      </c>
      <c r="C350" s="229">
        <v>129.84</v>
      </c>
      <c r="D350" s="229">
        <v>12010513</v>
      </c>
      <c r="E350" s="229" t="s">
        <v>818</v>
      </c>
      <c r="F350" s="229">
        <v>2017</v>
      </c>
      <c r="G350">
        <v>4</v>
      </c>
      <c r="H350" t="s">
        <v>820</v>
      </c>
    </row>
    <row r="351" spans="1:8">
      <c r="A351" s="229" t="s">
        <v>1587</v>
      </c>
      <c r="C351" s="229">
        <v>97.74</v>
      </c>
      <c r="D351" s="229">
        <v>12010513</v>
      </c>
      <c r="E351" s="229" t="s">
        <v>818</v>
      </c>
      <c r="F351" s="229">
        <v>2017</v>
      </c>
      <c r="G351">
        <v>4</v>
      </c>
      <c r="H351" t="s">
        <v>820</v>
      </c>
    </row>
    <row r="352" spans="1:8">
      <c r="A352" s="229" t="s">
        <v>1587</v>
      </c>
      <c r="C352" s="229">
        <v>108.6</v>
      </c>
      <c r="D352" s="229">
        <v>12010513</v>
      </c>
      <c r="E352" s="229" t="s">
        <v>818</v>
      </c>
      <c r="F352" s="229">
        <v>2017</v>
      </c>
      <c r="G352">
        <v>4</v>
      </c>
      <c r="H352" t="s">
        <v>820</v>
      </c>
    </row>
    <row r="353" spans="1:8">
      <c r="A353" s="229" t="s">
        <v>1587</v>
      </c>
      <c r="C353" s="229">
        <v>152.04</v>
      </c>
      <c r="D353" s="229">
        <v>12010513</v>
      </c>
      <c r="E353" s="229" t="s">
        <v>818</v>
      </c>
      <c r="F353" s="229">
        <v>2017</v>
      </c>
      <c r="G353">
        <v>4</v>
      </c>
      <c r="H353" t="s">
        <v>820</v>
      </c>
    </row>
    <row r="354" spans="1:8">
      <c r="A354" s="229" t="s">
        <v>1587</v>
      </c>
      <c r="C354" s="229">
        <v>76.02</v>
      </c>
      <c r="D354" s="229">
        <v>12010513</v>
      </c>
      <c r="E354" s="229" t="s">
        <v>818</v>
      </c>
      <c r="F354" s="229">
        <v>2017</v>
      </c>
      <c r="G354">
        <v>4</v>
      </c>
      <c r="H354" t="s">
        <v>820</v>
      </c>
    </row>
    <row r="355" spans="1:8">
      <c r="A355" s="229" t="s">
        <v>1587</v>
      </c>
      <c r="C355" s="229">
        <v>162.30000000000001</v>
      </c>
      <c r="D355" s="229">
        <v>12010513</v>
      </c>
      <c r="E355" s="229" t="s">
        <v>818</v>
      </c>
      <c r="F355" s="229">
        <v>2017</v>
      </c>
      <c r="G355">
        <v>4</v>
      </c>
      <c r="H355" t="s">
        <v>820</v>
      </c>
    </row>
    <row r="356" spans="1:8">
      <c r="A356" s="229" t="s">
        <v>1587</v>
      </c>
      <c r="C356" s="229">
        <v>86.56</v>
      </c>
      <c r="D356" s="229">
        <v>12010513</v>
      </c>
      <c r="E356" s="229" t="s">
        <v>818</v>
      </c>
      <c r="F356" s="229">
        <v>2017</v>
      </c>
      <c r="G356">
        <v>4</v>
      </c>
      <c r="H356" t="s">
        <v>820</v>
      </c>
    </row>
    <row r="357" spans="1:8">
      <c r="A357" s="229" t="s">
        <v>1587</v>
      </c>
      <c r="C357" s="229">
        <v>0</v>
      </c>
      <c r="D357" s="229">
        <v>12010513</v>
      </c>
      <c r="E357" s="229" t="s">
        <v>818</v>
      </c>
      <c r="F357" s="229">
        <v>2017</v>
      </c>
      <c r="G357">
        <v>4</v>
      </c>
      <c r="H357" t="s">
        <v>820</v>
      </c>
    </row>
    <row r="358" spans="1:8">
      <c r="A358" s="229" t="s">
        <v>1587</v>
      </c>
      <c r="C358" s="229">
        <v>165.78</v>
      </c>
      <c r="D358" s="229">
        <v>12010512</v>
      </c>
      <c r="E358" s="229" t="s">
        <v>818</v>
      </c>
      <c r="F358" s="229">
        <v>2017</v>
      </c>
      <c r="G358">
        <v>4</v>
      </c>
      <c r="H358" t="s">
        <v>820</v>
      </c>
    </row>
    <row r="359" spans="1:8">
      <c r="A359" s="229" t="s">
        <v>1587</v>
      </c>
      <c r="C359" s="229">
        <v>129.84</v>
      </c>
      <c r="D359" s="229">
        <v>12010513</v>
      </c>
      <c r="E359" s="229" t="s">
        <v>818</v>
      </c>
      <c r="F359" s="229">
        <v>2017</v>
      </c>
      <c r="G359">
        <v>4</v>
      </c>
      <c r="H359" t="s">
        <v>820</v>
      </c>
    </row>
    <row r="360" spans="1:8">
      <c r="A360" s="229" t="s">
        <v>1587</v>
      </c>
      <c r="C360" s="229">
        <v>173.12</v>
      </c>
      <c r="D360" s="229">
        <v>12010513</v>
      </c>
      <c r="E360" s="229" t="s">
        <v>818</v>
      </c>
      <c r="F360" s="229">
        <v>2017</v>
      </c>
      <c r="G360">
        <v>4</v>
      </c>
      <c r="H360" t="s">
        <v>820</v>
      </c>
    </row>
    <row r="361" spans="1:8">
      <c r="A361" s="229" t="s">
        <v>1587</v>
      </c>
      <c r="C361" s="229">
        <v>165.78</v>
      </c>
      <c r="D361" s="229">
        <v>12010513</v>
      </c>
      <c r="E361" s="229" t="s">
        <v>818</v>
      </c>
      <c r="F361" s="229">
        <v>2017</v>
      </c>
      <c r="G361">
        <v>4</v>
      </c>
      <c r="H361" t="s">
        <v>820</v>
      </c>
    </row>
    <row r="362" spans="1:8">
      <c r="A362" s="229" t="s">
        <v>1587</v>
      </c>
      <c r="C362" s="229">
        <v>-165.78</v>
      </c>
      <c r="D362" s="229">
        <v>12010512</v>
      </c>
      <c r="E362" s="229" t="s">
        <v>818</v>
      </c>
      <c r="F362" s="229">
        <v>2017</v>
      </c>
      <c r="G362">
        <v>4</v>
      </c>
      <c r="H362" t="s">
        <v>820</v>
      </c>
    </row>
    <row r="363" spans="1:8">
      <c r="A363" s="229" t="s">
        <v>1587</v>
      </c>
      <c r="C363" s="229">
        <v>108.2</v>
      </c>
      <c r="D363" s="229">
        <v>12010513</v>
      </c>
      <c r="E363" s="229" t="s">
        <v>818</v>
      </c>
      <c r="F363" s="229">
        <v>2017</v>
      </c>
      <c r="G363">
        <v>4</v>
      </c>
      <c r="H363" t="s">
        <v>820</v>
      </c>
    </row>
    <row r="364" spans="1:8">
      <c r="A364" s="229" t="s">
        <v>1587</v>
      </c>
      <c r="C364" s="229">
        <v>292.14</v>
      </c>
      <c r="D364" s="229">
        <v>12010513</v>
      </c>
      <c r="E364" s="229" t="s">
        <v>818</v>
      </c>
      <c r="F364" s="229">
        <v>2017</v>
      </c>
      <c r="G364">
        <v>4</v>
      </c>
      <c r="H364" t="s">
        <v>820</v>
      </c>
    </row>
    <row r="365" spans="1:8">
      <c r="A365" s="229" t="s">
        <v>1587</v>
      </c>
      <c r="C365" s="229">
        <v>335.42</v>
      </c>
      <c r="D365" s="229">
        <v>12010513</v>
      </c>
      <c r="E365" s="229" t="s">
        <v>818</v>
      </c>
      <c r="F365" s="229">
        <v>2017</v>
      </c>
      <c r="G365">
        <v>4</v>
      </c>
      <c r="H365" t="s">
        <v>820</v>
      </c>
    </row>
    <row r="366" spans="1:8">
      <c r="A366" s="229" t="s">
        <v>1587</v>
      </c>
      <c r="C366" s="229">
        <v>108.2</v>
      </c>
      <c r="D366" s="229">
        <v>12010513</v>
      </c>
      <c r="E366" s="229" t="s">
        <v>818</v>
      </c>
      <c r="F366" s="229">
        <v>2017</v>
      </c>
      <c r="G366">
        <v>4</v>
      </c>
      <c r="H366" t="s">
        <v>820</v>
      </c>
    </row>
    <row r="367" spans="1:8">
      <c r="A367" s="229" t="s">
        <v>1587</v>
      </c>
      <c r="C367" s="229">
        <v>183.94</v>
      </c>
      <c r="D367" s="229">
        <v>12010513</v>
      </c>
      <c r="E367" s="229" t="s">
        <v>818</v>
      </c>
      <c r="F367" s="229">
        <v>2017</v>
      </c>
      <c r="G367">
        <v>4</v>
      </c>
      <c r="H367" t="s">
        <v>820</v>
      </c>
    </row>
    <row r="368" spans="1:8">
      <c r="A368" s="229" t="s">
        <v>1587</v>
      </c>
      <c r="C368" s="229">
        <v>173.12</v>
      </c>
      <c r="D368" s="229">
        <v>12010513</v>
      </c>
      <c r="E368" s="229" t="s">
        <v>818</v>
      </c>
      <c r="F368" s="229">
        <v>2017</v>
      </c>
      <c r="G368">
        <v>4</v>
      </c>
      <c r="H368" t="s">
        <v>820</v>
      </c>
    </row>
    <row r="369" spans="1:8">
      <c r="A369" s="229" t="s">
        <v>1587</v>
      </c>
      <c r="C369" s="229">
        <v>194.76</v>
      </c>
      <c r="D369" s="229">
        <v>12010513</v>
      </c>
      <c r="E369" s="229" t="s">
        <v>818</v>
      </c>
      <c r="F369" s="229">
        <v>2017</v>
      </c>
      <c r="G369">
        <v>4</v>
      </c>
      <c r="H369" t="s">
        <v>820</v>
      </c>
    </row>
    <row r="370" spans="1:8">
      <c r="A370" s="229" t="s">
        <v>1587</v>
      </c>
      <c r="C370" s="229">
        <v>108.2</v>
      </c>
      <c r="D370" s="229">
        <v>12010513</v>
      </c>
      <c r="E370" s="229" t="s">
        <v>818</v>
      </c>
      <c r="F370" s="229">
        <v>2017</v>
      </c>
      <c r="G370">
        <v>4</v>
      </c>
      <c r="H370" t="s">
        <v>820</v>
      </c>
    </row>
    <row r="371" spans="1:8">
      <c r="A371" s="229" t="s">
        <v>1587</v>
      </c>
      <c r="C371" s="229">
        <v>270.5</v>
      </c>
      <c r="D371" s="229">
        <v>12010513</v>
      </c>
      <c r="E371" s="229" t="s">
        <v>818</v>
      </c>
      <c r="F371" s="229">
        <v>2017</v>
      </c>
      <c r="G371">
        <v>4</v>
      </c>
      <c r="H371" t="s">
        <v>820</v>
      </c>
    </row>
    <row r="372" spans="1:8">
      <c r="A372" s="229" t="s">
        <v>1587</v>
      </c>
      <c r="C372" s="229">
        <v>173.12</v>
      </c>
      <c r="D372" s="229">
        <v>12010513</v>
      </c>
      <c r="E372" s="229" t="s">
        <v>818</v>
      </c>
      <c r="F372" s="229">
        <v>2017</v>
      </c>
      <c r="G372">
        <v>4</v>
      </c>
      <c r="H372" t="s">
        <v>820</v>
      </c>
    </row>
    <row r="373" spans="1:8">
      <c r="A373" s="229" t="s">
        <v>1587</v>
      </c>
      <c r="C373" s="229">
        <v>43.28</v>
      </c>
      <c r="D373" s="229">
        <v>12010513</v>
      </c>
      <c r="E373" s="229" t="s">
        <v>818</v>
      </c>
      <c r="F373" s="229">
        <v>2017</v>
      </c>
      <c r="G373">
        <v>4</v>
      </c>
      <c r="H373" t="s">
        <v>820</v>
      </c>
    </row>
    <row r="374" spans="1:8">
      <c r="A374" s="229" t="s">
        <v>1587</v>
      </c>
      <c r="C374" s="229">
        <v>200.17</v>
      </c>
      <c r="D374" s="229">
        <v>12010513</v>
      </c>
      <c r="E374" s="229" t="s">
        <v>818</v>
      </c>
      <c r="F374" s="229">
        <v>2017</v>
      </c>
      <c r="G374">
        <v>4</v>
      </c>
      <c r="H374" t="s">
        <v>820</v>
      </c>
    </row>
    <row r="375" spans="1:8">
      <c r="A375" s="229" t="s">
        <v>1587</v>
      </c>
      <c r="C375" s="229">
        <v>137.96</v>
      </c>
      <c r="D375" s="229">
        <v>12010513</v>
      </c>
      <c r="E375" s="229" t="s">
        <v>818</v>
      </c>
      <c r="F375" s="229">
        <v>2017</v>
      </c>
      <c r="G375">
        <v>4</v>
      </c>
      <c r="H375" t="s">
        <v>820</v>
      </c>
    </row>
    <row r="376" spans="1:8">
      <c r="A376" s="229" t="s">
        <v>1587</v>
      </c>
      <c r="C376" s="229">
        <v>267.8</v>
      </c>
      <c r="D376" s="229">
        <v>12010513</v>
      </c>
      <c r="E376" s="229" t="s">
        <v>818</v>
      </c>
      <c r="F376" s="229">
        <v>2017</v>
      </c>
      <c r="G376">
        <v>4</v>
      </c>
      <c r="H376" t="s">
        <v>820</v>
      </c>
    </row>
    <row r="377" spans="1:8">
      <c r="A377" s="229" t="s">
        <v>1587</v>
      </c>
      <c r="C377" s="229">
        <v>232.63</v>
      </c>
      <c r="D377" s="229">
        <v>12010513</v>
      </c>
      <c r="E377" s="229" t="s">
        <v>818</v>
      </c>
      <c r="F377" s="229">
        <v>2017</v>
      </c>
      <c r="G377">
        <v>4</v>
      </c>
      <c r="H377" t="s">
        <v>820</v>
      </c>
    </row>
    <row r="378" spans="1:8">
      <c r="A378" s="229" t="s">
        <v>1587</v>
      </c>
      <c r="C378" s="229">
        <v>75.739999999999995</v>
      </c>
      <c r="D378" s="229">
        <v>12010513</v>
      </c>
      <c r="E378" s="229" t="s">
        <v>818</v>
      </c>
      <c r="F378" s="229">
        <v>2017</v>
      </c>
      <c r="G378">
        <v>4</v>
      </c>
      <c r="H378" t="s">
        <v>820</v>
      </c>
    </row>
    <row r="379" spans="1:8">
      <c r="A379" s="229" t="s">
        <v>1587</v>
      </c>
      <c r="C379" s="229">
        <v>159.6</v>
      </c>
      <c r="D379" s="229">
        <v>12010513</v>
      </c>
      <c r="E379" s="229" t="s">
        <v>818</v>
      </c>
      <c r="F379" s="229">
        <v>2017</v>
      </c>
      <c r="G379">
        <v>4</v>
      </c>
      <c r="H379" t="s">
        <v>820</v>
      </c>
    </row>
    <row r="380" spans="1:8">
      <c r="A380" s="229" t="s">
        <v>1587</v>
      </c>
      <c r="C380" s="229">
        <v>116.32</v>
      </c>
      <c r="D380" s="229">
        <v>12010513</v>
      </c>
      <c r="E380" s="229" t="s">
        <v>818</v>
      </c>
      <c r="F380" s="229">
        <v>2017</v>
      </c>
      <c r="G380">
        <v>4</v>
      </c>
      <c r="H380" t="s">
        <v>820</v>
      </c>
    </row>
    <row r="381" spans="1:8">
      <c r="A381" s="229" t="s">
        <v>1587</v>
      </c>
      <c r="C381" s="229">
        <v>94.68</v>
      </c>
      <c r="D381" s="229">
        <v>12010513</v>
      </c>
      <c r="E381" s="229" t="s">
        <v>818</v>
      </c>
      <c r="F381" s="229">
        <v>2017</v>
      </c>
      <c r="G381">
        <v>4</v>
      </c>
      <c r="H381" t="s">
        <v>820</v>
      </c>
    </row>
    <row r="382" spans="1:8">
      <c r="A382" s="229" t="s">
        <v>1587</v>
      </c>
      <c r="C382" s="229">
        <v>29.76</v>
      </c>
      <c r="D382" s="229">
        <v>12010513</v>
      </c>
      <c r="E382" s="229" t="s">
        <v>818</v>
      </c>
      <c r="F382" s="229">
        <v>2017</v>
      </c>
      <c r="G382">
        <v>4</v>
      </c>
      <c r="H382" t="s">
        <v>820</v>
      </c>
    </row>
    <row r="383" spans="1:8">
      <c r="A383" s="229" t="s">
        <v>1587</v>
      </c>
      <c r="C383" s="229">
        <v>70.33</v>
      </c>
      <c r="D383" s="229">
        <v>12010513</v>
      </c>
      <c r="E383" s="229" t="s">
        <v>818</v>
      </c>
      <c r="F383" s="229">
        <v>2017</v>
      </c>
      <c r="G383">
        <v>4</v>
      </c>
      <c r="H383" t="s">
        <v>820</v>
      </c>
    </row>
    <row r="384" spans="1:8">
      <c r="A384" s="229" t="s">
        <v>1587</v>
      </c>
      <c r="C384" s="229">
        <v>108.2</v>
      </c>
      <c r="D384" s="229">
        <v>12010513</v>
      </c>
      <c r="E384" s="229" t="s">
        <v>818</v>
      </c>
      <c r="F384" s="229">
        <v>2017</v>
      </c>
      <c r="G384">
        <v>4</v>
      </c>
      <c r="H384" t="s">
        <v>820</v>
      </c>
    </row>
    <row r="385" spans="1:8">
      <c r="A385" s="229" t="s">
        <v>1587</v>
      </c>
      <c r="C385" s="229">
        <v>64.92</v>
      </c>
      <c r="D385" s="229">
        <v>12010513</v>
      </c>
      <c r="E385" s="229" t="s">
        <v>818</v>
      </c>
      <c r="F385" s="229">
        <v>2017</v>
      </c>
      <c r="G385">
        <v>4</v>
      </c>
      <c r="H385" t="s">
        <v>820</v>
      </c>
    </row>
    <row r="386" spans="1:8">
      <c r="A386" s="229" t="s">
        <v>1587</v>
      </c>
      <c r="C386" s="229">
        <v>13.53</v>
      </c>
      <c r="D386" s="229">
        <v>12010513</v>
      </c>
      <c r="E386" s="229" t="s">
        <v>818</v>
      </c>
      <c r="F386" s="229">
        <v>2017</v>
      </c>
      <c r="G386">
        <v>4</v>
      </c>
      <c r="H386" t="s">
        <v>820</v>
      </c>
    </row>
    <row r="387" spans="1:8">
      <c r="A387" s="229" t="s">
        <v>1587</v>
      </c>
      <c r="C387" s="229">
        <v>10.82</v>
      </c>
      <c r="D387" s="229">
        <v>12010513</v>
      </c>
      <c r="E387" s="229" t="s">
        <v>818</v>
      </c>
      <c r="F387" s="229">
        <v>2017</v>
      </c>
      <c r="G387">
        <v>4</v>
      </c>
      <c r="H387" t="s">
        <v>820</v>
      </c>
    </row>
    <row r="388" spans="1:8">
      <c r="A388" s="229" t="s">
        <v>1587</v>
      </c>
      <c r="C388" s="229">
        <v>45.99</v>
      </c>
      <c r="D388" s="229">
        <v>12010513</v>
      </c>
      <c r="E388" s="229" t="s">
        <v>818</v>
      </c>
      <c r="F388" s="229">
        <v>2017</v>
      </c>
      <c r="G388">
        <v>4</v>
      </c>
      <c r="H388" t="s">
        <v>820</v>
      </c>
    </row>
    <row r="389" spans="1:8">
      <c r="A389" s="229" t="s">
        <v>1587</v>
      </c>
      <c r="C389" s="229">
        <v>59.51</v>
      </c>
      <c r="D389" s="229">
        <v>12010513</v>
      </c>
      <c r="E389" s="229" t="s">
        <v>818</v>
      </c>
      <c r="F389" s="229">
        <v>2017</v>
      </c>
      <c r="G389">
        <v>4</v>
      </c>
      <c r="H389" t="s">
        <v>820</v>
      </c>
    </row>
    <row r="390" spans="1:8">
      <c r="A390" s="229" t="s">
        <v>1587</v>
      </c>
      <c r="C390" s="229">
        <v>27.05</v>
      </c>
      <c r="D390" s="229">
        <v>12010513</v>
      </c>
      <c r="E390" s="229" t="s">
        <v>818</v>
      </c>
      <c r="F390" s="229">
        <v>2017</v>
      </c>
      <c r="G390">
        <v>4</v>
      </c>
      <c r="H390" t="s">
        <v>820</v>
      </c>
    </row>
    <row r="391" spans="1:8">
      <c r="A391" s="229" t="s">
        <v>1587</v>
      </c>
      <c r="C391" s="229">
        <v>43.28</v>
      </c>
      <c r="D391" s="229">
        <v>12010513</v>
      </c>
      <c r="E391" s="229" t="s">
        <v>818</v>
      </c>
      <c r="F391" s="229">
        <v>2017</v>
      </c>
      <c r="G391">
        <v>4</v>
      </c>
      <c r="H391" t="s">
        <v>820</v>
      </c>
    </row>
    <row r="392" spans="1:8">
      <c r="A392" s="229" t="s">
        <v>1587</v>
      </c>
      <c r="C392" s="229">
        <v>27.05</v>
      </c>
      <c r="D392" s="229">
        <v>12010513</v>
      </c>
      <c r="E392" s="229" t="s">
        <v>818</v>
      </c>
      <c r="F392" s="229">
        <v>2017</v>
      </c>
      <c r="G392">
        <v>4</v>
      </c>
      <c r="H392" t="s">
        <v>820</v>
      </c>
    </row>
    <row r="393" spans="1:8">
      <c r="A393" s="229" t="s">
        <v>1587</v>
      </c>
      <c r="C393" s="229">
        <v>70.33</v>
      </c>
      <c r="D393" s="229">
        <v>12010513</v>
      </c>
      <c r="E393" s="229" t="s">
        <v>818</v>
      </c>
      <c r="F393" s="229">
        <v>2017</v>
      </c>
      <c r="G393">
        <v>4</v>
      </c>
      <c r="H393" t="s">
        <v>820</v>
      </c>
    </row>
    <row r="394" spans="1:8">
      <c r="A394" s="229" t="s">
        <v>1587</v>
      </c>
      <c r="C394" s="229">
        <v>43.28</v>
      </c>
      <c r="D394" s="229">
        <v>12010513</v>
      </c>
      <c r="E394" s="229" t="s">
        <v>818</v>
      </c>
      <c r="F394" s="229">
        <v>2017</v>
      </c>
      <c r="G394">
        <v>4</v>
      </c>
      <c r="H394" t="s">
        <v>820</v>
      </c>
    </row>
    <row r="395" spans="1:8">
      <c r="A395" s="229" t="s">
        <v>1587</v>
      </c>
      <c r="C395" s="229">
        <v>86.56</v>
      </c>
      <c r="D395" s="229">
        <v>12010513</v>
      </c>
      <c r="E395" s="229" t="s">
        <v>818</v>
      </c>
      <c r="F395" s="229">
        <v>2017</v>
      </c>
      <c r="G395">
        <v>4</v>
      </c>
      <c r="H395" t="s">
        <v>820</v>
      </c>
    </row>
    <row r="396" spans="1:8">
      <c r="A396" s="229" t="s">
        <v>1587</v>
      </c>
      <c r="C396" s="229">
        <v>97.38</v>
      </c>
      <c r="D396" s="229">
        <v>12010513</v>
      </c>
      <c r="E396" s="229" t="s">
        <v>818</v>
      </c>
      <c r="F396" s="229">
        <v>2017</v>
      </c>
      <c r="G396">
        <v>4</v>
      </c>
      <c r="H396" t="s">
        <v>820</v>
      </c>
    </row>
    <row r="397" spans="1:8">
      <c r="A397" s="229" t="s">
        <v>1587</v>
      </c>
      <c r="C397" s="229">
        <v>75.739999999999995</v>
      </c>
      <c r="D397" s="229">
        <v>12010513</v>
      </c>
      <c r="E397" s="229" t="s">
        <v>818</v>
      </c>
      <c r="F397" s="229">
        <v>2017</v>
      </c>
      <c r="G397">
        <v>4</v>
      </c>
      <c r="H397" t="s">
        <v>820</v>
      </c>
    </row>
    <row r="398" spans="1:8">
      <c r="A398" s="229" t="s">
        <v>1587</v>
      </c>
      <c r="C398" s="229">
        <v>32.46</v>
      </c>
      <c r="D398" s="229">
        <v>12010513</v>
      </c>
      <c r="E398" s="229" t="s">
        <v>818</v>
      </c>
      <c r="F398" s="229">
        <v>2017</v>
      </c>
      <c r="G398">
        <v>4</v>
      </c>
      <c r="H398" t="s">
        <v>820</v>
      </c>
    </row>
    <row r="399" spans="1:8">
      <c r="A399" s="229" t="s">
        <v>1587</v>
      </c>
      <c r="C399" s="229">
        <v>18.940000000000001</v>
      </c>
      <c r="D399" s="229">
        <v>12010513</v>
      </c>
      <c r="E399" s="229" t="s">
        <v>818</v>
      </c>
      <c r="F399" s="229">
        <v>2017</v>
      </c>
      <c r="G399">
        <v>4</v>
      </c>
      <c r="H399" t="s">
        <v>820</v>
      </c>
    </row>
    <row r="400" spans="1:8">
      <c r="A400" s="229" t="s">
        <v>1587</v>
      </c>
      <c r="C400" s="229">
        <v>67.63</v>
      </c>
      <c r="D400" s="229">
        <v>12010513</v>
      </c>
      <c r="E400" s="229" t="s">
        <v>818</v>
      </c>
      <c r="F400" s="229">
        <v>2017</v>
      </c>
      <c r="G400">
        <v>4</v>
      </c>
      <c r="H400" t="s">
        <v>820</v>
      </c>
    </row>
    <row r="401" spans="1:8">
      <c r="A401" s="229" t="s">
        <v>1587</v>
      </c>
      <c r="C401" s="229">
        <v>132.55000000000001</v>
      </c>
      <c r="D401" s="229">
        <v>12010513</v>
      </c>
      <c r="E401" s="229" t="s">
        <v>818</v>
      </c>
      <c r="F401" s="229">
        <v>2017</v>
      </c>
      <c r="G401">
        <v>4</v>
      </c>
      <c r="H401" t="s">
        <v>820</v>
      </c>
    </row>
    <row r="402" spans="1:8">
      <c r="A402" s="229" t="s">
        <v>1587</v>
      </c>
      <c r="C402" s="229">
        <v>216.4</v>
      </c>
      <c r="D402" s="229">
        <v>12010513</v>
      </c>
      <c r="E402" s="229" t="s">
        <v>818</v>
      </c>
      <c r="F402" s="229">
        <v>2017</v>
      </c>
      <c r="G402">
        <v>4</v>
      </c>
      <c r="H402" t="s">
        <v>820</v>
      </c>
    </row>
    <row r="403" spans="1:8">
      <c r="A403" s="229" t="s">
        <v>1587</v>
      </c>
      <c r="C403" s="229">
        <v>432.8</v>
      </c>
      <c r="D403" s="229">
        <v>12010513</v>
      </c>
      <c r="E403" s="229" t="s">
        <v>818</v>
      </c>
      <c r="F403" s="229">
        <v>2017</v>
      </c>
      <c r="G403">
        <v>4</v>
      </c>
      <c r="H403" t="s">
        <v>820</v>
      </c>
    </row>
    <row r="404" spans="1:8">
      <c r="A404" s="229" t="s">
        <v>1587</v>
      </c>
      <c r="C404" s="229">
        <v>432.8</v>
      </c>
      <c r="D404" s="229">
        <v>12010513</v>
      </c>
      <c r="E404" s="229" t="s">
        <v>818</v>
      </c>
      <c r="F404" s="229">
        <v>2017</v>
      </c>
      <c r="G404">
        <v>4</v>
      </c>
      <c r="H404" t="s">
        <v>820</v>
      </c>
    </row>
    <row r="405" spans="1:8">
      <c r="A405" s="229" t="s">
        <v>1587</v>
      </c>
      <c r="C405" s="229">
        <v>519.36</v>
      </c>
      <c r="D405" s="229">
        <v>12010513</v>
      </c>
      <c r="E405" s="229" t="s">
        <v>818</v>
      </c>
      <c r="F405" s="229">
        <v>2017</v>
      </c>
      <c r="G405">
        <v>4</v>
      </c>
      <c r="H405" t="s">
        <v>820</v>
      </c>
    </row>
    <row r="406" spans="1:8">
      <c r="A406" s="229" t="s">
        <v>1589</v>
      </c>
      <c r="C406" s="229">
        <v>1.99</v>
      </c>
      <c r="D406" s="229">
        <v>12010512</v>
      </c>
      <c r="E406" s="229" t="s">
        <v>818</v>
      </c>
      <c r="F406" s="229">
        <v>2017</v>
      </c>
      <c r="G406">
        <v>4</v>
      </c>
      <c r="H406" t="s">
        <v>820</v>
      </c>
    </row>
    <row r="407" spans="1:8">
      <c r="A407" s="229" t="s">
        <v>1589</v>
      </c>
      <c r="C407" s="229">
        <v>33.35</v>
      </c>
      <c r="D407" s="229">
        <v>12010513</v>
      </c>
      <c r="E407" s="229" t="s">
        <v>818</v>
      </c>
      <c r="F407" s="229">
        <v>2017</v>
      </c>
      <c r="G407">
        <v>4</v>
      </c>
      <c r="H407" t="s">
        <v>820</v>
      </c>
    </row>
    <row r="408" spans="1:8">
      <c r="A408" s="229" t="s">
        <v>1589</v>
      </c>
      <c r="C408" s="229">
        <v>62.08</v>
      </c>
      <c r="D408" s="229">
        <v>12010513</v>
      </c>
      <c r="E408" s="229" t="s">
        <v>818</v>
      </c>
      <c r="F408" s="229">
        <v>2017</v>
      </c>
      <c r="G408">
        <v>4</v>
      </c>
      <c r="H408" t="s">
        <v>820</v>
      </c>
    </row>
    <row r="409" spans="1:8">
      <c r="A409" s="229" t="s">
        <v>1589</v>
      </c>
      <c r="C409" s="229">
        <v>-1.99</v>
      </c>
      <c r="D409" s="229">
        <v>12010512</v>
      </c>
      <c r="E409" s="229" t="s">
        <v>818</v>
      </c>
      <c r="F409" s="229">
        <v>2017</v>
      </c>
      <c r="G409">
        <v>4</v>
      </c>
      <c r="H409" t="s">
        <v>820</v>
      </c>
    </row>
    <row r="410" spans="1:8">
      <c r="A410" s="229" t="s">
        <v>1589</v>
      </c>
      <c r="C410" s="229">
        <v>63.85</v>
      </c>
      <c r="D410" s="229">
        <v>12010513</v>
      </c>
      <c r="E410" s="229" t="s">
        <v>818</v>
      </c>
      <c r="F410" s="229">
        <v>2017</v>
      </c>
      <c r="G410">
        <v>4</v>
      </c>
      <c r="H410" t="s">
        <v>820</v>
      </c>
    </row>
    <row r="411" spans="1:8">
      <c r="A411" s="229" t="s">
        <v>1589</v>
      </c>
      <c r="C411" s="229">
        <v>19.309999999999999</v>
      </c>
      <c r="D411" s="229">
        <v>12010513</v>
      </c>
      <c r="E411" s="229" t="s">
        <v>818</v>
      </c>
      <c r="F411" s="229">
        <v>2017</v>
      </c>
      <c r="G411">
        <v>4</v>
      </c>
      <c r="H411" t="s">
        <v>820</v>
      </c>
    </row>
    <row r="412" spans="1:8">
      <c r="A412" s="229" t="s">
        <v>1594</v>
      </c>
      <c r="C412" s="229">
        <v>19.95</v>
      </c>
      <c r="D412" s="229">
        <v>12010513</v>
      </c>
      <c r="E412" s="229" t="s">
        <v>818</v>
      </c>
      <c r="F412" s="229">
        <v>2017</v>
      </c>
      <c r="G412">
        <v>4</v>
      </c>
      <c r="H412" t="s">
        <v>820</v>
      </c>
    </row>
    <row r="413" spans="1:8">
      <c r="A413" s="229" t="s">
        <v>1594</v>
      </c>
      <c r="C413" s="229">
        <v>16.78</v>
      </c>
      <c r="D413" s="229">
        <v>12010513</v>
      </c>
      <c r="E413" s="229" t="s">
        <v>818</v>
      </c>
      <c r="F413" s="229">
        <v>2017</v>
      </c>
      <c r="G413">
        <v>4</v>
      </c>
      <c r="H413" t="s">
        <v>820</v>
      </c>
    </row>
    <row r="414" spans="1:8">
      <c r="A414" s="229" t="s">
        <v>1595</v>
      </c>
      <c r="C414" s="229">
        <v>192</v>
      </c>
      <c r="D414" s="229">
        <v>12010513</v>
      </c>
      <c r="E414" s="229" t="s">
        <v>818</v>
      </c>
      <c r="F414" s="229">
        <v>2017</v>
      </c>
      <c r="G414">
        <v>4</v>
      </c>
      <c r="H414" t="s">
        <v>820</v>
      </c>
    </row>
    <row r="415" spans="1:8">
      <c r="A415" s="229" t="s">
        <v>1596</v>
      </c>
      <c r="D415" s="229">
        <v>12010513</v>
      </c>
      <c r="E415" s="229" t="s">
        <v>818</v>
      </c>
      <c r="F415" s="229">
        <v>2017</v>
      </c>
      <c r="G415">
        <v>4</v>
      </c>
      <c r="H415" t="s">
        <v>820</v>
      </c>
    </row>
    <row r="416" spans="1:8">
      <c r="A416" s="229" t="s">
        <v>1596</v>
      </c>
      <c r="D416" s="229">
        <v>12010513</v>
      </c>
      <c r="E416" s="229" t="s">
        <v>818</v>
      </c>
      <c r="F416" s="229">
        <v>2017</v>
      </c>
      <c r="G416">
        <v>4</v>
      </c>
      <c r="H416" t="s">
        <v>820</v>
      </c>
    </row>
    <row r="417" spans="1:8">
      <c r="A417" s="229" t="s">
        <v>1596</v>
      </c>
      <c r="C417" s="229">
        <v>49.2</v>
      </c>
      <c r="D417" s="229">
        <v>12010513</v>
      </c>
      <c r="E417" s="229" t="s">
        <v>818</v>
      </c>
      <c r="F417" s="229">
        <v>2017</v>
      </c>
      <c r="G417">
        <v>4</v>
      </c>
      <c r="H417" t="s">
        <v>820</v>
      </c>
    </row>
    <row r="418" spans="1:8">
      <c r="A418" s="229" t="s">
        <v>1596</v>
      </c>
      <c r="D418" s="229">
        <v>12010513</v>
      </c>
      <c r="E418" s="229" t="s">
        <v>818</v>
      </c>
      <c r="F418" s="229">
        <v>2017</v>
      </c>
      <c r="G418">
        <v>4</v>
      </c>
      <c r="H418" t="s">
        <v>820</v>
      </c>
    </row>
    <row r="419" spans="1:8">
      <c r="A419" s="229" t="s">
        <v>1596</v>
      </c>
      <c r="C419" s="229">
        <v>49.2</v>
      </c>
      <c r="D419" s="229">
        <v>12010513</v>
      </c>
      <c r="E419" s="229" t="s">
        <v>818</v>
      </c>
      <c r="F419" s="229">
        <v>2017</v>
      </c>
      <c r="G419">
        <v>4</v>
      </c>
      <c r="H419" t="s">
        <v>820</v>
      </c>
    </row>
    <row r="420" spans="1:8">
      <c r="A420" s="229" t="s">
        <v>1596</v>
      </c>
      <c r="C420" s="229">
        <v>49.2</v>
      </c>
      <c r="D420" s="229">
        <v>12010513</v>
      </c>
      <c r="E420" s="229" t="s">
        <v>818</v>
      </c>
      <c r="F420" s="229">
        <v>2017</v>
      </c>
      <c r="G420">
        <v>4</v>
      </c>
      <c r="H420" t="s">
        <v>820</v>
      </c>
    </row>
    <row r="421" spans="1:8">
      <c r="A421" s="229" t="s">
        <v>1596</v>
      </c>
      <c r="D421" s="229">
        <v>12010513</v>
      </c>
      <c r="E421" s="229" t="s">
        <v>818</v>
      </c>
      <c r="F421" s="229">
        <v>2017</v>
      </c>
      <c r="G421">
        <v>4</v>
      </c>
      <c r="H421" t="s">
        <v>820</v>
      </c>
    </row>
    <row r="422" spans="1:8">
      <c r="A422" s="229" t="s">
        <v>1597</v>
      </c>
      <c r="C422" s="229">
        <v>2415</v>
      </c>
      <c r="D422" s="229">
        <v>12010513</v>
      </c>
      <c r="E422" s="229" t="s">
        <v>818</v>
      </c>
      <c r="F422" s="229">
        <v>2017</v>
      </c>
      <c r="G422">
        <v>4</v>
      </c>
      <c r="H422" t="s">
        <v>820</v>
      </c>
    </row>
    <row r="423" spans="1:8">
      <c r="A423" s="229" t="s">
        <v>1597</v>
      </c>
      <c r="C423" s="229">
        <v>108.07</v>
      </c>
      <c r="D423" s="229">
        <v>12010513</v>
      </c>
      <c r="E423" s="229" t="s">
        <v>818</v>
      </c>
      <c r="F423" s="229">
        <v>2017</v>
      </c>
      <c r="G423">
        <v>4</v>
      </c>
      <c r="H423" t="s">
        <v>820</v>
      </c>
    </row>
    <row r="424" spans="1:8">
      <c r="A424" s="229" t="s">
        <v>1601</v>
      </c>
      <c r="C424" s="229">
        <v>1152</v>
      </c>
      <c r="D424" s="229">
        <v>12010513</v>
      </c>
      <c r="E424" s="229" t="s">
        <v>818</v>
      </c>
      <c r="F424" s="229">
        <v>2017</v>
      </c>
      <c r="G424">
        <v>4</v>
      </c>
      <c r="H424" t="s">
        <v>820</v>
      </c>
    </row>
    <row r="425" spans="1:8">
      <c r="A425" s="229" t="s">
        <v>1604</v>
      </c>
      <c r="C425" s="229">
        <v>-41.25</v>
      </c>
      <c r="D425" s="229">
        <v>12010513</v>
      </c>
      <c r="E425" s="229" t="s">
        <v>818</v>
      </c>
      <c r="F425" s="229">
        <v>2017</v>
      </c>
      <c r="G425">
        <v>4</v>
      </c>
      <c r="H425" t="s">
        <v>820</v>
      </c>
    </row>
    <row r="426" spans="1:8">
      <c r="A426" s="229" t="s">
        <v>1606</v>
      </c>
      <c r="C426" s="229">
        <v>424.25</v>
      </c>
      <c r="D426" s="229">
        <v>12010513</v>
      </c>
      <c r="E426" s="229" t="s">
        <v>818</v>
      </c>
      <c r="F426" s="229">
        <v>2017</v>
      </c>
      <c r="G426">
        <v>4</v>
      </c>
      <c r="H426" t="s">
        <v>820</v>
      </c>
    </row>
    <row r="427" spans="1:8">
      <c r="A427" s="229" t="s">
        <v>1608</v>
      </c>
      <c r="C427" s="229">
        <v>50</v>
      </c>
      <c r="D427" s="229">
        <v>12010513</v>
      </c>
      <c r="E427" s="229" t="s">
        <v>818</v>
      </c>
      <c r="F427" s="229">
        <v>2017</v>
      </c>
      <c r="G427">
        <v>4</v>
      </c>
      <c r="H427" t="s">
        <v>820</v>
      </c>
    </row>
    <row r="428" spans="1:8">
      <c r="A428" s="229" t="s">
        <v>1608</v>
      </c>
      <c r="C428" s="229">
        <v>84</v>
      </c>
      <c r="D428" s="229">
        <v>12010513</v>
      </c>
      <c r="E428" s="229" t="s">
        <v>818</v>
      </c>
      <c r="F428" s="229">
        <v>2017</v>
      </c>
      <c r="G428">
        <v>4</v>
      </c>
      <c r="H428" t="s">
        <v>820</v>
      </c>
    </row>
    <row r="429" spans="1:8">
      <c r="A429" s="229" t="s">
        <v>1609</v>
      </c>
      <c r="C429" s="229">
        <v>32.58</v>
      </c>
      <c r="D429" s="229">
        <v>12010513</v>
      </c>
      <c r="E429" s="229" t="s">
        <v>818</v>
      </c>
      <c r="F429" s="229">
        <v>2017</v>
      </c>
      <c r="G429">
        <v>4</v>
      </c>
      <c r="H429" t="s">
        <v>820</v>
      </c>
    </row>
    <row r="430" spans="1:8">
      <c r="A430" s="229" t="s">
        <v>1609</v>
      </c>
      <c r="C430" s="229">
        <v>6.53</v>
      </c>
      <c r="D430" s="229">
        <v>12010513</v>
      </c>
      <c r="E430" s="229" t="s">
        <v>818</v>
      </c>
      <c r="F430" s="229">
        <v>2017</v>
      </c>
      <c r="G430">
        <v>4</v>
      </c>
      <c r="H430" t="s">
        <v>820</v>
      </c>
    </row>
    <row r="431" spans="1:8">
      <c r="A431" s="229" t="s">
        <v>1609</v>
      </c>
      <c r="C431" s="229">
        <v>59.81</v>
      </c>
      <c r="D431" s="229">
        <v>12010513</v>
      </c>
      <c r="E431" s="229" t="s">
        <v>818</v>
      </c>
      <c r="F431" s="229">
        <v>2017</v>
      </c>
      <c r="G431">
        <v>4</v>
      </c>
      <c r="H431" t="s">
        <v>820</v>
      </c>
    </row>
    <row r="432" spans="1:8">
      <c r="A432" s="229" t="s">
        <v>1609</v>
      </c>
      <c r="C432" s="229">
        <v>10.32</v>
      </c>
      <c r="D432" s="229">
        <v>12010513</v>
      </c>
      <c r="E432" s="229" t="s">
        <v>818</v>
      </c>
      <c r="F432" s="229">
        <v>2017</v>
      </c>
      <c r="G432">
        <v>4</v>
      </c>
      <c r="H432" t="s">
        <v>820</v>
      </c>
    </row>
    <row r="433" spans="1:8">
      <c r="A433" s="229" t="s">
        <v>1609</v>
      </c>
      <c r="C433" s="229">
        <v>114.05</v>
      </c>
      <c r="D433" s="229">
        <v>12010513</v>
      </c>
      <c r="E433" s="229" t="s">
        <v>818</v>
      </c>
      <c r="F433" s="229">
        <v>2017</v>
      </c>
      <c r="G433">
        <v>4</v>
      </c>
      <c r="H433" t="s">
        <v>820</v>
      </c>
    </row>
    <row r="434" spans="1:8">
      <c r="A434" s="229" t="s">
        <v>1611</v>
      </c>
      <c r="D434" s="229">
        <v>12010513</v>
      </c>
      <c r="E434" s="229" t="s">
        <v>818</v>
      </c>
      <c r="F434" s="229">
        <v>2017</v>
      </c>
      <c r="G434">
        <v>4</v>
      </c>
      <c r="H434" t="s">
        <v>820</v>
      </c>
    </row>
    <row r="435" spans="1:8">
      <c r="A435" s="229" t="s">
        <v>1611</v>
      </c>
      <c r="C435" s="229">
        <v>600</v>
      </c>
      <c r="D435" s="229">
        <v>12010513</v>
      </c>
      <c r="E435" s="229" t="s">
        <v>818</v>
      </c>
      <c r="F435" s="229">
        <v>2017</v>
      </c>
      <c r="G435">
        <v>4</v>
      </c>
      <c r="H435" t="s">
        <v>820</v>
      </c>
    </row>
    <row r="436" spans="1:8">
      <c r="A436" s="229" t="s">
        <v>1611</v>
      </c>
      <c r="D436" s="229">
        <v>12010513</v>
      </c>
      <c r="E436" s="229" t="s">
        <v>818</v>
      </c>
      <c r="F436" s="229">
        <v>2017</v>
      </c>
      <c r="G436">
        <v>4</v>
      </c>
      <c r="H436" t="s">
        <v>820</v>
      </c>
    </row>
    <row r="437" spans="1:8">
      <c r="A437" s="229" t="s">
        <v>1611</v>
      </c>
      <c r="C437" s="229">
        <v>600</v>
      </c>
      <c r="D437" s="229">
        <v>12010513</v>
      </c>
      <c r="E437" s="229" t="s">
        <v>818</v>
      </c>
      <c r="F437" s="229">
        <v>2017</v>
      </c>
      <c r="G437">
        <v>4</v>
      </c>
      <c r="H437" t="s">
        <v>820</v>
      </c>
    </row>
    <row r="438" spans="1:8">
      <c r="A438" s="229" t="s">
        <v>1611</v>
      </c>
      <c r="D438" s="229">
        <v>12010513</v>
      </c>
      <c r="E438" s="229" t="s">
        <v>818</v>
      </c>
      <c r="F438" s="229">
        <v>2017</v>
      </c>
      <c r="G438">
        <v>4</v>
      </c>
      <c r="H438" t="s">
        <v>820</v>
      </c>
    </row>
    <row r="439" spans="1:8">
      <c r="A439" s="229" t="s">
        <v>1611</v>
      </c>
      <c r="D439" s="229">
        <v>12010513</v>
      </c>
      <c r="E439" s="229" t="s">
        <v>818</v>
      </c>
      <c r="F439" s="229">
        <v>2017</v>
      </c>
      <c r="G439">
        <v>4</v>
      </c>
      <c r="H439" t="s">
        <v>820</v>
      </c>
    </row>
    <row r="440" spans="1:8">
      <c r="A440" s="229" t="s">
        <v>1611</v>
      </c>
      <c r="C440" s="229">
        <v>600</v>
      </c>
      <c r="D440" s="229">
        <v>12010513</v>
      </c>
      <c r="E440" s="229" t="s">
        <v>818</v>
      </c>
      <c r="F440" s="229">
        <v>2017</v>
      </c>
      <c r="G440">
        <v>4</v>
      </c>
      <c r="H440" t="s">
        <v>820</v>
      </c>
    </row>
    <row r="441" spans="1:8">
      <c r="A441" s="229" t="s">
        <v>1611</v>
      </c>
      <c r="C441" s="229">
        <v>600</v>
      </c>
      <c r="D441" s="229">
        <v>12010513</v>
      </c>
      <c r="E441" s="229" t="s">
        <v>818</v>
      </c>
      <c r="F441" s="229">
        <v>2017</v>
      </c>
      <c r="G441">
        <v>4</v>
      </c>
      <c r="H441" t="s">
        <v>820</v>
      </c>
    </row>
    <row r="442" spans="1:8">
      <c r="A442" s="229" t="s">
        <v>1614</v>
      </c>
      <c r="C442" s="229">
        <v>0</v>
      </c>
      <c r="D442" s="229">
        <v>12010513</v>
      </c>
      <c r="E442" s="229" t="s">
        <v>818</v>
      </c>
      <c r="F442" s="229">
        <v>2017</v>
      </c>
      <c r="G442">
        <v>4</v>
      </c>
      <c r="H442" t="s">
        <v>820</v>
      </c>
    </row>
    <row r="443" spans="1:8">
      <c r="A443" s="229" t="s">
        <v>1618</v>
      </c>
      <c r="C443" s="229">
        <v>-126.72</v>
      </c>
      <c r="D443" s="229">
        <v>12010513</v>
      </c>
      <c r="E443" s="229" t="s">
        <v>818</v>
      </c>
      <c r="F443" s="229">
        <v>2017</v>
      </c>
      <c r="G443">
        <v>4</v>
      </c>
      <c r="H443" t="s">
        <v>820</v>
      </c>
    </row>
    <row r="444" spans="1:8">
      <c r="A444" s="229" t="s">
        <v>1618</v>
      </c>
      <c r="C444" s="229">
        <v>-5.07</v>
      </c>
      <c r="D444" s="229">
        <v>12010512</v>
      </c>
      <c r="E444" s="229" t="s">
        <v>818</v>
      </c>
      <c r="F444" s="229">
        <v>2017</v>
      </c>
      <c r="G444">
        <v>4</v>
      </c>
      <c r="H444" t="s">
        <v>820</v>
      </c>
    </row>
    <row r="445" spans="1:8">
      <c r="A445" s="229" t="s">
        <v>1618</v>
      </c>
      <c r="C445" s="229">
        <v>253.45</v>
      </c>
      <c r="D445" s="229">
        <v>12010513</v>
      </c>
      <c r="E445" s="229" t="s">
        <v>818</v>
      </c>
      <c r="F445" s="229">
        <v>2017</v>
      </c>
      <c r="G445">
        <v>4</v>
      </c>
      <c r="H445" t="s">
        <v>820</v>
      </c>
    </row>
    <row r="446" spans="1:8">
      <c r="A446" s="229" t="s">
        <v>1618</v>
      </c>
      <c r="C446" s="229">
        <v>10.130000000000001</v>
      </c>
      <c r="D446" s="229">
        <v>12010512</v>
      </c>
      <c r="E446" s="229" t="s">
        <v>818</v>
      </c>
      <c r="F446" s="229">
        <v>2017</v>
      </c>
      <c r="G446">
        <v>4</v>
      </c>
      <c r="H446" t="s">
        <v>820</v>
      </c>
    </row>
    <row r="447" spans="1:8">
      <c r="A447" s="229" t="s">
        <v>1618</v>
      </c>
      <c r="C447" s="229">
        <v>-177.71</v>
      </c>
      <c r="D447" s="229">
        <v>12010513</v>
      </c>
      <c r="E447" s="229" t="s">
        <v>818</v>
      </c>
      <c r="F447" s="229">
        <v>2017</v>
      </c>
      <c r="G447">
        <v>4</v>
      </c>
      <c r="H447" t="s">
        <v>820</v>
      </c>
    </row>
    <row r="448" spans="1:8">
      <c r="A448" s="229" t="s">
        <v>1618</v>
      </c>
      <c r="C448" s="229">
        <v>355.42</v>
      </c>
      <c r="D448" s="229">
        <v>12010513</v>
      </c>
      <c r="E448" s="229" t="s">
        <v>818</v>
      </c>
      <c r="F448" s="229">
        <v>2017</v>
      </c>
      <c r="G448">
        <v>4</v>
      </c>
      <c r="H448" t="s">
        <v>820</v>
      </c>
    </row>
    <row r="449" spans="1:8">
      <c r="A449" s="229" t="s">
        <v>1618</v>
      </c>
      <c r="C449" s="229">
        <v>-300.29000000000002</v>
      </c>
      <c r="D449" s="229">
        <v>12010513</v>
      </c>
      <c r="E449" s="229" t="s">
        <v>818</v>
      </c>
      <c r="F449" s="229">
        <v>2017</v>
      </c>
      <c r="G449">
        <v>4</v>
      </c>
      <c r="H449" t="s">
        <v>820</v>
      </c>
    </row>
    <row r="450" spans="1:8">
      <c r="A450" s="229" t="s">
        <v>1618</v>
      </c>
      <c r="C450" s="229">
        <v>5.07</v>
      </c>
      <c r="D450" s="229">
        <v>12010512</v>
      </c>
      <c r="E450" s="229" t="s">
        <v>818</v>
      </c>
      <c r="F450" s="229">
        <v>2017</v>
      </c>
      <c r="G450">
        <v>4</v>
      </c>
      <c r="H450" t="s">
        <v>820</v>
      </c>
    </row>
    <row r="451" spans="1:8">
      <c r="A451" s="229" t="s">
        <v>1618</v>
      </c>
      <c r="C451" s="229">
        <v>600.58000000000004</v>
      </c>
      <c r="D451" s="229">
        <v>12010513</v>
      </c>
      <c r="E451" s="229" t="s">
        <v>818</v>
      </c>
      <c r="F451" s="229">
        <v>2017</v>
      </c>
      <c r="G451">
        <v>4</v>
      </c>
      <c r="H451" t="s">
        <v>820</v>
      </c>
    </row>
    <row r="452" spans="1:8">
      <c r="A452" s="229" t="s">
        <v>1618</v>
      </c>
      <c r="C452" s="229">
        <v>-10.130000000000001</v>
      </c>
      <c r="D452" s="229">
        <v>12010512</v>
      </c>
      <c r="E452" s="229" t="s">
        <v>818</v>
      </c>
      <c r="F452" s="229">
        <v>2017</v>
      </c>
      <c r="G452">
        <v>4</v>
      </c>
      <c r="H452" t="s">
        <v>820</v>
      </c>
    </row>
    <row r="453" spans="1:8">
      <c r="A453" s="229" t="s">
        <v>1618</v>
      </c>
      <c r="C453" s="229">
        <v>-67.3</v>
      </c>
      <c r="D453" s="229">
        <v>12010513</v>
      </c>
      <c r="E453" s="229" t="s">
        <v>818</v>
      </c>
      <c r="F453" s="229">
        <v>2017</v>
      </c>
      <c r="G453">
        <v>4</v>
      </c>
      <c r="H453" t="s">
        <v>820</v>
      </c>
    </row>
    <row r="454" spans="1:8">
      <c r="A454" s="229" t="s">
        <v>1618</v>
      </c>
      <c r="C454" s="229">
        <v>134.6</v>
      </c>
      <c r="D454" s="229">
        <v>12010513</v>
      </c>
      <c r="E454" s="229" t="s">
        <v>818</v>
      </c>
      <c r="F454" s="229">
        <v>2017</v>
      </c>
      <c r="G454">
        <v>4</v>
      </c>
      <c r="H454" t="s">
        <v>820</v>
      </c>
    </row>
    <row r="455" spans="1:8">
      <c r="A455" s="229" t="s">
        <v>1619</v>
      </c>
      <c r="C455" s="229">
        <v>20.98</v>
      </c>
      <c r="D455" s="229">
        <v>12010513</v>
      </c>
      <c r="E455" s="229" t="s">
        <v>818</v>
      </c>
      <c r="F455" s="229">
        <v>2017</v>
      </c>
      <c r="G455">
        <v>4</v>
      </c>
      <c r="H455" t="s">
        <v>820</v>
      </c>
    </row>
    <row r="456" spans="1:8">
      <c r="A456" s="229" t="s">
        <v>1619</v>
      </c>
      <c r="C456" s="229">
        <v>0.84</v>
      </c>
      <c r="D456" s="229">
        <v>12010512</v>
      </c>
      <c r="E456" s="229" t="s">
        <v>818</v>
      </c>
      <c r="F456" s="229">
        <v>2017</v>
      </c>
      <c r="G456">
        <v>4</v>
      </c>
      <c r="H456" t="s">
        <v>820</v>
      </c>
    </row>
    <row r="457" spans="1:8">
      <c r="A457" s="229" t="s">
        <v>1619</v>
      </c>
      <c r="C457" s="229">
        <v>29.42</v>
      </c>
      <c r="D457" s="229">
        <v>12010513</v>
      </c>
      <c r="E457" s="229" t="s">
        <v>818</v>
      </c>
      <c r="F457" s="229">
        <v>2017</v>
      </c>
      <c r="G457">
        <v>4</v>
      </c>
      <c r="H457" t="s">
        <v>820</v>
      </c>
    </row>
    <row r="458" spans="1:8">
      <c r="A458" s="229" t="s">
        <v>1619</v>
      </c>
      <c r="C458" s="229">
        <v>49.72</v>
      </c>
      <c r="D458" s="229">
        <v>12010513</v>
      </c>
      <c r="E458" s="229" t="s">
        <v>818</v>
      </c>
      <c r="F458" s="229">
        <v>2017</v>
      </c>
      <c r="G458">
        <v>4</v>
      </c>
      <c r="H458" t="s">
        <v>820</v>
      </c>
    </row>
    <row r="459" spans="1:8">
      <c r="A459" s="229" t="s">
        <v>1619</v>
      </c>
      <c r="C459" s="229">
        <v>-0.84</v>
      </c>
      <c r="D459" s="229">
        <v>12010512</v>
      </c>
      <c r="E459" s="229" t="s">
        <v>818</v>
      </c>
      <c r="F459" s="229">
        <v>2017</v>
      </c>
      <c r="G459">
        <v>4</v>
      </c>
      <c r="H459" t="s">
        <v>820</v>
      </c>
    </row>
    <row r="460" spans="1:8">
      <c r="A460" s="229" t="s">
        <v>1619</v>
      </c>
      <c r="C460" s="229">
        <v>11.14</v>
      </c>
      <c r="D460" s="229">
        <v>12010513</v>
      </c>
      <c r="E460" s="229" t="s">
        <v>818</v>
      </c>
      <c r="F460" s="229">
        <v>2017</v>
      </c>
      <c r="G460">
        <v>4</v>
      </c>
      <c r="H460" t="s">
        <v>820</v>
      </c>
    </row>
    <row r="461" spans="1:8">
      <c r="A461" s="229" t="s">
        <v>1620</v>
      </c>
      <c r="C461" s="229">
        <v>126.72</v>
      </c>
      <c r="D461" s="229">
        <v>12010513</v>
      </c>
      <c r="E461" s="229" t="s">
        <v>818</v>
      </c>
      <c r="F461" s="229">
        <v>2017</v>
      </c>
      <c r="G461">
        <v>4</v>
      </c>
      <c r="H461" t="s">
        <v>820</v>
      </c>
    </row>
    <row r="462" spans="1:8">
      <c r="A462" s="229" t="s">
        <v>1620</v>
      </c>
      <c r="C462" s="229">
        <v>5.07</v>
      </c>
      <c r="D462" s="229">
        <v>12010512</v>
      </c>
      <c r="E462" s="229" t="s">
        <v>818</v>
      </c>
      <c r="F462" s="229">
        <v>2017</v>
      </c>
      <c r="G462">
        <v>4</v>
      </c>
      <c r="H462" t="s">
        <v>820</v>
      </c>
    </row>
    <row r="463" spans="1:8">
      <c r="A463" s="229" t="s">
        <v>1620</v>
      </c>
      <c r="C463" s="229">
        <v>177.71</v>
      </c>
      <c r="D463" s="229">
        <v>12010513</v>
      </c>
      <c r="E463" s="229" t="s">
        <v>818</v>
      </c>
      <c r="F463" s="229">
        <v>2017</v>
      </c>
      <c r="G463">
        <v>4</v>
      </c>
      <c r="H463" t="s">
        <v>820</v>
      </c>
    </row>
    <row r="464" spans="1:8">
      <c r="A464" s="229" t="s">
        <v>1620</v>
      </c>
      <c r="C464" s="229">
        <v>300.29000000000002</v>
      </c>
      <c r="D464" s="229">
        <v>12010513</v>
      </c>
      <c r="E464" s="229" t="s">
        <v>818</v>
      </c>
      <c r="F464" s="229">
        <v>2017</v>
      </c>
      <c r="G464">
        <v>4</v>
      </c>
      <c r="H464" t="s">
        <v>820</v>
      </c>
    </row>
    <row r="465" spans="1:8">
      <c r="A465" s="229" t="s">
        <v>1620</v>
      </c>
      <c r="C465" s="229">
        <v>-5.07</v>
      </c>
      <c r="D465" s="229">
        <v>12010512</v>
      </c>
      <c r="E465" s="229" t="s">
        <v>818</v>
      </c>
      <c r="F465" s="229">
        <v>2017</v>
      </c>
      <c r="G465">
        <v>4</v>
      </c>
      <c r="H465" t="s">
        <v>820</v>
      </c>
    </row>
    <row r="466" spans="1:8">
      <c r="A466" s="229" t="s">
        <v>1620</v>
      </c>
      <c r="C466" s="229">
        <v>67.3</v>
      </c>
      <c r="D466" s="229">
        <v>12010513</v>
      </c>
      <c r="E466" s="229" t="s">
        <v>818</v>
      </c>
      <c r="F466" s="229">
        <v>2017</v>
      </c>
      <c r="G466">
        <v>4</v>
      </c>
      <c r="H466" t="s">
        <v>820</v>
      </c>
    </row>
    <row r="467" spans="1:8">
      <c r="A467" s="229" t="s">
        <v>1621</v>
      </c>
      <c r="C467" s="229">
        <v>-61455.56</v>
      </c>
      <c r="D467" s="229">
        <v>12010512</v>
      </c>
      <c r="E467" s="229" t="s">
        <v>818</v>
      </c>
      <c r="F467" s="229">
        <v>2017</v>
      </c>
      <c r="G467">
        <v>4</v>
      </c>
      <c r="H467" t="s">
        <v>820</v>
      </c>
    </row>
    <row r="468" spans="1:8">
      <c r="A468" s="229" t="s">
        <v>1622</v>
      </c>
      <c r="C468" s="229">
        <v>61455.56</v>
      </c>
      <c r="D468" s="229">
        <v>12010513</v>
      </c>
      <c r="E468" s="229" t="s">
        <v>818</v>
      </c>
      <c r="F468" s="229">
        <v>2017</v>
      </c>
      <c r="G468">
        <v>4</v>
      </c>
      <c r="H468" t="s">
        <v>820</v>
      </c>
    </row>
    <row r="469" spans="1:8">
      <c r="A469" s="229" t="s">
        <v>1584</v>
      </c>
      <c r="B469" s="229">
        <v>-143892</v>
      </c>
      <c r="D469" s="229">
        <v>12010513</v>
      </c>
      <c r="E469" s="229" t="s">
        <v>818</v>
      </c>
      <c r="F469" s="229">
        <v>2018</v>
      </c>
      <c r="G469">
        <v>1</v>
      </c>
      <c r="H469" t="s">
        <v>820</v>
      </c>
    </row>
    <row r="470" spans="1:8">
      <c r="A470" s="229" t="s">
        <v>1584</v>
      </c>
      <c r="C470" s="229">
        <v>-71946</v>
      </c>
      <c r="D470" s="229">
        <v>12010513</v>
      </c>
      <c r="E470" s="229" t="s">
        <v>818</v>
      </c>
      <c r="F470" s="229">
        <v>2018</v>
      </c>
      <c r="G470">
        <v>1</v>
      </c>
      <c r="H470" t="s">
        <v>820</v>
      </c>
    </row>
    <row r="471" spans="1:8">
      <c r="A471" s="229" t="s">
        <v>1586</v>
      </c>
      <c r="B471" s="229">
        <v>78707</v>
      </c>
      <c r="D471" s="229">
        <v>12010513</v>
      </c>
      <c r="E471" s="229" t="s">
        <v>818</v>
      </c>
      <c r="F471" s="229">
        <v>2018</v>
      </c>
      <c r="G471">
        <v>1</v>
      </c>
      <c r="H471" t="s">
        <v>820</v>
      </c>
    </row>
    <row r="472" spans="1:8">
      <c r="A472" s="229" t="s">
        <v>1587</v>
      </c>
      <c r="C472" s="229">
        <v>216.4</v>
      </c>
      <c r="D472" s="229">
        <v>12010513</v>
      </c>
      <c r="E472" s="229" t="s">
        <v>818</v>
      </c>
      <c r="F472" s="229">
        <v>2018</v>
      </c>
      <c r="G472">
        <v>1</v>
      </c>
      <c r="H472" t="s">
        <v>820</v>
      </c>
    </row>
    <row r="473" spans="1:8">
      <c r="A473" s="229" t="s">
        <v>1587</v>
      </c>
      <c r="C473" s="229">
        <v>75.739999999999995</v>
      </c>
      <c r="D473" s="229">
        <v>12010513</v>
      </c>
      <c r="E473" s="229" t="s">
        <v>818</v>
      </c>
      <c r="F473" s="229">
        <v>2018</v>
      </c>
      <c r="G473">
        <v>1</v>
      </c>
      <c r="H473" t="s">
        <v>820</v>
      </c>
    </row>
    <row r="474" spans="1:8">
      <c r="A474" s="229" t="s">
        <v>1587</v>
      </c>
      <c r="C474" s="229">
        <v>324.60000000000002</v>
      </c>
      <c r="D474" s="229">
        <v>12010513</v>
      </c>
      <c r="E474" s="229" t="s">
        <v>818</v>
      </c>
      <c r="F474" s="229">
        <v>2018</v>
      </c>
      <c r="G474">
        <v>1</v>
      </c>
      <c r="H474" t="s">
        <v>820</v>
      </c>
    </row>
    <row r="475" spans="1:8">
      <c r="A475" s="229" t="s">
        <v>1587</v>
      </c>
      <c r="C475" s="229">
        <v>151.47999999999999</v>
      </c>
      <c r="D475" s="229">
        <v>12010513</v>
      </c>
      <c r="E475" s="229" t="s">
        <v>818</v>
      </c>
      <c r="F475" s="229">
        <v>2018</v>
      </c>
      <c r="G475">
        <v>1</v>
      </c>
      <c r="H475" t="s">
        <v>820</v>
      </c>
    </row>
    <row r="476" spans="1:8">
      <c r="A476" s="229" t="s">
        <v>1587</v>
      </c>
      <c r="C476" s="229">
        <v>117.84</v>
      </c>
      <c r="D476" s="229">
        <v>12010513</v>
      </c>
      <c r="E476" s="229" t="s">
        <v>818</v>
      </c>
      <c r="F476" s="229">
        <v>2018</v>
      </c>
      <c r="G476">
        <v>1</v>
      </c>
      <c r="H476" t="s">
        <v>820</v>
      </c>
    </row>
    <row r="477" spans="1:8">
      <c r="A477" s="229" t="s">
        <v>1587</v>
      </c>
      <c r="C477" s="229">
        <v>176.76</v>
      </c>
      <c r="D477" s="229">
        <v>12010513</v>
      </c>
      <c r="E477" s="229" t="s">
        <v>818</v>
      </c>
      <c r="F477" s="229">
        <v>2018</v>
      </c>
      <c r="G477">
        <v>1</v>
      </c>
      <c r="H477" t="s">
        <v>820</v>
      </c>
    </row>
    <row r="478" spans="1:8">
      <c r="A478" s="229" t="s">
        <v>1587</v>
      </c>
      <c r="C478" s="229">
        <v>147.30000000000001</v>
      </c>
      <c r="D478" s="229">
        <v>12010513</v>
      </c>
      <c r="E478" s="229" t="s">
        <v>818</v>
      </c>
      <c r="F478" s="229">
        <v>2018</v>
      </c>
      <c r="G478">
        <v>1</v>
      </c>
      <c r="H478" t="s">
        <v>820</v>
      </c>
    </row>
    <row r="479" spans="1:8">
      <c r="A479" s="229" t="s">
        <v>1587</v>
      </c>
      <c r="C479" s="229">
        <v>88.38</v>
      </c>
      <c r="D479" s="229">
        <v>12010513</v>
      </c>
      <c r="E479" s="229" t="s">
        <v>818</v>
      </c>
      <c r="F479" s="229">
        <v>2018</v>
      </c>
      <c r="G479">
        <v>1</v>
      </c>
      <c r="H479" t="s">
        <v>820</v>
      </c>
    </row>
    <row r="480" spans="1:8">
      <c r="A480" s="229" t="s">
        <v>1587</v>
      </c>
      <c r="C480" s="229">
        <v>58.92</v>
      </c>
      <c r="D480" s="229">
        <v>12010513</v>
      </c>
      <c r="E480" s="229" t="s">
        <v>818</v>
      </c>
      <c r="F480" s="229">
        <v>2018</v>
      </c>
      <c r="G480">
        <v>1</v>
      </c>
      <c r="H480" t="s">
        <v>820</v>
      </c>
    </row>
    <row r="481" spans="1:8">
      <c r="A481" s="229" t="s">
        <v>1587</v>
      </c>
      <c r="C481" s="229">
        <v>90.84</v>
      </c>
      <c r="D481" s="229">
        <v>12010513</v>
      </c>
      <c r="E481" s="229" t="s">
        <v>818</v>
      </c>
      <c r="F481" s="229">
        <v>2018</v>
      </c>
      <c r="G481">
        <v>1</v>
      </c>
      <c r="H481" t="s">
        <v>820</v>
      </c>
    </row>
    <row r="482" spans="1:8">
      <c r="A482" s="229" t="s">
        <v>1587</v>
      </c>
      <c r="C482" s="229">
        <v>88.38</v>
      </c>
      <c r="D482" s="229">
        <v>12010513</v>
      </c>
      <c r="E482" s="229" t="s">
        <v>818</v>
      </c>
      <c r="F482" s="229">
        <v>2018</v>
      </c>
      <c r="G482">
        <v>1</v>
      </c>
      <c r="H482" t="s">
        <v>820</v>
      </c>
    </row>
    <row r="483" spans="1:8">
      <c r="A483" s="229" t="s">
        <v>1587</v>
      </c>
      <c r="C483" s="229">
        <v>117.84</v>
      </c>
      <c r="D483" s="229">
        <v>12010513</v>
      </c>
      <c r="E483" s="229" t="s">
        <v>818</v>
      </c>
      <c r="F483" s="229">
        <v>2018</v>
      </c>
      <c r="G483">
        <v>1</v>
      </c>
      <c r="H483" t="s">
        <v>820</v>
      </c>
    </row>
    <row r="484" spans="1:8">
      <c r="A484" s="229" t="s">
        <v>1587</v>
      </c>
      <c r="C484" s="229">
        <v>117.84</v>
      </c>
      <c r="D484" s="229">
        <v>12010513</v>
      </c>
      <c r="E484" s="229" t="s">
        <v>818</v>
      </c>
      <c r="F484" s="229">
        <v>2018</v>
      </c>
      <c r="G484">
        <v>1</v>
      </c>
      <c r="H484" t="s">
        <v>820</v>
      </c>
    </row>
    <row r="485" spans="1:8">
      <c r="A485" s="229" t="s">
        <v>1587</v>
      </c>
      <c r="C485" s="229">
        <v>117.84</v>
      </c>
      <c r="D485" s="229">
        <v>12010513</v>
      </c>
      <c r="E485" s="229" t="s">
        <v>818</v>
      </c>
      <c r="F485" s="229">
        <v>2018</v>
      </c>
      <c r="G485">
        <v>1</v>
      </c>
      <c r="H485" t="s">
        <v>820</v>
      </c>
    </row>
    <row r="486" spans="1:8">
      <c r="A486" s="229" t="s">
        <v>1587</v>
      </c>
      <c r="C486" s="229">
        <v>94.68</v>
      </c>
      <c r="D486" s="229">
        <v>12010513</v>
      </c>
      <c r="E486" s="229" t="s">
        <v>818</v>
      </c>
      <c r="F486" s="229">
        <v>2018</v>
      </c>
      <c r="G486">
        <v>1</v>
      </c>
      <c r="H486" t="s">
        <v>820</v>
      </c>
    </row>
    <row r="487" spans="1:8">
      <c r="A487" s="229" t="s">
        <v>1587</v>
      </c>
      <c r="C487" s="229">
        <v>97.38</v>
      </c>
      <c r="D487" s="229">
        <v>12010513</v>
      </c>
      <c r="E487" s="229" t="s">
        <v>818</v>
      </c>
      <c r="F487" s="229">
        <v>2018</v>
      </c>
      <c r="G487">
        <v>1</v>
      </c>
      <c r="H487" t="s">
        <v>820</v>
      </c>
    </row>
    <row r="488" spans="1:8">
      <c r="A488" s="229" t="s">
        <v>1587</v>
      </c>
      <c r="C488" s="229">
        <v>59.51</v>
      </c>
      <c r="D488" s="229">
        <v>12010513</v>
      </c>
      <c r="E488" s="229" t="s">
        <v>818</v>
      </c>
      <c r="F488" s="229">
        <v>2018</v>
      </c>
      <c r="G488">
        <v>1</v>
      </c>
      <c r="H488" t="s">
        <v>820</v>
      </c>
    </row>
    <row r="489" spans="1:8">
      <c r="A489" s="229" t="s">
        <v>1587</v>
      </c>
      <c r="C489" s="229">
        <v>129.84</v>
      </c>
      <c r="D489" s="229">
        <v>12010513</v>
      </c>
      <c r="E489" s="229" t="s">
        <v>818</v>
      </c>
      <c r="F489" s="229">
        <v>2018</v>
      </c>
      <c r="G489">
        <v>1</v>
      </c>
      <c r="H489" t="s">
        <v>820</v>
      </c>
    </row>
    <row r="490" spans="1:8">
      <c r="A490" s="229" t="s">
        <v>1587</v>
      </c>
      <c r="C490" s="229">
        <v>275.91000000000003</v>
      </c>
      <c r="D490" s="229">
        <v>12010513</v>
      </c>
      <c r="E490" s="229" t="s">
        <v>818</v>
      </c>
      <c r="F490" s="229">
        <v>2018</v>
      </c>
      <c r="G490">
        <v>1</v>
      </c>
      <c r="H490" t="s">
        <v>820</v>
      </c>
    </row>
    <row r="491" spans="1:8">
      <c r="A491" s="229" t="s">
        <v>1587</v>
      </c>
      <c r="C491" s="229">
        <v>183.94</v>
      </c>
      <c r="D491" s="229">
        <v>12010513</v>
      </c>
      <c r="E491" s="229" t="s">
        <v>818</v>
      </c>
      <c r="F491" s="229">
        <v>2018</v>
      </c>
      <c r="G491">
        <v>1</v>
      </c>
      <c r="H491" t="s">
        <v>820</v>
      </c>
    </row>
    <row r="492" spans="1:8">
      <c r="A492" s="229" t="s">
        <v>1587</v>
      </c>
      <c r="C492" s="229">
        <v>238.04</v>
      </c>
      <c r="D492" s="229">
        <v>12010513</v>
      </c>
      <c r="E492" s="229" t="s">
        <v>818</v>
      </c>
      <c r="F492" s="229">
        <v>2018</v>
      </c>
      <c r="G492">
        <v>1</v>
      </c>
      <c r="H492" t="s">
        <v>820</v>
      </c>
    </row>
    <row r="493" spans="1:8">
      <c r="A493" s="229" t="s">
        <v>1587</v>
      </c>
      <c r="C493" s="229">
        <v>270.5</v>
      </c>
      <c r="D493" s="229">
        <v>12010513</v>
      </c>
      <c r="E493" s="229" t="s">
        <v>818</v>
      </c>
      <c r="F493" s="229">
        <v>2018</v>
      </c>
      <c r="G493">
        <v>1</v>
      </c>
      <c r="H493" t="s">
        <v>820</v>
      </c>
    </row>
    <row r="494" spans="1:8">
      <c r="A494" s="229" t="s">
        <v>1587</v>
      </c>
      <c r="C494" s="229">
        <v>54.1</v>
      </c>
      <c r="D494" s="229">
        <v>12010513</v>
      </c>
      <c r="E494" s="229" t="s">
        <v>818</v>
      </c>
      <c r="F494" s="229">
        <v>2018</v>
      </c>
      <c r="G494">
        <v>1</v>
      </c>
      <c r="H494" t="s">
        <v>820</v>
      </c>
    </row>
    <row r="495" spans="1:8">
      <c r="A495" s="229" t="s">
        <v>1587</v>
      </c>
      <c r="C495" s="229">
        <v>21.64</v>
      </c>
      <c r="D495" s="229">
        <v>12010513</v>
      </c>
      <c r="E495" s="229" t="s">
        <v>818</v>
      </c>
      <c r="F495" s="229">
        <v>2018</v>
      </c>
      <c r="G495">
        <v>1</v>
      </c>
      <c r="H495" t="s">
        <v>820</v>
      </c>
    </row>
    <row r="496" spans="1:8">
      <c r="A496" s="229" t="s">
        <v>1587</v>
      </c>
      <c r="C496" s="229">
        <v>156.88999999999999</v>
      </c>
      <c r="D496" s="229">
        <v>12010513</v>
      </c>
      <c r="E496" s="229" t="s">
        <v>818</v>
      </c>
      <c r="F496" s="229">
        <v>2018</v>
      </c>
      <c r="G496">
        <v>1</v>
      </c>
      <c r="H496" t="s">
        <v>820</v>
      </c>
    </row>
    <row r="497" spans="1:8">
      <c r="A497" s="229" t="s">
        <v>1587</v>
      </c>
      <c r="C497" s="229">
        <v>259.68</v>
      </c>
      <c r="D497" s="229">
        <v>12010513</v>
      </c>
      <c r="E497" s="229" t="s">
        <v>818</v>
      </c>
      <c r="F497" s="229">
        <v>2018</v>
      </c>
      <c r="G497">
        <v>1</v>
      </c>
      <c r="H497" t="s">
        <v>820</v>
      </c>
    </row>
    <row r="498" spans="1:8">
      <c r="A498" s="229" t="s">
        <v>1587</v>
      </c>
      <c r="C498" s="229">
        <v>21.64</v>
      </c>
      <c r="D498" s="229">
        <v>12010513</v>
      </c>
      <c r="E498" s="229" t="s">
        <v>818</v>
      </c>
      <c r="F498" s="229">
        <v>2018</v>
      </c>
      <c r="G498">
        <v>1</v>
      </c>
      <c r="H498" t="s">
        <v>820</v>
      </c>
    </row>
    <row r="499" spans="1:8">
      <c r="A499" s="229" t="s">
        <v>1587</v>
      </c>
      <c r="C499" s="229">
        <v>43.28</v>
      </c>
      <c r="D499" s="229">
        <v>12010513</v>
      </c>
      <c r="E499" s="229" t="s">
        <v>818</v>
      </c>
      <c r="F499" s="229">
        <v>2018</v>
      </c>
      <c r="G499">
        <v>1</v>
      </c>
      <c r="H499" t="s">
        <v>820</v>
      </c>
    </row>
    <row r="500" spans="1:8">
      <c r="A500" s="229" t="s">
        <v>1587</v>
      </c>
      <c r="C500" s="229">
        <v>43.28</v>
      </c>
      <c r="D500" s="229">
        <v>12010513</v>
      </c>
      <c r="E500" s="229" t="s">
        <v>818</v>
      </c>
      <c r="F500" s="229">
        <v>2018</v>
      </c>
      <c r="G500">
        <v>1</v>
      </c>
      <c r="H500" t="s">
        <v>820</v>
      </c>
    </row>
    <row r="501" spans="1:8">
      <c r="A501" s="229" t="s">
        <v>1587</v>
      </c>
      <c r="C501" s="229">
        <v>113.61</v>
      </c>
      <c r="D501" s="229">
        <v>12010513</v>
      </c>
      <c r="E501" s="229" t="s">
        <v>818</v>
      </c>
      <c r="F501" s="229">
        <v>2018</v>
      </c>
      <c r="G501">
        <v>1</v>
      </c>
      <c r="H501" t="s">
        <v>820</v>
      </c>
    </row>
    <row r="502" spans="1:8">
      <c r="A502" s="229" t="s">
        <v>1587</v>
      </c>
      <c r="C502" s="229">
        <v>183.94</v>
      </c>
      <c r="D502" s="229">
        <v>12010513</v>
      </c>
      <c r="E502" s="229" t="s">
        <v>818</v>
      </c>
      <c r="F502" s="229">
        <v>2018</v>
      </c>
      <c r="G502">
        <v>1</v>
      </c>
      <c r="H502" t="s">
        <v>820</v>
      </c>
    </row>
    <row r="503" spans="1:8">
      <c r="A503" s="229" t="s">
        <v>1587</v>
      </c>
      <c r="C503" s="229">
        <v>59.51</v>
      </c>
      <c r="D503" s="229">
        <v>12010513</v>
      </c>
      <c r="E503" s="229" t="s">
        <v>818</v>
      </c>
      <c r="F503" s="229">
        <v>2018</v>
      </c>
      <c r="G503">
        <v>1</v>
      </c>
      <c r="H503" t="s">
        <v>820</v>
      </c>
    </row>
    <row r="504" spans="1:8">
      <c r="A504" s="229" t="s">
        <v>1587</v>
      </c>
      <c r="C504" s="229">
        <v>35.17</v>
      </c>
      <c r="D504" s="229">
        <v>12010513</v>
      </c>
      <c r="E504" s="229" t="s">
        <v>818</v>
      </c>
      <c r="F504" s="229">
        <v>2018</v>
      </c>
      <c r="G504">
        <v>1</v>
      </c>
      <c r="H504" t="s">
        <v>820</v>
      </c>
    </row>
    <row r="505" spans="1:8">
      <c r="A505" s="229" t="s">
        <v>1587</v>
      </c>
      <c r="C505" s="229">
        <v>54.1</v>
      </c>
      <c r="D505" s="229">
        <v>12010513</v>
      </c>
      <c r="E505" s="229" t="s">
        <v>818</v>
      </c>
      <c r="F505" s="229">
        <v>2018</v>
      </c>
      <c r="G505">
        <v>1</v>
      </c>
      <c r="H505" t="s">
        <v>820</v>
      </c>
    </row>
    <row r="506" spans="1:8">
      <c r="A506" s="229" t="s">
        <v>1587</v>
      </c>
      <c r="C506" s="229">
        <v>110.91</v>
      </c>
      <c r="D506" s="229">
        <v>12010513</v>
      </c>
      <c r="E506" s="229" t="s">
        <v>818</v>
      </c>
      <c r="F506" s="229">
        <v>2018</v>
      </c>
      <c r="G506">
        <v>1</v>
      </c>
      <c r="H506" t="s">
        <v>820</v>
      </c>
    </row>
    <row r="507" spans="1:8">
      <c r="A507" s="229" t="s">
        <v>1587</v>
      </c>
      <c r="C507" s="229">
        <v>51.4</v>
      </c>
      <c r="D507" s="229">
        <v>12010513</v>
      </c>
      <c r="E507" s="229" t="s">
        <v>818</v>
      </c>
      <c r="F507" s="229">
        <v>2018</v>
      </c>
      <c r="G507">
        <v>1</v>
      </c>
      <c r="H507" t="s">
        <v>820</v>
      </c>
    </row>
    <row r="508" spans="1:8">
      <c r="A508" s="229" t="s">
        <v>1587</v>
      </c>
      <c r="C508" s="229">
        <v>35.17</v>
      </c>
      <c r="D508" s="229">
        <v>12010513</v>
      </c>
      <c r="E508" s="229" t="s">
        <v>818</v>
      </c>
      <c r="F508" s="229">
        <v>2018</v>
      </c>
      <c r="G508">
        <v>1</v>
      </c>
      <c r="H508" t="s">
        <v>820</v>
      </c>
    </row>
    <row r="509" spans="1:8">
      <c r="A509" s="229" t="s">
        <v>1587</v>
      </c>
      <c r="C509" s="229">
        <v>64.92</v>
      </c>
      <c r="D509" s="229">
        <v>12010513</v>
      </c>
      <c r="E509" s="229" t="s">
        <v>818</v>
      </c>
      <c r="F509" s="229">
        <v>2018</v>
      </c>
      <c r="G509">
        <v>1</v>
      </c>
      <c r="H509" t="s">
        <v>820</v>
      </c>
    </row>
    <row r="510" spans="1:8">
      <c r="A510" s="229" t="s">
        <v>1587</v>
      </c>
      <c r="C510" s="229">
        <v>18.940000000000001</v>
      </c>
      <c r="D510" s="229">
        <v>12010513</v>
      </c>
      <c r="E510" s="229" t="s">
        <v>818</v>
      </c>
      <c r="F510" s="229">
        <v>2018</v>
      </c>
      <c r="G510">
        <v>1</v>
      </c>
      <c r="H510" t="s">
        <v>820</v>
      </c>
    </row>
    <row r="511" spans="1:8">
      <c r="A511" s="229" t="s">
        <v>1587</v>
      </c>
      <c r="C511" s="229">
        <v>137.96</v>
      </c>
      <c r="D511" s="229">
        <v>12010513</v>
      </c>
      <c r="E511" s="229" t="s">
        <v>818</v>
      </c>
      <c r="F511" s="229">
        <v>2018</v>
      </c>
      <c r="G511">
        <v>1</v>
      </c>
      <c r="H511" t="s">
        <v>820</v>
      </c>
    </row>
    <row r="512" spans="1:8">
      <c r="A512" s="229" t="s">
        <v>1587</v>
      </c>
      <c r="C512" s="229">
        <v>40.58</v>
      </c>
      <c r="D512" s="229">
        <v>12010513</v>
      </c>
      <c r="E512" s="229" t="s">
        <v>818</v>
      </c>
      <c r="F512" s="229">
        <v>2018</v>
      </c>
      <c r="G512">
        <v>1</v>
      </c>
      <c r="H512" t="s">
        <v>820</v>
      </c>
    </row>
    <row r="513" spans="1:8">
      <c r="A513" s="229" t="s">
        <v>1587</v>
      </c>
      <c r="C513" s="229">
        <v>75.739999999999995</v>
      </c>
      <c r="D513" s="229">
        <v>12010513</v>
      </c>
      <c r="E513" s="229" t="s">
        <v>818</v>
      </c>
      <c r="F513" s="229">
        <v>2018</v>
      </c>
      <c r="G513">
        <v>1</v>
      </c>
      <c r="H513" t="s">
        <v>820</v>
      </c>
    </row>
    <row r="514" spans="1:8">
      <c r="A514" s="229" t="s">
        <v>1587</v>
      </c>
      <c r="C514" s="229">
        <v>21.64</v>
      </c>
      <c r="D514" s="229">
        <v>12010513</v>
      </c>
      <c r="E514" s="229" t="s">
        <v>818</v>
      </c>
      <c r="F514" s="229">
        <v>2018</v>
      </c>
      <c r="G514">
        <v>1</v>
      </c>
      <c r="H514" t="s">
        <v>820</v>
      </c>
    </row>
    <row r="515" spans="1:8">
      <c r="A515" s="229" t="s">
        <v>1587</v>
      </c>
      <c r="C515" s="229">
        <v>75.739999999999995</v>
      </c>
      <c r="D515" s="229">
        <v>12010513</v>
      </c>
      <c r="E515" s="229" t="s">
        <v>818</v>
      </c>
      <c r="F515" s="229">
        <v>2018</v>
      </c>
      <c r="G515">
        <v>1</v>
      </c>
      <c r="H515" t="s">
        <v>820</v>
      </c>
    </row>
    <row r="516" spans="1:8">
      <c r="A516" s="229" t="s">
        <v>1587</v>
      </c>
      <c r="C516" s="229">
        <v>146.07</v>
      </c>
      <c r="D516" s="229">
        <v>12010513</v>
      </c>
      <c r="E516" s="229" t="s">
        <v>818</v>
      </c>
      <c r="F516" s="229">
        <v>2018</v>
      </c>
      <c r="G516">
        <v>1</v>
      </c>
      <c r="H516" t="s">
        <v>820</v>
      </c>
    </row>
    <row r="517" spans="1:8">
      <c r="A517" s="229" t="s">
        <v>1587</v>
      </c>
      <c r="C517" s="229">
        <v>86.56</v>
      </c>
      <c r="D517" s="229">
        <v>12010513</v>
      </c>
      <c r="E517" s="229" t="s">
        <v>818</v>
      </c>
      <c r="F517" s="229">
        <v>2018</v>
      </c>
      <c r="G517">
        <v>1</v>
      </c>
      <c r="H517" t="s">
        <v>820</v>
      </c>
    </row>
    <row r="518" spans="1:8">
      <c r="A518" s="229" t="s">
        <v>1587</v>
      </c>
      <c r="C518" s="229">
        <v>151.47999999999999</v>
      </c>
      <c r="D518" s="229">
        <v>12010513</v>
      </c>
      <c r="E518" s="229" t="s">
        <v>818</v>
      </c>
      <c r="F518" s="229">
        <v>2018</v>
      </c>
      <c r="G518">
        <v>1</v>
      </c>
      <c r="H518" t="s">
        <v>820</v>
      </c>
    </row>
    <row r="519" spans="1:8">
      <c r="A519" s="229" t="s">
        <v>1587</v>
      </c>
      <c r="C519" s="229">
        <v>243.45</v>
      </c>
      <c r="D519" s="229">
        <v>12010513</v>
      </c>
      <c r="E519" s="229" t="s">
        <v>818</v>
      </c>
      <c r="F519" s="229">
        <v>2018</v>
      </c>
      <c r="G519">
        <v>1</v>
      </c>
      <c r="H519" t="s">
        <v>820</v>
      </c>
    </row>
    <row r="520" spans="1:8">
      <c r="A520" s="229" t="s">
        <v>1587</v>
      </c>
      <c r="C520" s="229">
        <v>197.47</v>
      </c>
      <c r="D520" s="229">
        <v>12010513</v>
      </c>
      <c r="E520" s="229" t="s">
        <v>818</v>
      </c>
      <c r="F520" s="229">
        <v>2018</v>
      </c>
      <c r="G520">
        <v>1</v>
      </c>
      <c r="H520" t="s">
        <v>820</v>
      </c>
    </row>
    <row r="521" spans="1:8">
      <c r="A521" s="229" t="s">
        <v>1587</v>
      </c>
      <c r="C521" s="229">
        <v>432.8</v>
      </c>
      <c r="D521" s="229">
        <v>12010513</v>
      </c>
      <c r="E521" s="229" t="s">
        <v>818</v>
      </c>
      <c r="F521" s="229">
        <v>2018</v>
      </c>
      <c r="G521">
        <v>1</v>
      </c>
      <c r="H521" t="s">
        <v>820</v>
      </c>
    </row>
    <row r="522" spans="1:8">
      <c r="A522" s="229" t="s">
        <v>1587</v>
      </c>
      <c r="C522" s="229">
        <v>183.94</v>
      </c>
      <c r="D522" s="229">
        <v>12010513</v>
      </c>
      <c r="E522" s="229" t="s">
        <v>818</v>
      </c>
      <c r="F522" s="229">
        <v>2018</v>
      </c>
      <c r="G522">
        <v>1</v>
      </c>
      <c r="H522" t="s">
        <v>820</v>
      </c>
    </row>
    <row r="523" spans="1:8">
      <c r="A523" s="229" t="s">
        <v>1587</v>
      </c>
      <c r="C523" s="229">
        <v>357.06</v>
      </c>
      <c r="D523" s="229">
        <v>12010513</v>
      </c>
      <c r="E523" s="229" t="s">
        <v>818</v>
      </c>
      <c r="F523" s="229">
        <v>2018</v>
      </c>
      <c r="G523">
        <v>1</v>
      </c>
      <c r="H523" t="s">
        <v>820</v>
      </c>
    </row>
    <row r="524" spans="1:8">
      <c r="A524" s="229" t="s">
        <v>1587</v>
      </c>
      <c r="C524" s="229">
        <v>248.86</v>
      </c>
      <c r="D524" s="229">
        <v>12010513</v>
      </c>
      <c r="E524" s="229" t="s">
        <v>818</v>
      </c>
      <c r="F524" s="229">
        <v>2018</v>
      </c>
      <c r="G524">
        <v>1</v>
      </c>
      <c r="H524" t="s">
        <v>820</v>
      </c>
    </row>
    <row r="525" spans="1:8">
      <c r="A525" s="229" t="s">
        <v>1587</v>
      </c>
      <c r="C525" s="229">
        <v>324.60000000000002</v>
      </c>
      <c r="D525" s="229">
        <v>12010513</v>
      </c>
      <c r="E525" s="229" t="s">
        <v>818</v>
      </c>
      <c r="F525" s="229">
        <v>2018</v>
      </c>
      <c r="G525">
        <v>1</v>
      </c>
      <c r="H525" t="s">
        <v>820</v>
      </c>
    </row>
    <row r="526" spans="1:8">
      <c r="A526" s="229" t="s">
        <v>1588</v>
      </c>
      <c r="B526" s="229">
        <v>787</v>
      </c>
      <c r="D526" s="229">
        <v>12010513</v>
      </c>
      <c r="E526" s="229" t="s">
        <v>818</v>
      </c>
      <c r="F526" s="229">
        <v>2018</v>
      </c>
      <c r="G526">
        <v>1</v>
      </c>
      <c r="H526" t="s">
        <v>820</v>
      </c>
    </row>
    <row r="527" spans="1:8">
      <c r="A527" s="229" t="s">
        <v>1589</v>
      </c>
      <c r="C527" s="229">
        <v>15.23</v>
      </c>
      <c r="D527" s="229">
        <v>12010513</v>
      </c>
      <c r="E527" s="229" t="s">
        <v>818</v>
      </c>
      <c r="F527" s="229">
        <v>2018</v>
      </c>
      <c r="G527">
        <v>1</v>
      </c>
      <c r="H527" t="s">
        <v>820</v>
      </c>
    </row>
    <row r="528" spans="1:8">
      <c r="A528" s="229" t="s">
        <v>1589</v>
      </c>
      <c r="C528" s="229">
        <v>24.45</v>
      </c>
      <c r="D528" s="229">
        <v>12010513</v>
      </c>
      <c r="E528" s="229" t="s">
        <v>818</v>
      </c>
      <c r="F528" s="229">
        <v>2018</v>
      </c>
      <c r="G528">
        <v>1</v>
      </c>
      <c r="H528" t="s">
        <v>820</v>
      </c>
    </row>
    <row r="529" spans="1:8">
      <c r="A529" s="229" t="s">
        <v>1589</v>
      </c>
      <c r="C529" s="229">
        <v>33.229999999999997</v>
      </c>
      <c r="D529" s="229">
        <v>12010513</v>
      </c>
      <c r="E529" s="229" t="s">
        <v>818</v>
      </c>
      <c r="F529" s="229">
        <v>2018</v>
      </c>
      <c r="G529">
        <v>1</v>
      </c>
      <c r="H529" t="s">
        <v>820</v>
      </c>
    </row>
    <row r="530" spans="1:8">
      <c r="A530" s="229" t="s">
        <v>1590</v>
      </c>
      <c r="B530" s="229">
        <v>35377</v>
      </c>
      <c r="D530" s="229">
        <v>12010513</v>
      </c>
      <c r="E530" s="229" t="s">
        <v>818</v>
      </c>
      <c r="F530" s="229">
        <v>2018</v>
      </c>
      <c r="G530">
        <v>1</v>
      </c>
      <c r="H530" t="s">
        <v>820</v>
      </c>
    </row>
    <row r="531" spans="1:8">
      <c r="A531" s="229" t="s">
        <v>1593</v>
      </c>
      <c r="C531" s="229">
        <v>1.62</v>
      </c>
      <c r="D531" s="229">
        <v>12010513</v>
      </c>
      <c r="E531" s="229" t="s">
        <v>818</v>
      </c>
      <c r="F531" s="229">
        <v>2018</v>
      </c>
      <c r="G531">
        <v>1</v>
      </c>
      <c r="H531" t="s">
        <v>820</v>
      </c>
    </row>
    <row r="532" spans="1:8">
      <c r="A532" s="229" t="s">
        <v>1596</v>
      </c>
      <c r="D532" s="229">
        <v>12010513</v>
      </c>
      <c r="E532" s="229" t="s">
        <v>818</v>
      </c>
      <c r="F532" s="229">
        <v>2018</v>
      </c>
      <c r="G532">
        <v>1</v>
      </c>
      <c r="H532" t="s">
        <v>820</v>
      </c>
    </row>
    <row r="533" spans="1:8">
      <c r="A533" s="229" t="s">
        <v>1596</v>
      </c>
      <c r="D533" s="229">
        <v>12010513</v>
      </c>
      <c r="E533" s="229" t="s">
        <v>818</v>
      </c>
      <c r="F533" s="229">
        <v>2018</v>
      </c>
      <c r="G533">
        <v>1</v>
      </c>
      <c r="H533" t="s">
        <v>820</v>
      </c>
    </row>
    <row r="534" spans="1:8">
      <c r="A534" s="229" t="s">
        <v>1596</v>
      </c>
      <c r="C534" s="229">
        <v>48.91</v>
      </c>
      <c r="D534" s="229">
        <v>12010513</v>
      </c>
      <c r="E534" s="229" t="s">
        <v>818</v>
      </c>
      <c r="F534" s="229">
        <v>2018</v>
      </c>
      <c r="G534">
        <v>1</v>
      </c>
      <c r="H534" t="s">
        <v>820</v>
      </c>
    </row>
    <row r="535" spans="1:8">
      <c r="A535" s="229" t="s">
        <v>1596</v>
      </c>
      <c r="C535" s="229">
        <v>48.91</v>
      </c>
      <c r="D535" s="229">
        <v>12010513</v>
      </c>
      <c r="E535" s="229" t="s">
        <v>818</v>
      </c>
      <c r="F535" s="229">
        <v>2018</v>
      </c>
      <c r="G535">
        <v>1</v>
      </c>
      <c r="H535" t="s">
        <v>820</v>
      </c>
    </row>
    <row r="536" spans="1:8">
      <c r="A536" s="229" t="s">
        <v>1596</v>
      </c>
      <c r="D536" s="229">
        <v>12010513</v>
      </c>
      <c r="E536" s="229" t="s">
        <v>818</v>
      </c>
      <c r="F536" s="229">
        <v>2018</v>
      </c>
      <c r="G536">
        <v>1</v>
      </c>
      <c r="H536" t="s">
        <v>820</v>
      </c>
    </row>
    <row r="537" spans="1:8">
      <c r="A537" s="229" t="s">
        <v>1596</v>
      </c>
      <c r="C537" s="229">
        <v>48.91</v>
      </c>
      <c r="D537" s="229">
        <v>12010513</v>
      </c>
      <c r="E537" s="229" t="s">
        <v>818</v>
      </c>
      <c r="F537" s="229">
        <v>2018</v>
      </c>
      <c r="G537">
        <v>1</v>
      </c>
      <c r="H537" t="s">
        <v>820</v>
      </c>
    </row>
    <row r="538" spans="1:8">
      <c r="A538" s="229" t="s">
        <v>1596</v>
      </c>
      <c r="D538" s="229">
        <v>12010513</v>
      </c>
      <c r="E538" s="229" t="s">
        <v>818</v>
      </c>
      <c r="F538" s="229">
        <v>2018</v>
      </c>
      <c r="G538">
        <v>1</v>
      </c>
      <c r="H538" t="s">
        <v>820</v>
      </c>
    </row>
    <row r="539" spans="1:8">
      <c r="A539" s="229" t="s">
        <v>1597</v>
      </c>
      <c r="C539" s="229">
        <v>-2415</v>
      </c>
      <c r="D539" s="229">
        <v>12010513</v>
      </c>
      <c r="E539" s="229" t="s">
        <v>818</v>
      </c>
      <c r="F539" s="229">
        <v>2018</v>
      </c>
      <c r="G539">
        <v>1</v>
      </c>
      <c r="H539" t="s">
        <v>820</v>
      </c>
    </row>
    <row r="540" spans="1:8">
      <c r="A540" s="229" t="s">
        <v>1597</v>
      </c>
      <c r="C540" s="229">
        <v>227.53</v>
      </c>
      <c r="D540" s="229">
        <v>12010513</v>
      </c>
      <c r="E540" s="229" t="s">
        <v>818</v>
      </c>
      <c r="F540" s="229">
        <v>2018</v>
      </c>
      <c r="G540">
        <v>1</v>
      </c>
      <c r="H540" t="s">
        <v>820</v>
      </c>
    </row>
    <row r="541" spans="1:8">
      <c r="A541" s="229" t="s">
        <v>1597</v>
      </c>
      <c r="C541" s="229">
        <v>2415</v>
      </c>
      <c r="D541" s="229">
        <v>12010513</v>
      </c>
      <c r="E541" s="229" t="s">
        <v>818</v>
      </c>
      <c r="F541" s="229">
        <v>2018</v>
      </c>
      <c r="G541">
        <v>1</v>
      </c>
      <c r="H541" t="s">
        <v>820</v>
      </c>
    </row>
    <row r="542" spans="1:8">
      <c r="A542" s="229" t="s">
        <v>1676</v>
      </c>
      <c r="C542" s="229">
        <v>1800</v>
      </c>
      <c r="D542" s="229">
        <v>12010513</v>
      </c>
      <c r="E542" s="229" t="s">
        <v>818</v>
      </c>
      <c r="F542" s="229">
        <v>2018</v>
      </c>
      <c r="G542">
        <v>1</v>
      </c>
      <c r="H542" t="s">
        <v>820</v>
      </c>
    </row>
    <row r="543" spans="1:8">
      <c r="A543" s="229" t="s">
        <v>1599</v>
      </c>
      <c r="C543" s="229">
        <v>451.44</v>
      </c>
      <c r="D543" s="229">
        <v>12010513</v>
      </c>
      <c r="E543" s="229" t="s">
        <v>818</v>
      </c>
      <c r="F543" s="229">
        <v>2018</v>
      </c>
      <c r="G543">
        <v>1</v>
      </c>
      <c r="H543" t="s">
        <v>820</v>
      </c>
    </row>
    <row r="544" spans="1:8">
      <c r="A544" s="229" t="s">
        <v>1680</v>
      </c>
      <c r="C544" s="229">
        <v>150</v>
      </c>
      <c r="D544" s="229">
        <v>12010513</v>
      </c>
      <c r="E544" s="229" t="s">
        <v>818</v>
      </c>
      <c r="F544" s="229">
        <v>2018</v>
      </c>
      <c r="G544">
        <v>1</v>
      </c>
      <c r="H544" t="s">
        <v>820</v>
      </c>
    </row>
    <row r="545" spans="1:8">
      <c r="A545" s="229" t="s">
        <v>1680</v>
      </c>
      <c r="C545" s="229">
        <v>-150</v>
      </c>
      <c r="D545" s="229">
        <v>12010512</v>
      </c>
      <c r="E545" s="229" t="s">
        <v>818</v>
      </c>
      <c r="F545" s="229">
        <v>2018</v>
      </c>
      <c r="G545">
        <v>1</v>
      </c>
      <c r="H545" t="s">
        <v>820</v>
      </c>
    </row>
    <row r="546" spans="1:8">
      <c r="A546" s="229" t="s">
        <v>1680</v>
      </c>
      <c r="C546" s="229">
        <v>150</v>
      </c>
      <c r="D546" s="229">
        <v>12010512</v>
      </c>
      <c r="E546" s="229" t="s">
        <v>818</v>
      </c>
      <c r="F546" s="229">
        <v>2018</v>
      </c>
      <c r="G546">
        <v>1</v>
      </c>
      <c r="H546" t="s">
        <v>820</v>
      </c>
    </row>
    <row r="547" spans="1:8">
      <c r="A547" s="229" t="s">
        <v>1605</v>
      </c>
      <c r="C547" s="229">
        <v>399.98</v>
      </c>
      <c r="D547" s="229">
        <v>12010513</v>
      </c>
      <c r="E547" s="229" t="s">
        <v>818</v>
      </c>
      <c r="F547" s="229">
        <v>2018</v>
      </c>
      <c r="G547">
        <v>1</v>
      </c>
      <c r="H547" t="s">
        <v>820</v>
      </c>
    </row>
    <row r="548" spans="1:8">
      <c r="A548" s="229" t="s">
        <v>1611</v>
      </c>
      <c r="D548" s="229">
        <v>12010513</v>
      </c>
      <c r="E548" s="229" t="s">
        <v>818</v>
      </c>
      <c r="F548" s="229">
        <v>2018</v>
      </c>
      <c r="G548">
        <v>1</v>
      </c>
      <c r="H548" t="s">
        <v>820</v>
      </c>
    </row>
    <row r="549" spans="1:8">
      <c r="A549" s="229" t="s">
        <v>1611</v>
      </c>
      <c r="C549" s="229">
        <v>-600</v>
      </c>
      <c r="D549" s="229">
        <v>12010513</v>
      </c>
      <c r="E549" s="229" t="s">
        <v>818</v>
      </c>
      <c r="F549" s="229">
        <v>2018</v>
      </c>
      <c r="G549">
        <v>1</v>
      </c>
      <c r="H549" t="s">
        <v>820</v>
      </c>
    </row>
    <row r="550" spans="1:8">
      <c r="A550" s="229" t="s">
        <v>1611</v>
      </c>
      <c r="D550" s="229">
        <v>12010513</v>
      </c>
      <c r="E550" s="229" t="s">
        <v>818</v>
      </c>
      <c r="F550" s="229">
        <v>2018</v>
      </c>
      <c r="G550">
        <v>1</v>
      </c>
      <c r="H550" t="s">
        <v>820</v>
      </c>
    </row>
    <row r="551" spans="1:8">
      <c r="A551" s="229" t="s">
        <v>1611</v>
      </c>
      <c r="C551" s="229">
        <v>600</v>
      </c>
      <c r="D551" s="229">
        <v>12010513</v>
      </c>
      <c r="E551" s="229" t="s">
        <v>818</v>
      </c>
      <c r="F551" s="229">
        <v>2018</v>
      </c>
      <c r="G551">
        <v>1</v>
      </c>
      <c r="H551" t="s">
        <v>820</v>
      </c>
    </row>
    <row r="552" spans="1:8">
      <c r="A552" s="229" t="s">
        <v>1611</v>
      </c>
      <c r="D552" s="229">
        <v>12010513</v>
      </c>
      <c r="E552" s="229" t="s">
        <v>818</v>
      </c>
      <c r="F552" s="229">
        <v>2018</v>
      </c>
      <c r="G552">
        <v>1</v>
      </c>
      <c r="H552" t="s">
        <v>820</v>
      </c>
    </row>
    <row r="553" spans="1:8">
      <c r="A553" s="229" t="s">
        <v>1611</v>
      </c>
      <c r="C553" s="229">
        <v>600</v>
      </c>
      <c r="D553" s="229">
        <v>12010513</v>
      </c>
      <c r="E553" s="229" t="s">
        <v>818</v>
      </c>
      <c r="F553" s="229">
        <v>2018</v>
      </c>
      <c r="G553">
        <v>1</v>
      </c>
      <c r="H553" t="s">
        <v>820</v>
      </c>
    </row>
    <row r="554" spans="1:8">
      <c r="A554" s="229" t="s">
        <v>1611</v>
      </c>
      <c r="D554" s="229">
        <v>12010513</v>
      </c>
      <c r="E554" s="229" t="s">
        <v>818</v>
      </c>
      <c r="F554" s="229">
        <v>2018</v>
      </c>
      <c r="G554">
        <v>1</v>
      </c>
      <c r="H554" t="s">
        <v>820</v>
      </c>
    </row>
    <row r="555" spans="1:8">
      <c r="A555" s="229" t="s">
        <v>1611</v>
      </c>
      <c r="C555" s="229">
        <v>600</v>
      </c>
      <c r="D555" s="229">
        <v>12010513</v>
      </c>
      <c r="E555" s="229" t="s">
        <v>818</v>
      </c>
      <c r="F555" s="229">
        <v>2018</v>
      </c>
      <c r="G555">
        <v>1</v>
      </c>
      <c r="H555" t="s">
        <v>820</v>
      </c>
    </row>
    <row r="556" spans="1:8">
      <c r="A556" s="229" t="s">
        <v>1611</v>
      </c>
      <c r="D556" s="229">
        <v>12010513</v>
      </c>
      <c r="E556" s="229" t="s">
        <v>818</v>
      </c>
      <c r="F556" s="229">
        <v>2018</v>
      </c>
      <c r="G556">
        <v>1</v>
      </c>
      <c r="H556" t="s">
        <v>820</v>
      </c>
    </row>
    <row r="557" spans="1:8">
      <c r="A557" s="229" t="s">
        <v>1611</v>
      </c>
      <c r="C557" s="229">
        <v>600</v>
      </c>
      <c r="D557" s="229">
        <v>12010513</v>
      </c>
      <c r="E557" s="229" t="s">
        <v>818</v>
      </c>
      <c r="F557" s="229">
        <v>2018</v>
      </c>
      <c r="G557">
        <v>1</v>
      </c>
      <c r="H557" t="s">
        <v>820</v>
      </c>
    </row>
    <row r="558" spans="1:8">
      <c r="A558" s="229" t="s">
        <v>1615</v>
      </c>
      <c r="B558" s="229">
        <v>1500</v>
      </c>
      <c r="D558" s="229">
        <v>12010513</v>
      </c>
      <c r="E558" s="229" t="s">
        <v>818</v>
      </c>
      <c r="F558" s="229">
        <v>2018</v>
      </c>
      <c r="G558">
        <v>1</v>
      </c>
      <c r="H558" t="s">
        <v>820</v>
      </c>
    </row>
    <row r="559" spans="1:8">
      <c r="A559" s="229" t="s">
        <v>1687</v>
      </c>
      <c r="B559" s="229">
        <v>18688</v>
      </c>
      <c r="D559" s="229">
        <v>12010513</v>
      </c>
      <c r="E559" s="229" t="s">
        <v>818</v>
      </c>
      <c r="F559" s="229">
        <v>2018</v>
      </c>
      <c r="G559">
        <v>1</v>
      </c>
      <c r="H559" t="s">
        <v>820</v>
      </c>
    </row>
    <row r="560" spans="1:8">
      <c r="A560" s="229" t="s">
        <v>1618</v>
      </c>
      <c r="B560" s="229">
        <v>8158</v>
      </c>
      <c r="D560" s="229">
        <v>12010513</v>
      </c>
      <c r="E560" s="229" t="s">
        <v>818</v>
      </c>
      <c r="F560" s="229">
        <v>2018</v>
      </c>
      <c r="G560">
        <v>1</v>
      </c>
      <c r="H560" t="s">
        <v>820</v>
      </c>
    </row>
    <row r="561" spans="1:8">
      <c r="A561" s="229" t="s">
        <v>1618</v>
      </c>
      <c r="C561" s="229">
        <v>7.16</v>
      </c>
      <c r="D561" s="229">
        <v>12010513</v>
      </c>
      <c r="E561" s="229" t="s">
        <v>818</v>
      </c>
      <c r="F561" s="229">
        <v>2018</v>
      </c>
      <c r="G561">
        <v>1</v>
      </c>
      <c r="H561" t="s">
        <v>820</v>
      </c>
    </row>
    <row r="562" spans="1:8">
      <c r="A562" s="229" t="s">
        <v>1618</v>
      </c>
      <c r="C562" s="229">
        <v>-14.31</v>
      </c>
      <c r="D562" s="229">
        <v>12010513</v>
      </c>
      <c r="E562" s="229" t="s">
        <v>818</v>
      </c>
      <c r="F562" s="229">
        <v>2018</v>
      </c>
      <c r="G562">
        <v>1</v>
      </c>
      <c r="H562" t="s">
        <v>820</v>
      </c>
    </row>
    <row r="563" spans="1:8">
      <c r="A563" s="229" t="s">
        <v>1618</v>
      </c>
      <c r="C563" s="229">
        <v>-233.13</v>
      </c>
      <c r="D563" s="229">
        <v>12010513</v>
      </c>
      <c r="E563" s="229" t="s">
        <v>818</v>
      </c>
      <c r="F563" s="229">
        <v>2018</v>
      </c>
      <c r="G563">
        <v>1</v>
      </c>
      <c r="H563" t="s">
        <v>820</v>
      </c>
    </row>
    <row r="564" spans="1:8">
      <c r="A564" s="229" t="s">
        <v>1618</v>
      </c>
      <c r="C564" s="229">
        <v>-4.72</v>
      </c>
      <c r="D564" s="229">
        <v>12010512</v>
      </c>
      <c r="E564" s="229" t="s">
        <v>818</v>
      </c>
      <c r="F564" s="229">
        <v>2018</v>
      </c>
      <c r="G564">
        <v>1</v>
      </c>
      <c r="H564" t="s">
        <v>820</v>
      </c>
    </row>
    <row r="565" spans="1:8">
      <c r="A565" s="229" t="s">
        <v>1618</v>
      </c>
      <c r="C565" s="229">
        <v>466.26</v>
      </c>
      <c r="D565" s="229">
        <v>12010513</v>
      </c>
      <c r="E565" s="229" t="s">
        <v>818</v>
      </c>
      <c r="F565" s="229">
        <v>2018</v>
      </c>
      <c r="G565">
        <v>1</v>
      </c>
      <c r="H565" t="s">
        <v>820</v>
      </c>
    </row>
    <row r="566" spans="1:8">
      <c r="A566" s="229" t="s">
        <v>1618</v>
      </c>
      <c r="C566" s="229">
        <v>9.44</v>
      </c>
      <c r="D566" s="229">
        <v>12010512</v>
      </c>
      <c r="E566" s="229" t="s">
        <v>818</v>
      </c>
      <c r="F566" s="229">
        <v>2018</v>
      </c>
      <c r="G566">
        <v>1</v>
      </c>
      <c r="H566" t="s">
        <v>820</v>
      </c>
    </row>
    <row r="567" spans="1:8">
      <c r="A567" s="229" t="s">
        <v>1618</v>
      </c>
      <c r="C567" s="229">
        <v>-162.19</v>
      </c>
      <c r="D567" s="229">
        <v>12010513</v>
      </c>
      <c r="E567" s="229" t="s">
        <v>818</v>
      </c>
      <c r="F567" s="229">
        <v>2018</v>
      </c>
      <c r="G567">
        <v>1</v>
      </c>
      <c r="H567" t="s">
        <v>820</v>
      </c>
    </row>
    <row r="568" spans="1:8">
      <c r="A568" s="229" t="s">
        <v>1618</v>
      </c>
      <c r="C568" s="229">
        <v>4.72</v>
      </c>
      <c r="D568" s="229">
        <v>12010512</v>
      </c>
      <c r="E568" s="229" t="s">
        <v>818</v>
      </c>
      <c r="F568" s="229">
        <v>2018</v>
      </c>
      <c r="G568">
        <v>1</v>
      </c>
      <c r="H568" t="s">
        <v>820</v>
      </c>
    </row>
    <row r="569" spans="1:8">
      <c r="A569" s="229" t="s">
        <v>1618</v>
      </c>
      <c r="C569" s="229">
        <v>324.38</v>
      </c>
      <c r="D569" s="229">
        <v>12010513</v>
      </c>
      <c r="E569" s="229" t="s">
        <v>818</v>
      </c>
      <c r="F569" s="229">
        <v>2018</v>
      </c>
      <c r="G569">
        <v>1</v>
      </c>
      <c r="H569" t="s">
        <v>820</v>
      </c>
    </row>
    <row r="570" spans="1:8">
      <c r="A570" s="229" t="s">
        <v>1618</v>
      </c>
      <c r="C570" s="229">
        <v>-9.44</v>
      </c>
      <c r="D570" s="229">
        <v>12010512</v>
      </c>
      <c r="E570" s="229" t="s">
        <v>818</v>
      </c>
      <c r="F570" s="229">
        <v>2018</v>
      </c>
      <c r="G570">
        <v>1</v>
      </c>
      <c r="H570" t="s">
        <v>820</v>
      </c>
    </row>
    <row r="571" spans="1:8">
      <c r="A571" s="229" t="s">
        <v>1619</v>
      </c>
      <c r="B571" s="229">
        <v>675</v>
      </c>
      <c r="D571" s="229">
        <v>12010513</v>
      </c>
      <c r="E571" s="229" t="s">
        <v>818</v>
      </c>
      <c r="F571" s="229">
        <v>2018</v>
      </c>
      <c r="G571">
        <v>1</v>
      </c>
      <c r="H571" t="s">
        <v>820</v>
      </c>
    </row>
    <row r="572" spans="1:8">
      <c r="A572" s="229" t="s">
        <v>1619</v>
      </c>
      <c r="C572" s="229">
        <v>-1.1599999999999999</v>
      </c>
      <c r="D572" s="229">
        <v>12010513</v>
      </c>
      <c r="E572" s="229" t="s">
        <v>818</v>
      </c>
      <c r="F572" s="229">
        <v>2018</v>
      </c>
      <c r="G572">
        <v>1</v>
      </c>
      <c r="H572" t="s">
        <v>820</v>
      </c>
    </row>
    <row r="573" spans="1:8">
      <c r="A573" s="229" t="s">
        <v>1619</v>
      </c>
      <c r="C573" s="229">
        <v>37.81</v>
      </c>
      <c r="D573" s="229">
        <v>12010513</v>
      </c>
      <c r="E573" s="229" t="s">
        <v>818</v>
      </c>
      <c r="F573" s="229">
        <v>2018</v>
      </c>
      <c r="G573">
        <v>1</v>
      </c>
      <c r="H573" t="s">
        <v>820</v>
      </c>
    </row>
    <row r="574" spans="1:8">
      <c r="A574" s="229" t="s">
        <v>1619</v>
      </c>
      <c r="C574" s="229">
        <v>0.77</v>
      </c>
      <c r="D574" s="229">
        <v>12010512</v>
      </c>
      <c r="E574" s="229" t="s">
        <v>818</v>
      </c>
      <c r="F574" s="229">
        <v>2018</v>
      </c>
      <c r="G574">
        <v>1</v>
      </c>
      <c r="H574" t="s">
        <v>820</v>
      </c>
    </row>
    <row r="575" spans="1:8">
      <c r="A575" s="229" t="s">
        <v>1619</v>
      </c>
      <c r="C575" s="229">
        <v>26.3</v>
      </c>
      <c r="D575" s="229">
        <v>12010513</v>
      </c>
      <c r="E575" s="229" t="s">
        <v>818</v>
      </c>
      <c r="F575" s="229">
        <v>2018</v>
      </c>
      <c r="G575">
        <v>1</v>
      </c>
      <c r="H575" t="s">
        <v>820</v>
      </c>
    </row>
    <row r="576" spans="1:8">
      <c r="A576" s="229" t="s">
        <v>1619</v>
      </c>
      <c r="C576" s="229">
        <v>-0.77</v>
      </c>
      <c r="D576" s="229">
        <v>12010512</v>
      </c>
      <c r="E576" s="229" t="s">
        <v>818</v>
      </c>
      <c r="F576" s="229">
        <v>2018</v>
      </c>
      <c r="G576">
        <v>1</v>
      </c>
      <c r="H576" t="s">
        <v>820</v>
      </c>
    </row>
    <row r="577" spans="1:8">
      <c r="A577" s="229" t="s">
        <v>1620</v>
      </c>
      <c r="C577" s="229">
        <v>-7.16</v>
      </c>
      <c r="D577" s="229">
        <v>12010513</v>
      </c>
      <c r="E577" s="229" t="s">
        <v>818</v>
      </c>
      <c r="F577" s="229">
        <v>2018</v>
      </c>
      <c r="G577">
        <v>1</v>
      </c>
      <c r="H577" t="s">
        <v>820</v>
      </c>
    </row>
    <row r="578" spans="1:8">
      <c r="A578" s="229" t="s">
        <v>1620</v>
      </c>
      <c r="C578" s="229">
        <v>233.13</v>
      </c>
      <c r="D578" s="229">
        <v>12010513</v>
      </c>
      <c r="E578" s="229" t="s">
        <v>818</v>
      </c>
      <c r="F578" s="229">
        <v>2018</v>
      </c>
      <c r="G578">
        <v>1</v>
      </c>
      <c r="H578" t="s">
        <v>820</v>
      </c>
    </row>
    <row r="579" spans="1:8">
      <c r="A579" s="229" t="s">
        <v>1620</v>
      </c>
      <c r="C579" s="229">
        <v>4.72</v>
      </c>
      <c r="D579" s="229">
        <v>12010512</v>
      </c>
      <c r="E579" s="229" t="s">
        <v>818</v>
      </c>
      <c r="F579" s="229">
        <v>2018</v>
      </c>
      <c r="G579">
        <v>1</v>
      </c>
      <c r="H579" t="s">
        <v>820</v>
      </c>
    </row>
    <row r="580" spans="1:8">
      <c r="A580" s="229" t="s">
        <v>1620</v>
      </c>
      <c r="C580" s="229">
        <v>162.19</v>
      </c>
      <c r="D580" s="229">
        <v>12010513</v>
      </c>
      <c r="E580" s="229" t="s">
        <v>818</v>
      </c>
      <c r="F580" s="229">
        <v>2018</v>
      </c>
      <c r="G580">
        <v>1</v>
      </c>
      <c r="H580" t="s">
        <v>820</v>
      </c>
    </row>
    <row r="581" spans="1:8">
      <c r="A581" s="229" t="s">
        <v>1620</v>
      </c>
      <c r="C581" s="229">
        <v>-4.72</v>
      </c>
      <c r="D581" s="229">
        <v>12010512</v>
      </c>
      <c r="E581" s="229" t="s">
        <v>818</v>
      </c>
      <c r="F581" s="229">
        <v>2018</v>
      </c>
      <c r="G581">
        <v>1</v>
      </c>
      <c r="H581" t="s">
        <v>820</v>
      </c>
    </row>
    <row r="582" spans="1:8">
      <c r="A582" s="229" t="s">
        <v>1622</v>
      </c>
      <c r="C582" s="229">
        <v>12436</v>
      </c>
      <c r="D582" s="229">
        <v>12010512</v>
      </c>
      <c r="E582" s="229" t="s">
        <v>818</v>
      </c>
      <c r="F582" s="229">
        <v>2018</v>
      </c>
      <c r="G582">
        <v>1</v>
      </c>
      <c r="H582" t="s">
        <v>820</v>
      </c>
    </row>
    <row r="583" spans="1:8">
      <c r="A583" s="229" t="s">
        <v>1587</v>
      </c>
      <c r="C583" s="229">
        <v>166.94</v>
      </c>
      <c r="D583" s="229">
        <v>12010513</v>
      </c>
      <c r="E583" s="229" t="s">
        <v>818</v>
      </c>
      <c r="F583" s="229">
        <v>2018</v>
      </c>
      <c r="G583">
        <v>2</v>
      </c>
      <c r="H583" t="s">
        <v>820</v>
      </c>
    </row>
    <row r="584" spans="1:8">
      <c r="A584" s="229" t="s">
        <v>1587</v>
      </c>
      <c r="C584" s="229">
        <v>166.94</v>
      </c>
      <c r="D584" s="229">
        <v>12010513</v>
      </c>
      <c r="E584" s="229" t="s">
        <v>818</v>
      </c>
      <c r="F584" s="229">
        <v>2018</v>
      </c>
      <c r="G584">
        <v>2</v>
      </c>
      <c r="H584" t="s">
        <v>820</v>
      </c>
    </row>
    <row r="585" spans="1:8">
      <c r="A585" s="229" t="s">
        <v>1587</v>
      </c>
      <c r="C585" s="229">
        <v>117.84</v>
      </c>
      <c r="D585" s="229">
        <v>12010513</v>
      </c>
      <c r="E585" s="229" t="s">
        <v>818</v>
      </c>
      <c r="F585" s="229">
        <v>2018</v>
      </c>
      <c r="G585">
        <v>2</v>
      </c>
      <c r="H585" t="s">
        <v>820</v>
      </c>
    </row>
    <row r="586" spans="1:8">
      <c r="A586" s="229" t="s">
        <v>1587</v>
      </c>
      <c r="C586" s="229">
        <v>174.31</v>
      </c>
      <c r="D586" s="229">
        <v>12010513</v>
      </c>
      <c r="E586" s="229" t="s">
        <v>818</v>
      </c>
      <c r="F586" s="229">
        <v>2018</v>
      </c>
      <c r="G586">
        <v>2</v>
      </c>
      <c r="H586" t="s">
        <v>820</v>
      </c>
    </row>
    <row r="587" spans="1:8">
      <c r="A587" s="229" t="s">
        <v>1587</v>
      </c>
      <c r="C587" s="229">
        <v>174.31</v>
      </c>
      <c r="D587" s="229">
        <v>12010513</v>
      </c>
      <c r="E587" s="229" t="s">
        <v>818</v>
      </c>
      <c r="F587" s="229">
        <v>2018</v>
      </c>
      <c r="G587">
        <v>2</v>
      </c>
      <c r="H587" t="s">
        <v>820</v>
      </c>
    </row>
    <row r="588" spans="1:8">
      <c r="A588" s="229" t="s">
        <v>1587</v>
      </c>
      <c r="C588" s="229">
        <v>88.38</v>
      </c>
      <c r="D588" s="229">
        <v>12010513</v>
      </c>
      <c r="E588" s="229" t="s">
        <v>818</v>
      </c>
      <c r="F588" s="229">
        <v>2018</v>
      </c>
      <c r="G588">
        <v>2</v>
      </c>
      <c r="H588" t="s">
        <v>820</v>
      </c>
    </row>
    <row r="589" spans="1:8">
      <c r="A589" s="229" t="s">
        <v>1587</v>
      </c>
      <c r="C589" s="229">
        <v>169.4</v>
      </c>
      <c r="D589" s="229">
        <v>12010513</v>
      </c>
      <c r="E589" s="229" t="s">
        <v>818</v>
      </c>
      <c r="F589" s="229">
        <v>2018</v>
      </c>
      <c r="G589">
        <v>2</v>
      </c>
      <c r="H589" t="s">
        <v>820</v>
      </c>
    </row>
    <row r="590" spans="1:8">
      <c r="A590" s="229" t="s">
        <v>1587</v>
      </c>
      <c r="C590" s="229">
        <v>117.84</v>
      </c>
      <c r="D590" s="229">
        <v>12010513</v>
      </c>
      <c r="E590" s="229" t="s">
        <v>818</v>
      </c>
      <c r="F590" s="229">
        <v>2018</v>
      </c>
      <c r="G590">
        <v>2</v>
      </c>
      <c r="H590" t="s">
        <v>820</v>
      </c>
    </row>
    <row r="591" spans="1:8">
      <c r="A591" s="229" t="s">
        <v>1587</v>
      </c>
      <c r="C591" s="229">
        <v>112.93</v>
      </c>
      <c r="D591" s="229">
        <v>12010513</v>
      </c>
      <c r="E591" s="229" t="s">
        <v>818</v>
      </c>
      <c r="F591" s="229">
        <v>2018</v>
      </c>
      <c r="G591">
        <v>2</v>
      </c>
      <c r="H591" t="s">
        <v>820</v>
      </c>
    </row>
    <row r="592" spans="1:8">
      <c r="A592" s="229" t="s">
        <v>1587</v>
      </c>
      <c r="C592" s="229">
        <v>117.84</v>
      </c>
      <c r="D592" s="229">
        <v>12010513</v>
      </c>
      <c r="E592" s="229" t="s">
        <v>818</v>
      </c>
      <c r="F592" s="229">
        <v>2018</v>
      </c>
      <c r="G592">
        <v>2</v>
      </c>
      <c r="H592" t="s">
        <v>820</v>
      </c>
    </row>
    <row r="593" spans="1:8">
      <c r="A593" s="229" t="s">
        <v>1587</v>
      </c>
      <c r="C593" s="229">
        <v>83.47</v>
      </c>
      <c r="D593" s="229">
        <v>12010513</v>
      </c>
      <c r="E593" s="229" t="s">
        <v>818</v>
      </c>
      <c r="F593" s="229">
        <v>2018</v>
      </c>
      <c r="G593">
        <v>2</v>
      </c>
      <c r="H593" t="s">
        <v>820</v>
      </c>
    </row>
    <row r="594" spans="1:8">
      <c r="A594" s="229" t="s">
        <v>1587</v>
      </c>
      <c r="C594" s="229">
        <v>112.93</v>
      </c>
      <c r="D594" s="229">
        <v>12010513</v>
      </c>
      <c r="E594" s="229" t="s">
        <v>818</v>
      </c>
      <c r="F594" s="229">
        <v>2018</v>
      </c>
      <c r="G594">
        <v>2</v>
      </c>
      <c r="H594" t="s">
        <v>820</v>
      </c>
    </row>
    <row r="595" spans="1:8">
      <c r="A595" s="229" t="s">
        <v>1587</v>
      </c>
      <c r="C595" s="229">
        <v>88.38</v>
      </c>
      <c r="D595" s="229">
        <v>12010513</v>
      </c>
      <c r="E595" s="229" t="s">
        <v>818</v>
      </c>
      <c r="F595" s="229">
        <v>2018</v>
      </c>
      <c r="G595">
        <v>2</v>
      </c>
      <c r="H595" t="s">
        <v>820</v>
      </c>
    </row>
    <row r="596" spans="1:8">
      <c r="A596" s="229" t="s">
        <v>1587</v>
      </c>
      <c r="C596" s="229">
        <v>103.11</v>
      </c>
      <c r="D596" s="229">
        <v>12010513</v>
      </c>
      <c r="E596" s="229" t="s">
        <v>818</v>
      </c>
      <c r="F596" s="229">
        <v>2018</v>
      </c>
      <c r="G596">
        <v>2</v>
      </c>
      <c r="H596" t="s">
        <v>820</v>
      </c>
    </row>
    <row r="597" spans="1:8">
      <c r="A597" s="229" t="s">
        <v>1587</v>
      </c>
      <c r="C597" s="229">
        <v>124.43</v>
      </c>
      <c r="D597" s="229">
        <v>12010513</v>
      </c>
      <c r="E597" s="229" t="s">
        <v>818</v>
      </c>
      <c r="F597" s="229">
        <v>2018</v>
      </c>
      <c r="G597">
        <v>2</v>
      </c>
      <c r="H597" t="s">
        <v>820</v>
      </c>
    </row>
    <row r="598" spans="1:8">
      <c r="A598" s="229" t="s">
        <v>1587</v>
      </c>
      <c r="C598" s="229">
        <v>127.14</v>
      </c>
      <c r="D598" s="229">
        <v>12010513</v>
      </c>
      <c r="E598" s="229" t="s">
        <v>818</v>
      </c>
      <c r="F598" s="229">
        <v>2018</v>
      </c>
      <c r="G598">
        <v>2</v>
      </c>
      <c r="H598" t="s">
        <v>820</v>
      </c>
    </row>
    <row r="599" spans="1:8">
      <c r="A599" s="229" t="s">
        <v>1587</v>
      </c>
      <c r="C599" s="229">
        <v>129.84</v>
      </c>
      <c r="D599" s="229">
        <v>12010513</v>
      </c>
      <c r="E599" s="229" t="s">
        <v>818</v>
      </c>
      <c r="F599" s="229">
        <v>2018</v>
      </c>
      <c r="G599">
        <v>2</v>
      </c>
      <c r="H599" t="s">
        <v>820</v>
      </c>
    </row>
    <row r="600" spans="1:8">
      <c r="A600" s="229" t="s">
        <v>1587</v>
      </c>
      <c r="C600" s="229">
        <v>129.84</v>
      </c>
      <c r="D600" s="229">
        <v>12010513</v>
      </c>
      <c r="E600" s="229" t="s">
        <v>818</v>
      </c>
      <c r="F600" s="229">
        <v>2018</v>
      </c>
      <c r="G600">
        <v>2</v>
      </c>
      <c r="H600" t="s">
        <v>820</v>
      </c>
    </row>
    <row r="601" spans="1:8">
      <c r="A601" s="229" t="s">
        <v>1587</v>
      </c>
      <c r="C601" s="229">
        <v>124.43</v>
      </c>
      <c r="D601" s="229">
        <v>12010513</v>
      </c>
      <c r="E601" s="229" t="s">
        <v>818</v>
      </c>
      <c r="F601" s="229">
        <v>2018</v>
      </c>
      <c r="G601">
        <v>2</v>
      </c>
      <c r="H601" t="s">
        <v>820</v>
      </c>
    </row>
    <row r="602" spans="1:8">
      <c r="A602" s="229" t="s">
        <v>1587</v>
      </c>
      <c r="C602" s="229">
        <v>94.68</v>
      </c>
      <c r="D602" s="229">
        <v>12010513</v>
      </c>
      <c r="E602" s="229" t="s">
        <v>818</v>
      </c>
      <c r="F602" s="229">
        <v>2018</v>
      </c>
      <c r="G602">
        <v>2</v>
      </c>
      <c r="H602" t="s">
        <v>820</v>
      </c>
    </row>
    <row r="603" spans="1:8">
      <c r="A603" s="229" t="s">
        <v>1587</v>
      </c>
      <c r="C603" s="229">
        <v>78.45</v>
      </c>
      <c r="D603" s="229">
        <v>12010513</v>
      </c>
      <c r="E603" s="229" t="s">
        <v>818</v>
      </c>
      <c r="F603" s="229">
        <v>2018</v>
      </c>
      <c r="G603">
        <v>2</v>
      </c>
      <c r="H603" t="s">
        <v>820</v>
      </c>
    </row>
    <row r="604" spans="1:8">
      <c r="A604" s="229" t="s">
        <v>1587</v>
      </c>
      <c r="C604" s="229">
        <v>270.5</v>
      </c>
      <c r="D604" s="229">
        <v>12010513</v>
      </c>
      <c r="E604" s="229" t="s">
        <v>818</v>
      </c>
      <c r="F604" s="229">
        <v>2018</v>
      </c>
      <c r="G604">
        <v>2</v>
      </c>
      <c r="H604" t="s">
        <v>820</v>
      </c>
    </row>
    <row r="605" spans="1:8">
      <c r="A605" s="229" t="s">
        <v>1587</v>
      </c>
      <c r="C605" s="229">
        <v>346.24</v>
      </c>
      <c r="D605" s="229">
        <v>12010513</v>
      </c>
      <c r="E605" s="229" t="s">
        <v>818</v>
      </c>
      <c r="F605" s="229">
        <v>2018</v>
      </c>
      <c r="G605">
        <v>2</v>
      </c>
      <c r="H605" t="s">
        <v>820</v>
      </c>
    </row>
    <row r="606" spans="1:8">
      <c r="A606" s="229" t="s">
        <v>1587</v>
      </c>
      <c r="C606" s="229">
        <v>367.88</v>
      </c>
      <c r="D606" s="229">
        <v>12010513</v>
      </c>
      <c r="E606" s="229" t="s">
        <v>818</v>
      </c>
      <c r="F606" s="229">
        <v>2018</v>
      </c>
      <c r="G606">
        <v>2</v>
      </c>
      <c r="H606" t="s">
        <v>820</v>
      </c>
    </row>
    <row r="607" spans="1:8">
      <c r="A607" s="229" t="s">
        <v>1587</v>
      </c>
      <c r="C607" s="229">
        <v>400.34</v>
      </c>
      <c r="D607" s="229">
        <v>12010513</v>
      </c>
      <c r="E607" s="229" t="s">
        <v>818</v>
      </c>
      <c r="F607" s="229">
        <v>2018</v>
      </c>
      <c r="G607">
        <v>2</v>
      </c>
      <c r="H607" t="s">
        <v>820</v>
      </c>
    </row>
    <row r="608" spans="1:8">
      <c r="A608" s="229" t="s">
        <v>1587</v>
      </c>
      <c r="C608" s="229">
        <v>281.32</v>
      </c>
      <c r="D608" s="229">
        <v>12010513</v>
      </c>
      <c r="E608" s="229" t="s">
        <v>818</v>
      </c>
      <c r="F608" s="229">
        <v>2018</v>
      </c>
      <c r="G608">
        <v>2</v>
      </c>
      <c r="H608" t="s">
        <v>820</v>
      </c>
    </row>
    <row r="609" spans="1:8">
      <c r="A609" s="229" t="s">
        <v>1587</v>
      </c>
      <c r="C609" s="229">
        <v>162.30000000000001</v>
      </c>
      <c r="D609" s="229">
        <v>12010513</v>
      </c>
      <c r="E609" s="229" t="s">
        <v>818</v>
      </c>
      <c r="F609" s="229">
        <v>2018</v>
      </c>
      <c r="G609">
        <v>2</v>
      </c>
      <c r="H609" t="s">
        <v>820</v>
      </c>
    </row>
    <row r="610" spans="1:8">
      <c r="A610" s="229" t="s">
        <v>1587</v>
      </c>
      <c r="C610" s="229">
        <v>216.4</v>
      </c>
      <c r="D610" s="229">
        <v>12010513</v>
      </c>
      <c r="E610" s="229" t="s">
        <v>818</v>
      </c>
      <c r="F610" s="229">
        <v>2018</v>
      </c>
      <c r="G610">
        <v>2</v>
      </c>
      <c r="H610" t="s">
        <v>820</v>
      </c>
    </row>
    <row r="611" spans="1:8">
      <c r="A611" s="229" t="s">
        <v>1587</v>
      </c>
      <c r="C611" s="229">
        <v>59.51</v>
      </c>
      <c r="D611" s="229">
        <v>12010513</v>
      </c>
      <c r="E611" s="229" t="s">
        <v>818</v>
      </c>
      <c r="F611" s="229">
        <v>2018</v>
      </c>
      <c r="G611">
        <v>2</v>
      </c>
      <c r="H611" t="s">
        <v>820</v>
      </c>
    </row>
    <row r="612" spans="1:8">
      <c r="A612" s="229" t="s">
        <v>1587</v>
      </c>
      <c r="C612" s="229">
        <v>108.2</v>
      </c>
      <c r="D612" s="229">
        <v>12010513</v>
      </c>
      <c r="E612" s="229" t="s">
        <v>818</v>
      </c>
      <c r="F612" s="229">
        <v>2018</v>
      </c>
      <c r="G612">
        <v>2</v>
      </c>
      <c r="H612" t="s">
        <v>820</v>
      </c>
    </row>
    <row r="613" spans="1:8">
      <c r="A613" s="229" t="s">
        <v>1587</v>
      </c>
      <c r="C613" s="229">
        <v>108.2</v>
      </c>
      <c r="D613" s="229">
        <v>12010513</v>
      </c>
      <c r="E613" s="229" t="s">
        <v>818</v>
      </c>
      <c r="F613" s="229">
        <v>2018</v>
      </c>
      <c r="G613">
        <v>2</v>
      </c>
      <c r="H613" t="s">
        <v>820</v>
      </c>
    </row>
    <row r="614" spans="1:8">
      <c r="A614" s="229" t="s">
        <v>1587</v>
      </c>
      <c r="C614" s="229">
        <v>73.040000000000006</v>
      </c>
      <c r="D614" s="229">
        <v>12010513</v>
      </c>
      <c r="E614" s="229" t="s">
        <v>818</v>
      </c>
      <c r="F614" s="229">
        <v>2018</v>
      </c>
      <c r="G614">
        <v>2</v>
      </c>
      <c r="H614" t="s">
        <v>820</v>
      </c>
    </row>
    <row r="615" spans="1:8">
      <c r="A615" s="229" t="s">
        <v>1587</v>
      </c>
      <c r="C615" s="229">
        <v>129.84</v>
      </c>
      <c r="D615" s="229">
        <v>12010513</v>
      </c>
      <c r="E615" s="229" t="s">
        <v>818</v>
      </c>
      <c r="F615" s="229">
        <v>2018</v>
      </c>
      <c r="G615">
        <v>2</v>
      </c>
      <c r="H615" t="s">
        <v>820</v>
      </c>
    </row>
    <row r="616" spans="1:8">
      <c r="A616" s="229" t="s">
        <v>1587</v>
      </c>
      <c r="C616" s="229">
        <v>32.46</v>
      </c>
      <c r="D616" s="229">
        <v>12010513</v>
      </c>
      <c r="E616" s="229" t="s">
        <v>818</v>
      </c>
      <c r="F616" s="229">
        <v>2018</v>
      </c>
      <c r="G616">
        <v>2</v>
      </c>
      <c r="H616" t="s">
        <v>820</v>
      </c>
    </row>
    <row r="617" spans="1:8">
      <c r="A617" s="229" t="s">
        <v>1587</v>
      </c>
      <c r="C617" s="229">
        <v>43.28</v>
      </c>
      <c r="D617" s="229">
        <v>12010513</v>
      </c>
      <c r="E617" s="229" t="s">
        <v>818</v>
      </c>
      <c r="F617" s="229">
        <v>2018</v>
      </c>
      <c r="G617">
        <v>2</v>
      </c>
      <c r="H617" t="s">
        <v>820</v>
      </c>
    </row>
    <row r="618" spans="1:8">
      <c r="A618" s="229" t="s">
        <v>1587</v>
      </c>
      <c r="C618" s="229">
        <v>232.63</v>
      </c>
      <c r="D618" s="229">
        <v>12010513</v>
      </c>
      <c r="E618" s="229" t="s">
        <v>818</v>
      </c>
      <c r="F618" s="229">
        <v>2018</v>
      </c>
      <c r="G618">
        <v>2</v>
      </c>
      <c r="H618" t="s">
        <v>820</v>
      </c>
    </row>
    <row r="619" spans="1:8">
      <c r="A619" s="229" t="s">
        <v>1587</v>
      </c>
      <c r="C619" s="229">
        <v>259.68</v>
      </c>
      <c r="D619" s="229">
        <v>12010513</v>
      </c>
      <c r="E619" s="229" t="s">
        <v>818</v>
      </c>
      <c r="F619" s="229">
        <v>2018</v>
      </c>
      <c r="G619">
        <v>2</v>
      </c>
      <c r="H619" t="s">
        <v>820</v>
      </c>
    </row>
    <row r="620" spans="1:8">
      <c r="A620" s="229" t="s">
        <v>1587</v>
      </c>
      <c r="C620" s="229">
        <v>91.97</v>
      </c>
      <c r="D620" s="229">
        <v>12010513</v>
      </c>
      <c r="E620" s="229" t="s">
        <v>818</v>
      </c>
      <c r="F620" s="229">
        <v>2018</v>
      </c>
      <c r="G620">
        <v>2</v>
      </c>
      <c r="H620" t="s">
        <v>820</v>
      </c>
    </row>
    <row r="621" spans="1:8">
      <c r="A621" s="229" t="s">
        <v>1587</v>
      </c>
      <c r="C621" s="229">
        <v>91.97</v>
      </c>
      <c r="D621" s="229">
        <v>12010513</v>
      </c>
      <c r="E621" s="229" t="s">
        <v>818</v>
      </c>
      <c r="F621" s="229">
        <v>2018</v>
      </c>
      <c r="G621">
        <v>2</v>
      </c>
      <c r="H621" t="s">
        <v>820</v>
      </c>
    </row>
    <row r="622" spans="1:8">
      <c r="A622" s="229" t="s">
        <v>1587</v>
      </c>
      <c r="C622" s="229">
        <v>108.2</v>
      </c>
      <c r="D622" s="229">
        <v>12010513</v>
      </c>
      <c r="E622" s="229" t="s">
        <v>818</v>
      </c>
      <c r="F622" s="229">
        <v>2018</v>
      </c>
      <c r="G622">
        <v>2</v>
      </c>
      <c r="H622" t="s">
        <v>820</v>
      </c>
    </row>
    <row r="623" spans="1:8">
      <c r="A623" s="229" t="s">
        <v>1587</v>
      </c>
      <c r="C623" s="229">
        <v>75.739999999999995</v>
      </c>
      <c r="D623" s="229">
        <v>12010513</v>
      </c>
      <c r="E623" s="229" t="s">
        <v>818</v>
      </c>
      <c r="F623" s="229">
        <v>2018</v>
      </c>
      <c r="G623">
        <v>2</v>
      </c>
      <c r="H623" t="s">
        <v>820</v>
      </c>
    </row>
    <row r="624" spans="1:8">
      <c r="A624" s="229" t="s">
        <v>1587</v>
      </c>
      <c r="C624" s="229">
        <v>64.92</v>
      </c>
      <c r="D624" s="229">
        <v>12010513</v>
      </c>
      <c r="E624" s="229" t="s">
        <v>818</v>
      </c>
      <c r="F624" s="229">
        <v>2018</v>
      </c>
      <c r="G624">
        <v>2</v>
      </c>
      <c r="H624" t="s">
        <v>820</v>
      </c>
    </row>
    <row r="625" spans="1:8">
      <c r="A625" s="229" t="s">
        <v>1587</v>
      </c>
      <c r="C625" s="229">
        <v>192.06</v>
      </c>
      <c r="D625" s="229">
        <v>12010513</v>
      </c>
      <c r="E625" s="229" t="s">
        <v>818</v>
      </c>
      <c r="F625" s="229">
        <v>2018</v>
      </c>
      <c r="G625">
        <v>2</v>
      </c>
      <c r="H625" t="s">
        <v>820</v>
      </c>
    </row>
    <row r="626" spans="1:8">
      <c r="A626" s="229" t="s">
        <v>1587</v>
      </c>
      <c r="C626" s="229">
        <v>189.35</v>
      </c>
      <c r="D626" s="229">
        <v>12010513</v>
      </c>
      <c r="E626" s="229" t="s">
        <v>818</v>
      </c>
      <c r="F626" s="229">
        <v>2018</v>
      </c>
      <c r="G626">
        <v>2</v>
      </c>
      <c r="H626" t="s">
        <v>820</v>
      </c>
    </row>
    <row r="627" spans="1:8">
      <c r="A627" s="229" t="s">
        <v>1587</v>
      </c>
      <c r="C627" s="229">
        <v>216.4</v>
      </c>
      <c r="D627" s="229">
        <v>12010513</v>
      </c>
      <c r="E627" s="229" t="s">
        <v>818</v>
      </c>
      <c r="F627" s="229">
        <v>2018</v>
      </c>
      <c r="G627">
        <v>2</v>
      </c>
      <c r="H627" t="s">
        <v>820</v>
      </c>
    </row>
    <row r="628" spans="1:8">
      <c r="A628" s="229" t="s">
        <v>1587</v>
      </c>
      <c r="C628" s="229">
        <v>213.7</v>
      </c>
      <c r="D628" s="229">
        <v>12010513</v>
      </c>
      <c r="E628" s="229" t="s">
        <v>818</v>
      </c>
      <c r="F628" s="229">
        <v>2018</v>
      </c>
      <c r="G628">
        <v>2</v>
      </c>
      <c r="H628" t="s">
        <v>820</v>
      </c>
    </row>
    <row r="629" spans="1:8">
      <c r="A629" s="229" t="s">
        <v>1587</v>
      </c>
      <c r="C629" s="229">
        <v>162.30000000000001</v>
      </c>
      <c r="D629" s="229">
        <v>12010513</v>
      </c>
      <c r="E629" s="229" t="s">
        <v>818</v>
      </c>
      <c r="F629" s="229">
        <v>2018</v>
      </c>
      <c r="G629">
        <v>2</v>
      </c>
      <c r="H629" t="s">
        <v>820</v>
      </c>
    </row>
    <row r="630" spans="1:8">
      <c r="A630" s="229" t="s">
        <v>1587</v>
      </c>
      <c r="C630" s="229">
        <v>108.2</v>
      </c>
      <c r="D630" s="229">
        <v>12010513</v>
      </c>
      <c r="E630" s="229" t="s">
        <v>818</v>
      </c>
      <c r="F630" s="229">
        <v>2018</v>
      </c>
      <c r="G630">
        <v>2</v>
      </c>
      <c r="H630" t="s">
        <v>820</v>
      </c>
    </row>
    <row r="631" spans="1:8">
      <c r="A631" s="229" t="s">
        <v>1587</v>
      </c>
      <c r="C631" s="229">
        <v>151.47999999999999</v>
      </c>
      <c r="D631" s="229">
        <v>12010513</v>
      </c>
      <c r="E631" s="229" t="s">
        <v>818</v>
      </c>
      <c r="F631" s="229">
        <v>2018</v>
      </c>
      <c r="G631">
        <v>2</v>
      </c>
      <c r="H631" t="s">
        <v>820</v>
      </c>
    </row>
    <row r="632" spans="1:8">
      <c r="A632" s="229" t="s">
        <v>1587</v>
      </c>
      <c r="C632" s="229">
        <v>37.869999999999997</v>
      </c>
      <c r="D632" s="229">
        <v>12010513</v>
      </c>
      <c r="E632" s="229" t="s">
        <v>818</v>
      </c>
      <c r="F632" s="229">
        <v>2018</v>
      </c>
      <c r="G632">
        <v>2</v>
      </c>
      <c r="H632" t="s">
        <v>820</v>
      </c>
    </row>
    <row r="633" spans="1:8">
      <c r="A633" s="229" t="s">
        <v>1587</v>
      </c>
      <c r="C633" s="229">
        <v>51.4</v>
      </c>
      <c r="D633" s="229">
        <v>12010513</v>
      </c>
      <c r="E633" s="229" t="s">
        <v>818</v>
      </c>
      <c r="F633" s="229">
        <v>2018</v>
      </c>
      <c r="G633">
        <v>2</v>
      </c>
      <c r="H633" t="s">
        <v>820</v>
      </c>
    </row>
    <row r="634" spans="1:8">
      <c r="A634" s="229" t="s">
        <v>1587</v>
      </c>
      <c r="C634" s="229">
        <v>29.76</v>
      </c>
      <c r="D634" s="229">
        <v>12010513</v>
      </c>
      <c r="E634" s="229" t="s">
        <v>818</v>
      </c>
      <c r="F634" s="229">
        <v>2018</v>
      </c>
      <c r="G634">
        <v>2</v>
      </c>
      <c r="H634" t="s">
        <v>820</v>
      </c>
    </row>
    <row r="635" spans="1:8">
      <c r="A635" s="229" t="s">
        <v>1587</v>
      </c>
      <c r="C635" s="229">
        <v>27.05</v>
      </c>
      <c r="D635" s="229">
        <v>12010513</v>
      </c>
      <c r="E635" s="229" t="s">
        <v>818</v>
      </c>
      <c r="F635" s="229">
        <v>2018</v>
      </c>
      <c r="G635">
        <v>2</v>
      </c>
      <c r="H635" t="s">
        <v>820</v>
      </c>
    </row>
    <row r="636" spans="1:8">
      <c r="A636" s="229" t="s">
        <v>1587</v>
      </c>
      <c r="C636" s="229">
        <v>35.17</v>
      </c>
      <c r="D636" s="229">
        <v>12010513</v>
      </c>
      <c r="E636" s="229" t="s">
        <v>818</v>
      </c>
      <c r="F636" s="229">
        <v>2018</v>
      </c>
      <c r="G636">
        <v>2</v>
      </c>
      <c r="H636" t="s">
        <v>820</v>
      </c>
    </row>
    <row r="637" spans="1:8">
      <c r="A637" s="229" t="s">
        <v>1587</v>
      </c>
      <c r="C637" s="229">
        <v>40.58</v>
      </c>
      <c r="D637" s="229">
        <v>12010513</v>
      </c>
      <c r="E637" s="229" t="s">
        <v>818</v>
      </c>
      <c r="F637" s="229">
        <v>2018</v>
      </c>
      <c r="G637">
        <v>2</v>
      </c>
      <c r="H637" t="s">
        <v>820</v>
      </c>
    </row>
    <row r="638" spans="1:8">
      <c r="A638" s="229" t="s">
        <v>1587</v>
      </c>
      <c r="C638" s="229">
        <v>91.97</v>
      </c>
      <c r="D638" s="229">
        <v>12010513</v>
      </c>
      <c r="E638" s="229" t="s">
        <v>818</v>
      </c>
      <c r="F638" s="229">
        <v>2018</v>
      </c>
      <c r="G638">
        <v>2</v>
      </c>
      <c r="H638" t="s">
        <v>820</v>
      </c>
    </row>
    <row r="639" spans="1:8">
      <c r="A639" s="229" t="s">
        <v>1587</v>
      </c>
      <c r="C639" s="229">
        <v>167.71</v>
      </c>
      <c r="D639" s="229">
        <v>12010513</v>
      </c>
      <c r="E639" s="229" t="s">
        <v>818</v>
      </c>
      <c r="F639" s="229">
        <v>2018</v>
      </c>
      <c r="G639">
        <v>2</v>
      </c>
      <c r="H639" t="s">
        <v>820</v>
      </c>
    </row>
    <row r="640" spans="1:8">
      <c r="A640" s="229" t="s">
        <v>1587</v>
      </c>
      <c r="C640" s="229">
        <v>100.09</v>
      </c>
      <c r="D640" s="229">
        <v>12010513</v>
      </c>
      <c r="E640" s="229" t="s">
        <v>818</v>
      </c>
      <c r="F640" s="229">
        <v>2018</v>
      </c>
      <c r="G640">
        <v>2</v>
      </c>
      <c r="H640" t="s">
        <v>820</v>
      </c>
    </row>
    <row r="641" spans="1:8">
      <c r="A641" s="229" t="s">
        <v>1587</v>
      </c>
      <c r="C641" s="229">
        <v>146.07</v>
      </c>
      <c r="D641" s="229">
        <v>12010513</v>
      </c>
      <c r="E641" s="229" t="s">
        <v>818</v>
      </c>
      <c r="F641" s="229">
        <v>2018</v>
      </c>
      <c r="G641">
        <v>2</v>
      </c>
      <c r="H641" t="s">
        <v>820</v>
      </c>
    </row>
    <row r="642" spans="1:8">
      <c r="A642" s="229" t="s">
        <v>1587</v>
      </c>
      <c r="C642" s="229">
        <v>119.02</v>
      </c>
      <c r="D642" s="229">
        <v>12010513</v>
      </c>
      <c r="E642" s="229" t="s">
        <v>818</v>
      </c>
      <c r="F642" s="229">
        <v>2018</v>
      </c>
      <c r="G642">
        <v>2</v>
      </c>
      <c r="H642" t="s">
        <v>820</v>
      </c>
    </row>
    <row r="643" spans="1:8">
      <c r="A643" s="229" t="s">
        <v>1587</v>
      </c>
      <c r="C643" s="229">
        <v>83.86</v>
      </c>
      <c r="D643" s="229">
        <v>12010513</v>
      </c>
      <c r="E643" s="229" t="s">
        <v>818</v>
      </c>
      <c r="F643" s="229">
        <v>2018</v>
      </c>
      <c r="G643">
        <v>2</v>
      </c>
      <c r="H643" t="s">
        <v>820</v>
      </c>
    </row>
    <row r="644" spans="1:8">
      <c r="A644" s="229" t="s">
        <v>1587</v>
      </c>
      <c r="C644" s="229">
        <v>62.22</v>
      </c>
      <c r="D644" s="229">
        <v>12010513</v>
      </c>
      <c r="E644" s="229" t="s">
        <v>818</v>
      </c>
      <c r="F644" s="229">
        <v>2018</v>
      </c>
      <c r="G644">
        <v>2</v>
      </c>
      <c r="H644" t="s">
        <v>820</v>
      </c>
    </row>
    <row r="645" spans="1:8">
      <c r="A645" s="229" t="s">
        <v>1587</v>
      </c>
      <c r="C645" s="229">
        <v>86.56</v>
      </c>
      <c r="D645" s="229">
        <v>12010513</v>
      </c>
      <c r="E645" s="229" t="s">
        <v>818</v>
      </c>
      <c r="F645" s="229">
        <v>2018</v>
      </c>
      <c r="G645">
        <v>2</v>
      </c>
      <c r="H645" t="s">
        <v>820</v>
      </c>
    </row>
    <row r="646" spans="1:8">
      <c r="A646" s="229" t="s">
        <v>1587</v>
      </c>
      <c r="C646" s="229">
        <v>108.2</v>
      </c>
      <c r="D646" s="229">
        <v>12010513</v>
      </c>
      <c r="E646" s="229" t="s">
        <v>818</v>
      </c>
      <c r="F646" s="229">
        <v>2018</v>
      </c>
      <c r="G646">
        <v>2</v>
      </c>
      <c r="H646" t="s">
        <v>820</v>
      </c>
    </row>
    <row r="647" spans="1:8">
      <c r="A647" s="229" t="s">
        <v>1587</v>
      </c>
      <c r="C647" s="229">
        <v>108.2</v>
      </c>
      <c r="D647" s="229">
        <v>12010513</v>
      </c>
      <c r="E647" s="229" t="s">
        <v>818</v>
      </c>
      <c r="F647" s="229">
        <v>2018</v>
      </c>
      <c r="G647">
        <v>2</v>
      </c>
      <c r="H647" t="s">
        <v>820</v>
      </c>
    </row>
    <row r="648" spans="1:8">
      <c r="A648" s="229" t="s">
        <v>1587</v>
      </c>
      <c r="C648" s="229">
        <v>86.56</v>
      </c>
      <c r="D648" s="229">
        <v>12010513</v>
      </c>
      <c r="E648" s="229" t="s">
        <v>818</v>
      </c>
      <c r="F648" s="229">
        <v>2018</v>
      </c>
      <c r="G648">
        <v>2</v>
      </c>
      <c r="H648" t="s">
        <v>820</v>
      </c>
    </row>
    <row r="649" spans="1:8">
      <c r="A649" s="229" t="s">
        <v>1587</v>
      </c>
      <c r="C649" s="229">
        <v>97.38</v>
      </c>
      <c r="D649" s="229">
        <v>12010513</v>
      </c>
      <c r="E649" s="229" t="s">
        <v>818</v>
      </c>
      <c r="F649" s="229">
        <v>2018</v>
      </c>
      <c r="G649">
        <v>2</v>
      </c>
      <c r="H649" t="s">
        <v>820</v>
      </c>
    </row>
    <row r="650" spans="1:8">
      <c r="A650" s="229" t="s">
        <v>1587</v>
      </c>
      <c r="C650" s="229">
        <v>81.150000000000006</v>
      </c>
      <c r="D650" s="229">
        <v>12010513</v>
      </c>
      <c r="E650" s="229" t="s">
        <v>818</v>
      </c>
      <c r="F650" s="229">
        <v>2018</v>
      </c>
      <c r="G650">
        <v>2</v>
      </c>
      <c r="H650" t="s">
        <v>820</v>
      </c>
    </row>
    <row r="651" spans="1:8">
      <c r="A651" s="229" t="s">
        <v>1587</v>
      </c>
      <c r="C651" s="229">
        <v>70.33</v>
      </c>
      <c r="D651" s="229">
        <v>12010513</v>
      </c>
      <c r="E651" s="229" t="s">
        <v>818</v>
      </c>
      <c r="F651" s="229">
        <v>2018</v>
      </c>
      <c r="G651">
        <v>2</v>
      </c>
      <c r="H651" t="s">
        <v>820</v>
      </c>
    </row>
    <row r="652" spans="1:8">
      <c r="A652" s="229" t="s">
        <v>1587</v>
      </c>
      <c r="C652" s="229">
        <v>162.30000000000001</v>
      </c>
      <c r="D652" s="229">
        <v>12010513</v>
      </c>
      <c r="E652" s="229" t="s">
        <v>818</v>
      </c>
      <c r="F652" s="229">
        <v>2018</v>
      </c>
      <c r="G652">
        <v>2</v>
      </c>
      <c r="H652" t="s">
        <v>820</v>
      </c>
    </row>
    <row r="653" spans="1:8">
      <c r="A653" s="229" t="s">
        <v>1587</v>
      </c>
      <c r="C653" s="229">
        <v>210.99</v>
      </c>
      <c r="D653" s="229">
        <v>12010513</v>
      </c>
      <c r="E653" s="229" t="s">
        <v>818</v>
      </c>
      <c r="F653" s="229">
        <v>2018</v>
      </c>
      <c r="G653">
        <v>2</v>
      </c>
      <c r="H653" t="s">
        <v>820</v>
      </c>
    </row>
    <row r="654" spans="1:8">
      <c r="A654" s="229" t="s">
        <v>1587</v>
      </c>
      <c r="C654" s="229">
        <v>194.76</v>
      </c>
      <c r="D654" s="229">
        <v>12010513</v>
      </c>
      <c r="E654" s="229" t="s">
        <v>818</v>
      </c>
      <c r="F654" s="229">
        <v>2018</v>
      </c>
      <c r="G654">
        <v>2</v>
      </c>
      <c r="H654" t="s">
        <v>820</v>
      </c>
    </row>
    <row r="655" spans="1:8">
      <c r="A655" s="229" t="s">
        <v>1587</v>
      </c>
      <c r="C655" s="229">
        <v>200.17</v>
      </c>
      <c r="D655" s="229">
        <v>12010513</v>
      </c>
      <c r="E655" s="229" t="s">
        <v>818</v>
      </c>
      <c r="F655" s="229">
        <v>2018</v>
      </c>
      <c r="G655">
        <v>2</v>
      </c>
      <c r="H655" t="s">
        <v>820</v>
      </c>
    </row>
    <row r="656" spans="1:8">
      <c r="A656" s="229" t="s">
        <v>1587</v>
      </c>
      <c r="C656" s="229">
        <v>175.83</v>
      </c>
      <c r="D656" s="229">
        <v>12010513</v>
      </c>
      <c r="E656" s="229" t="s">
        <v>818</v>
      </c>
      <c r="F656" s="229">
        <v>2018</v>
      </c>
      <c r="G656">
        <v>2</v>
      </c>
      <c r="H656" t="s">
        <v>820</v>
      </c>
    </row>
    <row r="657" spans="1:8">
      <c r="A657" s="229" t="s">
        <v>1587</v>
      </c>
      <c r="C657" s="229">
        <v>48.69</v>
      </c>
      <c r="D657" s="229">
        <v>12010513</v>
      </c>
      <c r="E657" s="229" t="s">
        <v>818</v>
      </c>
      <c r="F657" s="229">
        <v>2018</v>
      </c>
      <c r="G657">
        <v>2</v>
      </c>
      <c r="H657" t="s">
        <v>820</v>
      </c>
    </row>
    <row r="658" spans="1:8">
      <c r="A658" s="229" t="s">
        <v>1587</v>
      </c>
      <c r="C658" s="229">
        <v>367.88</v>
      </c>
      <c r="D658" s="229">
        <v>12010513</v>
      </c>
      <c r="E658" s="229" t="s">
        <v>818</v>
      </c>
      <c r="F658" s="229">
        <v>2018</v>
      </c>
      <c r="G658">
        <v>2</v>
      </c>
      <c r="H658" t="s">
        <v>820</v>
      </c>
    </row>
    <row r="659" spans="1:8">
      <c r="A659" s="229" t="s">
        <v>1587</v>
      </c>
      <c r="C659" s="229">
        <v>389.52</v>
      </c>
      <c r="D659" s="229">
        <v>12010513</v>
      </c>
      <c r="E659" s="229" t="s">
        <v>818</v>
      </c>
      <c r="F659" s="229">
        <v>2018</v>
      </c>
      <c r="G659">
        <v>2</v>
      </c>
      <c r="H659" t="s">
        <v>820</v>
      </c>
    </row>
    <row r="660" spans="1:8">
      <c r="A660" s="229" t="s">
        <v>1587</v>
      </c>
      <c r="C660" s="229">
        <v>411.16</v>
      </c>
      <c r="D660" s="229">
        <v>12010513</v>
      </c>
      <c r="E660" s="229" t="s">
        <v>818</v>
      </c>
      <c r="F660" s="229">
        <v>2018</v>
      </c>
      <c r="G660">
        <v>2</v>
      </c>
      <c r="H660" t="s">
        <v>820</v>
      </c>
    </row>
    <row r="661" spans="1:8">
      <c r="A661" s="229" t="s">
        <v>1587</v>
      </c>
      <c r="C661" s="229">
        <v>432.8</v>
      </c>
      <c r="D661" s="229">
        <v>12010513</v>
      </c>
      <c r="E661" s="229" t="s">
        <v>818</v>
      </c>
      <c r="F661" s="229">
        <v>2018</v>
      </c>
      <c r="G661">
        <v>2</v>
      </c>
      <c r="H661" t="s">
        <v>820</v>
      </c>
    </row>
    <row r="662" spans="1:8">
      <c r="A662" s="229" t="s">
        <v>1587</v>
      </c>
      <c r="C662" s="229">
        <v>313.77999999999997</v>
      </c>
      <c r="D662" s="229">
        <v>12010513</v>
      </c>
      <c r="E662" s="229" t="s">
        <v>818</v>
      </c>
      <c r="F662" s="229">
        <v>2018</v>
      </c>
      <c r="G662">
        <v>2</v>
      </c>
      <c r="H662" t="s">
        <v>820</v>
      </c>
    </row>
    <row r="663" spans="1:8">
      <c r="A663" s="229" t="s">
        <v>1587</v>
      </c>
      <c r="C663" s="229">
        <v>246.16</v>
      </c>
      <c r="D663" s="229">
        <v>12010513</v>
      </c>
      <c r="E663" s="229" t="s">
        <v>818</v>
      </c>
      <c r="F663" s="229">
        <v>2018</v>
      </c>
      <c r="G663">
        <v>2</v>
      </c>
      <c r="H663" t="s">
        <v>820</v>
      </c>
    </row>
    <row r="664" spans="1:8">
      <c r="A664" s="229" t="s">
        <v>1589</v>
      </c>
      <c r="C664" s="229">
        <v>42.57</v>
      </c>
      <c r="D664" s="229">
        <v>12010513</v>
      </c>
      <c r="E664" s="229" t="s">
        <v>818</v>
      </c>
      <c r="F664" s="229">
        <v>2018</v>
      </c>
      <c r="G664">
        <v>2</v>
      </c>
      <c r="H664" t="s">
        <v>820</v>
      </c>
    </row>
    <row r="665" spans="1:8">
      <c r="A665" s="229" t="s">
        <v>1589</v>
      </c>
      <c r="C665" s="229">
        <v>36.42</v>
      </c>
      <c r="D665" s="229">
        <v>12010513</v>
      </c>
      <c r="E665" s="229" t="s">
        <v>818</v>
      </c>
      <c r="F665" s="229">
        <v>2018</v>
      </c>
      <c r="G665">
        <v>2</v>
      </c>
      <c r="H665" t="s">
        <v>820</v>
      </c>
    </row>
    <row r="666" spans="1:8">
      <c r="A666" s="229" t="s">
        <v>1589</v>
      </c>
      <c r="C666" s="229">
        <v>42.48</v>
      </c>
      <c r="D666" s="229">
        <v>12010513</v>
      </c>
      <c r="E666" s="229" t="s">
        <v>818</v>
      </c>
      <c r="F666" s="229">
        <v>2018</v>
      </c>
      <c r="G666">
        <v>2</v>
      </c>
      <c r="H666" t="s">
        <v>820</v>
      </c>
    </row>
    <row r="667" spans="1:8">
      <c r="A667" s="229" t="s">
        <v>1674</v>
      </c>
      <c r="C667" s="229">
        <v>135</v>
      </c>
      <c r="D667" s="229">
        <v>12010513</v>
      </c>
      <c r="E667" s="229" t="s">
        <v>818</v>
      </c>
      <c r="F667" s="229">
        <v>2018</v>
      </c>
      <c r="G667">
        <v>2</v>
      </c>
      <c r="H667" t="s">
        <v>820</v>
      </c>
    </row>
    <row r="668" spans="1:8">
      <c r="A668" s="229" t="s">
        <v>1593</v>
      </c>
      <c r="C668" s="229">
        <v>9.36</v>
      </c>
      <c r="D668" s="229">
        <v>12010513</v>
      </c>
      <c r="E668" s="229" t="s">
        <v>818</v>
      </c>
      <c r="F668" s="229">
        <v>2018</v>
      </c>
      <c r="G668">
        <v>2</v>
      </c>
      <c r="H668" t="s">
        <v>820</v>
      </c>
    </row>
    <row r="669" spans="1:8">
      <c r="A669" s="229" t="s">
        <v>1596</v>
      </c>
      <c r="C669" s="229">
        <v>48.91</v>
      </c>
      <c r="D669" s="229">
        <v>12010513</v>
      </c>
      <c r="E669" s="229" t="s">
        <v>818</v>
      </c>
      <c r="F669" s="229">
        <v>2018</v>
      </c>
      <c r="G669">
        <v>2</v>
      </c>
      <c r="H669" t="s">
        <v>820</v>
      </c>
    </row>
    <row r="670" spans="1:8">
      <c r="A670" s="229" t="s">
        <v>1596</v>
      </c>
      <c r="D670" s="229">
        <v>12010513</v>
      </c>
      <c r="E670" s="229" t="s">
        <v>818</v>
      </c>
      <c r="F670" s="229">
        <v>2018</v>
      </c>
      <c r="G670">
        <v>2</v>
      </c>
      <c r="H670" t="s">
        <v>820</v>
      </c>
    </row>
    <row r="671" spans="1:8">
      <c r="A671" s="229" t="s">
        <v>1596</v>
      </c>
      <c r="C671" s="229">
        <v>48.91</v>
      </c>
      <c r="D671" s="229">
        <v>12010513</v>
      </c>
      <c r="E671" s="229" t="s">
        <v>818</v>
      </c>
      <c r="F671" s="229">
        <v>2018</v>
      </c>
      <c r="G671">
        <v>2</v>
      </c>
      <c r="H671" t="s">
        <v>820</v>
      </c>
    </row>
    <row r="672" spans="1:8">
      <c r="A672" s="229" t="s">
        <v>1596</v>
      </c>
      <c r="D672" s="229">
        <v>12010513</v>
      </c>
      <c r="E672" s="229" t="s">
        <v>818</v>
      </c>
      <c r="F672" s="229">
        <v>2018</v>
      </c>
      <c r="G672">
        <v>2</v>
      </c>
      <c r="H672" t="s">
        <v>820</v>
      </c>
    </row>
    <row r="673" spans="1:8">
      <c r="A673" s="229" t="s">
        <v>1596</v>
      </c>
      <c r="D673" s="229">
        <v>12010513</v>
      </c>
      <c r="E673" s="229" t="s">
        <v>818</v>
      </c>
      <c r="F673" s="229">
        <v>2018</v>
      </c>
      <c r="G673">
        <v>2</v>
      </c>
      <c r="H673" t="s">
        <v>820</v>
      </c>
    </row>
    <row r="674" spans="1:8">
      <c r="A674" s="229" t="s">
        <v>1596</v>
      </c>
      <c r="C674" s="229">
        <v>48.91</v>
      </c>
      <c r="D674" s="229">
        <v>12010513</v>
      </c>
      <c r="E674" s="229" t="s">
        <v>818</v>
      </c>
      <c r="F674" s="229">
        <v>2018</v>
      </c>
      <c r="G674">
        <v>2</v>
      </c>
      <c r="H674" t="s">
        <v>820</v>
      </c>
    </row>
    <row r="675" spans="1:8">
      <c r="A675" s="229" t="s">
        <v>1597</v>
      </c>
      <c r="C675" s="229">
        <v>759</v>
      </c>
      <c r="D675" s="229">
        <v>12010513</v>
      </c>
      <c r="E675" s="229" t="s">
        <v>818</v>
      </c>
      <c r="F675" s="229">
        <v>2018</v>
      </c>
      <c r="G675">
        <v>2</v>
      </c>
      <c r="H675" t="s">
        <v>820</v>
      </c>
    </row>
    <row r="676" spans="1:8">
      <c r="A676" s="229" t="s">
        <v>1602</v>
      </c>
      <c r="C676" s="229">
        <v>2360.3000000000002</v>
      </c>
      <c r="D676" s="229">
        <v>12010513</v>
      </c>
      <c r="E676" s="229" t="s">
        <v>818</v>
      </c>
      <c r="F676" s="229">
        <v>2018</v>
      </c>
      <c r="G676">
        <v>2</v>
      </c>
      <c r="H676" t="s">
        <v>820</v>
      </c>
    </row>
    <row r="677" spans="1:8">
      <c r="A677" s="229" t="s">
        <v>1604</v>
      </c>
      <c r="C677" s="229">
        <v>4135</v>
      </c>
      <c r="D677" s="229">
        <v>12010513</v>
      </c>
      <c r="E677" s="229" t="s">
        <v>818</v>
      </c>
      <c r="F677" s="229">
        <v>2018</v>
      </c>
      <c r="G677">
        <v>2</v>
      </c>
      <c r="H677" t="s">
        <v>820</v>
      </c>
    </row>
    <row r="678" spans="1:8">
      <c r="A678" s="229" t="s">
        <v>1607</v>
      </c>
      <c r="C678" s="229">
        <v>47</v>
      </c>
      <c r="D678" s="229">
        <v>12010513</v>
      </c>
      <c r="E678" s="229" t="s">
        <v>818</v>
      </c>
      <c r="F678" s="229">
        <v>2018</v>
      </c>
      <c r="G678">
        <v>2</v>
      </c>
      <c r="H678" t="s">
        <v>820</v>
      </c>
    </row>
    <row r="679" spans="1:8">
      <c r="A679" s="229" t="s">
        <v>1611</v>
      </c>
      <c r="D679" s="229">
        <v>12010513</v>
      </c>
      <c r="E679" s="229" t="s">
        <v>818</v>
      </c>
      <c r="F679" s="229">
        <v>2018</v>
      </c>
      <c r="G679">
        <v>2</v>
      </c>
      <c r="H679" t="s">
        <v>820</v>
      </c>
    </row>
    <row r="680" spans="1:8">
      <c r="A680" s="229" t="s">
        <v>1611</v>
      </c>
      <c r="C680" s="229">
        <v>600</v>
      </c>
      <c r="D680" s="229">
        <v>12010513</v>
      </c>
      <c r="E680" s="229" t="s">
        <v>818</v>
      </c>
      <c r="F680" s="229">
        <v>2018</v>
      </c>
      <c r="G680">
        <v>2</v>
      </c>
      <c r="H680" t="s">
        <v>820</v>
      </c>
    </row>
    <row r="681" spans="1:8">
      <c r="A681" s="229" t="s">
        <v>1611</v>
      </c>
      <c r="D681" s="229">
        <v>12010513</v>
      </c>
      <c r="E681" s="229" t="s">
        <v>818</v>
      </c>
      <c r="F681" s="229">
        <v>2018</v>
      </c>
      <c r="G681">
        <v>2</v>
      </c>
      <c r="H681" t="s">
        <v>820</v>
      </c>
    </row>
    <row r="682" spans="1:8">
      <c r="A682" s="229" t="s">
        <v>1611</v>
      </c>
      <c r="C682" s="229">
        <v>600</v>
      </c>
      <c r="D682" s="229">
        <v>12010513</v>
      </c>
      <c r="E682" s="229" t="s">
        <v>818</v>
      </c>
      <c r="F682" s="229">
        <v>2018</v>
      </c>
      <c r="G682">
        <v>2</v>
      </c>
      <c r="H682" t="s">
        <v>820</v>
      </c>
    </row>
    <row r="683" spans="1:8">
      <c r="A683" s="229" t="s">
        <v>1618</v>
      </c>
      <c r="C683" s="229">
        <v>-136.76</v>
      </c>
      <c r="D683" s="229">
        <v>12010513</v>
      </c>
      <c r="E683" s="229" t="s">
        <v>818</v>
      </c>
      <c r="F683" s="229">
        <v>2018</v>
      </c>
      <c r="G683">
        <v>2</v>
      </c>
      <c r="H683" t="s">
        <v>820</v>
      </c>
    </row>
    <row r="684" spans="1:8">
      <c r="A684" s="229" t="s">
        <v>1618</v>
      </c>
      <c r="C684" s="229">
        <v>273.52</v>
      </c>
      <c r="D684" s="229">
        <v>12010513</v>
      </c>
      <c r="E684" s="229" t="s">
        <v>818</v>
      </c>
      <c r="F684" s="229">
        <v>2018</v>
      </c>
      <c r="G684">
        <v>2</v>
      </c>
      <c r="H684" t="s">
        <v>820</v>
      </c>
    </row>
    <row r="685" spans="1:8">
      <c r="A685" s="229" t="s">
        <v>1618</v>
      </c>
      <c r="C685" s="229">
        <v>-369.97</v>
      </c>
      <c r="D685" s="229">
        <v>12010513</v>
      </c>
      <c r="E685" s="229" t="s">
        <v>818</v>
      </c>
      <c r="F685" s="229">
        <v>2018</v>
      </c>
      <c r="G685">
        <v>2</v>
      </c>
      <c r="H685" t="s">
        <v>820</v>
      </c>
    </row>
    <row r="686" spans="1:8">
      <c r="A686" s="229" t="s">
        <v>1618</v>
      </c>
      <c r="C686" s="229">
        <v>739.94</v>
      </c>
      <c r="D686" s="229">
        <v>12010513</v>
      </c>
      <c r="E686" s="229" t="s">
        <v>818</v>
      </c>
      <c r="F686" s="229">
        <v>2018</v>
      </c>
      <c r="G686">
        <v>2</v>
      </c>
      <c r="H686" t="s">
        <v>820</v>
      </c>
    </row>
    <row r="687" spans="1:8">
      <c r="A687" s="229" t="s">
        <v>1618</v>
      </c>
      <c r="C687" s="229">
        <v>-155.63</v>
      </c>
      <c r="D687" s="229">
        <v>12010513</v>
      </c>
      <c r="E687" s="229" t="s">
        <v>818</v>
      </c>
      <c r="F687" s="229">
        <v>2018</v>
      </c>
      <c r="G687">
        <v>2</v>
      </c>
      <c r="H687" t="s">
        <v>820</v>
      </c>
    </row>
    <row r="688" spans="1:8">
      <c r="A688" s="229" t="s">
        <v>1618</v>
      </c>
      <c r="C688" s="229">
        <v>311.25</v>
      </c>
      <c r="D688" s="229">
        <v>12010513</v>
      </c>
      <c r="E688" s="229" t="s">
        <v>818</v>
      </c>
      <c r="F688" s="229">
        <v>2018</v>
      </c>
      <c r="G688">
        <v>2</v>
      </c>
      <c r="H688" t="s">
        <v>820</v>
      </c>
    </row>
    <row r="689" spans="1:8">
      <c r="A689" s="229" t="s">
        <v>1619</v>
      </c>
      <c r="C689" s="229">
        <v>22.18</v>
      </c>
      <c r="D689" s="229">
        <v>12010513</v>
      </c>
      <c r="E689" s="229" t="s">
        <v>818</v>
      </c>
      <c r="F689" s="229">
        <v>2018</v>
      </c>
      <c r="G689">
        <v>2</v>
      </c>
      <c r="H689" t="s">
        <v>820</v>
      </c>
    </row>
    <row r="690" spans="1:8">
      <c r="A690" s="229" t="s">
        <v>1619</v>
      </c>
      <c r="C690" s="229">
        <v>60</v>
      </c>
      <c r="D690" s="229">
        <v>12010513</v>
      </c>
      <c r="E690" s="229" t="s">
        <v>818</v>
      </c>
      <c r="F690" s="229">
        <v>2018</v>
      </c>
      <c r="G690">
        <v>2</v>
      </c>
      <c r="H690" t="s">
        <v>820</v>
      </c>
    </row>
    <row r="691" spans="1:8">
      <c r="A691" s="229" t="s">
        <v>1619</v>
      </c>
      <c r="C691" s="229">
        <v>25.24</v>
      </c>
      <c r="D691" s="229">
        <v>12010513</v>
      </c>
      <c r="E691" s="229" t="s">
        <v>818</v>
      </c>
      <c r="F691" s="229">
        <v>2018</v>
      </c>
      <c r="G691">
        <v>2</v>
      </c>
      <c r="H691" t="s">
        <v>820</v>
      </c>
    </row>
    <row r="692" spans="1:8">
      <c r="A692" s="229" t="s">
        <v>1620</v>
      </c>
      <c r="C692" s="229">
        <v>136.76</v>
      </c>
      <c r="D692" s="229">
        <v>12010513</v>
      </c>
      <c r="E692" s="229" t="s">
        <v>818</v>
      </c>
      <c r="F692" s="229">
        <v>2018</v>
      </c>
      <c r="G692">
        <v>2</v>
      </c>
      <c r="H692" t="s">
        <v>820</v>
      </c>
    </row>
    <row r="693" spans="1:8">
      <c r="A693" s="229" t="s">
        <v>1620</v>
      </c>
      <c r="C693" s="229">
        <v>369.97</v>
      </c>
      <c r="D693" s="229">
        <v>12010513</v>
      </c>
      <c r="E693" s="229" t="s">
        <v>818</v>
      </c>
      <c r="F693" s="229">
        <v>2018</v>
      </c>
      <c r="G693">
        <v>2</v>
      </c>
      <c r="H693" t="s">
        <v>820</v>
      </c>
    </row>
    <row r="694" spans="1:8">
      <c r="A694" s="229" t="s">
        <v>1620</v>
      </c>
      <c r="C694" s="229">
        <v>155.63</v>
      </c>
      <c r="D694" s="229">
        <v>12010513</v>
      </c>
      <c r="E694" s="229" t="s">
        <v>818</v>
      </c>
      <c r="F694" s="229">
        <v>2018</v>
      </c>
      <c r="G694">
        <v>2</v>
      </c>
      <c r="H694" t="s">
        <v>820</v>
      </c>
    </row>
    <row r="695" spans="1:8">
      <c r="A695" s="229" t="s">
        <v>1584</v>
      </c>
      <c r="C695" s="229">
        <v>-71946</v>
      </c>
      <c r="D695" s="229">
        <v>12010513</v>
      </c>
      <c r="E695" s="229" t="s">
        <v>818</v>
      </c>
      <c r="F695" s="229">
        <v>2018</v>
      </c>
      <c r="G695">
        <v>3</v>
      </c>
      <c r="H695" t="s">
        <v>820</v>
      </c>
    </row>
    <row r="696" spans="1:8">
      <c r="A696" s="229" t="s">
        <v>1587</v>
      </c>
      <c r="C696" s="229">
        <v>324.60000000000002</v>
      </c>
      <c r="D696" s="229">
        <v>12010513</v>
      </c>
      <c r="E696" s="229" t="s">
        <v>818</v>
      </c>
      <c r="F696" s="229">
        <v>2018</v>
      </c>
      <c r="G696">
        <v>3</v>
      </c>
      <c r="H696" t="s">
        <v>820</v>
      </c>
    </row>
    <row r="697" spans="1:8">
      <c r="A697" s="229" t="s">
        <v>1587</v>
      </c>
      <c r="C697" s="229">
        <v>227.22</v>
      </c>
      <c r="D697" s="229">
        <v>12010513</v>
      </c>
      <c r="E697" s="229" t="s">
        <v>818</v>
      </c>
      <c r="F697" s="229">
        <v>2018</v>
      </c>
      <c r="G697">
        <v>3</v>
      </c>
      <c r="H697" t="s">
        <v>820</v>
      </c>
    </row>
    <row r="698" spans="1:8">
      <c r="A698" s="229" t="s">
        <v>1587</v>
      </c>
      <c r="C698" s="229">
        <v>29.46</v>
      </c>
      <c r="D698" s="229">
        <v>12010513</v>
      </c>
      <c r="E698" s="229" t="s">
        <v>818</v>
      </c>
      <c r="F698" s="229">
        <v>2018</v>
      </c>
      <c r="G698">
        <v>3</v>
      </c>
      <c r="H698" t="s">
        <v>820</v>
      </c>
    </row>
    <row r="699" spans="1:8">
      <c r="A699" s="229" t="s">
        <v>1587</v>
      </c>
      <c r="C699" s="229">
        <v>9.1199999999999992</v>
      </c>
      <c r="D699" s="229">
        <v>12010513</v>
      </c>
      <c r="E699" s="229" t="s">
        <v>818</v>
      </c>
      <c r="F699" s="229">
        <v>2018</v>
      </c>
      <c r="G699">
        <v>3</v>
      </c>
      <c r="H699" t="s">
        <v>820</v>
      </c>
    </row>
    <row r="700" spans="1:8">
      <c r="A700" s="229" t="s">
        <v>1587</v>
      </c>
      <c r="C700" s="229">
        <v>117.84</v>
      </c>
      <c r="D700" s="229">
        <v>12010513</v>
      </c>
      <c r="E700" s="229" t="s">
        <v>818</v>
      </c>
      <c r="F700" s="229">
        <v>2018</v>
      </c>
      <c r="G700">
        <v>3</v>
      </c>
      <c r="H700" t="s">
        <v>820</v>
      </c>
    </row>
    <row r="701" spans="1:8">
      <c r="A701" s="229" t="s">
        <v>1587</v>
      </c>
      <c r="C701" s="229">
        <v>326.39999999999998</v>
      </c>
      <c r="D701" s="229">
        <v>12010513</v>
      </c>
      <c r="E701" s="229" t="s">
        <v>818</v>
      </c>
      <c r="F701" s="229">
        <v>2018</v>
      </c>
      <c r="G701">
        <v>3</v>
      </c>
      <c r="H701" t="s">
        <v>820</v>
      </c>
    </row>
    <row r="702" spans="1:8">
      <c r="A702" s="229" t="s">
        <v>1587</v>
      </c>
      <c r="C702" s="229">
        <v>178.5</v>
      </c>
      <c r="D702" s="229">
        <v>12010513</v>
      </c>
      <c r="E702" s="229" t="s">
        <v>818</v>
      </c>
      <c r="F702" s="229">
        <v>2018</v>
      </c>
      <c r="G702">
        <v>3</v>
      </c>
      <c r="H702" t="s">
        <v>820</v>
      </c>
    </row>
    <row r="703" spans="1:8">
      <c r="A703" s="229" t="s">
        <v>1587</v>
      </c>
      <c r="C703" s="229">
        <v>183.6</v>
      </c>
      <c r="D703" s="229">
        <v>12010513</v>
      </c>
      <c r="E703" s="229" t="s">
        <v>818</v>
      </c>
      <c r="F703" s="229">
        <v>2018</v>
      </c>
      <c r="G703">
        <v>3</v>
      </c>
      <c r="H703" t="s">
        <v>820</v>
      </c>
    </row>
    <row r="704" spans="1:8">
      <c r="A704" s="229" t="s">
        <v>1587</v>
      </c>
      <c r="C704" s="229">
        <v>227.22</v>
      </c>
      <c r="D704" s="229">
        <v>12010513</v>
      </c>
      <c r="E704" s="229" t="s">
        <v>818</v>
      </c>
      <c r="F704" s="229">
        <v>2018</v>
      </c>
      <c r="G704">
        <v>3</v>
      </c>
      <c r="H704" t="s">
        <v>820</v>
      </c>
    </row>
    <row r="705" spans="1:8">
      <c r="A705" s="229" t="s">
        <v>1587</v>
      </c>
      <c r="C705" s="229">
        <v>302.95999999999998</v>
      </c>
      <c r="D705" s="229">
        <v>12010513</v>
      </c>
      <c r="E705" s="229" t="s">
        <v>818</v>
      </c>
      <c r="F705" s="229">
        <v>2018</v>
      </c>
      <c r="G705">
        <v>3</v>
      </c>
      <c r="H705" t="s">
        <v>820</v>
      </c>
    </row>
    <row r="706" spans="1:8">
      <c r="A706" s="229" t="s">
        <v>1587</v>
      </c>
      <c r="C706" s="229">
        <v>216.4</v>
      </c>
      <c r="D706" s="229">
        <v>12010513</v>
      </c>
      <c r="E706" s="229" t="s">
        <v>818</v>
      </c>
      <c r="F706" s="229">
        <v>2018</v>
      </c>
      <c r="G706">
        <v>3</v>
      </c>
      <c r="H706" t="s">
        <v>820</v>
      </c>
    </row>
    <row r="707" spans="1:8">
      <c r="A707" s="229" t="s">
        <v>1587</v>
      </c>
      <c r="C707" s="229">
        <v>173.12</v>
      </c>
      <c r="D707" s="229">
        <v>12010513</v>
      </c>
      <c r="E707" s="229" t="s">
        <v>818</v>
      </c>
      <c r="F707" s="229">
        <v>2018</v>
      </c>
      <c r="G707">
        <v>3</v>
      </c>
      <c r="H707" t="s">
        <v>820</v>
      </c>
    </row>
    <row r="708" spans="1:8">
      <c r="A708" s="229" t="s">
        <v>1587</v>
      </c>
      <c r="C708" s="229">
        <v>75.739999999999995</v>
      </c>
      <c r="D708" s="229">
        <v>12010513</v>
      </c>
      <c r="E708" s="229" t="s">
        <v>818</v>
      </c>
      <c r="F708" s="229">
        <v>2018</v>
      </c>
      <c r="G708">
        <v>3</v>
      </c>
      <c r="H708" t="s">
        <v>820</v>
      </c>
    </row>
    <row r="709" spans="1:8">
      <c r="A709" s="229" t="s">
        <v>1587</v>
      </c>
      <c r="C709" s="229">
        <v>83.86</v>
      </c>
      <c r="D709" s="229">
        <v>12010513</v>
      </c>
      <c r="E709" s="229" t="s">
        <v>818</v>
      </c>
      <c r="F709" s="229">
        <v>2018</v>
      </c>
      <c r="G709">
        <v>3</v>
      </c>
      <c r="H709" t="s">
        <v>820</v>
      </c>
    </row>
    <row r="710" spans="1:8">
      <c r="A710" s="229" t="s">
        <v>1587</v>
      </c>
      <c r="C710" s="229">
        <v>78.45</v>
      </c>
      <c r="D710" s="229">
        <v>12010513</v>
      </c>
      <c r="E710" s="229" t="s">
        <v>818</v>
      </c>
      <c r="F710" s="229">
        <v>2018</v>
      </c>
      <c r="G710">
        <v>3</v>
      </c>
      <c r="H710" t="s">
        <v>820</v>
      </c>
    </row>
    <row r="711" spans="1:8">
      <c r="A711" s="229" t="s">
        <v>1587</v>
      </c>
      <c r="C711" s="229">
        <v>216.4</v>
      </c>
      <c r="D711" s="229">
        <v>12010513</v>
      </c>
      <c r="E711" s="229" t="s">
        <v>818</v>
      </c>
      <c r="F711" s="229">
        <v>2018</v>
      </c>
      <c r="G711">
        <v>3</v>
      </c>
      <c r="H711" t="s">
        <v>820</v>
      </c>
    </row>
    <row r="712" spans="1:8">
      <c r="A712" s="229" t="s">
        <v>1587</v>
      </c>
      <c r="C712" s="229">
        <v>162.30000000000001</v>
      </c>
      <c r="D712" s="229">
        <v>12010513</v>
      </c>
      <c r="E712" s="229" t="s">
        <v>818</v>
      </c>
      <c r="F712" s="229">
        <v>2018</v>
      </c>
      <c r="G712">
        <v>3</v>
      </c>
      <c r="H712" t="s">
        <v>820</v>
      </c>
    </row>
    <row r="713" spans="1:8">
      <c r="A713" s="229" t="s">
        <v>1587</v>
      </c>
      <c r="C713" s="229">
        <v>81.150000000000006</v>
      </c>
      <c r="D713" s="229">
        <v>12010513</v>
      </c>
      <c r="E713" s="229" t="s">
        <v>818</v>
      </c>
      <c r="F713" s="229">
        <v>2018</v>
      </c>
      <c r="G713">
        <v>3</v>
      </c>
      <c r="H713" t="s">
        <v>820</v>
      </c>
    </row>
    <row r="714" spans="1:8">
      <c r="A714" s="229" t="s">
        <v>1587</v>
      </c>
      <c r="C714" s="229">
        <v>59.51</v>
      </c>
      <c r="D714" s="229">
        <v>12010513</v>
      </c>
      <c r="E714" s="229" t="s">
        <v>818</v>
      </c>
      <c r="F714" s="229">
        <v>2018</v>
      </c>
      <c r="G714">
        <v>3</v>
      </c>
      <c r="H714" t="s">
        <v>820</v>
      </c>
    </row>
    <row r="715" spans="1:8">
      <c r="A715" s="229" t="s">
        <v>1587</v>
      </c>
      <c r="C715" s="229">
        <v>54.1</v>
      </c>
      <c r="D715" s="229">
        <v>12010513</v>
      </c>
      <c r="E715" s="229" t="s">
        <v>818</v>
      </c>
      <c r="F715" s="229">
        <v>2018</v>
      </c>
      <c r="G715">
        <v>3</v>
      </c>
      <c r="H715" t="s">
        <v>820</v>
      </c>
    </row>
    <row r="716" spans="1:8">
      <c r="A716" s="229" t="s">
        <v>1587</v>
      </c>
      <c r="C716" s="229">
        <v>189.35</v>
      </c>
      <c r="D716" s="229">
        <v>12010513</v>
      </c>
      <c r="E716" s="229" t="s">
        <v>818</v>
      </c>
      <c r="F716" s="229">
        <v>2018</v>
      </c>
      <c r="G716">
        <v>3</v>
      </c>
      <c r="H716" t="s">
        <v>820</v>
      </c>
    </row>
    <row r="717" spans="1:8">
      <c r="A717" s="229" t="s">
        <v>1587</v>
      </c>
      <c r="C717" s="229">
        <v>156.88999999999999</v>
      </c>
      <c r="D717" s="229">
        <v>12010513</v>
      </c>
      <c r="E717" s="229" t="s">
        <v>818</v>
      </c>
      <c r="F717" s="229">
        <v>2018</v>
      </c>
      <c r="G717">
        <v>3</v>
      </c>
      <c r="H717" t="s">
        <v>820</v>
      </c>
    </row>
    <row r="718" spans="1:8">
      <c r="A718" s="229" t="s">
        <v>1587</v>
      </c>
      <c r="C718" s="229">
        <v>224.52</v>
      </c>
      <c r="D718" s="229">
        <v>12010513</v>
      </c>
      <c r="E718" s="229" t="s">
        <v>818</v>
      </c>
      <c r="F718" s="229">
        <v>2018</v>
      </c>
      <c r="G718">
        <v>3</v>
      </c>
      <c r="H718" t="s">
        <v>820</v>
      </c>
    </row>
    <row r="719" spans="1:8">
      <c r="A719" s="229" t="s">
        <v>1587</v>
      </c>
      <c r="C719" s="229">
        <v>294.85000000000002</v>
      </c>
      <c r="D719" s="229">
        <v>12010513</v>
      </c>
      <c r="E719" s="229" t="s">
        <v>818</v>
      </c>
      <c r="F719" s="229">
        <v>2018</v>
      </c>
      <c r="G719">
        <v>3</v>
      </c>
      <c r="H719" t="s">
        <v>820</v>
      </c>
    </row>
    <row r="720" spans="1:8">
      <c r="A720" s="229" t="s">
        <v>1587</v>
      </c>
      <c r="C720" s="229">
        <v>151.47999999999999</v>
      </c>
      <c r="D720" s="229">
        <v>12010513</v>
      </c>
      <c r="E720" s="229" t="s">
        <v>818</v>
      </c>
      <c r="F720" s="229">
        <v>2018</v>
      </c>
      <c r="G720">
        <v>3</v>
      </c>
      <c r="H720" t="s">
        <v>820</v>
      </c>
    </row>
    <row r="721" spans="1:8">
      <c r="A721" s="229" t="s">
        <v>1587</v>
      </c>
      <c r="C721" s="229">
        <v>29.76</v>
      </c>
      <c r="D721" s="229">
        <v>12010513</v>
      </c>
      <c r="E721" s="229" t="s">
        <v>818</v>
      </c>
      <c r="F721" s="229">
        <v>2018</v>
      </c>
      <c r="G721">
        <v>3</v>
      </c>
      <c r="H721" t="s">
        <v>820</v>
      </c>
    </row>
    <row r="722" spans="1:8">
      <c r="A722" s="229" t="s">
        <v>1587</v>
      </c>
      <c r="C722" s="229">
        <v>32.46</v>
      </c>
      <c r="D722" s="229">
        <v>12010513</v>
      </c>
      <c r="E722" s="229" t="s">
        <v>818</v>
      </c>
      <c r="F722" s="229">
        <v>2018</v>
      </c>
      <c r="G722">
        <v>3</v>
      </c>
      <c r="H722" t="s">
        <v>820</v>
      </c>
    </row>
    <row r="723" spans="1:8">
      <c r="A723" s="229" t="s">
        <v>1587</v>
      </c>
      <c r="C723" s="229">
        <v>54.1</v>
      </c>
      <c r="D723" s="229">
        <v>12010513</v>
      </c>
      <c r="E723" s="229" t="s">
        <v>818</v>
      </c>
      <c r="F723" s="229">
        <v>2018</v>
      </c>
      <c r="G723">
        <v>3</v>
      </c>
      <c r="H723" t="s">
        <v>820</v>
      </c>
    </row>
    <row r="724" spans="1:8">
      <c r="A724" s="229" t="s">
        <v>1587</v>
      </c>
      <c r="C724" s="229">
        <v>32.46</v>
      </c>
      <c r="D724" s="229">
        <v>12010513</v>
      </c>
      <c r="E724" s="229" t="s">
        <v>818</v>
      </c>
      <c r="F724" s="229">
        <v>2018</v>
      </c>
      <c r="G724">
        <v>3</v>
      </c>
      <c r="H724" t="s">
        <v>820</v>
      </c>
    </row>
    <row r="725" spans="1:8">
      <c r="A725" s="229" t="s">
        <v>1587</v>
      </c>
      <c r="C725" s="229">
        <v>48.69</v>
      </c>
      <c r="D725" s="229">
        <v>12010513</v>
      </c>
      <c r="E725" s="229" t="s">
        <v>818</v>
      </c>
      <c r="F725" s="229">
        <v>2018</v>
      </c>
      <c r="G725">
        <v>3</v>
      </c>
      <c r="H725" t="s">
        <v>820</v>
      </c>
    </row>
    <row r="726" spans="1:8">
      <c r="A726" s="229" t="s">
        <v>1587</v>
      </c>
      <c r="C726" s="229">
        <v>67.63</v>
      </c>
      <c r="D726" s="229">
        <v>12010513</v>
      </c>
      <c r="E726" s="229" t="s">
        <v>818</v>
      </c>
      <c r="F726" s="229">
        <v>2018</v>
      </c>
      <c r="G726">
        <v>3</v>
      </c>
      <c r="H726" t="s">
        <v>820</v>
      </c>
    </row>
    <row r="727" spans="1:8">
      <c r="A727" s="229" t="s">
        <v>1587</v>
      </c>
      <c r="C727" s="229">
        <v>81.150000000000006</v>
      </c>
      <c r="D727" s="229">
        <v>12010513</v>
      </c>
      <c r="E727" s="229" t="s">
        <v>818</v>
      </c>
      <c r="F727" s="229">
        <v>2018</v>
      </c>
      <c r="G727">
        <v>3</v>
      </c>
      <c r="H727" t="s">
        <v>820</v>
      </c>
    </row>
    <row r="728" spans="1:8">
      <c r="A728" s="229" t="s">
        <v>1587</v>
      </c>
      <c r="C728" s="229">
        <v>62.22</v>
      </c>
      <c r="D728" s="229">
        <v>12010513</v>
      </c>
      <c r="E728" s="229" t="s">
        <v>818</v>
      </c>
      <c r="F728" s="229">
        <v>2018</v>
      </c>
      <c r="G728">
        <v>3</v>
      </c>
      <c r="H728" t="s">
        <v>820</v>
      </c>
    </row>
    <row r="729" spans="1:8">
      <c r="A729" s="229" t="s">
        <v>1587</v>
      </c>
      <c r="C729" s="229">
        <v>62.22</v>
      </c>
      <c r="D729" s="229">
        <v>12010513</v>
      </c>
      <c r="E729" s="229" t="s">
        <v>818</v>
      </c>
      <c r="F729" s="229">
        <v>2018</v>
      </c>
      <c r="G729">
        <v>3</v>
      </c>
      <c r="H729" t="s">
        <v>820</v>
      </c>
    </row>
    <row r="730" spans="1:8">
      <c r="A730" s="229" t="s">
        <v>1587</v>
      </c>
      <c r="C730" s="229">
        <v>86.56</v>
      </c>
      <c r="D730" s="229">
        <v>12010513</v>
      </c>
      <c r="E730" s="229" t="s">
        <v>818</v>
      </c>
      <c r="F730" s="229">
        <v>2018</v>
      </c>
      <c r="G730">
        <v>3</v>
      </c>
      <c r="H730" t="s">
        <v>820</v>
      </c>
    </row>
    <row r="731" spans="1:8">
      <c r="A731" s="229" t="s">
        <v>1587</v>
      </c>
      <c r="C731" s="229">
        <v>75.739999999999995</v>
      </c>
      <c r="D731" s="229">
        <v>12010513</v>
      </c>
      <c r="E731" s="229" t="s">
        <v>818</v>
      </c>
      <c r="F731" s="229">
        <v>2018</v>
      </c>
      <c r="G731">
        <v>3</v>
      </c>
      <c r="H731" t="s">
        <v>820</v>
      </c>
    </row>
    <row r="732" spans="1:8">
      <c r="A732" s="229" t="s">
        <v>1587</v>
      </c>
      <c r="C732" s="229">
        <v>119.02</v>
      </c>
      <c r="D732" s="229">
        <v>12010513</v>
      </c>
      <c r="E732" s="229" t="s">
        <v>818</v>
      </c>
      <c r="F732" s="229">
        <v>2018</v>
      </c>
      <c r="G732">
        <v>3</v>
      </c>
      <c r="H732" t="s">
        <v>820</v>
      </c>
    </row>
    <row r="733" spans="1:8">
      <c r="A733" s="229" t="s">
        <v>1587</v>
      </c>
      <c r="C733" s="229">
        <v>129.84</v>
      </c>
      <c r="D733" s="229">
        <v>12010513</v>
      </c>
      <c r="E733" s="229" t="s">
        <v>818</v>
      </c>
      <c r="F733" s="229">
        <v>2018</v>
      </c>
      <c r="G733">
        <v>3</v>
      </c>
      <c r="H733" t="s">
        <v>820</v>
      </c>
    </row>
    <row r="734" spans="1:8">
      <c r="A734" s="229" t="s">
        <v>1587</v>
      </c>
      <c r="C734" s="229">
        <v>100.09</v>
      </c>
      <c r="D734" s="229">
        <v>12010513</v>
      </c>
      <c r="E734" s="229" t="s">
        <v>818</v>
      </c>
      <c r="F734" s="229">
        <v>2018</v>
      </c>
      <c r="G734">
        <v>3</v>
      </c>
      <c r="H734" t="s">
        <v>820</v>
      </c>
    </row>
    <row r="735" spans="1:8">
      <c r="A735" s="229" t="s">
        <v>1587</v>
      </c>
      <c r="C735" s="229">
        <v>159.6</v>
      </c>
      <c r="D735" s="229">
        <v>12010513</v>
      </c>
      <c r="E735" s="229" t="s">
        <v>818</v>
      </c>
      <c r="F735" s="229">
        <v>2018</v>
      </c>
      <c r="G735">
        <v>3</v>
      </c>
      <c r="H735" t="s">
        <v>820</v>
      </c>
    </row>
    <row r="736" spans="1:8">
      <c r="A736" s="229" t="s">
        <v>1587</v>
      </c>
      <c r="C736" s="229">
        <v>194.76</v>
      </c>
      <c r="D736" s="229">
        <v>12010513</v>
      </c>
      <c r="E736" s="229" t="s">
        <v>818</v>
      </c>
      <c r="F736" s="229">
        <v>2018</v>
      </c>
      <c r="G736">
        <v>3</v>
      </c>
      <c r="H736" t="s">
        <v>820</v>
      </c>
    </row>
    <row r="737" spans="1:8">
      <c r="A737" s="229" t="s">
        <v>1587</v>
      </c>
      <c r="C737" s="229">
        <v>194.76</v>
      </c>
      <c r="D737" s="229">
        <v>12010513</v>
      </c>
      <c r="E737" s="229" t="s">
        <v>818</v>
      </c>
      <c r="F737" s="229">
        <v>2018</v>
      </c>
      <c r="G737">
        <v>3</v>
      </c>
      <c r="H737" t="s">
        <v>820</v>
      </c>
    </row>
    <row r="738" spans="1:8">
      <c r="A738" s="229" t="s">
        <v>1587</v>
      </c>
      <c r="C738" s="229">
        <v>411.16</v>
      </c>
      <c r="D738" s="229">
        <v>12010513</v>
      </c>
      <c r="E738" s="229" t="s">
        <v>818</v>
      </c>
      <c r="F738" s="229">
        <v>2018</v>
      </c>
      <c r="G738">
        <v>3</v>
      </c>
      <c r="H738" t="s">
        <v>820</v>
      </c>
    </row>
    <row r="739" spans="1:8">
      <c r="A739" s="229" t="s">
        <v>1587</v>
      </c>
      <c r="C739" s="229">
        <v>432.8</v>
      </c>
      <c r="D739" s="229">
        <v>12010513</v>
      </c>
      <c r="E739" s="229" t="s">
        <v>818</v>
      </c>
      <c r="F739" s="229">
        <v>2018</v>
      </c>
      <c r="G739">
        <v>3</v>
      </c>
      <c r="H739" t="s">
        <v>820</v>
      </c>
    </row>
    <row r="740" spans="1:8">
      <c r="A740" s="229" t="s">
        <v>1587</v>
      </c>
      <c r="C740" s="229">
        <v>432.8</v>
      </c>
      <c r="D740" s="229">
        <v>12010513</v>
      </c>
      <c r="E740" s="229" t="s">
        <v>818</v>
      </c>
      <c r="F740" s="229">
        <v>2018</v>
      </c>
      <c r="G740">
        <v>3</v>
      </c>
      <c r="H740" t="s">
        <v>820</v>
      </c>
    </row>
    <row r="741" spans="1:8">
      <c r="A741" s="229" t="s">
        <v>1587</v>
      </c>
      <c r="C741" s="229">
        <v>96.9</v>
      </c>
      <c r="D741" s="229">
        <v>12010513</v>
      </c>
      <c r="E741" s="229" t="s">
        <v>818</v>
      </c>
      <c r="F741" s="229">
        <v>2018</v>
      </c>
      <c r="G741">
        <v>3</v>
      </c>
      <c r="H741" t="s">
        <v>820</v>
      </c>
    </row>
    <row r="742" spans="1:8">
      <c r="A742" s="229" t="s">
        <v>1587</v>
      </c>
      <c r="C742" s="229">
        <v>122.4</v>
      </c>
      <c r="D742" s="229">
        <v>12010513</v>
      </c>
      <c r="E742" s="229" t="s">
        <v>818</v>
      </c>
      <c r="F742" s="229">
        <v>2018</v>
      </c>
      <c r="G742">
        <v>3</v>
      </c>
      <c r="H742" t="s">
        <v>820</v>
      </c>
    </row>
    <row r="743" spans="1:8">
      <c r="A743" s="229" t="s">
        <v>1587</v>
      </c>
      <c r="C743" s="229">
        <v>122.4</v>
      </c>
      <c r="D743" s="229">
        <v>12010513</v>
      </c>
      <c r="E743" s="229" t="s">
        <v>818</v>
      </c>
      <c r="F743" s="229">
        <v>2018</v>
      </c>
      <c r="G743">
        <v>3</v>
      </c>
      <c r="H743" t="s">
        <v>820</v>
      </c>
    </row>
    <row r="744" spans="1:8">
      <c r="A744" s="229" t="s">
        <v>1587</v>
      </c>
      <c r="C744" s="229">
        <v>-122.4</v>
      </c>
      <c r="D744" s="229">
        <v>12010513</v>
      </c>
      <c r="E744" s="229" t="s">
        <v>818</v>
      </c>
      <c r="F744" s="229">
        <v>2018</v>
      </c>
      <c r="G744">
        <v>3</v>
      </c>
      <c r="H744" t="s">
        <v>820</v>
      </c>
    </row>
    <row r="745" spans="1:8">
      <c r="A745" s="229" t="s">
        <v>1589</v>
      </c>
      <c r="C745" s="229">
        <v>2.4</v>
      </c>
      <c r="D745" s="229">
        <v>12010513</v>
      </c>
      <c r="E745" s="229" t="s">
        <v>818</v>
      </c>
      <c r="F745" s="229">
        <v>2018</v>
      </c>
      <c r="G745">
        <v>3</v>
      </c>
      <c r="H745" t="s">
        <v>820</v>
      </c>
    </row>
    <row r="746" spans="1:8">
      <c r="A746" s="229" t="s">
        <v>1589</v>
      </c>
      <c r="C746" s="229">
        <v>28.92</v>
      </c>
      <c r="D746" s="229">
        <v>12010513</v>
      </c>
      <c r="E746" s="229" t="s">
        <v>818</v>
      </c>
      <c r="F746" s="229">
        <v>2018</v>
      </c>
      <c r="G746">
        <v>3</v>
      </c>
      <c r="H746" t="s">
        <v>820</v>
      </c>
    </row>
    <row r="747" spans="1:8">
      <c r="A747" s="229" t="s">
        <v>1589</v>
      </c>
      <c r="C747" s="229">
        <v>40.4</v>
      </c>
      <c r="D747" s="229">
        <v>12010513</v>
      </c>
      <c r="E747" s="229" t="s">
        <v>818</v>
      </c>
      <c r="F747" s="229">
        <v>2018</v>
      </c>
      <c r="G747">
        <v>3</v>
      </c>
      <c r="H747" t="s">
        <v>820</v>
      </c>
    </row>
    <row r="748" spans="1:8">
      <c r="A748" s="229" t="s">
        <v>1591</v>
      </c>
      <c r="C748" s="229">
        <v>24.38</v>
      </c>
      <c r="D748" s="229">
        <v>12010513</v>
      </c>
      <c r="E748" s="229" t="s">
        <v>818</v>
      </c>
      <c r="F748" s="229">
        <v>2018</v>
      </c>
      <c r="G748">
        <v>3</v>
      </c>
      <c r="H748" t="s">
        <v>820</v>
      </c>
    </row>
    <row r="749" spans="1:8">
      <c r="A749" s="229" t="s">
        <v>1591</v>
      </c>
      <c r="C749" s="229">
        <v>5.48</v>
      </c>
      <c r="D749" s="229">
        <v>12010513</v>
      </c>
      <c r="E749" s="229" t="s">
        <v>818</v>
      </c>
      <c r="F749" s="229">
        <v>2018</v>
      </c>
      <c r="G749">
        <v>3</v>
      </c>
      <c r="H749" t="s">
        <v>820</v>
      </c>
    </row>
    <row r="750" spans="1:8">
      <c r="A750" s="229" t="s">
        <v>1591</v>
      </c>
      <c r="C750" s="229">
        <v>5.51</v>
      </c>
      <c r="D750" s="229">
        <v>12010513</v>
      </c>
      <c r="E750" s="229" t="s">
        <v>818</v>
      </c>
      <c r="F750" s="229">
        <v>2018</v>
      </c>
      <c r="G750">
        <v>3</v>
      </c>
      <c r="H750" t="s">
        <v>820</v>
      </c>
    </row>
    <row r="751" spans="1:8">
      <c r="A751" s="229" t="s">
        <v>1592</v>
      </c>
      <c r="C751" s="229">
        <v>13.6</v>
      </c>
      <c r="D751" s="229">
        <v>12010513</v>
      </c>
      <c r="E751" s="229" t="s">
        <v>818</v>
      </c>
      <c r="F751" s="229">
        <v>2018</v>
      </c>
      <c r="G751">
        <v>3</v>
      </c>
      <c r="H751" t="s">
        <v>820</v>
      </c>
    </row>
    <row r="752" spans="1:8">
      <c r="A752" s="229" t="s">
        <v>1593</v>
      </c>
      <c r="C752" s="229">
        <v>9.7200000000000006</v>
      </c>
      <c r="D752" s="229">
        <v>12010513</v>
      </c>
      <c r="E752" s="229" t="s">
        <v>818</v>
      </c>
      <c r="F752" s="229">
        <v>2018</v>
      </c>
      <c r="G752">
        <v>3</v>
      </c>
      <c r="H752" t="s">
        <v>820</v>
      </c>
    </row>
    <row r="753" spans="1:8">
      <c r="A753" s="229" t="s">
        <v>1596</v>
      </c>
      <c r="D753" s="229">
        <v>12010513</v>
      </c>
      <c r="E753" s="229" t="s">
        <v>818</v>
      </c>
      <c r="F753" s="229">
        <v>2018</v>
      </c>
      <c r="G753">
        <v>3</v>
      </c>
      <c r="H753" t="s">
        <v>820</v>
      </c>
    </row>
    <row r="754" spans="1:8">
      <c r="A754" s="229" t="s">
        <v>1596</v>
      </c>
      <c r="C754" s="229">
        <v>48.91</v>
      </c>
      <c r="D754" s="229">
        <v>12010513</v>
      </c>
      <c r="E754" s="229" t="s">
        <v>818</v>
      </c>
      <c r="F754" s="229">
        <v>2018</v>
      </c>
      <c r="G754">
        <v>3</v>
      </c>
      <c r="H754" t="s">
        <v>820</v>
      </c>
    </row>
    <row r="755" spans="1:8">
      <c r="A755" s="229" t="s">
        <v>1596</v>
      </c>
      <c r="C755" s="229">
        <v>48.91</v>
      </c>
      <c r="D755" s="229">
        <v>12010513</v>
      </c>
      <c r="E755" s="229" t="s">
        <v>818</v>
      </c>
      <c r="F755" s="229">
        <v>2018</v>
      </c>
      <c r="G755">
        <v>3</v>
      </c>
      <c r="H755" t="s">
        <v>820</v>
      </c>
    </row>
    <row r="756" spans="1:8">
      <c r="A756" s="229" t="s">
        <v>1596</v>
      </c>
      <c r="D756" s="229">
        <v>12010513</v>
      </c>
      <c r="E756" s="229" t="s">
        <v>818</v>
      </c>
      <c r="F756" s="229">
        <v>2018</v>
      </c>
      <c r="G756">
        <v>3</v>
      </c>
      <c r="H756" t="s">
        <v>820</v>
      </c>
    </row>
    <row r="757" spans="1:8">
      <c r="A757" s="229" t="s">
        <v>1596</v>
      </c>
      <c r="D757" s="229">
        <v>12010513</v>
      </c>
      <c r="E757" s="229" t="s">
        <v>818</v>
      </c>
      <c r="F757" s="229">
        <v>2018</v>
      </c>
      <c r="G757">
        <v>3</v>
      </c>
      <c r="H757" t="s">
        <v>820</v>
      </c>
    </row>
    <row r="758" spans="1:8">
      <c r="A758" s="229" t="s">
        <v>1596</v>
      </c>
      <c r="C758" s="229">
        <v>48.91</v>
      </c>
      <c r="D758" s="229">
        <v>12010513</v>
      </c>
      <c r="E758" s="229" t="s">
        <v>818</v>
      </c>
      <c r="F758" s="229">
        <v>2018</v>
      </c>
      <c r="G758">
        <v>3</v>
      </c>
      <c r="H758" t="s">
        <v>820</v>
      </c>
    </row>
    <row r="759" spans="1:8">
      <c r="A759" s="229" t="s">
        <v>1602</v>
      </c>
      <c r="C759" s="229">
        <v>2607.6</v>
      </c>
      <c r="D759" s="229">
        <v>12010513</v>
      </c>
      <c r="E759" s="229" t="s">
        <v>818</v>
      </c>
      <c r="F759" s="229">
        <v>2018</v>
      </c>
      <c r="G759">
        <v>3</v>
      </c>
      <c r="H759" t="s">
        <v>820</v>
      </c>
    </row>
    <row r="760" spans="1:8">
      <c r="A760" s="229" t="s">
        <v>1611</v>
      </c>
      <c r="D760" s="229">
        <v>12010513</v>
      </c>
      <c r="E760" s="229" t="s">
        <v>818</v>
      </c>
      <c r="F760" s="229">
        <v>2018</v>
      </c>
      <c r="G760">
        <v>3</v>
      </c>
      <c r="H760" t="s">
        <v>820</v>
      </c>
    </row>
    <row r="761" spans="1:8">
      <c r="A761" s="229" t="s">
        <v>1611</v>
      </c>
      <c r="C761" s="229">
        <v>600</v>
      </c>
      <c r="D761" s="229">
        <v>12010513</v>
      </c>
      <c r="E761" s="229" t="s">
        <v>818</v>
      </c>
      <c r="F761" s="229">
        <v>2018</v>
      </c>
      <c r="G761">
        <v>3</v>
      </c>
      <c r="H761" t="s">
        <v>820</v>
      </c>
    </row>
    <row r="762" spans="1:8">
      <c r="A762" s="229" t="s">
        <v>1611</v>
      </c>
      <c r="D762" s="229">
        <v>12010513</v>
      </c>
      <c r="E762" s="229" t="s">
        <v>818</v>
      </c>
      <c r="F762" s="229">
        <v>2018</v>
      </c>
      <c r="G762">
        <v>3</v>
      </c>
      <c r="H762" t="s">
        <v>820</v>
      </c>
    </row>
    <row r="763" spans="1:8">
      <c r="A763" s="229" t="s">
        <v>1611</v>
      </c>
      <c r="C763" s="229">
        <v>600</v>
      </c>
      <c r="D763" s="229">
        <v>12010513</v>
      </c>
      <c r="E763" s="229" t="s">
        <v>818</v>
      </c>
      <c r="F763" s="229">
        <v>2018</v>
      </c>
      <c r="G763">
        <v>3</v>
      </c>
      <c r="H763" t="s">
        <v>820</v>
      </c>
    </row>
    <row r="764" spans="1:8">
      <c r="A764" s="229" t="s">
        <v>1611</v>
      </c>
      <c r="D764" s="229">
        <v>12010513</v>
      </c>
      <c r="E764" s="229" t="s">
        <v>818</v>
      </c>
      <c r="F764" s="229">
        <v>2018</v>
      </c>
      <c r="G764">
        <v>3</v>
      </c>
      <c r="H764" t="s">
        <v>820</v>
      </c>
    </row>
    <row r="765" spans="1:8">
      <c r="A765" s="229" t="s">
        <v>1611</v>
      </c>
      <c r="C765" s="229">
        <v>600</v>
      </c>
      <c r="D765" s="229">
        <v>12010513</v>
      </c>
      <c r="E765" s="229" t="s">
        <v>818</v>
      </c>
      <c r="F765" s="229">
        <v>2018</v>
      </c>
      <c r="G765">
        <v>3</v>
      </c>
      <c r="H765" t="s">
        <v>820</v>
      </c>
    </row>
    <row r="766" spans="1:8">
      <c r="A766" s="229" t="s">
        <v>1613</v>
      </c>
      <c r="C766" s="229">
        <v>700</v>
      </c>
      <c r="D766" s="229">
        <v>12010513</v>
      </c>
      <c r="E766" s="229" t="s">
        <v>818</v>
      </c>
      <c r="F766" s="229">
        <v>2018</v>
      </c>
      <c r="G766">
        <v>3</v>
      </c>
      <c r="H766" t="s">
        <v>820</v>
      </c>
    </row>
    <row r="767" spans="1:8">
      <c r="A767" s="229" t="s">
        <v>1613</v>
      </c>
      <c r="C767" s="229">
        <v>700</v>
      </c>
      <c r="D767" s="229">
        <v>12010513</v>
      </c>
      <c r="E767" s="229" t="s">
        <v>818</v>
      </c>
      <c r="F767" s="229">
        <v>2018</v>
      </c>
      <c r="G767">
        <v>3</v>
      </c>
      <c r="H767" t="s">
        <v>820</v>
      </c>
    </row>
    <row r="768" spans="1:8">
      <c r="A768" s="229" t="s">
        <v>1613</v>
      </c>
      <c r="C768" s="229">
        <v>700</v>
      </c>
      <c r="D768" s="229">
        <v>12010513</v>
      </c>
      <c r="E768" s="229" t="s">
        <v>818</v>
      </c>
      <c r="F768" s="229">
        <v>2018</v>
      </c>
      <c r="G768">
        <v>3</v>
      </c>
      <c r="H768" t="s">
        <v>820</v>
      </c>
    </row>
    <row r="769" spans="1:8">
      <c r="A769" s="229" t="s">
        <v>1613</v>
      </c>
      <c r="C769" s="229">
        <v>700</v>
      </c>
      <c r="D769" s="229">
        <v>12010513</v>
      </c>
      <c r="E769" s="229" t="s">
        <v>818</v>
      </c>
      <c r="F769" s="229">
        <v>2018</v>
      </c>
      <c r="G769">
        <v>3</v>
      </c>
      <c r="H769" t="s">
        <v>820</v>
      </c>
    </row>
    <row r="770" spans="1:8">
      <c r="A770" s="229" t="s">
        <v>1613</v>
      </c>
      <c r="C770" s="229">
        <v>700</v>
      </c>
      <c r="D770" s="229">
        <v>12010513</v>
      </c>
      <c r="E770" s="229" t="s">
        <v>818</v>
      </c>
      <c r="F770" s="229">
        <v>2018</v>
      </c>
      <c r="G770">
        <v>3</v>
      </c>
      <c r="H770" t="s">
        <v>820</v>
      </c>
    </row>
    <row r="771" spans="1:8">
      <c r="A771" s="229" t="s">
        <v>1618</v>
      </c>
      <c r="C771" s="229">
        <v>-110.05</v>
      </c>
      <c r="D771" s="229">
        <v>12010513</v>
      </c>
      <c r="E771" s="229" t="s">
        <v>818</v>
      </c>
      <c r="F771" s="229">
        <v>2018</v>
      </c>
      <c r="G771">
        <v>3</v>
      </c>
      <c r="H771" t="s">
        <v>820</v>
      </c>
    </row>
    <row r="772" spans="1:8">
      <c r="A772" s="229" t="s">
        <v>1618</v>
      </c>
      <c r="C772" s="229">
        <v>220.1</v>
      </c>
      <c r="D772" s="229">
        <v>12010513</v>
      </c>
      <c r="E772" s="229" t="s">
        <v>818</v>
      </c>
      <c r="F772" s="229">
        <v>2018</v>
      </c>
      <c r="G772">
        <v>3</v>
      </c>
      <c r="H772" t="s">
        <v>820</v>
      </c>
    </row>
    <row r="773" spans="1:8">
      <c r="A773" s="229" t="s">
        <v>1618</v>
      </c>
      <c r="C773" s="229">
        <v>-112.57</v>
      </c>
      <c r="D773" s="229">
        <v>12010513</v>
      </c>
      <c r="E773" s="229" t="s">
        <v>818</v>
      </c>
      <c r="F773" s="229">
        <v>2018</v>
      </c>
      <c r="G773">
        <v>3</v>
      </c>
      <c r="H773" t="s">
        <v>820</v>
      </c>
    </row>
    <row r="774" spans="1:8">
      <c r="A774" s="229" t="s">
        <v>1618</v>
      </c>
      <c r="C774" s="229">
        <v>225.15</v>
      </c>
      <c r="D774" s="229">
        <v>12010513</v>
      </c>
      <c r="E774" s="229" t="s">
        <v>818</v>
      </c>
      <c r="F774" s="229">
        <v>2018</v>
      </c>
      <c r="G774">
        <v>3</v>
      </c>
      <c r="H774" t="s">
        <v>820</v>
      </c>
    </row>
    <row r="775" spans="1:8">
      <c r="A775" s="229" t="s">
        <v>1618</v>
      </c>
      <c r="C775" s="229">
        <v>-260.35000000000002</v>
      </c>
      <c r="D775" s="229">
        <v>12010513</v>
      </c>
      <c r="E775" s="229" t="s">
        <v>818</v>
      </c>
      <c r="F775" s="229">
        <v>2018</v>
      </c>
      <c r="G775">
        <v>3</v>
      </c>
      <c r="H775" t="s">
        <v>820</v>
      </c>
    </row>
    <row r="776" spans="1:8">
      <c r="A776" s="229" t="s">
        <v>1618</v>
      </c>
      <c r="C776" s="229">
        <v>520.71</v>
      </c>
      <c r="D776" s="229">
        <v>12010513</v>
      </c>
      <c r="E776" s="229" t="s">
        <v>818</v>
      </c>
      <c r="F776" s="229">
        <v>2018</v>
      </c>
      <c r="G776">
        <v>3</v>
      </c>
      <c r="H776" t="s">
        <v>820</v>
      </c>
    </row>
    <row r="777" spans="1:8">
      <c r="A777" s="229" t="s">
        <v>1619</v>
      </c>
      <c r="C777" s="229">
        <v>17.850000000000001</v>
      </c>
      <c r="D777" s="229">
        <v>12010513</v>
      </c>
      <c r="E777" s="229" t="s">
        <v>818</v>
      </c>
      <c r="F777" s="229">
        <v>2018</v>
      </c>
      <c r="G777">
        <v>3</v>
      </c>
      <c r="H777" t="s">
        <v>820</v>
      </c>
    </row>
    <row r="778" spans="1:8">
      <c r="A778" s="229" t="s">
        <v>1619</v>
      </c>
      <c r="C778" s="229">
        <v>18.260000000000002</v>
      </c>
      <c r="D778" s="229">
        <v>12010513</v>
      </c>
      <c r="E778" s="229" t="s">
        <v>818</v>
      </c>
      <c r="F778" s="229">
        <v>2018</v>
      </c>
      <c r="G778">
        <v>3</v>
      </c>
      <c r="H778" t="s">
        <v>820</v>
      </c>
    </row>
    <row r="779" spans="1:8">
      <c r="A779" s="229" t="s">
        <v>1619</v>
      </c>
      <c r="C779" s="229">
        <v>42.22</v>
      </c>
      <c r="D779" s="229">
        <v>12010513</v>
      </c>
      <c r="E779" s="229" t="s">
        <v>818</v>
      </c>
      <c r="F779" s="229">
        <v>2018</v>
      </c>
      <c r="G779">
        <v>3</v>
      </c>
      <c r="H779" t="s">
        <v>820</v>
      </c>
    </row>
    <row r="780" spans="1:8">
      <c r="A780" s="229" t="s">
        <v>1620</v>
      </c>
      <c r="C780" s="229">
        <v>110.05</v>
      </c>
      <c r="D780" s="229">
        <v>12010513</v>
      </c>
      <c r="E780" s="229" t="s">
        <v>818</v>
      </c>
      <c r="F780" s="229">
        <v>2018</v>
      </c>
      <c r="G780">
        <v>3</v>
      </c>
      <c r="H780" t="s">
        <v>820</v>
      </c>
    </row>
    <row r="781" spans="1:8">
      <c r="A781" s="229" t="s">
        <v>1620</v>
      </c>
      <c r="C781" s="229">
        <v>112.57</v>
      </c>
      <c r="D781" s="229">
        <v>12010513</v>
      </c>
      <c r="E781" s="229" t="s">
        <v>818</v>
      </c>
      <c r="F781" s="229">
        <v>2018</v>
      </c>
      <c r="G781">
        <v>3</v>
      </c>
      <c r="H781" t="s">
        <v>820</v>
      </c>
    </row>
    <row r="782" spans="1:8">
      <c r="A782" s="229" t="s">
        <v>1620</v>
      </c>
      <c r="C782" s="229">
        <v>260.35000000000002</v>
      </c>
      <c r="D782" s="229">
        <v>12010513</v>
      </c>
      <c r="E782" s="229" t="s">
        <v>818</v>
      </c>
      <c r="F782" s="229">
        <v>2018</v>
      </c>
      <c r="G782">
        <v>3</v>
      </c>
      <c r="H782" t="s">
        <v>820</v>
      </c>
    </row>
    <row r="783" spans="1:8">
      <c r="A783" s="229" t="s">
        <v>1587</v>
      </c>
      <c r="C783" s="229">
        <v>324.60000000000002</v>
      </c>
      <c r="D783" s="229">
        <v>12010513</v>
      </c>
      <c r="E783" s="229" t="s">
        <v>818</v>
      </c>
      <c r="F783" s="229">
        <v>2018</v>
      </c>
      <c r="G783">
        <v>4</v>
      </c>
      <c r="H783" t="s">
        <v>820</v>
      </c>
    </row>
    <row r="784" spans="1:8">
      <c r="A784" s="229" t="s">
        <v>1587</v>
      </c>
      <c r="C784" s="229">
        <v>324.60000000000002</v>
      </c>
      <c r="D784" s="229">
        <v>12010513</v>
      </c>
      <c r="E784" s="229" t="s">
        <v>818</v>
      </c>
      <c r="F784" s="229">
        <v>2018</v>
      </c>
      <c r="G784">
        <v>4</v>
      </c>
      <c r="H784" t="s">
        <v>820</v>
      </c>
    </row>
    <row r="785" spans="1:8">
      <c r="A785" s="229" t="s">
        <v>1587</v>
      </c>
      <c r="C785" s="229">
        <v>324.60000000000002</v>
      </c>
      <c r="D785" s="229">
        <v>12010513</v>
      </c>
      <c r="E785" s="229" t="s">
        <v>818</v>
      </c>
      <c r="F785" s="229">
        <v>2018</v>
      </c>
      <c r="G785">
        <v>4</v>
      </c>
      <c r="H785" t="s">
        <v>820</v>
      </c>
    </row>
    <row r="786" spans="1:8">
      <c r="A786" s="229" t="s">
        <v>1587</v>
      </c>
      <c r="C786" s="229">
        <v>324.60000000000002</v>
      </c>
      <c r="D786" s="229">
        <v>12010513</v>
      </c>
      <c r="E786" s="229" t="s">
        <v>818</v>
      </c>
      <c r="F786" s="229">
        <v>2018</v>
      </c>
      <c r="G786">
        <v>4</v>
      </c>
      <c r="H786" t="s">
        <v>820</v>
      </c>
    </row>
    <row r="787" spans="1:8">
      <c r="A787" s="229" t="s">
        <v>1587</v>
      </c>
      <c r="C787" s="229">
        <v>324.60000000000002</v>
      </c>
      <c r="D787" s="229">
        <v>12010513</v>
      </c>
      <c r="E787" s="229" t="s">
        <v>818</v>
      </c>
      <c r="F787" s="229">
        <v>2018</v>
      </c>
      <c r="G787">
        <v>4</v>
      </c>
      <c r="H787" t="s">
        <v>820</v>
      </c>
    </row>
    <row r="788" spans="1:8">
      <c r="A788" s="229" t="s">
        <v>1587</v>
      </c>
      <c r="C788" s="229">
        <v>183.6</v>
      </c>
      <c r="D788" s="229">
        <v>12010513</v>
      </c>
      <c r="E788" s="229" t="s">
        <v>818</v>
      </c>
      <c r="F788" s="229">
        <v>2018</v>
      </c>
      <c r="G788">
        <v>4</v>
      </c>
      <c r="H788" t="s">
        <v>820</v>
      </c>
    </row>
    <row r="789" spans="1:8">
      <c r="A789" s="229" t="s">
        <v>1587</v>
      </c>
      <c r="C789" s="229">
        <v>122.4</v>
      </c>
      <c r="D789" s="229">
        <v>12010513</v>
      </c>
      <c r="E789" s="229" t="s">
        <v>818</v>
      </c>
      <c r="F789" s="229">
        <v>2018</v>
      </c>
      <c r="G789">
        <v>4</v>
      </c>
      <c r="H789" t="s">
        <v>820</v>
      </c>
    </row>
    <row r="790" spans="1:8">
      <c r="A790" s="229" t="s">
        <v>1587</v>
      </c>
      <c r="C790" s="229">
        <v>153</v>
      </c>
      <c r="D790" s="229">
        <v>12010513</v>
      </c>
      <c r="E790" s="229" t="s">
        <v>818</v>
      </c>
      <c r="F790" s="229">
        <v>2018</v>
      </c>
      <c r="G790">
        <v>4</v>
      </c>
      <c r="H790" t="s">
        <v>820</v>
      </c>
    </row>
    <row r="791" spans="1:8">
      <c r="A791" s="229" t="s">
        <v>1587</v>
      </c>
      <c r="C791" s="229">
        <v>147.9</v>
      </c>
      <c r="D791" s="229">
        <v>12010513</v>
      </c>
      <c r="E791" s="229" t="s">
        <v>818</v>
      </c>
      <c r="F791" s="229">
        <v>2018</v>
      </c>
      <c r="G791">
        <v>4</v>
      </c>
      <c r="H791" t="s">
        <v>820</v>
      </c>
    </row>
    <row r="792" spans="1:8">
      <c r="A792" s="229" t="s">
        <v>1587</v>
      </c>
      <c r="C792" s="229">
        <v>216.4</v>
      </c>
      <c r="D792" s="229">
        <v>12010513</v>
      </c>
      <c r="E792" s="229" t="s">
        <v>818</v>
      </c>
      <c r="F792" s="229">
        <v>2018</v>
      </c>
      <c r="G792">
        <v>4</v>
      </c>
      <c r="H792" t="s">
        <v>820</v>
      </c>
    </row>
    <row r="793" spans="1:8">
      <c r="A793" s="229" t="s">
        <v>1587</v>
      </c>
      <c r="C793" s="229">
        <v>83.86</v>
      </c>
      <c r="D793" s="229">
        <v>12010513</v>
      </c>
      <c r="E793" s="229" t="s">
        <v>818</v>
      </c>
      <c r="F793" s="229">
        <v>2018</v>
      </c>
      <c r="G793">
        <v>4</v>
      </c>
      <c r="H793" t="s">
        <v>820</v>
      </c>
    </row>
    <row r="794" spans="1:8">
      <c r="A794" s="229" t="s">
        <v>1587</v>
      </c>
      <c r="C794" s="229">
        <v>108.2</v>
      </c>
      <c r="D794" s="229">
        <v>12010513</v>
      </c>
      <c r="E794" s="229" t="s">
        <v>818</v>
      </c>
      <c r="F794" s="229">
        <v>2018</v>
      </c>
      <c r="G794">
        <v>4</v>
      </c>
      <c r="H794" t="s">
        <v>820</v>
      </c>
    </row>
    <row r="795" spans="1:8">
      <c r="A795" s="229" t="s">
        <v>1587</v>
      </c>
      <c r="C795" s="229">
        <v>110.91</v>
      </c>
      <c r="D795" s="229">
        <v>12010513</v>
      </c>
      <c r="E795" s="229" t="s">
        <v>818</v>
      </c>
      <c r="F795" s="229">
        <v>2018</v>
      </c>
      <c r="G795">
        <v>4</v>
      </c>
      <c r="H795" t="s">
        <v>820</v>
      </c>
    </row>
    <row r="796" spans="1:8">
      <c r="A796" s="229" t="s">
        <v>1587</v>
      </c>
      <c r="C796" s="229">
        <v>43.28</v>
      </c>
      <c r="D796" s="229">
        <v>12010513</v>
      </c>
      <c r="E796" s="229" t="s">
        <v>818</v>
      </c>
      <c r="F796" s="229">
        <v>2018</v>
      </c>
      <c r="G796">
        <v>4</v>
      </c>
      <c r="H796" t="s">
        <v>820</v>
      </c>
    </row>
    <row r="797" spans="1:8">
      <c r="A797" s="229" t="s">
        <v>1587</v>
      </c>
      <c r="C797" s="229">
        <v>43.28</v>
      </c>
      <c r="D797" s="229">
        <v>12010513</v>
      </c>
      <c r="E797" s="229" t="s">
        <v>818</v>
      </c>
      <c r="F797" s="229">
        <v>2018</v>
      </c>
      <c r="G797">
        <v>4</v>
      </c>
      <c r="H797" t="s">
        <v>820</v>
      </c>
    </row>
    <row r="798" spans="1:8">
      <c r="A798" s="229" t="s">
        <v>1587</v>
      </c>
      <c r="C798" s="229">
        <v>75.739999999999995</v>
      </c>
      <c r="D798" s="229">
        <v>12010513</v>
      </c>
      <c r="E798" s="229" t="s">
        <v>818</v>
      </c>
      <c r="F798" s="229">
        <v>2018</v>
      </c>
      <c r="G798">
        <v>4</v>
      </c>
      <c r="H798" t="s">
        <v>820</v>
      </c>
    </row>
    <row r="799" spans="1:8">
      <c r="A799" s="229" t="s">
        <v>1587</v>
      </c>
      <c r="C799" s="229">
        <v>32.46</v>
      </c>
      <c r="D799" s="229">
        <v>12010513</v>
      </c>
      <c r="E799" s="229" t="s">
        <v>818</v>
      </c>
      <c r="F799" s="229">
        <v>2018</v>
      </c>
      <c r="G799">
        <v>4</v>
      </c>
      <c r="H799" t="s">
        <v>820</v>
      </c>
    </row>
    <row r="800" spans="1:8">
      <c r="A800" s="229" t="s">
        <v>1587</v>
      </c>
      <c r="C800" s="229">
        <v>205.58</v>
      </c>
      <c r="D800" s="229">
        <v>12010513</v>
      </c>
      <c r="E800" s="229" t="s">
        <v>818</v>
      </c>
      <c r="F800" s="229">
        <v>2018</v>
      </c>
      <c r="G800">
        <v>4</v>
      </c>
      <c r="H800" t="s">
        <v>820</v>
      </c>
    </row>
    <row r="801" spans="1:8">
      <c r="A801" s="229" t="s">
        <v>1587</v>
      </c>
      <c r="C801" s="229">
        <v>324.60000000000002</v>
      </c>
      <c r="D801" s="229">
        <v>12010513</v>
      </c>
      <c r="E801" s="229" t="s">
        <v>818</v>
      </c>
      <c r="F801" s="229">
        <v>2018</v>
      </c>
      <c r="G801">
        <v>4</v>
      </c>
      <c r="H801" t="s">
        <v>820</v>
      </c>
    </row>
    <row r="802" spans="1:8">
      <c r="A802" s="229" t="s">
        <v>1587</v>
      </c>
      <c r="C802" s="229">
        <v>121.73</v>
      </c>
      <c r="D802" s="229">
        <v>12010513</v>
      </c>
      <c r="E802" s="229" t="s">
        <v>818</v>
      </c>
      <c r="F802" s="229">
        <v>2018</v>
      </c>
      <c r="G802">
        <v>4</v>
      </c>
      <c r="H802" t="s">
        <v>820</v>
      </c>
    </row>
    <row r="803" spans="1:8">
      <c r="A803" s="229" t="s">
        <v>1587</v>
      </c>
      <c r="C803" s="229">
        <v>392.23</v>
      </c>
      <c r="D803" s="229">
        <v>12010513</v>
      </c>
      <c r="E803" s="229" t="s">
        <v>818</v>
      </c>
      <c r="F803" s="229">
        <v>2018</v>
      </c>
      <c r="G803">
        <v>4</v>
      </c>
      <c r="H803" t="s">
        <v>820</v>
      </c>
    </row>
    <row r="804" spans="1:8">
      <c r="A804" s="229" t="s">
        <v>1587</v>
      </c>
      <c r="C804" s="229">
        <v>278.62</v>
      </c>
      <c r="D804" s="229">
        <v>12010513</v>
      </c>
      <c r="E804" s="229" t="s">
        <v>818</v>
      </c>
      <c r="F804" s="229">
        <v>2018</v>
      </c>
      <c r="G804">
        <v>4</v>
      </c>
      <c r="H804" t="s">
        <v>820</v>
      </c>
    </row>
    <row r="805" spans="1:8">
      <c r="A805" s="229" t="s">
        <v>1587</v>
      </c>
      <c r="C805" s="229">
        <v>419.28</v>
      </c>
      <c r="D805" s="229">
        <v>12010513</v>
      </c>
      <c r="E805" s="229" t="s">
        <v>818</v>
      </c>
      <c r="F805" s="229">
        <v>2018</v>
      </c>
      <c r="G805">
        <v>4</v>
      </c>
      <c r="H805" t="s">
        <v>820</v>
      </c>
    </row>
    <row r="806" spans="1:8">
      <c r="A806" s="229" t="s">
        <v>1587</v>
      </c>
      <c r="C806" s="229">
        <v>500.43</v>
      </c>
      <c r="D806" s="229">
        <v>12010513</v>
      </c>
      <c r="E806" s="229" t="s">
        <v>818</v>
      </c>
      <c r="F806" s="229">
        <v>2018</v>
      </c>
      <c r="G806">
        <v>4</v>
      </c>
      <c r="H806" t="s">
        <v>820</v>
      </c>
    </row>
    <row r="807" spans="1:8">
      <c r="A807" s="229" t="s">
        <v>1587</v>
      </c>
      <c r="C807" s="229">
        <v>173.12</v>
      </c>
      <c r="D807" s="229">
        <v>12010513</v>
      </c>
      <c r="E807" s="229" t="s">
        <v>818</v>
      </c>
      <c r="F807" s="229">
        <v>2018</v>
      </c>
      <c r="G807">
        <v>4</v>
      </c>
      <c r="H807" t="s">
        <v>820</v>
      </c>
    </row>
    <row r="808" spans="1:8">
      <c r="A808" s="229" t="s">
        <v>1587</v>
      </c>
      <c r="C808" s="229">
        <v>129.84</v>
      </c>
      <c r="D808" s="229">
        <v>12010513</v>
      </c>
      <c r="E808" s="229" t="s">
        <v>818</v>
      </c>
      <c r="F808" s="229">
        <v>2018</v>
      </c>
      <c r="G808">
        <v>4</v>
      </c>
      <c r="H808" t="s">
        <v>820</v>
      </c>
    </row>
    <row r="809" spans="1:8">
      <c r="A809" s="229" t="s">
        <v>1587</v>
      </c>
      <c r="C809" s="229">
        <v>146.07</v>
      </c>
      <c r="D809" s="229">
        <v>12010513</v>
      </c>
      <c r="E809" s="229" t="s">
        <v>818</v>
      </c>
      <c r="F809" s="229">
        <v>2018</v>
      </c>
      <c r="G809">
        <v>4</v>
      </c>
      <c r="H809" t="s">
        <v>820</v>
      </c>
    </row>
    <row r="810" spans="1:8">
      <c r="A810" s="229" t="s">
        <v>1587</v>
      </c>
      <c r="C810" s="229">
        <v>43.28</v>
      </c>
      <c r="D810" s="229">
        <v>12010513</v>
      </c>
      <c r="E810" s="229" t="s">
        <v>818</v>
      </c>
      <c r="F810" s="229">
        <v>2018</v>
      </c>
      <c r="G810">
        <v>4</v>
      </c>
      <c r="H810" t="s">
        <v>820</v>
      </c>
    </row>
    <row r="811" spans="1:8">
      <c r="A811" s="229" t="s">
        <v>1587</v>
      </c>
      <c r="C811" s="229">
        <v>8.1199999999999992</v>
      </c>
      <c r="D811" s="229">
        <v>12010513</v>
      </c>
      <c r="E811" s="229" t="s">
        <v>818</v>
      </c>
      <c r="F811" s="229">
        <v>2018</v>
      </c>
      <c r="G811">
        <v>4</v>
      </c>
      <c r="H811" t="s">
        <v>820</v>
      </c>
    </row>
    <row r="812" spans="1:8">
      <c r="A812" s="229" t="s">
        <v>1587</v>
      </c>
      <c r="C812" s="229">
        <v>16.23</v>
      </c>
      <c r="D812" s="229">
        <v>12010513</v>
      </c>
      <c r="E812" s="229" t="s">
        <v>818</v>
      </c>
      <c r="F812" s="229">
        <v>2018</v>
      </c>
      <c r="G812">
        <v>4</v>
      </c>
      <c r="H812" t="s">
        <v>820</v>
      </c>
    </row>
    <row r="813" spans="1:8">
      <c r="A813" s="229" t="s">
        <v>1587</v>
      </c>
      <c r="C813" s="229">
        <v>124.44</v>
      </c>
      <c r="D813" s="229">
        <v>12010513</v>
      </c>
      <c r="E813" s="229" t="s">
        <v>818</v>
      </c>
      <c r="F813" s="229">
        <v>2018</v>
      </c>
      <c r="G813">
        <v>4</v>
      </c>
      <c r="H813" t="s">
        <v>820</v>
      </c>
    </row>
    <row r="814" spans="1:8">
      <c r="A814" s="229" t="s">
        <v>1587</v>
      </c>
      <c r="C814" s="229">
        <v>78.45</v>
      </c>
      <c r="D814" s="229">
        <v>12010513</v>
      </c>
      <c r="E814" s="229" t="s">
        <v>818</v>
      </c>
      <c r="F814" s="229">
        <v>2018</v>
      </c>
      <c r="G814">
        <v>4</v>
      </c>
      <c r="H814" t="s">
        <v>820</v>
      </c>
    </row>
    <row r="815" spans="1:8">
      <c r="A815" s="229" t="s">
        <v>1587</v>
      </c>
      <c r="C815" s="229">
        <v>32.46</v>
      </c>
      <c r="D815" s="229">
        <v>12010513</v>
      </c>
      <c r="E815" s="229" t="s">
        <v>818</v>
      </c>
      <c r="F815" s="229">
        <v>2018</v>
      </c>
      <c r="G815">
        <v>4</v>
      </c>
      <c r="H815" t="s">
        <v>820</v>
      </c>
    </row>
    <row r="816" spans="1:8">
      <c r="A816" s="229" t="s">
        <v>1587</v>
      </c>
      <c r="C816" s="229">
        <v>27.05</v>
      </c>
      <c r="D816" s="229">
        <v>12010513</v>
      </c>
      <c r="E816" s="229" t="s">
        <v>818</v>
      </c>
      <c r="F816" s="229">
        <v>2018</v>
      </c>
      <c r="G816">
        <v>4</v>
      </c>
      <c r="H816" t="s">
        <v>820</v>
      </c>
    </row>
    <row r="817" spans="1:8">
      <c r="A817" s="229" t="s">
        <v>1587</v>
      </c>
      <c r="C817" s="229">
        <v>18.940000000000001</v>
      </c>
      <c r="D817" s="229">
        <v>12010513</v>
      </c>
      <c r="E817" s="229" t="s">
        <v>818</v>
      </c>
      <c r="F817" s="229">
        <v>2018</v>
      </c>
      <c r="G817">
        <v>4</v>
      </c>
      <c r="H817" t="s">
        <v>820</v>
      </c>
    </row>
    <row r="818" spans="1:8">
      <c r="A818" s="229" t="s">
        <v>1587</v>
      </c>
      <c r="C818" s="229">
        <v>73.040000000000006</v>
      </c>
      <c r="D818" s="229">
        <v>12010513</v>
      </c>
      <c r="E818" s="229" t="s">
        <v>818</v>
      </c>
      <c r="F818" s="229">
        <v>2018</v>
      </c>
      <c r="G818">
        <v>4</v>
      </c>
      <c r="H818" t="s">
        <v>820</v>
      </c>
    </row>
    <row r="819" spans="1:8">
      <c r="A819" s="229" t="s">
        <v>1587</v>
      </c>
      <c r="C819" s="229">
        <v>32.46</v>
      </c>
      <c r="D819" s="229">
        <v>12010513</v>
      </c>
      <c r="E819" s="229" t="s">
        <v>818</v>
      </c>
      <c r="F819" s="229">
        <v>2018</v>
      </c>
      <c r="G819">
        <v>4</v>
      </c>
      <c r="H819" t="s">
        <v>820</v>
      </c>
    </row>
    <row r="820" spans="1:8">
      <c r="A820" s="229" t="s">
        <v>1587</v>
      </c>
      <c r="C820" s="229">
        <v>48.69</v>
      </c>
      <c r="D820" s="229">
        <v>12010513</v>
      </c>
      <c r="E820" s="229" t="s">
        <v>818</v>
      </c>
      <c r="F820" s="229">
        <v>2018</v>
      </c>
      <c r="G820">
        <v>4</v>
      </c>
      <c r="H820" t="s">
        <v>820</v>
      </c>
    </row>
    <row r="821" spans="1:8">
      <c r="A821" s="229" t="s">
        <v>1587</v>
      </c>
      <c r="C821" s="229">
        <v>35.17</v>
      </c>
      <c r="D821" s="229">
        <v>12010513</v>
      </c>
      <c r="E821" s="229" t="s">
        <v>818</v>
      </c>
      <c r="F821" s="229">
        <v>2018</v>
      </c>
      <c r="G821">
        <v>4</v>
      </c>
      <c r="H821" t="s">
        <v>820</v>
      </c>
    </row>
    <row r="822" spans="1:8">
      <c r="A822" s="229" t="s">
        <v>1587</v>
      </c>
      <c r="C822" s="229">
        <v>100.09</v>
      </c>
      <c r="D822" s="229">
        <v>12010513</v>
      </c>
      <c r="E822" s="229" t="s">
        <v>818</v>
      </c>
      <c r="F822" s="229">
        <v>2018</v>
      </c>
      <c r="G822">
        <v>4</v>
      </c>
      <c r="H822" t="s">
        <v>820</v>
      </c>
    </row>
    <row r="823" spans="1:8">
      <c r="A823" s="229" t="s">
        <v>1587</v>
      </c>
      <c r="C823" s="229">
        <v>205.58</v>
      </c>
      <c r="D823" s="229">
        <v>12010513</v>
      </c>
      <c r="E823" s="229" t="s">
        <v>818</v>
      </c>
      <c r="F823" s="229">
        <v>2018</v>
      </c>
      <c r="G823">
        <v>4</v>
      </c>
      <c r="H823" t="s">
        <v>820</v>
      </c>
    </row>
    <row r="824" spans="1:8">
      <c r="A824" s="229" t="s">
        <v>1587</v>
      </c>
      <c r="C824" s="229">
        <v>119.02</v>
      </c>
      <c r="D824" s="229">
        <v>12010513</v>
      </c>
      <c r="E824" s="229" t="s">
        <v>818</v>
      </c>
      <c r="F824" s="229">
        <v>2018</v>
      </c>
      <c r="G824">
        <v>4</v>
      </c>
      <c r="H824" t="s">
        <v>820</v>
      </c>
    </row>
    <row r="825" spans="1:8">
      <c r="A825" s="229" t="s">
        <v>1587</v>
      </c>
      <c r="C825" s="229">
        <v>173.12</v>
      </c>
      <c r="D825" s="229">
        <v>12010513</v>
      </c>
      <c r="E825" s="229" t="s">
        <v>818</v>
      </c>
      <c r="F825" s="229">
        <v>2018</v>
      </c>
      <c r="G825">
        <v>4</v>
      </c>
      <c r="H825" t="s">
        <v>820</v>
      </c>
    </row>
    <row r="826" spans="1:8">
      <c r="A826" s="229" t="s">
        <v>1587</v>
      </c>
      <c r="C826" s="229">
        <v>108.2</v>
      </c>
      <c r="D826" s="229">
        <v>12010513</v>
      </c>
      <c r="E826" s="229" t="s">
        <v>818</v>
      </c>
      <c r="F826" s="229">
        <v>2018</v>
      </c>
      <c r="G826">
        <v>4</v>
      </c>
      <c r="H826" t="s">
        <v>820</v>
      </c>
    </row>
    <row r="827" spans="1:8">
      <c r="A827" s="229" t="s">
        <v>1587</v>
      </c>
      <c r="C827" s="229">
        <v>238.04</v>
      </c>
      <c r="D827" s="229">
        <v>12010513</v>
      </c>
      <c r="E827" s="229" t="s">
        <v>818</v>
      </c>
      <c r="F827" s="229">
        <v>2018</v>
      </c>
      <c r="G827">
        <v>4</v>
      </c>
      <c r="H827" t="s">
        <v>820</v>
      </c>
    </row>
    <row r="828" spans="1:8">
      <c r="A828" s="229" t="s">
        <v>1587</v>
      </c>
      <c r="C828" s="229">
        <v>367.88</v>
      </c>
      <c r="D828" s="229">
        <v>12010513</v>
      </c>
      <c r="E828" s="229" t="s">
        <v>818</v>
      </c>
      <c r="F828" s="229">
        <v>2018</v>
      </c>
      <c r="G828">
        <v>4</v>
      </c>
      <c r="H828" t="s">
        <v>820</v>
      </c>
    </row>
    <row r="829" spans="1:8">
      <c r="A829" s="229" t="s">
        <v>1587</v>
      </c>
      <c r="C829" s="229">
        <v>400.34</v>
      </c>
      <c r="D829" s="229">
        <v>12010513</v>
      </c>
      <c r="E829" s="229" t="s">
        <v>818</v>
      </c>
      <c r="F829" s="229">
        <v>2018</v>
      </c>
      <c r="G829">
        <v>4</v>
      </c>
      <c r="H829" t="s">
        <v>820</v>
      </c>
    </row>
    <row r="830" spans="1:8">
      <c r="A830" s="229" t="s">
        <v>1587</v>
      </c>
      <c r="C830" s="229">
        <v>497.72</v>
      </c>
      <c r="D830" s="229">
        <v>12010513</v>
      </c>
      <c r="E830" s="229" t="s">
        <v>818</v>
      </c>
      <c r="F830" s="229">
        <v>2018</v>
      </c>
      <c r="G830">
        <v>4</v>
      </c>
      <c r="H830" t="s">
        <v>820</v>
      </c>
    </row>
    <row r="831" spans="1:8">
      <c r="A831" s="229" t="s">
        <v>1587</v>
      </c>
      <c r="C831" s="229">
        <v>259.68</v>
      </c>
      <c r="D831" s="229">
        <v>12010513</v>
      </c>
      <c r="E831" s="229" t="s">
        <v>818</v>
      </c>
      <c r="F831" s="229">
        <v>2018</v>
      </c>
      <c r="G831">
        <v>4</v>
      </c>
      <c r="H831" t="s">
        <v>820</v>
      </c>
    </row>
    <row r="832" spans="1:8">
      <c r="A832" s="229" t="s">
        <v>1587</v>
      </c>
      <c r="C832" s="229">
        <v>62.22</v>
      </c>
      <c r="D832" s="229">
        <v>12010513</v>
      </c>
      <c r="E832" s="229" t="s">
        <v>818</v>
      </c>
      <c r="F832" s="229">
        <v>2018</v>
      </c>
      <c r="G832">
        <v>4</v>
      </c>
      <c r="H832" t="s">
        <v>820</v>
      </c>
    </row>
    <row r="833" spans="1:8">
      <c r="A833" s="229" t="s">
        <v>1587</v>
      </c>
      <c r="C833" s="229">
        <v>105.5</v>
      </c>
      <c r="D833" s="229">
        <v>12010513</v>
      </c>
      <c r="E833" s="229" t="s">
        <v>818</v>
      </c>
      <c r="F833" s="229">
        <v>2018</v>
      </c>
      <c r="G833">
        <v>4</v>
      </c>
      <c r="H833" t="s">
        <v>820</v>
      </c>
    </row>
    <row r="834" spans="1:8">
      <c r="A834" s="229" t="s">
        <v>1587</v>
      </c>
      <c r="C834" s="229">
        <v>35.17</v>
      </c>
      <c r="D834" s="229">
        <v>12010513</v>
      </c>
      <c r="E834" s="229" t="s">
        <v>818</v>
      </c>
      <c r="F834" s="229">
        <v>2018</v>
      </c>
      <c r="G834">
        <v>4</v>
      </c>
      <c r="H834" t="s">
        <v>820</v>
      </c>
    </row>
    <row r="835" spans="1:8">
      <c r="A835" s="229" t="s">
        <v>1587</v>
      </c>
      <c r="C835" s="229">
        <v>43.28</v>
      </c>
      <c r="D835" s="229">
        <v>12010513</v>
      </c>
      <c r="E835" s="229" t="s">
        <v>818</v>
      </c>
      <c r="F835" s="229">
        <v>2018</v>
      </c>
      <c r="G835">
        <v>4</v>
      </c>
      <c r="H835" t="s">
        <v>820</v>
      </c>
    </row>
    <row r="836" spans="1:8">
      <c r="A836" s="229" t="s">
        <v>1587</v>
      </c>
      <c r="C836" s="229">
        <v>530.17999999999995</v>
      </c>
      <c r="D836" s="229">
        <v>12010513</v>
      </c>
      <c r="E836" s="229" t="s">
        <v>818</v>
      </c>
      <c r="F836" s="229">
        <v>2018</v>
      </c>
      <c r="G836">
        <v>4</v>
      </c>
      <c r="H836" t="s">
        <v>820</v>
      </c>
    </row>
    <row r="837" spans="1:8">
      <c r="A837" s="229" t="s">
        <v>1587</v>
      </c>
      <c r="C837" s="229">
        <v>454.44</v>
      </c>
      <c r="D837" s="229">
        <v>12010513</v>
      </c>
      <c r="E837" s="229" t="s">
        <v>818</v>
      </c>
      <c r="F837" s="229">
        <v>2018</v>
      </c>
      <c r="G837">
        <v>4</v>
      </c>
      <c r="H837" t="s">
        <v>820</v>
      </c>
    </row>
    <row r="838" spans="1:8">
      <c r="A838" s="229" t="s">
        <v>1587</v>
      </c>
      <c r="C838" s="229">
        <v>159.6</v>
      </c>
      <c r="D838" s="229">
        <v>12010513</v>
      </c>
      <c r="E838" s="229" t="s">
        <v>818</v>
      </c>
      <c r="F838" s="229">
        <v>2018</v>
      </c>
      <c r="G838">
        <v>4</v>
      </c>
      <c r="H838" t="s">
        <v>820</v>
      </c>
    </row>
    <row r="839" spans="1:8">
      <c r="A839" s="229" t="s">
        <v>1587</v>
      </c>
      <c r="C839" s="229">
        <v>530.17999999999995</v>
      </c>
      <c r="D839" s="229">
        <v>12010513</v>
      </c>
      <c r="E839" s="229" t="s">
        <v>818</v>
      </c>
      <c r="F839" s="229">
        <v>2018</v>
      </c>
      <c r="G839">
        <v>4</v>
      </c>
      <c r="H839" t="s">
        <v>820</v>
      </c>
    </row>
    <row r="840" spans="1:8">
      <c r="A840" s="229" t="s">
        <v>1587</v>
      </c>
      <c r="C840" s="229">
        <v>232.63</v>
      </c>
      <c r="D840" s="229">
        <v>12010513</v>
      </c>
      <c r="E840" s="229" t="s">
        <v>818</v>
      </c>
      <c r="F840" s="229">
        <v>2018</v>
      </c>
      <c r="G840">
        <v>4</v>
      </c>
      <c r="H840" t="s">
        <v>820</v>
      </c>
    </row>
    <row r="841" spans="1:8">
      <c r="A841" s="229" t="s">
        <v>1587</v>
      </c>
      <c r="C841" s="229">
        <v>140.66</v>
      </c>
      <c r="D841" s="229">
        <v>12010513</v>
      </c>
      <c r="E841" s="229" t="s">
        <v>818</v>
      </c>
      <c r="F841" s="229">
        <v>2018</v>
      </c>
      <c r="G841">
        <v>4</v>
      </c>
      <c r="H841" t="s">
        <v>820</v>
      </c>
    </row>
    <row r="842" spans="1:8">
      <c r="A842" s="229" t="s">
        <v>1589</v>
      </c>
      <c r="C842" s="229">
        <v>29.87</v>
      </c>
      <c r="D842" s="229">
        <v>12010513</v>
      </c>
      <c r="E842" s="229" t="s">
        <v>818</v>
      </c>
      <c r="F842" s="229">
        <v>2018</v>
      </c>
      <c r="G842">
        <v>4</v>
      </c>
      <c r="H842" t="s">
        <v>820</v>
      </c>
    </row>
    <row r="843" spans="1:8">
      <c r="A843" s="229" t="s">
        <v>1589</v>
      </c>
      <c r="C843" s="229">
        <v>28.38</v>
      </c>
      <c r="D843" s="229">
        <v>12010513</v>
      </c>
      <c r="E843" s="229" t="s">
        <v>818</v>
      </c>
      <c r="F843" s="229">
        <v>2018</v>
      </c>
      <c r="G843">
        <v>4</v>
      </c>
      <c r="H843" t="s">
        <v>820</v>
      </c>
    </row>
    <row r="844" spans="1:8">
      <c r="A844" s="229" t="s">
        <v>1589</v>
      </c>
      <c r="C844" s="229">
        <v>42.79</v>
      </c>
      <c r="D844" s="229">
        <v>12010513</v>
      </c>
      <c r="E844" s="229" t="s">
        <v>818</v>
      </c>
      <c r="F844" s="229">
        <v>2018</v>
      </c>
      <c r="G844">
        <v>4</v>
      </c>
      <c r="H844" t="s">
        <v>820</v>
      </c>
    </row>
    <row r="845" spans="1:8">
      <c r="A845" s="229" t="s">
        <v>1589</v>
      </c>
      <c r="C845" s="229">
        <v>8.33</v>
      </c>
      <c r="D845" s="229">
        <v>12010513</v>
      </c>
      <c r="E845" s="229" t="s">
        <v>818</v>
      </c>
      <c r="F845" s="229">
        <v>2018</v>
      </c>
      <c r="G845">
        <v>4</v>
      </c>
      <c r="H845" t="s">
        <v>820</v>
      </c>
    </row>
    <row r="846" spans="1:8">
      <c r="A846" s="229" t="s">
        <v>1591</v>
      </c>
      <c r="C846" s="229">
        <v>-24.38</v>
      </c>
      <c r="D846" s="229">
        <v>12010513</v>
      </c>
      <c r="E846" s="229" t="s">
        <v>818</v>
      </c>
      <c r="F846" s="229">
        <v>2018</v>
      </c>
      <c r="G846">
        <v>4</v>
      </c>
      <c r="H846" t="s">
        <v>820</v>
      </c>
    </row>
    <row r="847" spans="1:8">
      <c r="A847" s="229" t="s">
        <v>1591</v>
      </c>
      <c r="C847" s="229">
        <v>-5.48</v>
      </c>
      <c r="D847" s="229">
        <v>12010513</v>
      </c>
      <c r="E847" s="229" t="s">
        <v>818</v>
      </c>
      <c r="F847" s="229">
        <v>2018</v>
      </c>
      <c r="G847">
        <v>4</v>
      </c>
      <c r="H847" t="s">
        <v>820</v>
      </c>
    </row>
    <row r="848" spans="1:8">
      <c r="A848" s="229" t="s">
        <v>1591</v>
      </c>
      <c r="C848" s="229">
        <v>-5.51</v>
      </c>
      <c r="D848" s="229">
        <v>12010513</v>
      </c>
      <c r="E848" s="229" t="s">
        <v>818</v>
      </c>
      <c r="F848" s="229">
        <v>2018</v>
      </c>
      <c r="G848">
        <v>4</v>
      </c>
      <c r="H848" t="s">
        <v>820</v>
      </c>
    </row>
    <row r="849" spans="1:8">
      <c r="A849" s="229" t="s">
        <v>1591</v>
      </c>
      <c r="C849" s="229">
        <v>5.48</v>
      </c>
      <c r="D849" s="229">
        <v>12010513</v>
      </c>
      <c r="E849" s="229" t="s">
        <v>818</v>
      </c>
      <c r="F849" s="229">
        <v>2018</v>
      </c>
      <c r="G849">
        <v>4</v>
      </c>
      <c r="H849" t="s">
        <v>820</v>
      </c>
    </row>
    <row r="850" spans="1:8">
      <c r="A850" s="229" t="s">
        <v>1591</v>
      </c>
      <c r="C850" s="229">
        <v>5.51</v>
      </c>
      <c r="D850" s="229">
        <v>12010513</v>
      </c>
      <c r="E850" s="229" t="s">
        <v>818</v>
      </c>
      <c r="F850" s="229">
        <v>2018</v>
      </c>
      <c r="G850">
        <v>4</v>
      </c>
      <c r="H850" t="s">
        <v>820</v>
      </c>
    </row>
    <row r="851" spans="1:8">
      <c r="A851" s="229" t="s">
        <v>1591</v>
      </c>
      <c r="C851" s="229">
        <v>24.38</v>
      </c>
      <c r="D851" s="229">
        <v>12010513</v>
      </c>
      <c r="E851" s="229" t="s">
        <v>818</v>
      </c>
      <c r="F851" s="229">
        <v>2018</v>
      </c>
      <c r="G851">
        <v>4</v>
      </c>
      <c r="H851" t="s">
        <v>820</v>
      </c>
    </row>
    <row r="852" spans="1:8">
      <c r="A852" s="229" t="s">
        <v>1592</v>
      </c>
      <c r="C852" s="229">
        <v>-13.6</v>
      </c>
      <c r="D852" s="229">
        <v>12010513</v>
      </c>
      <c r="E852" s="229" t="s">
        <v>818</v>
      </c>
      <c r="F852" s="229">
        <v>2018</v>
      </c>
      <c r="G852">
        <v>4</v>
      </c>
      <c r="H852" t="s">
        <v>820</v>
      </c>
    </row>
    <row r="853" spans="1:8">
      <c r="A853" s="229" t="s">
        <v>1592</v>
      </c>
      <c r="C853" s="229">
        <v>13.6</v>
      </c>
      <c r="D853" s="229">
        <v>12010513</v>
      </c>
      <c r="E853" s="229" t="s">
        <v>818</v>
      </c>
      <c r="F853" s="229">
        <v>2018</v>
      </c>
      <c r="G853">
        <v>4</v>
      </c>
      <c r="H853" t="s">
        <v>820</v>
      </c>
    </row>
    <row r="854" spans="1:8">
      <c r="A854" s="229" t="s">
        <v>1593</v>
      </c>
      <c r="C854" s="229">
        <v>1.8</v>
      </c>
      <c r="D854" s="229">
        <v>12010513</v>
      </c>
      <c r="E854" s="229" t="s">
        <v>818</v>
      </c>
      <c r="F854" s="229">
        <v>2018</v>
      </c>
      <c r="G854">
        <v>4</v>
      </c>
      <c r="H854" t="s">
        <v>820</v>
      </c>
    </row>
    <row r="855" spans="1:8">
      <c r="A855" s="229" t="s">
        <v>1595</v>
      </c>
      <c r="C855" s="229">
        <v>192</v>
      </c>
      <c r="D855" s="229">
        <v>12010513</v>
      </c>
      <c r="E855" s="229" t="s">
        <v>818</v>
      </c>
      <c r="F855" s="229">
        <v>2018</v>
      </c>
      <c r="G855">
        <v>4</v>
      </c>
      <c r="H855" t="s">
        <v>820</v>
      </c>
    </row>
    <row r="856" spans="1:8">
      <c r="A856" s="229" t="s">
        <v>1596</v>
      </c>
      <c r="D856" s="229">
        <v>12010513</v>
      </c>
      <c r="E856" s="229" t="s">
        <v>818</v>
      </c>
      <c r="F856" s="229">
        <v>2018</v>
      </c>
      <c r="G856">
        <v>4</v>
      </c>
      <c r="H856" t="s">
        <v>820</v>
      </c>
    </row>
    <row r="857" spans="1:8">
      <c r="A857" s="229" t="s">
        <v>1596</v>
      </c>
      <c r="C857" s="229">
        <v>48.91</v>
      </c>
      <c r="D857" s="229">
        <v>12010513</v>
      </c>
      <c r="E857" s="229" t="s">
        <v>818</v>
      </c>
      <c r="F857" s="229">
        <v>2018</v>
      </c>
      <c r="G857">
        <v>4</v>
      </c>
      <c r="H857" t="s">
        <v>820</v>
      </c>
    </row>
    <row r="858" spans="1:8">
      <c r="A858" s="229" t="s">
        <v>1596</v>
      </c>
      <c r="D858" s="229">
        <v>12010513</v>
      </c>
      <c r="E858" s="229" t="s">
        <v>818</v>
      </c>
      <c r="F858" s="229">
        <v>2018</v>
      </c>
      <c r="G858">
        <v>4</v>
      </c>
      <c r="H858" t="s">
        <v>820</v>
      </c>
    </row>
    <row r="859" spans="1:8">
      <c r="A859" s="229" t="s">
        <v>1596</v>
      </c>
      <c r="C859" s="229">
        <v>48.91</v>
      </c>
      <c r="D859" s="229">
        <v>12010513</v>
      </c>
      <c r="E859" s="229" t="s">
        <v>818</v>
      </c>
      <c r="F859" s="229">
        <v>2018</v>
      </c>
      <c r="G859">
        <v>4</v>
      </c>
      <c r="H859" t="s">
        <v>820</v>
      </c>
    </row>
    <row r="860" spans="1:8">
      <c r="A860" s="229" t="s">
        <v>1596</v>
      </c>
      <c r="C860" s="229">
        <v>48.91</v>
      </c>
      <c r="D860" s="229">
        <v>12010513</v>
      </c>
      <c r="E860" s="229" t="s">
        <v>818</v>
      </c>
      <c r="F860" s="229">
        <v>2018</v>
      </c>
      <c r="G860">
        <v>4</v>
      </c>
      <c r="H860" t="s">
        <v>820</v>
      </c>
    </row>
    <row r="861" spans="1:8">
      <c r="A861" s="229" t="s">
        <v>1596</v>
      </c>
      <c r="D861" s="229">
        <v>12010513</v>
      </c>
      <c r="E861" s="229" t="s">
        <v>818</v>
      </c>
      <c r="F861" s="229">
        <v>2018</v>
      </c>
      <c r="G861">
        <v>4</v>
      </c>
      <c r="H861" t="s">
        <v>820</v>
      </c>
    </row>
    <row r="862" spans="1:8">
      <c r="A862" s="229" t="s">
        <v>1597</v>
      </c>
      <c r="C862" s="229">
        <v>2415</v>
      </c>
      <c r="D862" s="229">
        <v>12010513</v>
      </c>
      <c r="E862" s="229" t="s">
        <v>818</v>
      </c>
      <c r="F862" s="229">
        <v>2018</v>
      </c>
      <c r="G862">
        <v>4</v>
      </c>
      <c r="H862" t="s">
        <v>820</v>
      </c>
    </row>
    <row r="863" spans="1:8">
      <c r="A863" s="229" t="s">
        <v>1676</v>
      </c>
      <c r="C863" s="229">
        <v>357</v>
      </c>
      <c r="D863" s="229">
        <v>12010513</v>
      </c>
      <c r="E863" s="229" t="s">
        <v>818</v>
      </c>
      <c r="F863" s="229">
        <v>2018</v>
      </c>
      <c r="G863">
        <v>4</v>
      </c>
      <c r="H863" t="s">
        <v>820</v>
      </c>
    </row>
    <row r="864" spans="1:8">
      <c r="A864" s="229" t="s">
        <v>1598</v>
      </c>
      <c r="C864" s="229">
        <v>1759</v>
      </c>
      <c r="D864" s="229">
        <v>12010513</v>
      </c>
      <c r="E864" s="229" t="s">
        <v>818</v>
      </c>
      <c r="F864" s="229">
        <v>2018</v>
      </c>
      <c r="G864">
        <v>4</v>
      </c>
      <c r="H864" t="s">
        <v>820</v>
      </c>
    </row>
    <row r="865" spans="1:8">
      <c r="A865" s="229" t="s">
        <v>1598</v>
      </c>
      <c r="C865" s="229">
        <v>2458</v>
      </c>
      <c r="D865" s="229">
        <v>12010513</v>
      </c>
      <c r="E865" s="229" t="s">
        <v>818</v>
      </c>
      <c r="F865" s="229">
        <v>2018</v>
      </c>
      <c r="G865">
        <v>4</v>
      </c>
      <c r="H865" t="s">
        <v>820</v>
      </c>
    </row>
    <row r="866" spans="1:8">
      <c r="A866" s="229" t="s">
        <v>1600</v>
      </c>
      <c r="C866" s="229">
        <v>284.75</v>
      </c>
      <c r="D866" s="229">
        <v>12010513</v>
      </c>
      <c r="E866" s="229" t="s">
        <v>818</v>
      </c>
      <c r="F866" s="229">
        <v>2018</v>
      </c>
      <c r="G866">
        <v>4</v>
      </c>
      <c r="H866" t="s">
        <v>820</v>
      </c>
    </row>
    <row r="867" spans="1:8">
      <c r="A867" s="229" t="s">
        <v>1680</v>
      </c>
      <c r="C867" s="229">
        <v>360</v>
      </c>
      <c r="D867" s="229">
        <v>12010513</v>
      </c>
      <c r="E867" s="229" t="s">
        <v>818</v>
      </c>
      <c r="F867" s="229">
        <v>2018</v>
      </c>
      <c r="G867">
        <v>4</v>
      </c>
      <c r="H867" t="s">
        <v>820</v>
      </c>
    </row>
    <row r="868" spans="1:8">
      <c r="A868" s="229" t="s">
        <v>1681</v>
      </c>
      <c r="C868" s="229">
        <v>908</v>
      </c>
      <c r="D868" s="229">
        <v>12010513</v>
      </c>
      <c r="E868" s="229" t="s">
        <v>818</v>
      </c>
      <c r="F868" s="229">
        <v>2018</v>
      </c>
      <c r="G868">
        <v>4</v>
      </c>
      <c r="H868" t="s">
        <v>820</v>
      </c>
    </row>
    <row r="869" spans="1:8">
      <c r="A869" s="229" t="s">
        <v>1604</v>
      </c>
      <c r="C869" s="229">
        <v>1091.51</v>
      </c>
      <c r="D869" s="229">
        <v>12010513</v>
      </c>
      <c r="E869" s="229" t="s">
        <v>818</v>
      </c>
      <c r="F869" s="229">
        <v>2018</v>
      </c>
      <c r="G869">
        <v>4</v>
      </c>
      <c r="H869" t="s">
        <v>820</v>
      </c>
    </row>
    <row r="870" spans="1:8">
      <c r="A870" s="229" t="s">
        <v>1608</v>
      </c>
      <c r="C870" s="229">
        <v>201.2</v>
      </c>
      <c r="D870" s="229">
        <v>12010513</v>
      </c>
      <c r="E870" s="229" t="s">
        <v>818</v>
      </c>
      <c r="F870" s="229">
        <v>2018</v>
      </c>
      <c r="G870">
        <v>4</v>
      </c>
      <c r="H870" t="s">
        <v>820</v>
      </c>
    </row>
    <row r="871" spans="1:8">
      <c r="A871" s="229" t="s">
        <v>1609</v>
      </c>
      <c r="C871" s="229">
        <v>10.79</v>
      </c>
      <c r="D871" s="229">
        <v>12010513</v>
      </c>
      <c r="E871" s="229" t="s">
        <v>818</v>
      </c>
      <c r="F871" s="229">
        <v>2018</v>
      </c>
      <c r="G871">
        <v>4</v>
      </c>
      <c r="H871" t="s">
        <v>820</v>
      </c>
    </row>
    <row r="872" spans="1:8">
      <c r="A872" s="229" t="s">
        <v>1609</v>
      </c>
      <c r="C872" s="229">
        <v>29.99</v>
      </c>
      <c r="D872" s="229">
        <v>12010513</v>
      </c>
      <c r="E872" s="229" t="s">
        <v>818</v>
      </c>
      <c r="F872" s="229">
        <v>2018</v>
      </c>
      <c r="G872">
        <v>4</v>
      </c>
      <c r="H872" t="s">
        <v>820</v>
      </c>
    </row>
    <row r="873" spans="1:8">
      <c r="A873" s="229" t="s">
        <v>1609</v>
      </c>
      <c r="C873" s="229">
        <v>5.69</v>
      </c>
      <c r="D873" s="229">
        <v>12010513</v>
      </c>
      <c r="E873" s="229" t="s">
        <v>818</v>
      </c>
      <c r="F873" s="229">
        <v>2018</v>
      </c>
      <c r="G873">
        <v>4</v>
      </c>
      <c r="H873" t="s">
        <v>820</v>
      </c>
    </row>
    <row r="874" spans="1:8">
      <c r="A874" s="229" t="s">
        <v>1609</v>
      </c>
      <c r="C874" s="229">
        <v>48.75</v>
      </c>
      <c r="D874" s="229">
        <v>12010513</v>
      </c>
      <c r="E874" s="229" t="s">
        <v>818</v>
      </c>
      <c r="F874" s="229">
        <v>2018</v>
      </c>
      <c r="G874">
        <v>4</v>
      </c>
      <c r="H874" t="s">
        <v>820</v>
      </c>
    </row>
    <row r="875" spans="1:8">
      <c r="A875" s="229" t="s">
        <v>1611</v>
      </c>
      <c r="D875" s="229">
        <v>12010513</v>
      </c>
      <c r="E875" s="229" t="s">
        <v>818</v>
      </c>
      <c r="F875" s="229">
        <v>2018</v>
      </c>
      <c r="G875">
        <v>4</v>
      </c>
      <c r="H875" t="s">
        <v>820</v>
      </c>
    </row>
    <row r="876" spans="1:8">
      <c r="A876" s="229" t="s">
        <v>1611</v>
      </c>
      <c r="C876" s="229">
        <v>600</v>
      </c>
      <c r="D876" s="229">
        <v>12010513</v>
      </c>
      <c r="E876" s="229" t="s">
        <v>818</v>
      </c>
      <c r="F876" s="229">
        <v>2018</v>
      </c>
      <c r="G876">
        <v>4</v>
      </c>
      <c r="H876" t="s">
        <v>820</v>
      </c>
    </row>
    <row r="877" spans="1:8">
      <c r="A877" s="229" t="s">
        <v>1611</v>
      </c>
      <c r="D877" s="229">
        <v>12010513</v>
      </c>
      <c r="E877" s="229" t="s">
        <v>818</v>
      </c>
      <c r="F877" s="229">
        <v>2018</v>
      </c>
      <c r="G877">
        <v>4</v>
      </c>
      <c r="H877" t="s">
        <v>820</v>
      </c>
    </row>
    <row r="878" spans="1:8">
      <c r="A878" s="229" t="s">
        <v>1611</v>
      </c>
      <c r="C878" s="229">
        <v>600</v>
      </c>
      <c r="D878" s="229">
        <v>12010513</v>
      </c>
      <c r="E878" s="229" t="s">
        <v>818</v>
      </c>
      <c r="F878" s="229">
        <v>2018</v>
      </c>
      <c r="G878">
        <v>4</v>
      </c>
      <c r="H878" t="s">
        <v>820</v>
      </c>
    </row>
    <row r="879" spans="1:8">
      <c r="A879" s="229" t="s">
        <v>1611</v>
      </c>
      <c r="D879" s="229">
        <v>12010513</v>
      </c>
      <c r="E879" s="229" t="s">
        <v>818</v>
      </c>
      <c r="F879" s="229">
        <v>2018</v>
      </c>
      <c r="G879">
        <v>4</v>
      </c>
      <c r="H879" t="s">
        <v>820</v>
      </c>
    </row>
    <row r="880" spans="1:8">
      <c r="A880" s="229" t="s">
        <v>1611</v>
      </c>
      <c r="D880" s="229">
        <v>12010513</v>
      </c>
      <c r="E880" s="229" t="s">
        <v>818</v>
      </c>
      <c r="F880" s="229">
        <v>2018</v>
      </c>
      <c r="G880">
        <v>4</v>
      </c>
      <c r="H880" t="s">
        <v>820</v>
      </c>
    </row>
    <row r="881" spans="1:8">
      <c r="A881" s="229" t="s">
        <v>1611</v>
      </c>
      <c r="C881" s="229">
        <v>600</v>
      </c>
      <c r="D881" s="229">
        <v>12010513</v>
      </c>
      <c r="E881" s="229" t="s">
        <v>818</v>
      </c>
      <c r="F881" s="229">
        <v>2018</v>
      </c>
      <c r="G881">
        <v>4</v>
      </c>
      <c r="H881" t="s">
        <v>820</v>
      </c>
    </row>
    <row r="882" spans="1:8">
      <c r="A882" s="229" t="s">
        <v>1611</v>
      </c>
      <c r="C882" s="229">
        <v>600</v>
      </c>
      <c r="D882" s="229">
        <v>12010513</v>
      </c>
      <c r="E882" s="229" t="s">
        <v>818</v>
      </c>
      <c r="F882" s="229">
        <v>2018</v>
      </c>
      <c r="G882">
        <v>4</v>
      </c>
      <c r="H882" t="s">
        <v>820</v>
      </c>
    </row>
    <row r="883" spans="1:8">
      <c r="A883" s="229" t="s">
        <v>1612</v>
      </c>
      <c r="C883" s="229">
        <v>250</v>
      </c>
      <c r="D883" s="229">
        <v>12010513</v>
      </c>
      <c r="E883" s="229" t="s">
        <v>818</v>
      </c>
      <c r="F883" s="229">
        <v>2018</v>
      </c>
      <c r="G883">
        <v>4</v>
      </c>
      <c r="H883" t="s">
        <v>820</v>
      </c>
    </row>
    <row r="884" spans="1:8">
      <c r="A884" s="229" t="s">
        <v>1683</v>
      </c>
      <c r="C884" s="229">
        <v>155</v>
      </c>
      <c r="D884" s="229">
        <v>12010513</v>
      </c>
      <c r="E884" s="229" t="s">
        <v>818</v>
      </c>
      <c r="F884" s="229">
        <v>2018</v>
      </c>
      <c r="G884">
        <v>4</v>
      </c>
      <c r="H884" t="s">
        <v>820</v>
      </c>
    </row>
    <row r="885" spans="1:8">
      <c r="A885" s="229" t="s">
        <v>1616</v>
      </c>
      <c r="C885" s="229">
        <v>62.75</v>
      </c>
      <c r="D885" s="229">
        <v>12010513</v>
      </c>
      <c r="E885" s="229" t="s">
        <v>818</v>
      </c>
      <c r="F885" s="229">
        <v>2018</v>
      </c>
      <c r="G885">
        <v>4</v>
      </c>
      <c r="H885" t="s">
        <v>820</v>
      </c>
    </row>
    <row r="886" spans="1:8">
      <c r="A886" s="229" t="s">
        <v>1616</v>
      </c>
      <c r="C886" s="229">
        <v>175</v>
      </c>
      <c r="D886" s="229">
        <v>12010513</v>
      </c>
      <c r="E886" s="229" t="s">
        <v>818</v>
      </c>
      <c r="F886" s="229">
        <v>2018</v>
      </c>
      <c r="G886">
        <v>4</v>
      </c>
      <c r="H886" t="s">
        <v>820</v>
      </c>
    </row>
    <row r="887" spans="1:8">
      <c r="A887" s="229" t="s">
        <v>1616</v>
      </c>
      <c r="C887" s="229">
        <v>926.1</v>
      </c>
      <c r="D887" s="229">
        <v>12010513</v>
      </c>
      <c r="E887" s="229" t="s">
        <v>818</v>
      </c>
      <c r="F887" s="229">
        <v>2018</v>
      </c>
      <c r="G887">
        <v>4</v>
      </c>
      <c r="H887" t="s">
        <v>820</v>
      </c>
    </row>
    <row r="888" spans="1:8">
      <c r="A888" s="229" t="s">
        <v>1616</v>
      </c>
      <c r="C888" s="229">
        <v>926.1</v>
      </c>
      <c r="D888" s="229">
        <v>12010513</v>
      </c>
      <c r="E888" s="229" t="s">
        <v>818</v>
      </c>
      <c r="F888" s="229">
        <v>2018</v>
      </c>
      <c r="G888">
        <v>4</v>
      </c>
      <c r="H888" t="s">
        <v>820</v>
      </c>
    </row>
    <row r="889" spans="1:8">
      <c r="A889" s="229" t="s">
        <v>1618</v>
      </c>
      <c r="C889" s="229">
        <v>-130.99</v>
      </c>
      <c r="D889" s="229">
        <v>12010513</v>
      </c>
      <c r="E889" s="229" t="s">
        <v>818</v>
      </c>
      <c r="F889" s="229">
        <v>2018</v>
      </c>
      <c r="G889">
        <v>4</v>
      </c>
      <c r="H889" t="s">
        <v>820</v>
      </c>
    </row>
    <row r="890" spans="1:8">
      <c r="A890" s="229" t="s">
        <v>1618</v>
      </c>
      <c r="C890" s="229">
        <v>261.97000000000003</v>
      </c>
      <c r="D890" s="229">
        <v>12010513</v>
      </c>
      <c r="E890" s="229" t="s">
        <v>818</v>
      </c>
      <c r="F890" s="229">
        <v>2018</v>
      </c>
      <c r="G890">
        <v>4</v>
      </c>
      <c r="H890" t="s">
        <v>820</v>
      </c>
    </row>
    <row r="891" spans="1:8">
      <c r="A891" s="229" t="s">
        <v>1618</v>
      </c>
      <c r="C891" s="229">
        <v>-216.17</v>
      </c>
      <c r="D891" s="229">
        <v>12010513</v>
      </c>
      <c r="E891" s="229" t="s">
        <v>818</v>
      </c>
      <c r="F891" s="229">
        <v>2018</v>
      </c>
      <c r="G891">
        <v>4</v>
      </c>
      <c r="H891" t="s">
        <v>820</v>
      </c>
    </row>
    <row r="892" spans="1:8">
      <c r="A892" s="229" t="s">
        <v>1618</v>
      </c>
      <c r="C892" s="229">
        <v>432.34</v>
      </c>
      <c r="D892" s="229">
        <v>12010513</v>
      </c>
      <c r="E892" s="229" t="s">
        <v>818</v>
      </c>
      <c r="F892" s="229">
        <v>2018</v>
      </c>
      <c r="G892">
        <v>4</v>
      </c>
      <c r="H892" t="s">
        <v>820</v>
      </c>
    </row>
    <row r="893" spans="1:8">
      <c r="A893" s="229" t="s">
        <v>1618</v>
      </c>
      <c r="C893" s="229">
        <v>-431.87</v>
      </c>
      <c r="D893" s="229">
        <v>12010513</v>
      </c>
      <c r="E893" s="229" t="s">
        <v>818</v>
      </c>
      <c r="F893" s="229">
        <v>2018</v>
      </c>
      <c r="G893">
        <v>4</v>
      </c>
      <c r="H893" t="s">
        <v>820</v>
      </c>
    </row>
    <row r="894" spans="1:8">
      <c r="A894" s="229" t="s">
        <v>1618</v>
      </c>
      <c r="C894" s="229">
        <v>863.75</v>
      </c>
      <c r="D894" s="229">
        <v>12010513</v>
      </c>
      <c r="E894" s="229" t="s">
        <v>818</v>
      </c>
      <c r="F894" s="229">
        <v>2018</v>
      </c>
      <c r="G894">
        <v>4</v>
      </c>
      <c r="H894" t="s">
        <v>820</v>
      </c>
    </row>
    <row r="895" spans="1:8">
      <c r="A895" s="229" t="s">
        <v>1618</v>
      </c>
      <c r="C895" s="229">
        <v>-45.34</v>
      </c>
      <c r="D895" s="229">
        <v>12010513</v>
      </c>
      <c r="E895" s="229" t="s">
        <v>818</v>
      </c>
      <c r="F895" s="229">
        <v>2018</v>
      </c>
      <c r="G895">
        <v>4</v>
      </c>
      <c r="H895" t="s">
        <v>820</v>
      </c>
    </row>
    <row r="896" spans="1:8">
      <c r="A896" s="229" t="s">
        <v>1618</v>
      </c>
      <c r="C896" s="229">
        <v>90.67</v>
      </c>
      <c r="D896" s="229">
        <v>12010513</v>
      </c>
      <c r="E896" s="229" t="s">
        <v>818</v>
      </c>
      <c r="F896" s="229">
        <v>2018</v>
      </c>
      <c r="G896">
        <v>4</v>
      </c>
      <c r="H896" t="s">
        <v>820</v>
      </c>
    </row>
    <row r="897" spans="1:8">
      <c r="A897" s="229" t="s">
        <v>1619</v>
      </c>
      <c r="C897" s="229">
        <v>21.24</v>
      </c>
      <c r="D897" s="229">
        <v>12010513</v>
      </c>
      <c r="E897" s="229" t="s">
        <v>818</v>
      </c>
      <c r="F897" s="229">
        <v>2018</v>
      </c>
      <c r="G897">
        <v>4</v>
      </c>
      <c r="H897" t="s">
        <v>820</v>
      </c>
    </row>
    <row r="898" spans="1:8">
      <c r="A898" s="229" t="s">
        <v>1619</v>
      </c>
      <c r="C898" s="229">
        <v>35.06</v>
      </c>
      <c r="D898" s="229">
        <v>12010513</v>
      </c>
      <c r="E898" s="229" t="s">
        <v>818</v>
      </c>
      <c r="F898" s="229">
        <v>2018</v>
      </c>
      <c r="G898">
        <v>4</v>
      </c>
      <c r="H898" t="s">
        <v>820</v>
      </c>
    </row>
    <row r="899" spans="1:8">
      <c r="A899" s="229" t="s">
        <v>1619</v>
      </c>
      <c r="C899" s="229">
        <v>70.03</v>
      </c>
      <c r="D899" s="229">
        <v>12010513</v>
      </c>
      <c r="E899" s="229" t="s">
        <v>818</v>
      </c>
      <c r="F899" s="229">
        <v>2018</v>
      </c>
      <c r="G899">
        <v>4</v>
      </c>
      <c r="H899" t="s">
        <v>820</v>
      </c>
    </row>
    <row r="900" spans="1:8">
      <c r="A900" s="229" t="s">
        <v>1619</v>
      </c>
      <c r="C900" s="229">
        <v>7.35</v>
      </c>
      <c r="D900" s="229">
        <v>12010513</v>
      </c>
      <c r="E900" s="229" t="s">
        <v>818</v>
      </c>
      <c r="F900" s="229">
        <v>2018</v>
      </c>
      <c r="G900">
        <v>4</v>
      </c>
      <c r="H900" t="s">
        <v>820</v>
      </c>
    </row>
    <row r="901" spans="1:8">
      <c r="A901" s="229" t="s">
        <v>1620</v>
      </c>
      <c r="C901" s="229">
        <v>130.99</v>
      </c>
      <c r="D901" s="229">
        <v>12010513</v>
      </c>
      <c r="E901" s="229" t="s">
        <v>818</v>
      </c>
      <c r="F901" s="229">
        <v>2018</v>
      </c>
      <c r="G901">
        <v>4</v>
      </c>
      <c r="H901" t="s">
        <v>820</v>
      </c>
    </row>
    <row r="902" spans="1:8">
      <c r="A902" s="229" t="s">
        <v>1620</v>
      </c>
      <c r="C902" s="229">
        <v>216.17</v>
      </c>
      <c r="D902" s="229">
        <v>12010513</v>
      </c>
      <c r="E902" s="229" t="s">
        <v>818</v>
      </c>
      <c r="F902" s="229">
        <v>2018</v>
      </c>
      <c r="G902">
        <v>4</v>
      </c>
      <c r="H902" t="s">
        <v>820</v>
      </c>
    </row>
    <row r="903" spans="1:8">
      <c r="A903" s="229" t="s">
        <v>1620</v>
      </c>
      <c r="C903" s="229">
        <v>431.87</v>
      </c>
      <c r="D903" s="229">
        <v>12010513</v>
      </c>
      <c r="E903" s="229" t="s">
        <v>818</v>
      </c>
      <c r="F903" s="229">
        <v>2018</v>
      </c>
      <c r="G903">
        <v>4</v>
      </c>
      <c r="H903" t="s">
        <v>820</v>
      </c>
    </row>
    <row r="904" spans="1:8">
      <c r="A904" s="229" t="s">
        <v>1620</v>
      </c>
      <c r="C904" s="229">
        <v>45.34</v>
      </c>
      <c r="D904" s="229">
        <v>12010513</v>
      </c>
      <c r="E904" s="229" t="s">
        <v>818</v>
      </c>
      <c r="F904" s="229">
        <v>2018</v>
      </c>
      <c r="G904">
        <v>4</v>
      </c>
      <c r="H904" t="s">
        <v>820</v>
      </c>
    </row>
    <row r="905" spans="1:8">
      <c r="A905" s="229" t="s">
        <v>1621</v>
      </c>
      <c r="C905" s="229">
        <v>-57834.18</v>
      </c>
      <c r="D905" s="229">
        <v>12010512</v>
      </c>
      <c r="E905" s="229" t="s">
        <v>818</v>
      </c>
      <c r="F905" s="229">
        <v>2018</v>
      </c>
      <c r="G905">
        <v>4</v>
      </c>
      <c r="H905" t="s">
        <v>820</v>
      </c>
    </row>
    <row r="906" spans="1:8">
      <c r="A906" s="229" t="s">
        <v>1621</v>
      </c>
      <c r="C906" s="229">
        <v>-5988</v>
      </c>
      <c r="D906" s="229">
        <v>12012397</v>
      </c>
      <c r="E906" s="229" t="s">
        <v>1690</v>
      </c>
      <c r="F906" s="229">
        <v>2018</v>
      </c>
      <c r="G906">
        <v>4</v>
      </c>
      <c r="H906" t="s">
        <v>820</v>
      </c>
    </row>
    <row r="907" spans="1:8">
      <c r="A907" s="229" t="s">
        <v>1622</v>
      </c>
      <c r="C907" s="229">
        <v>57834.18</v>
      </c>
      <c r="D907" s="229">
        <v>12010513</v>
      </c>
      <c r="E907" s="229" t="s">
        <v>818</v>
      </c>
      <c r="F907" s="229">
        <v>2018</v>
      </c>
      <c r="G907">
        <v>4</v>
      </c>
      <c r="H907" t="s">
        <v>820</v>
      </c>
    </row>
    <row r="908" spans="1:8">
      <c r="A908" s="229" t="s">
        <v>1622</v>
      </c>
      <c r="C908" s="229">
        <v>5988</v>
      </c>
      <c r="D908" s="229">
        <v>12010513</v>
      </c>
      <c r="E908" s="229" t="s">
        <v>818</v>
      </c>
      <c r="F908" s="229">
        <v>2018</v>
      </c>
      <c r="G908">
        <v>4</v>
      </c>
      <c r="H908" t="s">
        <v>820</v>
      </c>
    </row>
    <row r="909" spans="1:8">
      <c r="A909" s="229" t="s">
        <v>1584</v>
      </c>
      <c r="B909" s="229">
        <v>-145841</v>
      </c>
      <c r="D909" s="229">
        <v>12010513</v>
      </c>
      <c r="E909" s="229" t="s">
        <v>818</v>
      </c>
      <c r="F909" s="229">
        <v>2019</v>
      </c>
      <c r="G909">
        <v>1</v>
      </c>
      <c r="H909" t="s">
        <v>820</v>
      </c>
    </row>
    <row r="910" spans="1:8">
      <c r="A910" s="229" t="s">
        <v>1584</v>
      </c>
      <c r="C910" s="229">
        <v>-72920</v>
      </c>
      <c r="D910" s="229">
        <v>12010513</v>
      </c>
      <c r="E910" s="229" t="s">
        <v>818</v>
      </c>
      <c r="F910" s="229">
        <v>2019</v>
      </c>
      <c r="G910">
        <v>1</v>
      </c>
      <c r="H910" t="s">
        <v>820</v>
      </c>
    </row>
    <row r="911" spans="1:8">
      <c r="A911" s="229" t="s">
        <v>1586</v>
      </c>
      <c r="B911" s="229">
        <v>80188</v>
      </c>
      <c r="D911" s="229">
        <v>12010513</v>
      </c>
      <c r="E911" s="229" t="s">
        <v>818</v>
      </c>
      <c r="F911" s="229">
        <v>2019</v>
      </c>
      <c r="G911">
        <v>1</v>
      </c>
      <c r="H911" t="s">
        <v>820</v>
      </c>
    </row>
    <row r="912" spans="1:8">
      <c r="A912" s="229" t="s">
        <v>1587</v>
      </c>
      <c r="C912" s="229">
        <v>432.8</v>
      </c>
      <c r="D912" s="229">
        <v>12010513</v>
      </c>
      <c r="E912" s="229" t="s">
        <v>818</v>
      </c>
      <c r="F912" s="229">
        <v>2019</v>
      </c>
      <c r="G912">
        <v>1</v>
      </c>
      <c r="H912" t="s">
        <v>820</v>
      </c>
    </row>
    <row r="913" spans="1:8">
      <c r="A913" s="229" t="s">
        <v>1587</v>
      </c>
      <c r="C913" s="229">
        <v>216.4</v>
      </c>
      <c r="D913" s="229">
        <v>12010513</v>
      </c>
      <c r="E913" s="229" t="s">
        <v>818</v>
      </c>
      <c r="F913" s="229">
        <v>2019</v>
      </c>
      <c r="G913">
        <v>1</v>
      </c>
      <c r="H913" t="s">
        <v>820</v>
      </c>
    </row>
    <row r="914" spans="1:8">
      <c r="A914" s="229" t="s">
        <v>1587</v>
      </c>
      <c r="C914" s="229">
        <v>173.12</v>
      </c>
      <c r="D914" s="229">
        <v>12010513</v>
      </c>
      <c r="E914" s="229" t="s">
        <v>818</v>
      </c>
      <c r="F914" s="229">
        <v>2019</v>
      </c>
      <c r="G914">
        <v>1</v>
      </c>
      <c r="H914" t="s">
        <v>820</v>
      </c>
    </row>
    <row r="915" spans="1:8">
      <c r="A915" s="229" t="s">
        <v>1587</v>
      </c>
      <c r="C915" s="229">
        <v>56.81</v>
      </c>
      <c r="D915" s="229">
        <v>12010513</v>
      </c>
      <c r="E915" s="229" t="s">
        <v>818</v>
      </c>
      <c r="F915" s="229">
        <v>2019</v>
      </c>
      <c r="G915">
        <v>1</v>
      </c>
      <c r="H915" t="s">
        <v>820</v>
      </c>
    </row>
    <row r="916" spans="1:8">
      <c r="A916" s="229" t="s">
        <v>1587</v>
      </c>
      <c r="C916" s="229">
        <v>54.1</v>
      </c>
      <c r="D916" s="229">
        <v>12010513</v>
      </c>
      <c r="E916" s="229" t="s">
        <v>818</v>
      </c>
      <c r="F916" s="229">
        <v>2019</v>
      </c>
      <c r="G916">
        <v>1</v>
      </c>
      <c r="H916" t="s">
        <v>820</v>
      </c>
    </row>
    <row r="917" spans="1:8">
      <c r="A917" s="229" t="s">
        <v>1587</v>
      </c>
      <c r="C917" s="229">
        <v>100.09</v>
      </c>
      <c r="D917" s="229">
        <v>12010513</v>
      </c>
      <c r="E917" s="229" t="s">
        <v>818</v>
      </c>
      <c r="F917" s="229">
        <v>2019</v>
      </c>
      <c r="G917">
        <v>1</v>
      </c>
      <c r="H917" t="s">
        <v>820</v>
      </c>
    </row>
    <row r="918" spans="1:8">
      <c r="A918" s="229" t="s">
        <v>1587</v>
      </c>
      <c r="C918" s="229">
        <v>189.35</v>
      </c>
      <c r="D918" s="229">
        <v>12010513</v>
      </c>
      <c r="E918" s="229" t="s">
        <v>818</v>
      </c>
      <c r="F918" s="229">
        <v>2019</v>
      </c>
      <c r="G918">
        <v>1</v>
      </c>
      <c r="H918" t="s">
        <v>820</v>
      </c>
    </row>
    <row r="919" spans="1:8">
      <c r="A919" s="229" t="s">
        <v>1587</v>
      </c>
      <c r="C919" s="229">
        <v>183.94</v>
      </c>
      <c r="D919" s="229">
        <v>12010513</v>
      </c>
      <c r="E919" s="229" t="s">
        <v>818</v>
      </c>
      <c r="F919" s="229">
        <v>2019</v>
      </c>
      <c r="G919">
        <v>1</v>
      </c>
      <c r="H919" t="s">
        <v>820</v>
      </c>
    </row>
    <row r="920" spans="1:8">
      <c r="A920" s="229" t="s">
        <v>1587</v>
      </c>
      <c r="C920" s="229">
        <v>129.84</v>
      </c>
      <c r="D920" s="229">
        <v>12010513</v>
      </c>
      <c r="E920" s="229" t="s">
        <v>818</v>
      </c>
      <c r="F920" s="229">
        <v>2019</v>
      </c>
      <c r="G920">
        <v>1</v>
      </c>
      <c r="H920" t="s">
        <v>820</v>
      </c>
    </row>
    <row r="921" spans="1:8">
      <c r="A921" s="229" t="s">
        <v>1587</v>
      </c>
      <c r="C921" s="229">
        <v>0</v>
      </c>
      <c r="D921" s="229">
        <v>12010513</v>
      </c>
      <c r="E921" s="229" t="s">
        <v>818</v>
      </c>
      <c r="F921" s="229">
        <v>2019</v>
      </c>
      <c r="G921">
        <v>1</v>
      </c>
      <c r="H921" t="s">
        <v>820</v>
      </c>
    </row>
    <row r="922" spans="1:8">
      <c r="A922" s="229" t="s">
        <v>1587</v>
      </c>
      <c r="C922" s="229">
        <v>443.62</v>
      </c>
      <c r="D922" s="229">
        <v>12010513</v>
      </c>
      <c r="E922" s="229" t="s">
        <v>818</v>
      </c>
      <c r="F922" s="229">
        <v>2019</v>
      </c>
      <c r="G922">
        <v>1</v>
      </c>
      <c r="H922" t="s">
        <v>820</v>
      </c>
    </row>
    <row r="923" spans="1:8">
      <c r="A923" s="229" t="s">
        <v>1587</v>
      </c>
      <c r="C923" s="229">
        <v>476.08</v>
      </c>
      <c r="D923" s="229">
        <v>12010513</v>
      </c>
      <c r="E923" s="229" t="s">
        <v>818</v>
      </c>
      <c r="F923" s="229">
        <v>2019</v>
      </c>
      <c r="G923">
        <v>1</v>
      </c>
      <c r="H923" t="s">
        <v>820</v>
      </c>
    </row>
    <row r="924" spans="1:8">
      <c r="A924" s="229" t="s">
        <v>1587</v>
      </c>
      <c r="C924" s="229">
        <v>505.84</v>
      </c>
      <c r="D924" s="229">
        <v>12010513</v>
      </c>
      <c r="E924" s="229" t="s">
        <v>818</v>
      </c>
      <c r="F924" s="229">
        <v>2019</v>
      </c>
      <c r="G924">
        <v>1</v>
      </c>
      <c r="H924" t="s">
        <v>820</v>
      </c>
    </row>
    <row r="925" spans="1:8">
      <c r="A925" s="229" t="s">
        <v>1587</v>
      </c>
      <c r="C925" s="229">
        <v>432.8</v>
      </c>
      <c r="D925" s="229">
        <v>12010513</v>
      </c>
      <c r="E925" s="229" t="s">
        <v>818</v>
      </c>
      <c r="F925" s="229">
        <v>2019</v>
      </c>
      <c r="G925">
        <v>1</v>
      </c>
      <c r="H925" t="s">
        <v>820</v>
      </c>
    </row>
    <row r="926" spans="1:8">
      <c r="A926" s="229" t="s">
        <v>1587</v>
      </c>
      <c r="C926" s="229">
        <v>21.64</v>
      </c>
      <c r="D926" s="229">
        <v>12010513</v>
      </c>
      <c r="E926" s="229" t="s">
        <v>818</v>
      </c>
      <c r="F926" s="229">
        <v>2019</v>
      </c>
      <c r="G926">
        <v>1</v>
      </c>
      <c r="H926" t="s">
        <v>820</v>
      </c>
    </row>
    <row r="927" spans="1:8">
      <c r="A927" s="229" t="s">
        <v>1587</v>
      </c>
      <c r="C927" s="229">
        <v>27.05</v>
      </c>
      <c r="D927" s="229">
        <v>12010513</v>
      </c>
      <c r="E927" s="229" t="s">
        <v>818</v>
      </c>
      <c r="F927" s="229">
        <v>2019</v>
      </c>
      <c r="G927">
        <v>1</v>
      </c>
      <c r="H927" t="s">
        <v>820</v>
      </c>
    </row>
    <row r="928" spans="1:8">
      <c r="A928" s="229" t="s">
        <v>1587</v>
      </c>
      <c r="C928" s="229">
        <v>59.51</v>
      </c>
      <c r="D928" s="229">
        <v>12010513</v>
      </c>
      <c r="E928" s="229" t="s">
        <v>818</v>
      </c>
      <c r="F928" s="229">
        <v>2019</v>
      </c>
      <c r="G928">
        <v>1</v>
      </c>
      <c r="H928" t="s">
        <v>820</v>
      </c>
    </row>
    <row r="929" spans="1:8">
      <c r="A929" s="229" t="s">
        <v>1587</v>
      </c>
      <c r="C929" s="229">
        <v>100.09</v>
      </c>
      <c r="D929" s="229">
        <v>12010513</v>
      </c>
      <c r="E929" s="229" t="s">
        <v>818</v>
      </c>
      <c r="F929" s="229">
        <v>2019</v>
      </c>
      <c r="G929">
        <v>1</v>
      </c>
      <c r="H929" t="s">
        <v>820</v>
      </c>
    </row>
    <row r="930" spans="1:8">
      <c r="A930" s="229" t="s">
        <v>1587</v>
      </c>
      <c r="C930" s="229">
        <v>24.35</v>
      </c>
      <c r="D930" s="229">
        <v>12010513</v>
      </c>
      <c r="E930" s="229" t="s">
        <v>818</v>
      </c>
      <c r="F930" s="229">
        <v>2019</v>
      </c>
      <c r="G930">
        <v>1</v>
      </c>
      <c r="H930" t="s">
        <v>820</v>
      </c>
    </row>
    <row r="931" spans="1:8">
      <c r="A931" s="229" t="s">
        <v>1587</v>
      </c>
      <c r="C931" s="229">
        <v>48.69</v>
      </c>
      <c r="D931" s="229">
        <v>12010513</v>
      </c>
      <c r="E931" s="229" t="s">
        <v>818</v>
      </c>
      <c r="F931" s="229">
        <v>2019</v>
      </c>
      <c r="G931">
        <v>1</v>
      </c>
      <c r="H931" t="s">
        <v>820</v>
      </c>
    </row>
    <row r="932" spans="1:8">
      <c r="A932" s="229" t="s">
        <v>1587</v>
      </c>
      <c r="C932" s="229">
        <v>21.64</v>
      </c>
      <c r="D932" s="229">
        <v>12010513</v>
      </c>
      <c r="E932" s="229" t="s">
        <v>818</v>
      </c>
      <c r="F932" s="229">
        <v>2019</v>
      </c>
      <c r="G932">
        <v>1</v>
      </c>
      <c r="H932" t="s">
        <v>820</v>
      </c>
    </row>
    <row r="933" spans="1:8">
      <c r="A933" s="229" t="s">
        <v>1587</v>
      </c>
      <c r="C933" s="229">
        <v>5.41</v>
      </c>
      <c r="D933" s="229">
        <v>12010513</v>
      </c>
      <c r="E933" s="229" t="s">
        <v>818</v>
      </c>
      <c r="F933" s="229">
        <v>2019</v>
      </c>
      <c r="G933">
        <v>1</v>
      </c>
      <c r="H933" t="s">
        <v>820</v>
      </c>
    </row>
    <row r="934" spans="1:8">
      <c r="A934" s="229" t="s">
        <v>1587</v>
      </c>
      <c r="C934" s="229">
        <v>32.46</v>
      </c>
      <c r="D934" s="229">
        <v>12010513</v>
      </c>
      <c r="E934" s="229" t="s">
        <v>818</v>
      </c>
      <c r="F934" s="229">
        <v>2019</v>
      </c>
      <c r="G934">
        <v>1</v>
      </c>
      <c r="H934" t="s">
        <v>820</v>
      </c>
    </row>
    <row r="935" spans="1:8">
      <c r="A935" s="229" t="s">
        <v>1587</v>
      </c>
      <c r="C935" s="229">
        <v>116.32</v>
      </c>
      <c r="D935" s="229">
        <v>12010513</v>
      </c>
      <c r="E935" s="229" t="s">
        <v>818</v>
      </c>
      <c r="F935" s="229">
        <v>2019</v>
      </c>
      <c r="G935">
        <v>1</v>
      </c>
      <c r="H935" t="s">
        <v>820</v>
      </c>
    </row>
    <row r="936" spans="1:8">
      <c r="A936" s="229" t="s">
        <v>1587</v>
      </c>
      <c r="C936" s="229">
        <v>94.68</v>
      </c>
      <c r="D936" s="229">
        <v>12010513</v>
      </c>
      <c r="E936" s="229" t="s">
        <v>818</v>
      </c>
      <c r="F936" s="229">
        <v>2019</v>
      </c>
      <c r="G936">
        <v>1</v>
      </c>
      <c r="H936" t="s">
        <v>820</v>
      </c>
    </row>
    <row r="937" spans="1:8">
      <c r="A937" s="229" t="s">
        <v>1587</v>
      </c>
      <c r="C937" s="229">
        <v>238.04</v>
      </c>
      <c r="D937" s="229">
        <v>12010513</v>
      </c>
      <c r="E937" s="229" t="s">
        <v>818</v>
      </c>
      <c r="F937" s="229">
        <v>2019</v>
      </c>
      <c r="G937">
        <v>1</v>
      </c>
      <c r="H937" t="s">
        <v>820</v>
      </c>
    </row>
    <row r="938" spans="1:8">
      <c r="A938" s="229" t="s">
        <v>1587</v>
      </c>
      <c r="C938" s="229">
        <v>129.84</v>
      </c>
      <c r="D938" s="229">
        <v>12010513</v>
      </c>
      <c r="E938" s="229" t="s">
        <v>818</v>
      </c>
      <c r="F938" s="229">
        <v>2019</v>
      </c>
      <c r="G938">
        <v>1</v>
      </c>
      <c r="H938" t="s">
        <v>820</v>
      </c>
    </row>
    <row r="939" spans="1:8">
      <c r="A939" s="229" t="s">
        <v>1587</v>
      </c>
      <c r="C939" s="229">
        <v>64.92</v>
      </c>
      <c r="D939" s="229">
        <v>12010513</v>
      </c>
      <c r="E939" s="229" t="s">
        <v>818</v>
      </c>
      <c r="F939" s="229">
        <v>2019</v>
      </c>
      <c r="G939">
        <v>1</v>
      </c>
      <c r="H939" t="s">
        <v>820</v>
      </c>
    </row>
    <row r="940" spans="1:8">
      <c r="A940" s="229" t="s">
        <v>1587</v>
      </c>
      <c r="C940" s="229">
        <v>140.66</v>
      </c>
      <c r="D940" s="229">
        <v>12010513</v>
      </c>
      <c r="E940" s="229" t="s">
        <v>818</v>
      </c>
      <c r="F940" s="229">
        <v>2019</v>
      </c>
      <c r="G940">
        <v>1</v>
      </c>
      <c r="H940" t="s">
        <v>820</v>
      </c>
    </row>
    <row r="941" spans="1:8">
      <c r="A941" s="229" t="s">
        <v>1587</v>
      </c>
      <c r="C941" s="229">
        <v>227.22</v>
      </c>
      <c r="D941" s="229">
        <v>12010513</v>
      </c>
      <c r="E941" s="229" t="s">
        <v>818</v>
      </c>
      <c r="F941" s="229">
        <v>2019</v>
      </c>
      <c r="G941">
        <v>1</v>
      </c>
      <c r="H941" t="s">
        <v>820</v>
      </c>
    </row>
    <row r="942" spans="1:8">
      <c r="A942" s="229" t="s">
        <v>1587</v>
      </c>
      <c r="C942" s="229">
        <v>183.94</v>
      </c>
      <c r="D942" s="229">
        <v>12010513</v>
      </c>
      <c r="E942" s="229" t="s">
        <v>818</v>
      </c>
      <c r="F942" s="229">
        <v>2019</v>
      </c>
      <c r="G942">
        <v>1</v>
      </c>
      <c r="H942" t="s">
        <v>820</v>
      </c>
    </row>
    <row r="943" spans="1:8">
      <c r="A943" s="229" t="s">
        <v>1587</v>
      </c>
      <c r="C943" s="229">
        <v>78.45</v>
      </c>
      <c r="D943" s="229">
        <v>12010513</v>
      </c>
      <c r="E943" s="229" t="s">
        <v>818</v>
      </c>
      <c r="F943" s="229">
        <v>2019</v>
      </c>
      <c r="G943">
        <v>1</v>
      </c>
      <c r="H943" t="s">
        <v>820</v>
      </c>
    </row>
    <row r="944" spans="1:8">
      <c r="A944" s="229" t="s">
        <v>1587</v>
      </c>
      <c r="C944" s="229">
        <v>54.1</v>
      </c>
      <c r="D944" s="229">
        <v>12010513</v>
      </c>
      <c r="E944" s="229" t="s">
        <v>818</v>
      </c>
      <c r="F944" s="229">
        <v>2019</v>
      </c>
      <c r="G944">
        <v>1</v>
      </c>
      <c r="H944" t="s">
        <v>820</v>
      </c>
    </row>
    <row r="945" spans="1:8">
      <c r="A945" s="229" t="s">
        <v>1587</v>
      </c>
      <c r="C945" s="229">
        <v>-474</v>
      </c>
      <c r="D945" s="229">
        <v>12010513</v>
      </c>
      <c r="E945" s="229" t="s">
        <v>818</v>
      </c>
      <c r="F945" s="229">
        <v>2019</v>
      </c>
      <c r="G945">
        <v>1</v>
      </c>
      <c r="H945" t="s">
        <v>820</v>
      </c>
    </row>
    <row r="946" spans="1:8">
      <c r="A946" s="229" t="s">
        <v>1587</v>
      </c>
      <c r="C946" s="229">
        <v>474</v>
      </c>
      <c r="D946" s="229">
        <v>12010513</v>
      </c>
      <c r="E946" s="229" t="s">
        <v>818</v>
      </c>
      <c r="F946" s="229">
        <v>2019</v>
      </c>
      <c r="G946">
        <v>1</v>
      </c>
      <c r="H946" t="s">
        <v>820</v>
      </c>
    </row>
    <row r="947" spans="1:8">
      <c r="A947" s="229" t="s">
        <v>1587</v>
      </c>
      <c r="C947" s="229">
        <v>163.19999999999999</v>
      </c>
      <c r="D947" s="229">
        <v>12010513</v>
      </c>
      <c r="E947" s="229" t="s">
        <v>818</v>
      </c>
      <c r="F947" s="229">
        <v>2019</v>
      </c>
      <c r="G947">
        <v>1</v>
      </c>
      <c r="H947" t="s">
        <v>820</v>
      </c>
    </row>
    <row r="948" spans="1:8">
      <c r="A948" s="229" t="s">
        <v>1587</v>
      </c>
      <c r="C948" s="229">
        <v>367.2</v>
      </c>
      <c r="D948" s="229">
        <v>12010513</v>
      </c>
      <c r="E948" s="229" t="s">
        <v>818</v>
      </c>
      <c r="F948" s="229">
        <v>2019</v>
      </c>
      <c r="G948">
        <v>1</v>
      </c>
      <c r="H948" t="s">
        <v>820</v>
      </c>
    </row>
    <row r="949" spans="1:8">
      <c r="A949" s="229" t="s">
        <v>1587</v>
      </c>
      <c r="C949" s="229">
        <v>224.93</v>
      </c>
      <c r="D949" s="229">
        <v>12010513</v>
      </c>
      <c r="E949" s="229" t="s">
        <v>818</v>
      </c>
      <c r="F949" s="229">
        <v>2019</v>
      </c>
      <c r="G949">
        <v>1</v>
      </c>
      <c r="H949" t="s">
        <v>820</v>
      </c>
    </row>
    <row r="950" spans="1:8">
      <c r="A950" s="229" t="s">
        <v>1588</v>
      </c>
      <c r="B950" s="229">
        <v>802</v>
      </c>
      <c r="D950" s="229">
        <v>12010513</v>
      </c>
      <c r="E950" s="229" t="s">
        <v>818</v>
      </c>
      <c r="F950" s="229">
        <v>2019</v>
      </c>
      <c r="G950">
        <v>1</v>
      </c>
      <c r="H950" t="s">
        <v>820</v>
      </c>
    </row>
    <row r="951" spans="1:8">
      <c r="A951" s="229" t="s">
        <v>1589</v>
      </c>
      <c r="C951" s="229">
        <v>14.15</v>
      </c>
      <c r="D951" s="229">
        <v>12010513</v>
      </c>
      <c r="E951" s="229" t="s">
        <v>818</v>
      </c>
      <c r="F951" s="229">
        <v>2019</v>
      </c>
      <c r="G951">
        <v>1</v>
      </c>
      <c r="H951" t="s">
        <v>820</v>
      </c>
    </row>
    <row r="952" spans="1:8">
      <c r="A952" s="229" t="s">
        <v>1589</v>
      </c>
      <c r="C952" s="229">
        <v>10.76</v>
      </c>
      <c r="D952" s="229">
        <v>12010513</v>
      </c>
      <c r="E952" s="229" t="s">
        <v>818</v>
      </c>
      <c r="F952" s="229">
        <v>2019</v>
      </c>
      <c r="G952">
        <v>1</v>
      </c>
      <c r="H952" t="s">
        <v>820</v>
      </c>
    </row>
    <row r="953" spans="1:8">
      <c r="A953" s="229" t="s">
        <v>1589</v>
      </c>
      <c r="C953" s="229">
        <v>21.65</v>
      </c>
      <c r="D953" s="229">
        <v>12010513</v>
      </c>
      <c r="E953" s="229" t="s">
        <v>818</v>
      </c>
      <c r="F953" s="229">
        <v>2019</v>
      </c>
      <c r="G953">
        <v>1</v>
      </c>
      <c r="H953" t="s">
        <v>820</v>
      </c>
    </row>
    <row r="954" spans="1:8">
      <c r="A954" s="229" t="s">
        <v>1590</v>
      </c>
      <c r="B954" s="229">
        <v>44065</v>
      </c>
      <c r="D954" s="229">
        <v>12010513</v>
      </c>
      <c r="E954" s="229" t="s">
        <v>818</v>
      </c>
      <c r="F954" s="229">
        <v>2019</v>
      </c>
      <c r="G954">
        <v>1</v>
      </c>
      <c r="H954" t="s">
        <v>820</v>
      </c>
    </row>
    <row r="955" spans="1:8">
      <c r="A955" s="229" t="s">
        <v>1593</v>
      </c>
      <c r="C955" s="229">
        <v>2.4300000000000002</v>
      </c>
      <c r="D955" s="229">
        <v>12010513</v>
      </c>
      <c r="E955" s="229" t="s">
        <v>818</v>
      </c>
      <c r="F955" s="229">
        <v>2019</v>
      </c>
      <c r="G955">
        <v>1</v>
      </c>
      <c r="H955" t="s">
        <v>820</v>
      </c>
    </row>
    <row r="956" spans="1:8">
      <c r="A956" s="229" t="s">
        <v>1596</v>
      </c>
      <c r="D956" s="229">
        <v>12010513</v>
      </c>
      <c r="E956" s="229" t="s">
        <v>818</v>
      </c>
      <c r="F956" s="229">
        <v>2019</v>
      </c>
      <c r="G956">
        <v>1</v>
      </c>
      <c r="H956" t="s">
        <v>820</v>
      </c>
    </row>
    <row r="957" spans="1:8">
      <c r="A957" s="229" t="s">
        <v>1596</v>
      </c>
      <c r="D957" s="229">
        <v>12010513</v>
      </c>
      <c r="E957" s="229" t="s">
        <v>818</v>
      </c>
      <c r="F957" s="229">
        <v>2019</v>
      </c>
      <c r="G957">
        <v>1</v>
      </c>
      <c r="H957" t="s">
        <v>820</v>
      </c>
    </row>
    <row r="958" spans="1:8">
      <c r="A958" s="229" t="s">
        <v>1596</v>
      </c>
      <c r="C958" s="229">
        <v>58.08</v>
      </c>
      <c r="D958" s="229">
        <v>12010513</v>
      </c>
      <c r="E958" s="229" t="s">
        <v>818</v>
      </c>
      <c r="F958" s="229">
        <v>2019</v>
      </c>
      <c r="G958">
        <v>1</v>
      </c>
      <c r="H958" t="s">
        <v>820</v>
      </c>
    </row>
    <row r="959" spans="1:8">
      <c r="A959" s="229" t="s">
        <v>1596</v>
      </c>
      <c r="C959" s="229">
        <v>58.08</v>
      </c>
      <c r="D959" s="229">
        <v>12010513</v>
      </c>
      <c r="E959" s="229" t="s">
        <v>818</v>
      </c>
      <c r="F959" s="229">
        <v>2019</v>
      </c>
      <c r="G959">
        <v>1</v>
      </c>
      <c r="H959" t="s">
        <v>820</v>
      </c>
    </row>
    <row r="960" spans="1:8">
      <c r="A960" s="229" t="s">
        <v>1596</v>
      </c>
      <c r="D960" s="229">
        <v>12010513</v>
      </c>
      <c r="E960" s="229" t="s">
        <v>818</v>
      </c>
      <c r="F960" s="229">
        <v>2019</v>
      </c>
      <c r="G960">
        <v>1</v>
      </c>
      <c r="H960" t="s">
        <v>820</v>
      </c>
    </row>
    <row r="961" spans="1:8">
      <c r="A961" s="229" t="s">
        <v>1596</v>
      </c>
      <c r="D961" s="229">
        <v>12010513</v>
      </c>
      <c r="E961" s="229" t="s">
        <v>818</v>
      </c>
      <c r="F961" s="229">
        <v>2019</v>
      </c>
      <c r="G961">
        <v>1</v>
      </c>
      <c r="H961" t="s">
        <v>820</v>
      </c>
    </row>
    <row r="962" spans="1:8">
      <c r="A962" s="229" t="s">
        <v>1596</v>
      </c>
      <c r="C962" s="229">
        <v>58.08</v>
      </c>
      <c r="D962" s="229">
        <v>12010513</v>
      </c>
      <c r="E962" s="229" t="s">
        <v>818</v>
      </c>
      <c r="F962" s="229">
        <v>2019</v>
      </c>
      <c r="G962">
        <v>1</v>
      </c>
      <c r="H962" t="s">
        <v>820</v>
      </c>
    </row>
    <row r="963" spans="1:8">
      <c r="A963" s="229" t="s">
        <v>1680</v>
      </c>
      <c r="C963" s="229">
        <v>150</v>
      </c>
      <c r="D963" s="229">
        <v>12010513</v>
      </c>
      <c r="E963" s="229" t="s">
        <v>818</v>
      </c>
      <c r="F963" s="229">
        <v>2019</v>
      </c>
      <c r="G963">
        <v>1</v>
      </c>
      <c r="H963" t="s">
        <v>820</v>
      </c>
    </row>
    <row r="964" spans="1:8">
      <c r="A964" s="229" t="s">
        <v>1611</v>
      </c>
      <c r="C964" s="229">
        <v>-600</v>
      </c>
      <c r="D964" s="229">
        <v>12010513</v>
      </c>
      <c r="E964" s="229" t="s">
        <v>818</v>
      </c>
      <c r="F964" s="229">
        <v>2019</v>
      </c>
      <c r="G964">
        <v>1</v>
      </c>
      <c r="H964" t="s">
        <v>820</v>
      </c>
    </row>
    <row r="965" spans="1:8">
      <c r="A965" s="229" t="s">
        <v>1611</v>
      </c>
      <c r="C965" s="229">
        <v>600</v>
      </c>
      <c r="D965" s="229">
        <v>12010513</v>
      </c>
      <c r="E965" s="229" t="s">
        <v>818</v>
      </c>
      <c r="F965" s="229">
        <v>2019</v>
      </c>
      <c r="G965">
        <v>1</v>
      </c>
      <c r="H965" t="s">
        <v>820</v>
      </c>
    </row>
    <row r="966" spans="1:8">
      <c r="A966" s="229" t="s">
        <v>1611</v>
      </c>
      <c r="D966" s="229">
        <v>12010513</v>
      </c>
      <c r="E966" s="229" t="s">
        <v>818</v>
      </c>
      <c r="F966" s="229">
        <v>2019</v>
      </c>
      <c r="G966">
        <v>1</v>
      </c>
      <c r="H966" t="s">
        <v>820</v>
      </c>
    </row>
    <row r="967" spans="1:8">
      <c r="A967" s="229" t="s">
        <v>1611</v>
      </c>
      <c r="D967" s="229">
        <v>12010513</v>
      </c>
      <c r="E967" s="229" t="s">
        <v>818</v>
      </c>
      <c r="F967" s="229">
        <v>2019</v>
      </c>
      <c r="G967">
        <v>1</v>
      </c>
      <c r="H967" t="s">
        <v>820</v>
      </c>
    </row>
    <row r="968" spans="1:8">
      <c r="A968" s="229" t="s">
        <v>1611</v>
      </c>
      <c r="C968" s="229">
        <v>600</v>
      </c>
      <c r="D968" s="229">
        <v>12010513</v>
      </c>
      <c r="E968" s="229" t="s">
        <v>818</v>
      </c>
      <c r="F968" s="229">
        <v>2019</v>
      </c>
      <c r="G968">
        <v>1</v>
      </c>
      <c r="H968" t="s">
        <v>820</v>
      </c>
    </row>
    <row r="969" spans="1:8">
      <c r="A969" s="229" t="s">
        <v>1615</v>
      </c>
      <c r="B969" s="229">
        <v>1500</v>
      </c>
      <c r="D969" s="229">
        <v>12010513</v>
      </c>
      <c r="E969" s="229" t="s">
        <v>818</v>
      </c>
      <c r="F969" s="229">
        <v>2019</v>
      </c>
      <c r="G969">
        <v>1</v>
      </c>
      <c r="H969" t="s">
        <v>820</v>
      </c>
    </row>
    <row r="970" spans="1:8">
      <c r="A970" s="229" t="s">
        <v>1687</v>
      </c>
      <c r="B970" s="229">
        <v>10000</v>
      </c>
      <c r="D970" s="229">
        <v>12010513</v>
      </c>
      <c r="E970" s="229" t="s">
        <v>818</v>
      </c>
      <c r="F970" s="229">
        <v>2019</v>
      </c>
      <c r="G970">
        <v>1</v>
      </c>
      <c r="H970" t="s">
        <v>820</v>
      </c>
    </row>
    <row r="971" spans="1:8">
      <c r="A971" s="229" t="s">
        <v>1618</v>
      </c>
      <c r="B971" s="229">
        <v>8589</v>
      </c>
      <c r="D971" s="229">
        <v>12010513</v>
      </c>
      <c r="E971" s="229" t="s">
        <v>818</v>
      </c>
      <c r="F971" s="229">
        <v>2019</v>
      </c>
      <c r="G971">
        <v>1</v>
      </c>
      <c r="H971" t="s">
        <v>820</v>
      </c>
    </row>
    <row r="972" spans="1:8">
      <c r="A972" s="229" t="s">
        <v>1618</v>
      </c>
      <c r="C972" s="229">
        <v>-67.28</v>
      </c>
      <c r="D972" s="229">
        <v>12010513</v>
      </c>
      <c r="E972" s="229" t="s">
        <v>818</v>
      </c>
      <c r="F972" s="229">
        <v>2019</v>
      </c>
      <c r="G972">
        <v>1</v>
      </c>
      <c r="H972" t="s">
        <v>820</v>
      </c>
    </row>
    <row r="973" spans="1:8">
      <c r="A973" s="229" t="s">
        <v>1618</v>
      </c>
      <c r="C973" s="229">
        <v>134.57</v>
      </c>
      <c r="D973" s="229">
        <v>12010513</v>
      </c>
      <c r="E973" s="229" t="s">
        <v>818</v>
      </c>
      <c r="F973" s="229">
        <v>2019</v>
      </c>
      <c r="G973">
        <v>1</v>
      </c>
      <c r="H973" t="s">
        <v>820</v>
      </c>
    </row>
    <row r="974" spans="1:8">
      <c r="A974" s="229" t="s">
        <v>1618</v>
      </c>
      <c r="C974" s="229">
        <v>-47.77</v>
      </c>
      <c r="D974" s="229">
        <v>12010513</v>
      </c>
      <c r="E974" s="229" t="s">
        <v>818</v>
      </c>
      <c r="F974" s="229">
        <v>2019</v>
      </c>
      <c r="G974">
        <v>1</v>
      </c>
      <c r="H974" t="s">
        <v>820</v>
      </c>
    </row>
    <row r="975" spans="1:8">
      <c r="A975" s="229" t="s">
        <v>1618</v>
      </c>
      <c r="C975" s="229">
        <v>95.53</v>
      </c>
      <c r="D975" s="229">
        <v>12010513</v>
      </c>
      <c r="E975" s="229" t="s">
        <v>818</v>
      </c>
      <c r="F975" s="229">
        <v>2019</v>
      </c>
      <c r="G975">
        <v>1</v>
      </c>
      <c r="H975" t="s">
        <v>820</v>
      </c>
    </row>
    <row r="976" spans="1:8">
      <c r="A976" s="229" t="s">
        <v>1618</v>
      </c>
      <c r="C976" s="229">
        <v>-114.53</v>
      </c>
      <c r="D976" s="229">
        <v>12010513</v>
      </c>
      <c r="E976" s="229" t="s">
        <v>818</v>
      </c>
      <c r="F976" s="229">
        <v>2019</v>
      </c>
      <c r="G976">
        <v>1</v>
      </c>
      <c r="H976" t="s">
        <v>820</v>
      </c>
    </row>
    <row r="977" spans="1:8">
      <c r="A977" s="229" t="s">
        <v>1618</v>
      </c>
      <c r="C977" s="229">
        <v>229.06</v>
      </c>
      <c r="D977" s="229">
        <v>12010513</v>
      </c>
      <c r="E977" s="229" t="s">
        <v>818</v>
      </c>
      <c r="F977" s="229">
        <v>2019</v>
      </c>
      <c r="G977">
        <v>1</v>
      </c>
      <c r="H977" t="s">
        <v>820</v>
      </c>
    </row>
    <row r="978" spans="1:8">
      <c r="A978" s="229" t="s">
        <v>1619</v>
      </c>
      <c r="B978" s="229">
        <v>696</v>
      </c>
      <c r="D978" s="229">
        <v>12010513</v>
      </c>
      <c r="E978" s="229" t="s">
        <v>818</v>
      </c>
      <c r="F978" s="229">
        <v>2019</v>
      </c>
      <c r="G978">
        <v>1</v>
      </c>
      <c r="H978" t="s">
        <v>820</v>
      </c>
    </row>
    <row r="979" spans="1:8">
      <c r="A979" s="229" t="s">
        <v>1619</v>
      </c>
      <c r="C979" s="229">
        <v>12.34</v>
      </c>
      <c r="D979" s="229">
        <v>12010513</v>
      </c>
      <c r="E979" s="229" t="s">
        <v>818</v>
      </c>
      <c r="F979" s="229">
        <v>2019</v>
      </c>
      <c r="G979">
        <v>1</v>
      </c>
      <c r="H979" t="s">
        <v>820</v>
      </c>
    </row>
    <row r="980" spans="1:8">
      <c r="A980" s="229" t="s">
        <v>1619</v>
      </c>
      <c r="C980" s="229">
        <v>8.76</v>
      </c>
      <c r="D980" s="229">
        <v>12010513</v>
      </c>
      <c r="E980" s="229" t="s">
        <v>818</v>
      </c>
      <c r="F980" s="229">
        <v>2019</v>
      </c>
      <c r="G980">
        <v>1</v>
      </c>
      <c r="H980" t="s">
        <v>820</v>
      </c>
    </row>
    <row r="981" spans="1:8">
      <c r="A981" s="229" t="s">
        <v>1619</v>
      </c>
      <c r="C981" s="229">
        <v>21.01</v>
      </c>
      <c r="D981" s="229">
        <v>12010513</v>
      </c>
      <c r="E981" s="229" t="s">
        <v>818</v>
      </c>
      <c r="F981" s="229">
        <v>2019</v>
      </c>
      <c r="G981">
        <v>1</v>
      </c>
      <c r="H981" t="s">
        <v>820</v>
      </c>
    </row>
    <row r="982" spans="1:8">
      <c r="A982" s="229" t="s">
        <v>1620</v>
      </c>
      <c r="C982" s="229">
        <v>67.28</v>
      </c>
      <c r="D982" s="229">
        <v>12010513</v>
      </c>
      <c r="E982" s="229" t="s">
        <v>818</v>
      </c>
      <c r="F982" s="229">
        <v>2019</v>
      </c>
      <c r="G982">
        <v>1</v>
      </c>
      <c r="H982" t="s">
        <v>820</v>
      </c>
    </row>
    <row r="983" spans="1:8">
      <c r="A983" s="229" t="s">
        <v>1620</v>
      </c>
      <c r="C983" s="229">
        <v>47.77</v>
      </c>
      <c r="D983" s="229">
        <v>12010513</v>
      </c>
      <c r="E983" s="229" t="s">
        <v>818</v>
      </c>
      <c r="F983" s="229">
        <v>2019</v>
      </c>
      <c r="G983">
        <v>1</v>
      </c>
      <c r="H983" t="s">
        <v>820</v>
      </c>
    </row>
    <row r="984" spans="1:8">
      <c r="A984" s="229" t="s">
        <v>1620</v>
      </c>
      <c r="C984" s="229">
        <v>114.53</v>
      </c>
      <c r="D984" s="229">
        <v>12010513</v>
      </c>
      <c r="E984" s="229" t="s">
        <v>818</v>
      </c>
      <c r="F984" s="229">
        <v>2019</v>
      </c>
      <c r="G984">
        <v>1</v>
      </c>
      <c r="H984" t="s">
        <v>820</v>
      </c>
    </row>
    <row r="985" spans="1:8">
      <c r="A985" s="229" t="s">
        <v>1622</v>
      </c>
      <c r="C985" s="229">
        <v>36054.658000000003</v>
      </c>
      <c r="D985" s="229">
        <v>12010512</v>
      </c>
      <c r="E985" s="229" t="s">
        <v>818</v>
      </c>
      <c r="F985" s="229">
        <v>2019</v>
      </c>
      <c r="G985">
        <v>1</v>
      </c>
      <c r="H985" t="s">
        <v>820</v>
      </c>
    </row>
    <row r="986" spans="1:8">
      <c r="A986" s="229" t="s">
        <v>1587</v>
      </c>
      <c r="C986" s="229">
        <v>434.4</v>
      </c>
      <c r="D986" s="229">
        <v>12010513</v>
      </c>
      <c r="E986" s="229" t="s">
        <v>818</v>
      </c>
      <c r="F986" s="229">
        <v>2019</v>
      </c>
      <c r="G986">
        <v>2</v>
      </c>
      <c r="H986" t="s">
        <v>820</v>
      </c>
    </row>
    <row r="987" spans="1:8">
      <c r="A987" s="229" t="s">
        <v>1587</v>
      </c>
      <c r="C987" s="229">
        <v>434.4</v>
      </c>
      <c r="D987" s="229">
        <v>12010513</v>
      </c>
      <c r="E987" s="229" t="s">
        <v>818</v>
      </c>
      <c r="F987" s="229">
        <v>2019</v>
      </c>
      <c r="G987">
        <v>2</v>
      </c>
      <c r="H987" t="s">
        <v>820</v>
      </c>
    </row>
    <row r="988" spans="1:8">
      <c r="A988" s="229" t="s">
        <v>1587</v>
      </c>
      <c r="C988" s="229">
        <v>445.26</v>
      </c>
      <c r="D988" s="229">
        <v>12010513</v>
      </c>
      <c r="E988" s="229" t="s">
        <v>818</v>
      </c>
      <c r="F988" s="229">
        <v>2019</v>
      </c>
      <c r="G988">
        <v>2</v>
      </c>
      <c r="H988" t="s">
        <v>820</v>
      </c>
    </row>
    <row r="989" spans="1:8">
      <c r="A989" s="229" t="s">
        <v>1587</v>
      </c>
      <c r="C989" s="229">
        <v>434.4</v>
      </c>
      <c r="D989" s="229">
        <v>12010513</v>
      </c>
      <c r="E989" s="229" t="s">
        <v>818</v>
      </c>
      <c r="F989" s="229">
        <v>2019</v>
      </c>
      <c r="G989">
        <v>2</v>
      </c>
      <c r="H989" t="s">
        <v>820</v>
      </c>
    </row>
    <row r="990" spans="1:8">
      <c r="A990" s="229" t="s">
        <v>1587</v>
      </c>
      <c r="C990" s="229">
        <v>401.82</v>
      </c>
      <c r="D990" s="229">
        <v>12010513</v>
      </c>
      <c r="E990" s="229" t="s">
        <v>818</v>
      </c>
      <c r="F990" s="229">
        <v>2019</v>
      </c>
      <c r="G990">
        <v>2</v>
      </c>
      <c r="H990" t="s">
        <v>820</v>
      </c>
    </row>
    <row r="991" spans="1:8">
      <c r="A991" s="229" t="s">
        <v>1587</v>
      </c>
      <c r="C991" s="229">
        <v>260.64</v>
      </c>
      <c r="D991" s="229">
        <v>12010513</v>
      </c>
      <c r="E991" s="229" t="s">
        <v>818</v>
      </c>
      <c r="F991" s="229">
        <v>2019</v>
      </c>
      <c r="G991">
        <v>2</v>
      </c>
      <c r="H991" t="s">
        <v>820</v>
      </c>
    </row>
    <row r="992" spans="1:8">
      <c r="A992" s="229" t="s">
        <v>1587</v>
      </c>
      <c r="C992" s="229">
        <v>358.38</v>
      </c>
      <c r="D992" s="229">
        <v>12010513</v>
      </c>
      <c r="E992" s="229" t="s">
        <v>818</v>
      </c>
      <c r="F992" s="229">
        <v>2019</v>
      </c>
      <c r="G992">
        <v>2</v>
      </c>
      <c r="H992" t="s">
        <v>820</v>
      </c>
    </row>
    <row r="993" spans="1:8">
      <c r="A993" s="229" t="s">
        <v>1587</v>
      </c>
      <c r="C993" s="229">
        <v>421.98</v>
      </c>
      <c r="D993" s="229">
        <v>12010513</v>
      </c>
      <c r="E993" s="229" t="s">
        <v>818</v>
      </c>
      <c r="F993" s="229">
        <v>2019</v>
      </c>
      <c r="G993">
        <v>2</v>
      </c>
      <c r="H993" t="s">
        <v>820</v>
      </c>
    </row>
    <row r="994" spans="1:8">
      <c r="A994" s="229" t="s">
        <v>1587</v>
      </c>
      <c r="C994" s="229">
        <v>384.11</v>
      </c>
      <c r="D994" s="229">
        <v>12010513</v>
      </c>
      <c r="E994" s="229" t="s">
        <v>818</v>
      </c>
      <c r="F994" s="229">
        <v>2019</v>
      </c>
      <c r="G994">
        <v>2</v>
      </c>
      <c r="H994" t="s">
        <v>820</v>
      </c>
    </row>
    <row r="995" spans="1:8">
      <c r="A995" s="229" t="s">
        <v>1587</v>
      </c>
      <c r="C995" s="229">
        <v>367.88</v>
      </c>
      <c r="D995" s="229">
        <v>12010513</v>
      </c>
      <c r="E995" s="229" t="s">
        <v>818</v>
      </c>
      <c r="F995" s="229">
        <v>2019</v>
      </c>
      <c r="G995">
        <v>2</v>
      </c>
      <c r="H995" t="s">
        <v>820</v>
      </c>
    </row>
    <row r="996" spans="1:8">
      <c r="A996" s="229" t="s">
        <v>1587</v>
      </c>
      <c r="C996" s="229">
        <v>357.06</v>
      </c>
      <c r="D996" s="229">
        <v>12010513</v>
      </c>
      <c r="E996" s="229" t="s">
        <v>818</v>
      </c>
      <c r="F996" s="229">
        <v>2019</v>
      </c>
      <c r="G996">
        <v>2</v>
      </c>
      <c r="H996" t="s">
        <v>820</v>
      </c>
    </row>
    <row r="997" spans="1:8">
      <c r="A997" s="229" t="s">
        <v>1587</v>
      </c>
      <c r="C997" s="229">
        <v>348.95</v>
      </c>
      <c r="D997" s="229">
        <v>12010513</v>
      </c>
      <c r="E997" s="229" t="s">
        <v>818</v>
      </c>
      <c r="F997" s="229">
        <v>2019</v>
      </c>
      <c r="G997">
        <v>2</v>
      </c>
      <c r="H997" t="s">
        <v>820</v>
      </c>
    </row>
    <row r="998" spans="1:8">
      <c r="A998" s="229" t="s">
        <v>1587</v>
      </c>
      <c r="C998" s="229">
        <v>338.13</v>
      </c>
      <c r="D998" s="229">
        <v>12010513</v>
      </c>
      <c r="E998" s="229" t="s">
        <v>818</v>
      </c>
      <c r="F998" s="229">
        <v>2019</v>
      </c>
      <c r="G998">
        <v>2</v>
      </c>
      <c r="H998" t="s">
        <v>820</v>
      </c>
    </row>
    <row r="999" spans="1:8">
      <c r="A999" s="229" t="s">
        <v>1587</v>
      </c>
      <c r="C999" s="229">
        <v>351.65</v>
      </c>
      <c r="D999" s="229">
        <v>12010513</v>
      </c>
      <c r="E999" s="229" t="s">
        <v>818</v>
      </c>
      <c r="F999" s="229">
        <v>2019</v>
      </c>
      <c r="G999">
        <v>2</v>
      </c>
      <c r="H999" t="s">
        <v>820</v>
      </c>
    </row>
    <row r="1000" spans="1:8">
      <c r="A1000" s="229" t="s">
        <v>1587</v>
      </c>
      <c r="C1000" s="229">
        <v>151.47999999999999</v>
      </c>
      <c r="D1000" s="229">
        <v>12010513</v>
      </c>
      <c r="E1000" s="229" t="s">
        <v>818</v>
      </c>
      <c r="F1000" s="229">
        <v>2019</v>
      </c>
      <c r="G1000">
        <v>2</v>
      </c>
      <c r="H1000" t="s">
        <v>820</v>
      </c>
    </row>
    <row r="1001" spans="1:8">
      <c r="A1001" s="229" t="s">
        <v>1587</v>
      </c>
      <c r="C1001" s="229">
        <v>194.76</v>
      </c>
      <c r="D1001" s="229">
        <v>12010513</v>
      </c>
      <c r="E1001" s="229" t="s">
        <v>818</v>
      </c>
      <c r="F1001" s="229">
        <v>2019</v>
      </c>
      <c r="G1001">
        <v>2</v>
      </c>
      <c r="H1001" t="s">
        <v>820</v>
      </c>
    </row>
    <row r="1002" spans="1:8">
      <c r="A1002" s="229" t="s">
        <v>1587</v>
      </c>
      <c r="C1002" s="229">
        <v>124.43</v>
      </c>
      <c r="D1002" s="229">
        <v>12010513</v>
      </c>
      <c r="E1002" s="229" t="s">
        <v>818</v>
      </c>
      <c r="F1002" s="229">
        <v>2019</v>
      </c>
      <c r="G1002">
        <v>2</v>
      </c>
      <c r="H1002" t="s">
        <v>820</v>
      </c>
    </row>
    <row r="1003" spans="1:8">
      <c r="A1003" s="229" t="s">
        <v>1587</v>
      </c>
      <c r="C1003" s="229">
        <v>43.28</v>
      </c>
      <c r="D1003" s="229">
        <v>12010513</v>
      </c>
      <c r="E1003" s="229" t="s">
        <v>818</v>
      </c>
      <c r="F1003" s="229">
        <v>2019</v>
      </c>
      <c r="G1003">
        <v>2</v>
      </c>
      <c r="H1003" t="s">
        <v>820</v>
      </c>
    </row>
    <row r="1004" spans="1:8">
      <c r="A1004" s="229" t="s">
        <v>1587</v>
      </c>
      <c r="C1004" s="229">
        <v>73.040000000000006</v>
      </c>
      <c r="D1004" s="229">
        <v>12010513</v>
      </c>
      <c r="E1004" s="229" t="s">
        <v>818</v>
      </c>
      <c r="F1004" s="229">
        <v>2019</v>
      </c>
      <c r="G1004">
        <v>2</v>
      </c>
      <c r="H1004" t="s">
        <v>820</v>
      </c>
    </row>
    <row r="1005" spans="1:8">
      <c r="A1005" s="229" t="s">
        <v>1587</v>
      </c>
      <c r="C1005" s="229">
        <v>100.09</v>
      </c>
      <c r="D1005" s="229">
        <v>12010513</v>
      </c>
      <c r="E1005" s="229" t="s">
        <v>818</v>
      </c>
      <c r="F1005" s="229">
        <v>2019</v>
      </c>
      <c r="G1005">
        <v>2</v>
      </c>
      <c r="H1005" t="s">
        <v>820</v>
      </c>
    </row>
    <row r="1006" spans="1:8">
      <c r="A1006" s="229" t="s">
        <v>1587</v>
      </c>
      <c r="C1006" s="229">
        <v>432.8</v>
      </c>
      <c r="D1006" s="229">
        <v>12010513</v>
      </c>
      <c r="E1006" s="229" t="s">
        <v>818</v>
      </c>
      <c r="F1006" s="229">
        <v>2019</v>
      </c>
      <c r="G1006">
        <v>2</v>
      </c>
      <c r="H1006" t="s">
        <v>820</v>
      </c>
    </row>
    <row r="1007" spans="1:8">
      <c r="A1007" s="229" t="s">
        <v>1587</v>
      </c>
      <c r="C1007" s="229">
        <v>432.8</v>
      </c>
      <c r="D1007" s="229">
        <v>12010513</v>
      </c>
      <c r="E1007" s="229" t="s">
        <v>818</v>
      </c>
      <c r="F1007" s="229">
        <v>2019</v>
      </c>
      <c r="G1007">
        <v>2</v>
      </c>
      <c r="H1007" t="s">
        <v>820</v>
      </c>
    </row>
    <row r="1008" spans="1:8">
      <c r="A1008" s="229" t="s">
        <v>1587</v>
      </c>
      <c r="C1008" s="229">
        <v>432.8</v>
      </c>
      <c r="D1008" s="229">
        <v>12010513</v>
      </c>
      <c r="E1008" s="229" t="s">
        <v>818</v>
      </c>
      <c r="F1008" s="229">
        <v>2019</v>
      </c>
      <c r="G1008">
        <v>2</v>
      </c>
      <c r="H1008" t="s">
        <v>820</v>
      </c>
    </row>
    <row r="1009" spans="1:8">
      <c r="A1009" s="229" t="s">
        <v>1587</v>
      </c>
      <c r="C1009" s="229">
        <v>432.8</v>
      </c>
      <c r="D1009" s="229">
        <v>12010513</v>
      </c>
      <c r="E1009" s="229" t="s">
        <v>818</v>
      </c>
      <c r="F1009" s="229">
        <v>2019</v>
      </c>
      <c r="G1009">
        <v>2</v>
      </c>
      <c r="H1009" t="s">
        <v>820</v>
      </c>
    </row>
    <row r="1010" spans="1:8">
      <c r="A1010" s="229" t="s">
        <v>1587</v>
      </c>
      <c r="C1010" s="229">
        <v>292.14</v>
      </c>
      <c r="D1010" s="229">
        <v>12010513</v>
      </c>
      <c r="E1010" s="229" t="s">
        <v>818</v>
      </c>
      <c r="F1010" s="229">
        <v>2019</v>
      </c>
      <c r="G1010">
        <v>2</v>
      </c>
      <c r="H1010" t="s">
        <v>820</v>
      </c>
    </row>
    <row r="1011" spans="1:8">
      <c r="A1011" s="229" t="s">
        <v>1587</v>
      </c>
      <c r="C1011" s="229">
        <v>865.6</v>
      </c>
      <c r="D1011" s="229">
        <v>12010513</v>
      </c>
      <c r="E1011" s="229" t="s">
        <v>818</v>
      </c>
      <c r="F1011" s="229">
        <v>2019</v>
      </c>
      <c r="G1011">
        <v>2</v>
      </c>
      <c r="H1011" t="s">
        <v>820</v>
      </c>
    </row>
    <row r="1012" spans="1:8">
      <c r="A1012" s="229" t="s">
        <v>1587</v>
      </c>
      <c r="C1012" s="229">
        <v>124.43</v>
      </c>
      <c r="D1012" s="229">
        <v>12010513</v>
      </c>
      <c r="E1012" s="229" t="s">
        <v>818</v>
      </c>
      <c r="F1012" s="229">
        <v>2019</v>
      </c>
      <c r="G1012">
        <v>2</v>
      </c>
      <c r="H1012" t="s">
        <v>820</v>
      </c>
    </row>
    <row r="1013" spans="1:8">
      <c r="A1013" s="229" t="s">
        <v>1587</v>
      </c>
      <c r="C1013" s="229">
        <v>129.84</v>
      </c>
      <c r="D1013" s="229">
        <v>12010513</v>
      </c>
      <c r="E1013" s="229" t="s">
        <v>818</v>
      </c>
      <c r="F1013" s="229">
        <v>2019</v>
      </c>
      <c r="G1013">
        <v>2</v>
      </c>
      <c r="H1013" t="s">
        <v>820</v>
      </c>
    </row>
    <row r="1014" spans="1:8">
      <c r="A1014" s="229" t="s">
        <v>1587</v>
      </c>
      <c r="C1014" s="229">
        <v>140.66</v>
      </c>
      <c r="D1014" s="229">
        <v>12010513</v>
      </c>
      <c r="E1014" s="229" t="s">
        <v>818</v>
      </c>
      <c r="F1014" s="229">
        <v>2019</v>
      </c>
      <c r="G1014">
        <v>2</v>
      </c>
      <c r="H1014" t="s">
        <v>820</v>
      </c>
    </row>
    <row r="1015" spans="1:8">
      <c r="A1015" s="229" t="s">
        <v>1587</v>
      </c>
      <c r="C1015" s="229">
        <v>108.2</v>
      </c>
      <c r="D1015" s="229">
        <v>12010513</v>
      </c>
      <c r="E1015" s="229" t="s">
        <v>818</v>
      </c>
      <c r="F1015" s="229">
        <v>2019</v>
      </c>
      <c r="G1015">
        <v>2</v>
      </c>
      <c r="H1015" t="s">
        <v>820</v>
      </c>
    </row>
    <row r="1016" spans="1:8">
      <c r="A1016" s="229" t="s">
        <v>1587</v>
      </c>
      <c r="C1016" s="229">
        <v>162.30000000000001</v>
      </c>
      <c r="D1016" s="229">
        <v>12010513</v>
      </c>
      <c r="E1016" s="229" t="s">
        <v>818</v>
      </c>
      <c r="F1016" s="229">
        <v>2019</v>
      </c>
      <c r="G1016">
        <v>2</v>
      </c>
      <c r="H1016" t="s">
        <v>820</v>
      </c>
    </row>
    <row r="1017" spans="1:8">
      <c r="A1017" s="229" t="s">
        <v>1587</v>
      </c>
      <c r="C1017" s="229">
        <v>119.02</v>
      </c>
      <c r="D1017" s="229">
        <v>12010513</v>
      </c>
      <c r="E1017" s="229" t="s">
        <v>818</v>
      </c>
      <c r="F1017" s="229">
        <v>2019</v>
      </c>
      <c r="G1017">
        <v>2</v>
      </c>
      <c r="H1017" t="s">
        <v>820</v>
      </c>
    </row>
    <row r="1018" spans="1:8">
      <c r="A1018" s="229" t="s">
        <v>1587</v>
      </c>
      <c r="C1018" s="229">
        <v>162.30000000000001</v>
      </c>
      <c r="D1018" s="229">
        <v>12010513</v>
      </c>
      <c r="E1018" s="229" t="s">
        <v>818</v>
      </c>
      <c r="F1018" s="229">
        <v>2019</v>
      </c>
      <c r="G1018">
        <v>2</v>
      </c>
      <c r="H1018" t="s">
        <v>820</v>
      </c>
    </row>
    <row r="1019" spans="1:8">
      <c r="A1019" s="229" t="s">
        <v>1587</v>
      </c>
      <c r="C1019" s="229">
        <v>81.150000000000006</v>
      </c>
      <c r="D1019" s="229">
        <v>12010513</v>
      </c>
      <c r="E1019" s="229" t="s">
        <v>818</v>
      </c>
      <c r="F1019" s="229">
        <v>2019</v>
      </c>
      <c r="G1019">
        <v>2</v>
      </c>
      <c r="H1019" t="s">
        <v>820</v>
      </c>
    </row>
    <row r="1020" spans="1:8">
      <c r="A1020" s="229" t="s">
        <v>1587</v>
      </c>
      <c r="C1020" s="229">
        <v>124.43</v>
      </c>
      <c r="D1020" s="229">
        <v>12010513</v>
      </c>
      <c r="E1020" s="229" t="s">
        <v>818</v>
      </c>
      <c r="F1020" s="229">
        <v>2019</v>
      </c>
      <c r="G1020">
        <v>2</v>
      </c>
      <c r="H1020" t="s">
        <v>820</v>
      </c>
    </row>
    <row r="1021" spans="1:8">
      <c r="A1021" s="229" t="s">
        <v>1587</v>
      </c>
      <c r="C1021" s="229">
        <v>159.6</v>
      </c>
      <c r="D1021" s="229">
        <v>12010513</v>
      </c>
      <c r="E1021" s="229" t="s">
        <v>818</v>
      </c>
      <c r="F1021" s="229">
        <v>2019</v>
      </c>
      <c r="G1021">
        <v>2</v>
      </c>
      <c r="H1021" t="s">
        <v>820</v>
      </c>
    </row>
    <row r="1022" spans="1:8">
      <c r="A1022" s="229" t="s">
        <v>1587</v>
      </c>
      <c r="C1022" s="229">
        <v>64.92</v>
      </c>
      <c r="D1022" s="229">
        <v>12010513</v>
      </c>
      <c r="E1022" s="229" t="s">
        <v>818</v>
      </c>
      <c r="F1022" s="229">
        <v>2019</v>
      </c>
      <c r="G1022">
        <v>2</v>
      </c>
      <c r="H1022" t="s">
        <v>820</v>
      </c>
    </row>
    <row r="1023" spans="1:8">
      <c r="A1023" s="229" t="s">
        <v>1587</v>
      </c>
      <c r="C1023" s="229">
        <v>35.17</v>
      </c>
      <c r="D1023" s="229">
        <v>12010513</v>
      </c>
      <c r="E1023" s="229" t="s">
        <v>818</v>
      </c>
      <c r="F1023" s="229">
        <v>2019</v>
      </c>
      <c r="G1023">
        <v>2</v>
      </c>
      <c r="H1023" t="s">
        <v>820</v>
      </c>
    </row>
    <row r="1024" spans="1:8">
      <c r="A1024" s="229" t="s">
        <v>1587</v>
      </c>
      <c r="C1024" s="229">
        <v>56.81</v>
      </c>
      <c r="D1024" s="229">
        <v>12010513</v>
      </c>
      <c r="E1024" s="229" t="s">
        <v>818</v>
      </c>
      <c r="F1024" s="229">
        <v>2019</v>
      </c>
      <c r="G1024">
        <v>2</v>
      </c>
      <c r="H1024" t="s">
        <v>820</v>
      </c>
    </row>
    <row r="1025" spans="1:8">
      <c r="A1025" s="229" t="s">
        <v>1587</v>
      </c>
      <c r="C1025" s="229">
        <v>265.08999999999997</v>
      </c>
      <c r="D1025" s="229">
        <v>12010513</v>
      </c>
      <c r="E1025" s="229" t="s">
        <v>818</v>
      </c>
      <c r="F1025" s="229">
        <v>2019</v>
      </c>
      <c r="G1025">
        <v>2</v>
      </c>
      <c r="H1025" t="s">
        <v>820</v>
      </c>
    </row>
    <row r="1026" spans="1:8">
      <c r="A1026" s="229" t="s">
        <v>1587</v>
      </c>
      <c r="C1026" s="229">
        <v>281.32</v>
      </c>
      <c r="D1026" s="229">
        <v>12010513</v>
      </c>
      <c r="E1026" s="229" t="s">
        <v>818</v>
      </c>
      <c r="F1026" s="229">
        <v>2019</v>
      </c>
      <c r="G1026">
        <v>2</v>
      </c>
      <c r="H1026" t="s">
        <v>820</v>
      </c>
    </row>
    <row r="1027" spans="1:8">
      <c r="A1027" s="229" t="s">
        <v>1587</v>
      </c>
      <c r="C1027" s="229">
        <v>270.5</v>
      </c>
      <c r="D1027" s="229">
        <v>12010513</v>
      </c>
      <c r="E1027" s="229" t="s">
        <v>818</v>
      </c>
      <c r="F1027" s="229">
        <v>2019</v>
      </c>
      <c r="G1027">
        <v>2</v>
      </c>
      <c r="H1027" t="s">
        <v>820</v>
      </c>
    </row>
    <row r="1028" spans="1:8">
      <c r="A1028" s="229" t="s">
        <v>1587</v>
      </c>
      <c r="C1028" s="229">
        <v>248.86</v>
      </c>
      <c r="D1028" s="229">
        <v>12010513</v>
      </c>
      <c r="E1028" s="229" t="s">
        <v>818</v>
      </c>
      <c r="F1028" s="229">
        <v>2019</v>
      </c>
      <c r="G1028">
        <v>2</v>
      </c>
      <c r="H1028" t="s">
        <v>820</v>
      </c>
    </row>
    <row r="1029" spans="1:8">
      <c r="A1029" s="229" t="s">
        <v>1587</v>
      </c>
      <c r="C1029" s="229">
        <v>281.32</v>
      </c>
      <c r="D1029" s="229">
        <v>12010513</v>
      </c>
      <c r="E1029" s="229" t="s">
        <v>818</v>
      </c>
      <c r="F1029" s="229">
        <v>2019</v>
      </c>
      <c r="G1029">
        <v>2</v>
      </c>
      <c r="H1029" t="s">
        <v>820</v>
      </c>
    </row>
    <row r="1030" spans="1:8">
      <c r="A1030" s="229" t="s">
        <v>1587</v>
      </c>
      <c r="C1030" s="229">
        <v>162.30000000000001</v>
      </c>
      <c r="D1030" s="229">
        <v>12010513</v>
      </c>
      <c r="E1030" s="229" t="s">
        <v>818</v>
      </c>
      <c r="F1030" s="229">
        <v>2019</v>
      </c>
      <c r="G1030">
        <v>2</v>
      </c>
      <c r="H1030" t="s">
        <v>820</v>
      </c>
    </row>
    <row r="1031" spans="1:8">
      <c r="A1031" s="229" t="s">
        <v>1587</v>
      </c>
      <c r="C1031" s="229">
        <v>227.22</v>
      </c>
      <c r="D1031" s="229">
        <v>12010513</v>
      </c>
      <c r="E1031" s="229" t="s">
        <v>818</v>
      </c>
      <c r="F1031" s="229">
        <v>2019</v>
      </c>
      <c r="G1031">
        <v>2</v>
      </c>
      <c r="H1031" t="s">
        <v>820</v>
      </c>
    </row>
    <row r="1032" spans="1:8">
      <c r="A1032" s="229" t="s">
        <v>1587</v>
      </c>
      <c r="C1032" s="229">
        <v>0</v>
      </c>
      <c r="D1032" s="229">
        <v>12010513</v>
      </c>
      <c r="E1032" s="229" t="s">
        <v>818</v>
      </c>
      <c r="F1032" s="229">
        <v>2019</v>
      </c>
      <c r="G1032">
        <v>2</v>
      </c>
      <c r="H1032" t="s">
        <v>820</v>
      </c>
    </row>
    <row r="1033" spans="1:8">
      <c r="A1033" s="229" t="s">
        <v>1587</v>
      </c>
      <c r="C1033" s="229">
        <v>0</v>
      </c>
      <c r="D1033" s="229">
        <v>12010513</v>
      </c>
      <c r="E1033" s="229" t="s">
        <v>818</v>
      </c>
      <c r="F1033" s="229">
        <v>2019</v>
      </c>
      <c r="G1033">
        <v>2</v>
      </c>
      <c r="H1033" t="s">
        <v>820</v>
      </c>
    </row>
    <row r="1034" spans="1:8">
      <c r="A1034" s="229" t="s">
        <v>1587</v>
      </c>
      <c r="C1034" s="229">
        <v>147.9</v>
      </c>
      <c r="D1034" s="229">
        <v>12010513</v>
      </c>
      <c r="E1034" s="229" t="s">
        <v>818</v>
      </c>
      <c r="F1034" s="229">
        <v>2019</v>
      </c>
      <c r="G1034">
        <v>2</v>
      </c>
      <c r="H1034" t="s">
        <v>820</v>
      </c>
    </row>
    <row r="1035" spans="1:8">
      <c r="A1035" s="229" t="s">
        <v>1587</v>
      </c>
      <c r="C1035" s="229">
        <v>178.5</v>
      </c>
      <c r="D1035" s="229">
        <v>12010513</v>
      </c>
      <c r="E1035" s="229" t="s">
        <v>818</v>
      </c>
      <c r="F1035" s="229">
        <v>2019</v>
      </c>
      <c r="G1035">
        <v>2</v>
      </c>
      <c r="H1035" t="s">
        <v>820</v>
      </c>
    </row>
    <row r="1036" spans="1:8">
      <c r="A1036" s="229" t="s">
        <v>1587</v>
      </c>
      <c r="C1036" s="229">
        <v>390.15</v>
      </c>
      <c r="D1036" s="229">
        <v>12010513</v>
      </c>
      <c r="E1036" s="229" t="s">
        <v>818</v>
      </c>
      <c r="F1036" s="229">
        <v>2019</v>
      </c>
      <c r="G1036">
        <v>2</v>
      </c>
      <c r="H1036" t="s">
        <v>820</v>
      </c>
    </row>
    <row r="1037" spans="1:8">
      <c r="A1037" s="229" t="s">
        <v>1587</v>
      </c>
      <c r="C1037" s="229">
        <v>306</v>
      </c>
      <c r="D1037" s="229">
        <v>12010513</v>
      </c>
      <c r="E1037" s="229" t="s">
        <v>818</v>
      </c>
      <c r="F1037" s="229">
        <v>2019</v>
      </c>
      <c r="G1037">
        <v>2</v>
      </c>
      <c r="H1037" t="s">
        <v>820</v>
      </c>
    </row>
    <row r="1038" spans="1:8">
      <c r="A1038" s="229" t="s">
        <v>1587</v>
      </c>
      <c r="C1038" s="229">
        <v>359.55</v>
      </c>
      <c r="D1038" s="229">
        <v>12010513</v>
      </c>
      <c r="E1038" s="229" t="s">
        <v>818</v>
      </c>
      <c r="F1038" s="229">
        <v>2019</v>
      </c>
      <c r="G1038">
        <v>2</v>
      </c>
      <c r="H1038" t="s">
        <v>820</v>
      </c>
    </row>
    <row r="1039" spans="1:8">
      <c r="A1039" s="229" t="s">
        <v>1587</v>
      </c>
      <c r="C1039" s="229">
        <v>421.98</v>
      </c>
      <c r="D1039" s="229">
        <v>12010513</v>
      </c>
      <c r="E1039" s="229" t="s">
        <v>818</v>
      </c>
      <c r="F1039" s="229">
        <v>2019</v>
      </c>
      <c r="G1039">
        <v>2</v>
      </c>
      <c r="H1039" t="s">
        <v>820</v>
      </c>
    </row>
    <row r="1040" spans="1:8">
      <c r="A1040" s="229" t="s">
        <v>1587</v>
      </c>
      <c r="C1040" s="229">
        <v>1850.22</v>
      </c>
      <c r="D1040" s="229">
        <v>12010513</v>
      </c>
      <c r="E1040" s="229" t="s">
        <v>818</v>
      </c>
      <c r="F1040" s="229">
        <v>2019</v>
      </c>
      <c r="G1040">
        <v>2</v>
      </c>
      <c r="H1040" t="s">
        <v>820</v>
      </c>
    </row>
    <row r="1041" spans="1:8">
      <c r="A1041" s="229" t="s">
        <v>1587</v>
      </c>
      <c r="C1041" s="229">
        <v>432.8</v>
      </c>
      <c r="D1041" s="229">
        <v>12010513</v>
      </c>
      <c r="E1041" s="229" t="s">
        <v>818</v>
      </c>
      <c r="F1041" s="229">
        <v>2019</v>
      </c>
      <c r="G1041">
        <v>2</v>
      </c>
      <c r="H1041" t="s">
        <v>820</v>
      </c>
    </row>
    <row r="1042" spans="1:8">
      <c r="A1042" s="229" t="s">
        <v>1587</v>
      </c>
      <c r="C1042" s="229">
        <v>346.24</v>
      </c>
      <c r="D1042" s="229">
        <v>12010513</v>
      </c>
      <c r="E1042" s="229" t="s">
        <v>818</v>
      </c>
      <c r="F1042" s="229">
        <v>2019</v>
      </c>
      <c r="G1042">
        <v>2</v>
      </c>
      <c r="H1042" t="s">
        <v>820</v>
      </c>
    </row>
    <row r="1043" spans="1:8">
      <c r="A1043" s="229" t="s">
        <v>1587</v>
      </c>
      <c r="C1043" s="229">
        <v>367.88</v>
      </c>
      <c r="D1043" s="229">
        <v>12010513</v>
      </c>
      <c r="E1043" s="229" t="s">
        <v>818</v>
      </c>
      <c r="F1043" s="229">
        <v>2019</v>
      </c>
      <c r="G1043">
        <v>2</v>
      </c>
      <c r="H1043" t="s">
        <v>820</v>
      </c>
    </row>
    <row r="1044" spans="1:8">
      <c r="A1044" s="229" t="s">
        <v>1587</v>
      </c>
      <c r="C1044" s="229">
        <v>186.99</v>
      </c>
      <c r="D1044" s="229">
        <v>12010513</v>
      </c>
      <c r="E1044" s="229" t="s">
        <v>818</v>
      </c>
      <c r="F1044" s="229">
        <v>2019</v>
      </c>
      <c r="G1044">
        <v>2</v>
      </c>
      <c r="H1044" t="s">
        <v>820</v>
      </c>
    </row>
    <row r="1045" spans="1:8">
      <c r="A1045" s="229" t="s">
        <v>1587</v>
      </c>
      <c r="C1045" s="229">
        <v>186.99</v>
      </c>
      <c r="D1045" s="229">
        <v>12010513</v>
      </c>
      <c r="E1045" s="229" t="s">
        <v>818</v>
      </c>
      <c r="F1045" s="229">
        <v>2019</v>
      </c>
      <c r="G1045">
        <v>2</v>
      </c>
      <c r="H1045" t="s">
        <v>820</v>
      </c>
    </row>
    <row r="1046" spans="1:8">
      <c r="A1046" s="229" t="s">
        <v>1587</v>
      </c>
      <c r="C1046" s="229">
        <v>73.17</v>
      </c>
      <c r="D1046" s="229">
        <v>12010513</v>
      </c>
      <c r="E1046" s="229" t="s">
        <v>818</v>
      </c>
      <c r="F1046" s="229">
        <v>2019</v>
      </c>
      <c r="G1046">
        <v>2</v>
      </c>
      <c r="H1046" t="s">
        <v>820</v>
      </c>
    </row>
    <row r="1047" spans="1:8">
      <c r="A1047" s="229" t="s">
        <v>1587</v>
      </c>
      <c r="C1047" s="229">
        <v>89.43</v>
      </c>
      <c r="D1047" s="229">
        <v>12010513</v>
      </c>
      <c r="E1047" s="229" t="s">
        <v>818</v>
      </c>
      <c r="F1047" s="229">
        <v>2019</v>
      </c>
      <c r="G1047">
        <v>2</v>
      </c>
      <c r="H1047" t="s">
        <v>820</v>
      </c>
    </row>
    <row r="1048" spans="1:8">
      <c r="A1048" s="229" t="s">
        <v>1587</v>
      </c>
      <c r="C1048" s="229">
        <v>140.91999999999999</v>
      </c>
      <c r="D1048" s="229">
        <v>12010513</v>
      </c>
      <c r="E1048" s="229" t="s">
        <v>818</v>
      </c>
      <c r="F1048" s="229">
        <v>2019</v>
      </c>
      <c r="G1048">
        <v>2</v>
      </c>
      <c r="H1048" t="s">
        <v>820</v>
      </c>
    </row>
    <row r="1049" spans="1:8">
      <c r="A1049" s="229" t="s">
        <v>1587</v>
      </c>
      <c r="C1049" s="229">
        <v>70.459999999999994</v>
      </c>
      <c r="D1049" s="229">
        <v>12010513</v>
      </c>
      <c r="E1049" s="229" t="s">
        <v>818</v>
      </c>
      <c r="F1049" s="229">
        <v>2019</v>
      </c>
      <c r="G1049">
        <v>2</v>
      </c>
      <c r="H1049" t="s">
        <v>820</v>
      </c>
    </row>
    <row r="1050" spans="1:8">
      <c r="A1050" s="229" t="s">
        <v>1587</v>
      </c>
      <c r="C1050" s="229">
        <v>170.73</v>
      </c>
      <c r="D1050" s="229">
        <v>12010513</v>
      </c>
      <c r="E1050" s="229" t="s">
        <v>818</v>
      </c>
      <c r="F1050" s="229">
        <v>2019</v>
      </c>
      <c r="G1050">
        <v>2</v>
      </c>
      <c r="H1050" t="s">
        <v>820</v>
      </c>
    </row>
    <row r="1051" spans="1:8">
      <c r="A1051" s="229" t="s">
        <v>1587</v>
      </c>
      <c r="C1051" s="229">
        <v>257.93</v>
      </c>
      <c r="D1051" s="229">
        <v>12010513</v>
      </c>
      <c r="E1051" s="229" t="s">
        <v>818</v>
      </c>
      <c r="F1051" s="229">
        <v>2019</v>
      </c>
      <c r="G1051">
        <v>2</v>
      </c>
      <c r="H1051" t="s">
        <v>820</v>
      </c>
    </row>
    <row r="1052" spans="1:8">
      <c r="A1052" s="229" t="s">
        <v>1587</v>
      </c>
      <c r="C1052" s="229">
        <v>157.47</v>
      </c>
      <c r="D1052" s="229">
        <v>12010513</v>
      </c>
      <c r="E1052" s="229" t="s">
        <v>818</v>
      </c>
      <c r="F1052" s="229">
        <v>2019</v>
      </c>
      <c r="G1052">
        <v>2</v>
      </c>
      <c r="H1052" t="s">
        <v>820</v>
      </c>
    </row>
    <row r="1053" spans="1:8">
      <c r="A1053" s="229" t="s">
        <v>1587</v>
      </c>
      <c r="C1053" s="229">
        <v>195.48</v>
      </c>
      <c r="D1053" s="229">
        <v>12010513</v>
      </c>
      <c r="E1053" s="229" t="s">
        <v>818</v>
      </c>
      <c r="F1053" s="229">
        <v>2019</v>
      </c>
      <c r="G1053">
        <v>2</v>
      </c>
      <c r="H1053" t="s">
        <v>820</v>
      </c>
    </row>
    <row r="1054" spans="1:8">
      <c r="A1054" s="229" t="s">
        <v>1587</v>
      </c>
      <c r="C1054" s="229">
        <v>86.88</v>
      </c>
      <c r="D1054" s="229">
        <v>12010513</v>
      </c>
      <c r="E1054" s="229" t="s">
        <v>818</v>
      </c>
      <c r="F1054" s="229">
        <v>2019</v>
      </c>
      <c r="G1054">
        <v>2</v>
      </c>
      <c r="H1054" t="s">
        <v>820</v>
      </c>
    </row>
    <row r="1055" spans="1:8">
      <c r="A1055" s="229" t="s">
        <v>1587</v>
      </c>
      <c r="C1055" s="229">
        <v>146.61000000000001</v>
      </c>
      <c r="D1055" s="229">
        <v>12010513</v>
      </c>
      <c r="E1055" s="229" t="s">
        <v>818</v>
      </c>
      <c r="F1055" s="229">
        <v>2019</v>
      </c>
      <c r="G1055">
        <v>2</v>
      </c>
      <c r="H1055" t="s">
        <v>820</v>
      </c>
    </row>
    <row r="1056" spans="1:8">
      <c r="A1056" s="229" t="s">
        <v>1587</v>
      </c>
      <c r="C1056" s="229">
        <v>76.02</v>
      </c>
      <c r="D1056" s="229">
        <v>12010513</v>
      </c>
      <c r="E1056" s="229" t="s">
        <v>818</v>
      </c>
      <c r="F1056" s="229">
        <v>2019</v>
      </c>
      <c r="G1056">
        <v>2</v>
      </c>
      <c r="H1056" t="s">
        <v>820</v>
      </c>
    </row>
    <row r="1057" spans="1:8">
      <c r="A1057" s="229" t="s">
        <v>1587</v>
      </c>
      <c r="C1057" s="229">
        <v>157.47</v>
      </c>
      <c r="D1057" s="229">
        <v>12010513</v>
      </c>
      <c r="E1057" s="229" t="s">
        <v>818</v>
      </c>
      <c r="F1057" s="229">
        <v>2019</v>
      </c>
      <c r="G1057">
        <v>2</v>
      </c>
      <c r="H1057" t="s">
        <v>820</v>
      </c>
    </row>
    <row r="1058" spans="1:8">
      <c r="A1058" s="229" t="s">
        <v>1587</v>
      </c>
      <c r="C1058" s="229">
        <v>550.79999999999995</v>
      </c>
      <c r="D1058" s="229">
        <v>12010513</v>
      </c>
      <c r="E1058" s="229" t="s">
        <v>818</v>
      </c>
      <c r="F1058" s="229">
        <v>2019</v>
      </c>
      <c r="G1058">
        <v>2</v>
      </c>
      <c r="H1058" t="s">
        <v>820</v>
      </c>
    </row>
    <row r="1059" spans="1:8">
      <c r="A1059" s="229" t="s">
        <v>1589</v>
      </c>
      <c r="C1059" s="229">
        <v>35.6</v>
      </c>
      <c r="D1059" s="229">
        <v>12010513</v>
      </c>
      <c r="E1059" s="229" t="s">
        <v>818</v>
      </c>
      <c r="F1059" s="229">
        <v>2019</v>
      </c>
      <c r="G1059">
        <v>2</v>
      </c>
      <c r="H1059" t="s">
        <v>820</v>
      </c>
    </row>
    <row r="1060" spans="1:8">
      <c r="A1060" s="229" t="s">
        <v>1589</v>
      </c>
      <c r="C1060" s="229">
        <v>76.14</v>
      </c>
      <c r="D1060" s="229">
        <v>12010513</v>
      </c>
      <c r="E1060" s="229" t="s">
        <v>818</v>
      </c>
      <c r="F1060" s="229">
        <v>2019</v>
      </c>
      <c r="G1060">
        <v>2</v>
      </c>
      <c r="H1060" t="s">
        <v>820</v>
      </c>
    </row>
    <row r="1061" spans="1:8">
      <c r="A1061" s="229" t="s">
        <v>1589</v>
      </c>
      <c r="C1061" s="229">
        <v>44.01</v>
      </c>
      <c r="D1061" s="229">
        <v>12010513</v>
      </c>
      <c r="E1061" s="229" t="s">
        <v>818</v>
      </c>
      <c r="F1061" s="229">
        <v>2019</v>
      </c>
      <c r="G1061">
        <v>2</v>
      </c>
      <c r="H1061" t="s">
        <v>820</v>
      </c>
    </row>
    <row r="1062" spans="1:8">
      <c r="A1062" s="229" t="s">
        <v>1596</v>
      </c>
      <c r="D1062" s="229">
        <v>12010513</v>
      </c>
      <c r="E1062" s="229" t="s">
        <v>818</v>
      </c>
      <c r="F1062" s="229">
        <v>2019</v>
      </c>
      <c r="G1062">
        <v>2</v>
      </c>
      <c r="H1062" t="s">
        <v>820</v>
      </c>
    </row>
    <row r="1063" spans="1:8">
      <c r="A1063" s="229" t="s">
        <v>1596</v>
      </c>
      <c r="C1063" s="229">
        <v>58.08</v>
      </c>
      <c r="D1063" s="229">
        <v>12010513</v>
      </c>
      <c r="E1063" s="229" t="s">
        <v>818</v>
      </c>
      <c r="F1063" s="229">
        <v>2019</v>
      </c>
      <c r="G1063">
        <v>2</v>
      </c>
      <c r="H1063" t="s">
        <v>820</v>
      </c>
    </row>
    <row r="1064" spans="1:8">
      <c r="A1064" s="229" t="s">
        <v>1596</v>
      </c>
      <c r="C1064" s="229">
        <v>58.08</v>
      </c>
      <c r="D1064" s="229">
        <v>12010513</v>
      </c>
      <c r="E1064" s="229" t="s">
        <v>818</v>
      </c>
      <c r="F1064" s="229">
        <v>2019</v>
      </c>
      <c r="G1064">
        <v>2</v>
      </c>
      <c r="H1064" t="s">
        <v>820</v>
      </c>
    </row>
    <row r="1065" spans="1:8">
      <c r="A1065" s="229" t="s">
        <v>1596</v>
      </c>
      <c r="D1065" s="229">
        <v>12010513</v>
      </c>
      <c r="E1065" s="229" t="s">
        <v>818</v>
      </c>
      <c r="F1065" s="229">
        <v>2019</v>
      </c>
      <c r="G1065">
        <v>2</v>
      </c>
      <c r="H1065" t="s">
        <v>820</v>
      </c>
    </row>
    <row r="1066" spans="1:8">
      <c r="A1066" s="229" t="s">
        <v>1596</v>
      </c>
      <c r="C1066" s="229">
        <v>58.08</v>
      </c>
      <c r="D1066" s="229">
        <v>12010513</v>
      </c>
      <c r="E1066" s="229" t="s">
        <v>818</v>
      </c>
      <c r="F1066" s="229">
        <v>2019</v>
      </c>
      <c r="G1066">
        <v>2</v>
      </c>
      <c r="H1066" t="s">
        <v>820</v>
      </c>
    </row>
    <row r="1067" spans="1:8">
      <c r="A1067" s="229" t="s">
        <v>1596</v>
      </c>
      <c r="D1067" s="229">
        <v>12010513</v>
      </c>
      <c r="E1067" s="229" t="s">
        <v>818</v>
      </c>
      <c r="F1067" s="229">
        <v>2019</v>
      </c>
      <c r="G1067">
        <v>2</v>
      </c>
      <c r="H1067" t="s">
        <v>820</v>
      </c>
    </row>
    <row r="1068" spans="1:8">
      <c r="A1068" s="229" t="s">
        <v>1597</v>
      </c>
      <c r="C1068" s="229">
        <v>144</v>
      </c>
      <c r="D1068" s="229">
        <v>12010513</v>
      </c>
      <c r="E1068" s="229" t="s">
        <v>818</v>
      </c>
      <c r="F1068" s="229">
        <v>2019</v>
      </c>
      <c r="G1068">
        <v>2</v>
      </c>
      <c r="H1068" t="s">
        <v>820</v>
      </c>
    </row>
    <row r="1069" spans="1:8">
      <c r="A1069" s="229" t="s">
        <v>1602</v>
      </c>
      <c r="C1069" s="229">
        <v>2556.06</v>
      </c>
      <c r="D1069" s="229">
        <v>12010513</v>
      </c>
      <c r="E1069" s="229" t="s">
        <v>818</v>
      </c>
      <c r="F1069" s="229">
        <v>2019</v>
      </c>
      <c r="G1069">
        <v>2</v>
      </c>
      <c r="H1069" t="s">
        <v>820</v>
      </c>
    </row>
    <row r="1070" spans="1:8">
      <c r="A1070" s="229" t="s">
        <v>1602</v>
      </c>
      <c r="C1070" s="229">
        <v>3124.8</v>
      </c>
      <c r="D1070" s="229">
        <v>12010513</v>
      </c>
      <c r="E1070" s="229" t="s">
        <v>818</v>
      </c>
      <c r="F1070" s="229">
        <v>2019</v>
      </c>
      <c r="G1070">
        <v>2</v>
      </c>
      <c r="H1070" t="s">
        <v>820</v>
      </c>
    </row>
    <row r="1071" spans="1:8">
      <c r="A1071" s="229" t="s">
        <v>1604</v>
      </c>
      <c r="C1071" s="229">
        <v>55.98</v>
      </c>
      <c r="D1071" s="229">
        <v>12010513</v>
      </c>
      <c r="E1071" s="229" t="s">
        <v>818</v>
      </c>
      <c r="F1071" s="229">
        <v>2019</v>
      </c>
      <c r="G1071">
        <v>2</v>
      </c>
      <c r="H1071" t="s">
        <v>820</v>
      </c>
    </row>
    <row r="1072" spans="1:8">
      <c r="A1072" s="229" t="s">
        <v>1604</v>
      </c>
      <c r="C1072" s="229">
        <v>316.32</v>
      </c>
      <c r="D1072" s="229">
        <v>12010513</v>
      </c>
      <c r="E1072" s="229" t="s">
        <v>818</v>
      </c>
      <c r="F1072" s="229">
        <v>2019</v>
      </c>
      <c r="G1072">
        <v>2</v>
      </c>
      <c r="H1072" t="s">
        <v>820</v>
      </c>
    </row>
    <row r="1073" spans="1:8">
      <c r="A1073" s="229" t="s">
        <v>1604</v>
      </c>
      <c r="C1073" s="229">
        <v>899.99</v>
      </c>
      <c r="D1073" s="229">
        <v>12010513</v>
      </c>
      <c r="E1073" s="229" t="s">
        <v>818</v>
      </c>
      <c r="F1073" s="229">
        <v>2019</v>
      </c>
      <c r="G1073">
        <v>2</v>
      </c>
      <c r="H1073" t="s">
        <v>820</v>
      </c>
    </row>
    <row r="1074" spans="1:8">
      <c r="A1074" s="229" t="s">
        <v>1608</v>
      </c>
      <c r="C1074" s="229">
        <v>18.989999999999998</v>
      </c>
      <c r="D1074" s="229">
        <v>12010513</v>
      </c>
      <c r="E1074" s="229" t="s">
        <v>818</v>
      </c>
      <c r="F1074" s="229">
        <v>2019</v>
      </c>
      <c r="G1074">
        <v>2</v>
      </c>
      <c r="H1074" t="s">
        <v>820</v>
      </c>
    </row>
    <row r="1075" spans="1:8">
      <c r="A1075" s="229" t="s">
        <v>1608</v>
      </c>
      <c r="C1075" s="229">
        <v>11.98</v>
      </c>
      <c r="D1075" s="229">
        <v>12010513</v>
      </c>
      <c r="E1075" s="229" t="s">
        <v>818</v>
      </c>
      <c r="F1075" s="229">
        <v>2019</v>
      </c>
      <c r="G1075">
        <v>2</v>
      </c>
      <c r="H1075" t="s">
        <v>820</v>
      </c>
    </row>
    <row r="1076" spans="1:8">
      <c r="A1076" s="229" t="s">
        <v>1609</v>
      </c>
      <c r="C1076" s="229">
        <v>40.99</v>
      </c>
      <c r="D1076" s="229">
        <v>12010513</v>
      </c>
      <c r="E1076" s="229" t="s">
        <v>818</v>
      </c>
      <c r="F1076" s="229">
        <v>2019</v>
      </c>
      <c r="G1076">
        <v>2</v>
      </c>
      <c r="H1076" t="s">
        <v>820</v>
      </c>
    </row>
    <row r="1077" spans="1:8">
      <c r="A1077" s="229" t="s">
        <v>1609</v>
      </c>
      <c r="C1077" s="229">
        <v>48.97</v>
      </c>
      <c r="D1077" s="229">
        <v>12010513</v>
      </c>
      <c r="E1077" s="229" t="s">
        <v>818</v>
      </c>
      <c r="F1077" s="229">
        <v>2019</v>
      </c>
      <c r="G1077">
        <v>2</v>
      </c>
      <c r="H1077" t="s">
        <v>820</v>
      </c>
    </row>
    <row r="1078" spans="1:8">
      <c r="A1078" s="229" t="s">
        <v>1609</v>
      </c>
      <c r="C1078" s="229">
        <v>70.599999999999994</v>
      </c>
      <c r="D1078" s="229">
        <v>12010513</v>
      </c>
      <c r="E1078" s="229" t="s">
        <v>818</v>
      </c>
      <c r="F1078" s="229">
        <v>2019</v>
      </c>
      <c r="G1078">
        <v>2</v>
      </c>
      <c r="H1078" t="s">
        <v>820</v>
      </c>
    </row>
    <row r="1079" spans="1:8">
      <c r="A1079" s="229" t="s">
        <v>1610</v>
      </c>
      <c r="C1079" s="229">
        <v>200</v>
      </c>
      <c r="D1079" s="229">
        <v>12010513</v>
      </c>
      <c r="E1079" s="229" t="s">
        <v>818</v>
      </c>
      <c r="F1079" s="229">
        <v>2019</v>
      </c>
      <c r="G1079">
        <v>2</v>
      </c>
      <c r="H1079" t="s">
        <v>820</v>
      </c>
    </row>
    <row r="1080" spans="1:8">
      <c r="A1080" s="229" t="s">
        <v>1611</v>
      </c>
      <c r="D1080" s="229">
        <v>12010513</v>
      </c>
      <c r="E1080" s="229" t="s">
        <v>818</v>
      </c>
      <c r="F1080" s="229">
        <v>2019</v>
      </c>
      <c r="G1080">
        <v>2</v>
      </c>
      <c r="H1080" t="s">
        <v>820</v>
      </c>
    </row>
    <row r="1081" spans="1:8">
      <c r="A1081" s="229" t="s">
        <v>1611</v>
      </c>
      <c r="C1081" s="229">
        <v>600</v>
      </c>
      <c r="D1081" s="229">
        <v>12010513</v>
      </c>
      <c r="E1081" s="229" t="s">
        <v>818</v>
      </c>
      <c r="F1081" s="229">
        <v>2019</v>
      </c>
      <c r="G1081">
        <v>2</v>
      </c>
      <c r="H1081" t="s">
        <v>820</v>
      </c>
    </row>
    <row r="1082" spans="1:8">
      <c r="A1082" s="229" t="s">
        <v>1611</v>
      </c>
      <c r="D1082" s="229">
        <v>12010513</v>
      </c>
      <c r="E1082" s="229" t="s">
        <v>818</v>
      </c>
      <c r="F1082" s="229">
        <v>2019</v>
      </c>
      <c r="G1082">
        <v>2</v>
      </c>
      <c r="H1082" t="s">
        <v>820</v>
      </c>
    </row>
    <row r="1083" spans="1:8">
      <c r="A1083" s="229" t="s">
        <v>1611</v>
      </c>
      <c r="C1083" s="229">
        <v>600</v>
      </c>
      <c r="D1083" s="229">
        <v>12010513</v>
      </c>
      <c r="E1083" s="229" t="s">
        <v>818</v>
      </c>
      <c r="F1083" s="229">
        <v>2019</v>
      </c>
      <c r="G1083">
        <v>2</v>
      </c>
      <c r="H1083" t="s">
        <v>820</v>
      </c>
    </row>
    <row r="1084" spans="1:8">
      <c r="A1084" s="229" t="s">
        <v>1618</v>
      </c>
      <c r="C1084" s="229">
        <v>-382.13</v>
      </c>
      <c r="D1084" s="229">
        <v>12010513</v>
      </c>
      <c r="E1084" s="229" t="s">
        <v>818</v>
      </c>
      <c r="F1084" s="229">
        <v>2019</v>
      </c>
      <c r="G1084">
        <v>2</v>
      </c>
      <c r="H1084" t="s">
        <v>820</v>
      </c>
    </row>
    <row r="1085" spans="1:8">
      <c r="A1085" s="229" t="s">
        <v>1618</v>
      </c>
      <c r="C1085" s="229">
        <v>764.27</v>
      </c>
      <c r="D1085" s="229">
        <v>12010513</v>
      </c>
      <c r="E1085" s="229" t="s">
        <v>818</v>
      </c>
      <c r="F1085" s="229">
        <v>2019</v>
      </c>
      <c r="G1085">
        <v>2</v>
      </c>
      <c r="H1085" t="s">
        <v>820</v>
      </c>
    </row>
    <row r="1086" spans="1:8">
      <c r="A1086" s="229" t="s">
        <v>1618</v>
      </c>
      <c r="C1086" s="229">
        <v>-386.07</v>
      </c>
      <c r="D1086" s="229">
        <v>12010513</v>
      </c>
      <c r="E1086" s="229" t="s">
        <v>818</v>
      </c>
      <c r="F1086" s="229">
        <v>2019</v>
      </c>
      <c r="G1086">
        <v>2</v>
      </c>
      <c r="H1086" t="s">
        <v>820</v>
      </c>
    </row>
    <row r="1087" spans="1:8">
      <c r="A1087" s="229" t="s">
        <v>1618</v>
      </c>
      <c r="C1087" s="229">
        <v>772.15</v>
      </c>
      <c r="D1087" s="229">
        <v>12010513</v>
      </c>
      <c r="E1087" s="229" t="s">
        <v>818</v>
      </c>
      <c r="F1087" s="229">
        <v>2019</v>
      </c>
      <c r="G1087">
        <v>2</v>
      </c>
      <c r="H1087" t="s">
        <v>820</v>
      </c>
    </row>
    <row r="1088" spans="1:8">
      <c r="A1088" s="229" t="s">
        <v>1618</v>
      </c>
      <c r="C1088" s="229">
        <v>-194.68</v>
      </c>
      <c r="D1088" s="229">
        <v>12010513</v>
      </c>
      <c r="E1088" s="229" t="s">
        <v>818</v>
      </c>
      <c r="F1088" s="229">
        <v>2019</v>
      </c>
      <c r="G1088">
        <v>2</v>
      </c>
      <c r="H1088" t="s">
        <v>820</v>
      </c>
    </row>
    <row r="1089" spans="1:8">
      <c r="A1089" s="229" t="s">
        <v>1618</v>
      </c>
      <c r="C1089" s="229">
        <v>389.36</v>
      </c>
      <c r="D1089" s="229">
        <v>12010513</v>
      </c>
      <c r="E1089" s="229" t="s">
        <v>818</v>
      </c>
      <c r="F1089" s="229">
        <v>2019</v>
      </c>
      <c r="G1089">
        <v>2</v>
      </c>
      <c r="H1089" t="s">
        <v>820</v>
      </c>
    </row>
    <row r="1090" spans="1:8">
      <c r="A1090" s="229" t="s">
        <v>1619</v>
      </c>
      <c r="C1090" s="229">
        <v>70.099999999999994</v>
      </c>
      <c r="D1090" s="229">
        <v>12010513</v>
      </c>
      <c r="E1090" s="229" t="s">
        <v>818</v>
      </c>
      <c r="F1090" s="229">
        <v>2019</v>
      </c>
      <c r="G1090">
        <v>2</v>
      </c>
      <c r="H1090" t="s">
        <v>820</v>
      </c>
    </row>
    <row r="1091" spans="1:8">
      <c r="A1091" s="229" t="s">
        <v>1619</v>
      </c>
      <c r="C1091" s="229">
        <v>70.819999999999993</v>
      </c>
      <c r="D1091" s="229">
        <v>12010513</v>
      </c>
      <c r="E1091" s="229" t="s">
        <v>818</v>
      </c>
      <c r="F1091" s="229">
        <v>2019</v>
      </c>
      <c r="G1091">
        <v>2</v>
      </c>
      <c r="H1091" t="s">
        <v>820</v>
      </c>
    </row>
    <row r="1092" spans="1:8">
      <c r="A1092" s="229" t="s">
        <v>1619</v>
      </c>
      <c r="C1092" s="229">
        <v>35.71</v>
      </c>
      <c r="D1092" s="229">
        <v>12010513</v>
      </c>
      <c r="E1092" s="229" t="s">
        <v>818</v>
      </c>
      <c r="F1092" s="229">
        <v>2019</v>
      </c>
      <c r="G1092">
        <v>2</v>
      </c>
      <c r="H1092" t="s">
        <v>820</v>
      </c>
    </row>
    <row r="1093" spans="1:8">
      <c r="A1093" s="229" t="s">
        <v>1620</v>
      </c>
      <c r="C1093" s="229">
        <v>382.13</v>
      </c>
      <c r="D1093" s="229">
        <v>12010513</v>
      </c>
      <c r="E1093" s="229" t="s">
        <v>818</v>
      </c>
      <c r="F1093" s="229">
        <v>2019</v>
      </c>
      <c r="G1093">
        <v>2</v>
      </c>
      <c r="H1093" t="s">
        <v>820</v>
      </c>
    </row>
    <row r="1094" spans="1:8">
      <c r="A1094" s="229" t="s">
        <v>1620</v>
      </c>
      <c r="C1094" s="229">
        <v>386.07</v>
      </c>
      <c r="D1094" s="229">
        <v>12010513</v>
      </c>
      <c r="E1094" s="229" t="s">
        <v>818</v>
      </c>
      <c r="F1094" s="229">
        <v>2019</v>
      </c>
      <c r="G1094">
        <v>2</v>
      </c>
      <c r="H1094" t="s">
        <v>820</v>
      </c>
    </row>
    <row r="1095" spans="1:8">
      <c r="A1095" s="229" t="s">
        <v>1620</v>
      </c>
      <c r="C1095" s="229">
        <v>194.68</v>
      </c>
      <c r="D1095" s="229">
        <v>12010513</v>
      </c>
      <c r="E1095" s="229" t="s">
        <v>818</v>
      </c>
      <c r="F1095" s="229">
        <v>2019</v>
      </c>
      <c r="G1095">
        <v>2</v>
      </c>
      <c r="H1095" t="s">
        <v>820</v>
      </c>
    </row>
    <row r="1096" spans="1:8">
      <c r="A1096" s="229" t="s">
        <v>1584</v>
      </c>
      <c r="C1096" s="229">
        <v>-72921</v>
      </c>
      <c r="D1096" s="229">
        <v>12010513</v>
      </c>
      <c r="E1096" s="229" t="s">
        <v>818</v>
      </c>
      <c r="F1096" s="229">
        <v>2019</v>
      </c>
      <c r="G1096">
        <v>3</v>
      </c>
      <c r="H1096" t="s">
        <v>820</v>
      </c>
    </row>
    <row r="1097" spans="1:8">
      <c r="A1097" s="229" t="s">
        <v>1587</v>
      </c>
      <c r="C1097" s="229">
        <v>432.06</v>
      </c>
      <c r="D1097" s="229">
        <v>12010513</v>
      </c>
      <c r="E1097" s="229" t="s">
        <v>818</v>
      </c>
      <c r="F1097" s="229">
        <v>2019</v>
      </c>
      <c r="G1097">
        <v>3</v>
      </c>
      <c r="H1097" t="s">
        <v>820</v>
      </c>
    </row>
    <row r="1098" spans="1:8">
      <c r="A1098" s="229" t="s">
        <v>1587</v>
      </c>
      <c r="C1098" s="229">
        <v>409.32</v>
      </c>
      <c r="D1098" s="229">
        <v>12010513</v>
      </c>
      <c r="E1098" s="229" t="s">
        <v>818</v>
      </c>
      <c r="F1098" s="229">
        <v>2019</v>
      </c>
      <c r="G1098">
        <v>3</v>
      </c>
      <c r="H1098" t="s">
        <v>820</v>
      </c>
    </row>
    <row r="1099" spans="1:8">
      <c r="A1099" s="229" t="s">
        <v>1587</v>
      </c>
      <c r="C1099" s="229">
        <v>352.47</v>
      </c>
      <c r="D1099" s="229">
        <v>12010513</v>
      </c>
      <c r="E1099" s="229" t="s">
        <v>818</v>
      </c>
      <c r="F1099" s="229">
        <v>2019</v>
      </c>
      <c r="G1099">
        <v>3</v>
      </c>
      <c r="H1099" t="s">
        <v>820</v>
      </c>
    </row>
    <row r="1100" spans="1:8">
      <c r="A1100" s="229" t="s">
        <v>1587</v>
      </c>
      <c r="C1100" s="229">
        <v>409.32</v>
      </c>
      <c r="D1100" s="229">
        <v>12010513</v>
      </c>
      <c r="E1100" s="229" t="s">
        <v>818</v>
      </c>
      <c r="F1100" s="229">
        <v>2019</v>
      </c>
      <c r="G1100">
        <v>3</v>
      </c>
      <c r="H1100" t="s">
        <v>820</v>
      </c>
    </row>
    <row r="1101" spans="1:8">
      <c r="A1101" s="229" t="s">
        <v>1587</v>
      </c>
      <c r="C1101" s="229">
        <v>110.86</v>
      </c>
      <c r="D1101" s="229">
        <v>12010513</v>
      </c>
      <c r="E1101" s="229" t="s">
        <v>818</v>
      </c>
      <c r="F1101" s="229">
        <v>2019</v>
      </c>
      <c r="G1101">
        <v>3</v>
      </c>
      <c r="H1101" t="s">
        <v>820</v>
      </c>
    </row>
    <row r="1102" spans="1:8">
      <c r="A1102" s="229" t="s">
        <v>1587</v>
      </c>
      <c r="C1102" s="229">
        <v>343.94</v>
      </c>
      <c r="D1102" s="229">
        <v>12010513</v>
      </c>
      <c r="E1102" s="229" t="s">
        <v>818</v>
      </c>
      <c r="F1102" s="229">
        <v>2019</v>
      </c>
      <c r="G1102">
        <v>3</v>
      </c>
      <c r="H1102" t="s">
        <v>820</v>
      </c>
    </row>
    <row r="1103" spans="1:8">
      <c r="A1103" s="229" t="s">
        <v>1587</v>
      </c>
      <c r="C1103" s="229">
        <v>346.79</v>
      </c>
      <c r="D1103" s="229">
        <v>12010513</v>
      </c>
      <c r="E1103" s="229" t="s">
        <v>818</v>
      </c>
      <c r="F1103" s="229">
        <v>2019</v>
      </c>
      <c r="G1103">
        <v>3</v>
      </c>
      <c r="H1103" t="s">
        <v>820</v>
      </c>
    </row>
    <row r="1104" spans="1:8">
      <c r="A1104" s="229" t="s">
        <v>1587</v>
      </c>
      <c r="C1104" s="229">
        <v>369.53</v>
      </c>
      <c r="D1104" s="229">
        <v>12010513</v>
      </c>
      <c r="E1104" s="229" t="s">
        <v>818</v>
      </c>
      <c r="F1104" s="229">
        <v>2019</v>
      </c>
      <c r="G1104">
        <v>3</v>
      </c>
      <c r="H1104" t="s">
        <v>820</v>
      </c>
    </row>
    <row r="1105" spans="1:8">
      <c r="A1105" s="229" t="s">
        <v>1587</v>
      </c>
      <c r="C1105" s="229">
        <v>341.1</v>
      </c>
      <c r="D1105" s="229">
        <v>12010513</v>
      </c>
      <c r="E1105" s="229" t="s">
        <v>818</v>
      </c>
      <c r="F1105" s="229">
        <v>2019</v>
      </c>
      <c r="G1105">
        <v>3</v>
      </c>
      <c r="H1105" t="s">
        <v>820</v>
      </c>
    </row>
    <row r="1106" spans="1:8">
      <c r="A1106" s="229" t="s">
        <v>1587</v>
      </c>
      <c r="C1106" s="229">
        <v>156.34</v>
      </c>
      <c r="D1106" s="229">
        <v>12010513</v>
      </c>
      <c r="E1106" s="229" t="s">
        <v>818</v>
      </c>
      <c r="F1106" s="229">
        <v>2019</v>
      </c>
      <c r="G1106">
        <v>3</v>
      </c>
      <c r="H1106" t="s">
        <v>820</v>
      </c>
    </row>
    <row r="1107" spans="1:8">
      <c r="A1107" s="229" t="s">
        <v>1587</v>
      </c>
      <c r="C1107" s="229">
        <v>207.5</v>
      </c>
      <c r="D1107" s="229">
        <v>12010513</v>
      </c>
      <c r="E1107" s="229" t="s">
        <v>818</v>
      </c>
      <c r="F1107" s="229">
        <v>2019</v>
      </c>
      <c r="G1107">
        <v>3</v>
      </c>
      <c r="H1107" t="s">
        <v>820</v>
      </c>
    </row>
    <row r="1108" spans="1:8">
      <c r="A1108" s="229" t="s">
        <v>1587</v>
      </c>
      <c r="C1108" s="229">
        <v>454.8</v>
      </c>
      <c r="D1108" s="229">
        <v>12010513</v>
      </c>
      <c r="E1108" s="229" t="s">
        <v>818</v>
      </c>
      <c r="F1108" s="229">
        <v>2019</v>
      </c>
      <c r="G1108">
        <v>3</v>
      </c>
      <c r="H1108" t="s">
        <v>820</v>
      </c>
    </row>
    <row r="1109" spans="1:8">
      <c r="A1109" s="229" t="s">
        <v>1587</v>
      </c>
      <c r="C1109" s="229">
        <v>454.8</v>
      </c>
      <c r="D1109" s="229">
        <v>12010513</v>
      </c>
      <c r="E1109" s="229" t="s">
        <v>818</v>
      </c>
      <c r="F1109" s="229">
        <v>2019</v>
      </c>
      <c r="G1109">
        <v>3</v>
      </c>
      <c r="H1109" t="s">
        <v>820</v>
      </c>
    </row>
    <row r="1110" spans="1:8">
      <c r="A1110" s="229" t="s">
        <v>1587</v>
      </c>
      <c r="C1110" s="229">
        <v>460.49</v>
      </c>
      <c r="D1110" s="229">
        <v>12010513</v>
      </c>
      <c r="E1110" s="229" t="s">
        <v>818</v>
      </c>
      <c r="F1110" s="229">
        <v>2019</v>
      </c>
      <c r="G1110">
        <v>3</v>
      </c>
      <c r="H1110" t="s">
        <v>820</v>
      </c>
    </row>
    <row r="1111" spans="1:8">
      <c r="A1111" s="229" t="s">
        <v>1587</v>
      </c>
      <c r="C1111" s="229">
        <v>22.74</v>
      </c>
      <c r="D1111" s="229">
        <v>12010513</v>
      </c>
      <c r="E1111" s="229" t="s">
        <v>818</v>
      </c>
      <c r="F1111" s="229">
        <v>2019</v>
      </c>
      <c r="G1111">
        <v>3</v>
      </c>
      <c r="H1111" t="s">
        <v>820</v>
      </c>
    </row>
    <row r="1112" spans="1:8">
      <c r="A1112" s="229" t="s">
        <v>1587</v>
      </c>
      <c r="C1112" s="229">
        <v>34.11</v>
      </c>
      <c r="D1112" s="229">
        <v>12010513</v>
      </c>
      <c r="E1112" s="229" t="s">
        <v>818</v>
      </c>
      <c r="F1112" s="229">
        <v>2019</v>
      </c>
      <c r="G1112">
        <v>3</v>
      </c>
      <c r="H1112" t="s">
        <v>820</v>
      </c>
    </row>
    <row r="1113" spans="1:8">
      <c r="A1113" s="229" t="s">
        <v>1587</v>
      </c>
      <c r="C1113" s="229">
        <v>181.92</v>
      </c>
      <c r="D1113" s="229">
        <v>12010513</v>
      </c>
      <c r="E1113" s="229" t="s">
        <v>818</v>
      </c>
      <c r="F1113" s="229">
        <v>2019</v>
      </c>
      <c r="G1113">
        <v>3</v>
      </c>
      <c r="H1113" t="s">
        <v>820</v>
      </c>
    </row>
    <row r="1114" spans="1:8">
      <c r="A1114" s="229" t="s">
        <v>1587</v>
      </c>
      <c r="C1114" s="229">
        <v>159.18</v>
      </c>
      <c r="D1114" s="229">
        <v>12010513</v>
      </c>
      <c r="E1114" s="229" t="s">
        <v>818</v>
      </c>
      <c r="F1114" s="229">
        <v>2019</v>
      </c>
      <c r="G1114">
        <v>3</v>
      </c>
      <c r="H1114" t="s">
        <v>820</v>
      </c>
    </row>
    <row r="1115" spans="1:8">
      <c r="A1115" s="229" t="s">
        <v>1587</v>
      </c>
      <c r="C1115" s="229">
        <v>181.92</v>
      </c>
      <c r="D1115" s="229">
        <v>12010513</v>
      </c>
      <c r="E1115" s="229" t="s">
        <v>818</v>
      </c>
      <c r="F1115" s="229">
        <v>2019</v>
      </c>
      <c r="G1115">
        <v>3</v>
      </c>
      <c r="H1115" t="s">
        <v>820</v>
      </c>
    </row>
    <row r="1116" spans="1:8">
      <c r="A1116" s="229" t="s">
        <v>1587</v>
      </c>
      <c r="C1116" s="229">
        <v>181.92</v>
      </c>
      <c r="D1116" s="229">
        <v>12010513</v>
      </c>
      <c r="E1116" s="229" t="s">
        <v>818</v>
      </c>
      <c r="F1116" s="229">
        <v>2019</v>
      </c>
      <c r="G1116">
        <v>3</v>
      </c>
      <c r="H1116" t="s">
        <v>820</v>
      </c>
    </row>
    <row r="1117" spans="1:8">
      <c r="A1117" s="229" t="s">
        <v>1587</v>
      </c>
      <c r="C1117" s="229">
        <v>79.59</v>
      </c>
      <c r="D1117" s="229">
        <v>12010513</v>
      </c>
      <c r="E1117" s="229" t="s">
        <v>818</v>
      </c>
      <c r="F1117" s="229">
        <v>2019</v>
      </c>
      <c r="G1117">
        <v>3</v>
      </c>
      <c r="H1117" t="s">
        <v>820</v>
      </c>
    </row>
    <row r="1118" spans="1:8">
      <c r="A1118" s="229" t="s">
        <v>1587</v>
      </c>
      <c r="C1118" s="229">
        <v>113.7</v>
      </c>
      <c r="D1118" s="229">
        <v>12010513</v>
      </c>
      <c r="E1118" s="229" t="s">
        <v>818</v>
      </c>
      <c r="F1118" s="229">
        <v>2019</v>
      </c>
      <c r="G1118">
        <v>3</v>
      </c>
      <c r="H1118" t="s">
        <v>820</v>
      </c>
    </row>
    <row r="1119" spans="1:8">
      <c r="A1119" s="229" t="s">
        <v>1587</v>
      </c>
      <c r="C1119" s="229">
        <v>82.43</v>
      </c>
      <c r="D1119" s="229">
        <v>12010513</v>
      </c>
      <c r="E1119" s="229" t="s">
        <v>818</v>
      </c>
      <c r="F1119" s="229">
        <v>2019</v>
      </c>
      <c r="G1119">
        <v>3</v>
      </c>
      <c r="H1119" t="s">
        <v>820</v>
      </c>
    </row>
    <row r="1120" spans="1:8">
      <c r="A1120" s="229" t="s">
        <v>1587</v>
      </c>
      <c r="C1120" s="229">
        <v>73.91</v>
      </c>
      <c r="D1120" s="229">
        <v>12010513</v>
      </c>
      <c r="E1120" s="229" t="s">
        <v>818</v>
      </c>
      <c r="F1120" s="229">
        <v>2019</v>
      </c>
      <c r="G1120">
        <v>3</v>
      </c>
      <c r="H1120" t="s">
        <v>820</v>
      </c>
    </row>
    <row r="1121" spans="1:8">
      <c r="A1121" s="229" t="s">
        <v>1587</v>
      </c>
      <c r="C1121" s="229">
        <v>48.32</v>
      </c>
      <c r="D1121" s="229">
        <v>12010513</v>
      </c>
      <c r="E1121" s="229" t="s">
        <v>818</v>
      </c>
      <c r="F1121" s="229">
        <v>2019</v>
      </c>
      <c r="G1121">
        <v>3</v>
      </c>
      <c r="H1121" t="s">
        <v>820</v>
      </c>
    </row>
    <row r="1122" spans="1:8">
      <c r="A1122" s="229" t="s">
        <v>1587</v>
      </c>
      <c r="C1122" s="229">
        <v>79.59</v>
      </c>
      <c r="D1122" s="229">
        <v>12010513</v>
      </c>
      <c r="E1122" s="229" t="s">
        <v>818</v>
      </c>
      <c r="F1122" s="229">
        <v>2019</v>
      </c>
      <c r="G1122">
        <v>3</v>
      </c>
      <c r="H1122" t="s">
        <v>820</v>
      </c>
    </row>
    <row r="1123" spans="1:8">
      <c r="A1123" s="229" t="s">
        <v>1587</v>
      </c>
      <c r="C1123" s="229">
        <v>159.18</v>
      </c>
      <c r="D1123" s="229">
        <v>12010513</v>
      </c>
      <c r="E1123" s="229" t="s">
        <v>818</v>
      </c>
      <c r="F1123" s="229">
        <v>2019</v>
      </c>
      <c r="G1123">
        <v>3</v>
      </c>
      <c r="H1123" t="s">
        <v>820</v>
      </c>
    </row>
    <row r="1124" spans="1:8">
      <c r="A1124" s="229" t="s">
        <v>1587</v>
      </c>
      <c r="C1124" s="229">
        <v>227.4</v>
      </c>
      <c r="D1124" s="229">
        <v>12010513</v>
      </c>
      <c r="E1124" s="229" t="s">
        <v>818</v>
      </c>
      <c r="F1124" s="229">
        <v>2019</v>
      </c>
      <c r="G1124">
        <v>3</v>
      </c>
      <c r="H1124" t="s">
        <v>820</v>
      </c>
    </row>
    <row r="1125" spans="1:8">
      <c r="A1125" s="229" t="s">
        <v>1587</v>
      </c>
      <c r="C1125" s="229">
        <v>159.18</v>
      </c>
      <c r="D1125" s="229">
        <v>12010513</v>
      </c>
      <c r="E1125" s="229" t="s">
        <v>818</v>
      </c>
      <c r="F1125" s="229">
        <v>2019</v>
      </c>
      <c r="G1125">
        <v>3</v>
      </c>
      <c r="H1125" t="s">
        <v>820</v>
      </c>
    </row>
    <row r="1126" spans="1:8">
      <c r="A1126" s="229" t="s">
        <v>1587</v>
      </c>
      <c r="C1126" s="229">
        <v>831.3</v>
      </c>
      <c r="D1126" s="229">
        <v>12010513</v>
      </c>
      <c r="E1126" s="229" t="s">
        <v>818</v>
      </c>
      <c r="F1126" s="229">
        <v>2019</v>
      </c>
      <c r="G1126">
        <v>3</v>
      </c>
      <c r="H1126" t="s">
        <v>820</v>
      </c>
    </row>
    <row r="1127" spans="1:8">
      <c r="A1127" s="229" t="s">
        <v>1587</v>
      </c>
      <c r="C1127" s="229">
        <v>202.58</v>
      </c>
      <c r="D1127" s="229">
        <v>12010513</v>
      </c>
      <c r="E1127" s="229" t="s">
        <v>818</v>
      </c>
      <c r="F1127" s="229">
        <v>2019</v>
      </c>
      <c r="G1127">
        <v>3</v>
      </c>
      <c r="H1127" t="s">
        <v>820</v>
      </c>
    </row>
    <row r="1128" spans="1:8">
      <c r="A1128" s="229" t="s">
        <v>1587</v>
      </c>
      <c r="C1128" s="229">
        <v>366.3</v>
      </c>
      <c r="D1128" s="229">
        <v>12010513</v>
      </c>
      <c r="E1128" s="229" t="s">
        <v>818</v>
      </c>
      <c r="F1128" s="229">
        <v>2019</v>
      </c>
      <c r="G1128">
        <v>3</v>
      </c>
      <c r="H1128" t="s">
        <v>820</v>
      </c>
    </row>
    <row r="1129" spans="1:8">
      <c r="A1129" s="229" t="s">
        <v>1587</v>
      </c>
      <c r="C1129" s="229">
        <v>371.85</v>
      </c>
      <c r="D1129" s="229">
        <v>12010513</v>
      </c>
      <c r="E1129" s="229" t="s">
        <v>818</v>
      </c>
      <c r="F1129" s="229">
        <v>2019</v>
      </c>
      <c r="G1129">
        <v>3</v>
      </c>
      <c r="H1129" t="s">
        <v>820</v>
      </c>
    </row>
    <row r="1130" spans="1:8">
      <c r="A1130" s="229" t="s">
        <v>1587</v>
      </c>
      <c r="C1130" s="229">
        <v>363.53</v>
      </c>
      <c r="D1130" s="229">
        <v>12010513</v>
      </c>
      <c r="E1130" s="229" t="s">
        <v>818</v>
      </c>
      <c r="F1130" s="229">
        <v>2019</v>
      </c>
      <c r="G1130">
        <v>3</v>
      </c>
      <c r="H1130" t="s">
        <v>820</v>
      </c>
    </row>
    <row r="1131" spans="1:8">
      <c r="A1131" s="229" t="s">
        <v>1587</v>
      </c>
      <c r="C1131" s="229">
        <v>375.21</v>
      </c>
      <c r="D1131" s="229">
        <v>12010513</v>
      </c>
      <c r="E1131" s="229" t="s">
        <v>818</v>
      </c>
      <c r="F1131" s="229">
        <v>2019</v>
      </c>
      <c r="G1131">
        <v>3</v>
      </c>
      <c r="H1131" t="s">
        <v>820</v>
      </c>
    </row>
    <row r="1132" spans="1:8">
      <c r="A1132" s="229" t="s">
        <v>1587</v>
      </c>
      <c r="C1132" s="229">
        <v>284.25</v>
      </c>
      <c r="D1132" s="229">
        <v>12010513</v>
      </c>
      <c r="E1132" s="229" t="s">
        <v>818</v>
      </c>
      <c r="F1132" s="229">
        <v>2019</v>
      </c>
      <c r="G1132">
        <v>3</v>
      </c>
      <c r="H1132" t="s">
        <v>820</v>
      </c>
    </row>
    <row r="1133" spans="1:8">
      <c r="A1133" s="229" t="s">
        <v>1587</v>
      </c>
      <c r="C1133" s="229">
        <v>449.12</v>
      </c>
      <c r="D1133" s="229">
        <v>12010513</v>
      </c>
      <c r="E1133" s="229" t="s">
        <v>818</v>
      </c>
      <c r="F1133" s="229">
        <v>2019</v>
      </c>
      <c r="G1133">
        <v>3</v>
      </c>
      <c r="H1133" t="s">
        <v>820</v>
      </c>
    </row>
    <row r="1134" spans="1:8">
      <c r="A1134" s="229" t="s">
        <v>1587</v>
      </c>
      <c r="C1134" s="229">
        <v>386.58</v>
      </c>
      <c r="D1134" s="229">
        <v>12010513</v>
      </c>
      <c r="E1134" s="229" t="s">
        <v>818</v>
      </c>
      <c r="F1134" s="229">
        <v>2019</v>
      </c>
      <c r="G1134">
        <v>3</v>
      </c>
      <c r="H1134" t="s">
        <v>820</v>
      </c>
    </row>
    <row r="1135" spans="1:8">
      <c r="A1135" s="229" t="s">
        <v>1587</v>
      </c>
      <c r="C1135" s="229">
        <v>34.11</v>
      </c>
      <c r="D1135" s="229">
        <v>12010513</v>
      </c>
      <c r="E1135" s="229" t="s">
        <v>818</v>
      </c>
      <c r="F1135" s="229">
        <v>2019</v>
      </c>
      <c r="G1135">
        <v>3</v>
      </c>
      <c r="H1135" t="s">
        <v>820</v>
      </c>
    </row>
    <row r="1136" spans="1:8">
      <c r="A1136" s="229" t="s">
        <v>1587</v>
      </c>
      <c r="C1136" s="229">
        <v>93.8</v>
      </c>
      <c r="D1136" s="229">
        <v>12010513</v>
      </c>
      <c r="E1136" s="229" t="s">
        <v>818</v>
      </c>
      <c r="F1136" s="229">
        <v>2019</v>
      </c>
      <c r="G1136">
        <v>3</v>
      </c>
      <c r="H1136" t="s">
        <v>820</v>
      </c>
    </row>
    <row r="1137" spans="1:8">
      <c r="A1137" s="229" t="s">
        <v>1587</v>
      </c>
      <c r="C1137" s="229">
        <v>170.55</v>
      </c>
      <c r="D1137" s="229">
        <v>12010513</v>
      </c>
      <c r="E1137" s="229" t="s">
        <v>818</v>
      </c>
      <c r="F1137" s="229">
        <v>2019</v>
      </c>
      <c r="G1137">
        <v>3</v>
      </c>
      <c r="H1137" t="s">
        <v>820</v>
      </c>
    </row>
    <row r="1138" spans="1:8">
      <c r="A1138" s="229" t="s">
        <v>1587</v>
      </c>
      <c r="C1138" s="229">
        <v>181.92</v>
      </c>
      <c r="D1138" s="229">
        <v>12010513</v>
      </c>
      <c r="E1138" s="229" t="s">
        <v>818</v>
      </c>
      <c r="F1138" s="229">
        <v>2019</v>
      </c>
      <c r="G1138">
        <v>3</v>
      </c>
      <c r="H1138" t="s">
        <v>820</v>
      </c>
    </row>
    <row r="1139" spans="1:8">
      <c r="A1139" s="229" t="s">
        <v>1587</v>
      </c>
      <c r="C1139" s="229">
        <v>275.72000000000003</v>
      </c>
      <c r="D1139" s="229">
        <v>12010513</v>
      </c>
      <c r="E1139" s="229" t="s">
        <v>818</v>
      </c>
      <c r="F1139" s="229">
        <v>2019</v>
      </c>
      <c r="G1139">
        <v>3</v>
      </c>
      <c r="H1139" t="s">
        <v>820</v>
      </c>
    </row>
    <row r="1140" spans="1:8">
      <c r="A1140" s="229" t="s">
        <v>1587</v>
      </c>
      <c r="C1140" s="229">
        <v>281.41000000000003</v>
      </c>
      <c r="D1140" s="229">
        <v>12010513</v>
      </c>
      <c r="E1140" s="229" t="s">
        <v>818</v>
      </c>
      <c r="F1140" s="229">
        <v>2019</v>
      </c>
      <c r="G1140">
        <v>3</v>
      </c>
      <c r="H1140" t="s">
        <v>820</v>
      </c>
    </row>
    <row r="1141" spans="1:8">
      <c r="A1141" s="229" t="s">
        <v>1587</v>
      </c>
      <c r="C1141" s="229">
        <v>142.13</v>
      </c>
      <c r="D1141" s="229">
        <v>12010513</v>
      </c>
      <c r="E1141" s="229" t="s">
        <v>818</v>
      </c>
      <c r="F1141" s="229">
        <v>2019</v>
      </c>
      <c r="G1141">
        <v>3</v>
      </c>
      <c r="H1141" t="s">
        <v>820</v>
      </c>
    </row>
    <row r="1142" spans="1:8">
      <c r="A1142" s="229" t="s">
        <v>1587</v>
      </c>
      <c r="C1142" s="229">
        <v>73.91</v>
      </c>
      <c r="D1142" s="229">
        <v>12010513</v>
      </c>
      <c r="E1142" s="229" t="s">
        <v>818</v>
      </c>
      <c r="F1142" s="229">
        <v>2019</v>
      </c>
      <c r="G1142">
        <v>3</v>
      </c>
      <c r="H1142" t="s">
        <v>820</v>
      </c>
    </row>
    <row r="1143" spans="1:8">
      <c r="A1143" s="229" t="s">
        <v>1587</v>
      </c>
      <c r="C1143" s="229">
        <v>272.88</v>
      </c>
      <c r="D1143" s="229">
        <v>12010513</v>
      </c>
      <c r="E1143" s="229" t="s">
        <v>818</v>
      </c>
      <c r="F1143" s="229">
        <v>2019</v>
      </c>
      <c r="G1143">
        <v>3</v>
      </c>
      <c r="H1143" t="s">
        <v>820</v>
      </c>
    </row>
    <row r="1144" spans="1:8">
      <c r="A1144" s="229" t="s">
        <v>1587</v>
      </c>
      <c r="C1144" s="229">
        <v>113.7</v>
      </c>
      <c r="D1144" s="229">
        <v>12010513</v>
      </c>
      <c r="E1144" s="229" t="s">
        <v>818</v>
      </c>
      <c r="F1144" s="229">
        <v>2019</v>
      </c>
      <c r="G1144">
        <v>3</v>
      </c>
      <c r="H1144" t="s">
        <v>820</v>
      </c>
    </row>
    <row r="1145" spans="1:8">
      <c r="A1145" s="229" t="s">
        <v>1587</v>
      </c>
      <c r="C1145" s="229">
        <v>130.43</v>
      </c>
      <c r="D1145" s="229">
        <v>12010513</v>
      </c>
      <c r="E1145" s="229" t="s">
        <v>818</v>
      </c>
      <c r="F1145" s="229">
        <v>2019</v>
      </c>
      <c r="G1145">
        <v>3</v>
      </c>
      <c r="H1145" t="s">
        <v>820</v>
      </c>
    </row>
    <row r="1146" spans="1:8">
      <c r="A1146" s="229" t="s">
        <v>1587</v>
      </c>
      <c r="C1146" s="229">
        <v>133.19999999999999</v>
      </c>
      <c r="D1146" s="229">
        <v>12010513</v>
      </c>
      <c r="E1146" s="229" t="s">
        <v>818</v>
      </c>
      <c r="F1146" s="229">
        <v>2019</v>
      </c>
      <c r="G1146">
        <v>3</v>
      </c>
      <c r="H1146" t="s">
        <v>820</v>
      </c>
    </row>
    <row r="1147" spans="1:8">
      <c r="A1147" s="229" t="s">
        <v>1589</v>
      </c>
      <c r="C1147" s="229">
        <v>20.100000000000001</v>
      </c>
      <c r="D1147" s="229">
        <v>12010513</v>
      </c>
      <c r="E1147" s="229" t="s">
        <v>818</v>
      </c>
      <c r="F1147" s="229">
        <v>2019</v>
      </c>
      <c r="G1147">
        <v>3</v>
      </c>
      <c r="H1147" t="s">
        <v>820</v>
      </c>
    </row>
    <row r="1148" spans="1:8">
      <c r="A1148" s="229" t="s">
        <v>1589</v>
      </c>
      <c r="C1148" s="229">
        <v>40.97</v>
      </c>
      <c r="D1148" s="229">
        <v>12010513</v>
      </c>
      <c r="E1148" s="229" t="s">
        <v>818</v>
      </c>
      <c r="F1148" s="229">
        <v>2019</v>
      </c>
      <c r="G1148">
        <v>3</v>
      </c>
      <c r="H1148" t="s">
        <v>820</v>
      </c>
    </row>
    <row r="1149" spans="1:8">
      <c r="A1149" s="229" t="s">
        <v>1589</v>
      </c>
      <c r="C1149" s="229">
        <v>36.29</v>
      </c>
      <c r="D1149" s="229">
        <v>12010513</v>
      </c>
      <c r="E1149" s="229" t="s">
        <v>818</v>
      </c>
      <c r="F1149" s="229">
        <v>2019</v>
      </c>
      <c r="G1149">
        <v>3</v>
      </c>
      <c r="H1149" t="s">
        <v>820</v>
      </c>
    </row>
    <row r="1150" spans="1:8">
      <c r="A1150" s="229" t="s">
        <v>1596</v>
      </c>
      <c r="D1150" s="229">
        <v>12010513</v>
      </c>
      <c r="E1150" s="229" t="s">
        <v>818</v>
      </c>
      <c r="F1150" s="229">
        <v>2019</v>
      </c>
      <c r="G1150">
        <v>3</v>
      </c>
      <c r="H1150" t="s">
        <v>820</v>
      </c>
    </row>
    <row r="1151" spans="1:8">
      <c r="A1151" s="229" t="s">
        <v>1596</v>
      </c>
      <c r="C1151" s="229">
        <v>58.08</v>
      </c>
      <c r="D1151" s="229">
        <v>12010513</v>
      </c>
      <c r="E1151" s="229" t="s">
        <v>818</v>
      </c>
      <c r="F1151" s="229">
        <v>2019</v>
      </c>
      <c r="G1151">
        <v>3</v>
      </c>
      <c r="H1151" t="s">
        <v>820</v>
      </c>
    </row>
    <row r="1152" spans="1:8">
      <c r="A1152" s="229" t="s">
        <v>1596</v>
      </c>
      <c r="D1152" s="229">
        <v>12010513</v>
      </c>
      <c r="E1152" s="229" t="s">
        <v>818</v>
      </c>
      <c r="F1152" s="229">
        <v>2019</v>
      </c>
      <c r="G1152">
        <v>3</v>
      </c>
      <c r="H1152" t="s">
        <v>820</v>
      </c>
    </row>
    <row r="1153" spans="1:8">
      <c r="A1153" s="229" t="s">
        <v>1596</v>
      </c>
      <c r="C1153" s="229">
        <v>58.08</v>
      </c>
      <c r="D1153" s="229">
        <v>12010513</v>
      </c>
      <c r="E1153" s="229" t="s">
        <v>818</v>
      </c>
      <c r="F1153" s="229">
        <v>2019</v>
      </c>
      <c r="G1153">
        <v>3</v>
      </c>
      <c r="H1153" t="s">
        <v>820</v>
      </c>
    </row>
    <row r="1154" spans="1:8">
      <c r="A1154" s="229" t="s">
        <v>1596</v>
      </c>
      <c r="C1154" s="229">
        <v>58.08</v>
      </c>
      <c r="D1154" s="229">
        <v>12010513</v>
      </c>
      <c r="E1154" s="229" t="s">
        <v>818</v>
      </c>
      <c r="F1154" s="229">
        <v>2019</v>
      </c>
      <c r="G1154">
        <v>3</v>
      </c>
      <c r="H1154" t="s">
        <v>820</v>
      </c>
    </row>
    <row r="1155" spans="1:8">
      <c r="A1155" s="229" t="s">
        <v>1596</v>
      </c>
      <c r="D1155" s="229">
        <v>12010513</v>
      </c>
      <c r="E1155" s="229" t="s">
        <v>818</v>
      </c>
      <c r="F1155" s="229">
        <v>2019</v>
      </c>
      <c r="G1155">
        <v>3</v>
      </c>
      <c r="H1155" t="s">
        <v>820</v>
      </c>
    </row>
    <row r="1156" spans="1:8">
      <c r="A1156" s="229" t="s">
        <v>1600</v>
      </c>
      <c r="C1156" s="229">
        <v>371.25</v>
      </c>
      <c r="D1156" s="229">
        <v>12010513</v>
      </c>
      <c r="E1156" s="229" t="s">
        <v>818</v>
      </c>
      <c r="F1156" s="229">
        <v>2019</v>
      </c>
      <c r="G1156">
        <v>3</v>
      </c>
      <c r="H1156" t="s">
        <v>820</v>
      </c>
    </row>
    <row r="1157" spans="1:8">
      <c r="A1157" s="229" t="s">
        <v>1608</v>
      </c>
      <c r="C1157" s="229">
        <v>18.989999999999998</v>
      </c>
      <c r="D1157" s="229">
        <v>12010513</v>
      </c>
      <c r="E1157" s="229" t="s">
        <v>818</v>
      </c>
      <c r="F1157" s="229">
        <v>2019</v>
      </c>
      <c r="G1157">
        <v>3</v>
      </c>
      <c r="H1157" t="s">
        <v>820</v>
      </c>
    </row>
    <row r="1158" spans="1:8">
      <c r="A1158" s="229" t="s">
        <v>1608</v>
      </c>
      <c r="C1158" s="229">
        <v>18.989999999999998</v>
      </c>
      <c r="D1158" s="229">
        <v>12010513</v>
      </c>
      <c r="E1158" s="229" t="s">
        <v>818</v>
      </c>
      <c r="F1158" s="229">
        <v>2019</v>
      </c>
      <c r="G1158">
        <v>3</v>
      </c>
      <c r="H1158" t="s">
        <v>820</v>
      </c>
    </row>
    <row r="1159" spans="1:8">
      <c r="A1159" s="229" t="s">
        <v>1611</v>
      </c>
      <c r="D1159" s="229">
        <v>12010513</v>
      </c>
      <c r="E1159" s="229" t="s">
        <v>818</v>
      </c>
      <c r="F1159" s="229">
        <v>2019</v>
      </c>
      <c r="G1159">
        <v>3</v>
      </c>
      <c r="H1159" t="s">
        <v>820</v>
      </c>
    </row>
    <row r="1160" spans="1:8">
      <c r="A1160" s="229" t="s">
        <v>1611</v>
      </c>
      <c r="C1160" s="229">
        <v>600</v>
      </c>
      <c r="D1160" s="229">
        <v>12010513</v>
      </c>
      <c r="E1160" s="229" t="s">
        <v>818</v>
      </c>
      <c r="F1160" s="229">
        <v>2019</v>
      </c>
      <c r="G1160">
        <v>3</v>
      </c>
      <c r="H1160" t="s">
        <v>820</v>
      </c>
    </row>
    <row r="1161" spans="1:8">
      <c r="A1161" s="229" t="s">
        <v>1611</v>
      </c>
      <c r="D1161" s="229">
        <v>12010513</v>
      </c>
      <c r="E1161" s="229" t="s">
        <v>818</v>
      </c>
      <c r="F1161" s="229">
        <v>2019</v>
      </c>
      <c r="G1161">
        <v>3</v>
      </c>
      <c r="H1161" t="s">
        <v>820</v>
      </c>
    </row>
    <row r="1162" spans="1:8">
      <c r="A1162" s="229" t="s">
        <v>1611</v>
      </c>
      <c r="C1162" s="229">
        <v>600</v>
      </c>
      <c r="D1162" s="229">
        <v>12010513</v>
      </c>
      <c r="E1162" s="229" t="s">
        <v>818</v>
      </c>
      <c r="F1162" s="229">
        <v>2019</v>
      </c>
      <c r="G1162">
        <v>3</v>
      </c>
      <c r="H1162" t="s">
        <v>820</v>
      </c>
    </row>
    <row r="1163" spans="1:8">
      <c r="A1163" s="229" t="s">
        <v>1611</v>
      </c>
      <c r="D1163" s="229">
        <v>12010513</v>
      </c>
      <c r="E1163" s="229" t="s">
        <v>818</v>
      </c>
      <c r="F1163" s="229">
        <v>2019</v>
      </c>
      <c r="G1163">
        <v>3</v>
      </c>
      <c r="H1163" t="s">
        <v>820</v>
      </c>
    </row>
    <row r="1164" spans="1:8">
      <c r="A1164" s="229" t="s">
        <v>1611</v>
      </c>
      <c r="C1164" s="229">
        <v>600</v>
      </c>
      <c r="D1164" s="229">
        <v>12010513</v>
      </c>
      <c r="E1164" s="229" t="s">
        <v>818</v>
      </c>
      <c r="F1164" s="229">
        <v>2019</v>
      </c>
      <c r="G1164">
        <v>3</v>
      </c>
      <c r="H1164" t="s">
        <v>820</v>
      </c>
    </row>
    <row r="1165" spans="1:8">
      <c r="A1165" s="229" t="s">
        <v>1611</v>
      </c>
      <c r="D1165" s="229">
        <v>12010513</v>
      </c>
      <c r="E1165" s="229" t="s">
        <v>818</v>
      </c>
      <c r="F1165" s="229">
        <v>2019</v>
      </c>
      <c r="G1165">
        <v>3</v>
      </c>
      <c r="H1165" t="s">
        <v>820</v>
      </c>
    </row>
    <row r="1166" spans="1:8">
      <c r="A1166" s="229" t="s">
        <v>1611</v>
      </c>
      <c r="D1166" s="229">
        <v>12010513</v>
      </c>
      <c r="E1166" s="229" t="s">
        <v>818</v>
      </c>
      <c r="F1166" s="229">
        <v>2019</v>
      </c>
      <c r="G1166">
        <v>3</v>
      </c>
      <c r="H1166" t="s">
        <v>820</v>
      </c>
    </row>
    <row r="1167" spans="1:8">
      <c r="A1167" s="229" t="s">
        <v>1611</v>
      </c>
      <c r="C1167" s="229">
        <v>600</v>
      </c>
      <c r="D1167" s="229">
        <v>12010513</v>
      </c>
      <c r="E1167" s="229" t="s">
        <v>818</v>
      </c>
      <c r="F1167" s="229">
        <v>2019</v>
      </c>
      <c r="G1167">
        <v>3</v>
      </c>
      <c r="H1167" t="s">
        <v>820</v>
      </c>
    </row>
    <row r="1168" spans="1:8">
      <c r="A1168" s="229" t="s">
        <v>1611</v>
      </c>
      <c r="C1168" s="229">
        <v>600</v>
      </c>
      <c r="D1168" s="229">
        <v>12010513</v>
      </c>
      <c r="E1168" s="229" t="s">
        <v>818</v>
      </c>
      <c r="F1168" s="229">
        <v>2019</v>
      </c>
      <c r="G1168">
        <v>3</v>
      </c>
      <c r="H1168" t="s">
        <v>820</v>
      </c>
    </row>
    <row r="1169" spans="1:8">
      <c r="A1169" s="229" t="s">
        <v>1613</v>
      </c>
      <c r="C1169" s="229">
        <v>1925</v>
      </c>
      <c r="D1169" s="229">
        <v>12010513</v>
      </c>
      <c r="E1169" s="229" t="s">
        <v>818</v>
      </c>
      <c r="F1169" s="229">
        <v>2019</v>
      </c>
      <c r="G1169">
        <v>3</v>
      </c>
      <c r="H1169" t="s">
        <v>820</v>
      </c>
    </row>
    <row r="1170" spans="1:8">
      <c r="A1170" s="229" t="s">
        <v>1618</v>
      </c>
      <c r="C1170" s="229">
        <v>-120.38</v>
      </c>
      <c r="D1170" s="229">
        <v>12010513</v>
      </c>
      <c r="E1170" s="229" t="s">
        <v>818</v>
      </c>
      <c r="F1170" s="229">
        <v>2019</v>
      </c>
      <c r="G1170">
        <v>3</v>
      </c>
      <c r="H1170" t="s">
        <v>820</v>
      </c>
    </row>
    <row r="1171" spans="1:8">
      <c r="A1171" s="229" t="s">
        <v>1618</v>
      </c>
      <c r="C1171" s="229">
        <v>240.75</v>
      </c>
      <c r="D1171" s="229">
        <v>12010513</v>
      </c>
      <c r="E1171" s="229" t="s">
        <v>818</v>
      </c>
      <c r="F1171" s="229">
        <v>2019</v>
      </c>
      <c r="G1171">
        <v>3</v>
      </c>
      <c r="H1171" t="s">
        <v>820</v>
      </c>
    </row>
    <row r="1172" spans="1:8">
      <c r="A1172" s="229" t="s">
        <v>1618</v>
      </c>
      <c r="C1172" s="229">
        <v>-198.01</v>
      </c>
      <c r="D1172" s="229">
        <v>12010513</v>
      </c>
      <c r="E1172" s="229" t="s">
        <v>818</v>
      </c>
      <c r="F1172" s="229">
        <v>2019</v>
      </c>
      <c r="G1172">
        <v>3</v>
      </c>
      <c r="H1172" t="s">
        <v>820</v>
      </c>
    </row>
    <row r="1173" spans="1:8">
      <c r="A1173" s="229" t="s">
        <v>1618</v>
      </c>
      <c r="C1173" s="229">
        <v>396.02</v>
      </c>
      <c r="D1173" s="229">
        <v>12010513</v>
      </c>
      <c r="E1173" s="229" t="s">
        <v>818</v>
      </c>
      <c r="F1173" s="229">
        <v>2019</v>
      </c>
      <c r="G1173">
        <v>3</v>
      </c>
      <c r="H1173" t="s">
        <v>820</v>
      </c>
    </row>
    <row r="1174" spans="1:8">
      <c r="A1174" s="229" t="s">
        <v>1618</v>
      </c>
      <c r="C1174" s="229">
        <v>-282.39999999999998</v>
      </c>
      <c r="D1174" s="229">
        <v>12010513</v>
      </c>
      <c r="E1174" s="229" t="s">
        <v>818</v>
      </c>
      <c r="F1174" s="229">
        <v>2019</v>
      </c>
      <c r="G1174">
        <v>3</v>
      </c>
      <c r="H1174" t="s">
        <v>820</v>
      </c>
    </row>
    <row r="1175" spans="1:8">
      <c r="A1175" s="229" t="s">
        <v>1618</v>
      </c>
      <c r="C1175" s="229">
        <v>564.79999999999995</v>
      </c>
      <c r="D1175" s="229">
        <v>12010513</v>
      </c>
      <c r="E1175" s="229" t="s">
        <v>818</v>
      </c>
      <c r="F1175" s="229">
        <v>2019</v>
      </c>
      <c r="G1175">
        <v>3</v>
      </c>
      <c r="H1175" t="s">
        <v>820</v>
      </c>
    </row>
    <row r="1176" spans="1:8">
      <c r="A1176" s="229" t="s">
        <v>1619</v>
      </c>
      <c r="C1176" s="229">
        <v>22.08</v>
      </c>
      <c r="D1176" s="229">
        <v>12010513</v>
      </c>
      <c r="E1176" s="229" t="s">
        <v>818</v>
      </c>
      <c r="F1176" s="229">
        <v>2019</v>
      </c>
      <c r="G1176">
        <v>3</v>
      </c>
      <c r="H1176" t="s">
        <v>820</v>
      </c>
    </row>
    <row r="1177" spans="1:8">
      <c r="A1177" s="229" t="s">
        <v>1619</v>
      </c>
      <c r="C1177" s="229">
        <v>36.32</v>
      </c>
      <c r="D1177" s="229">
        <v>12010513</v>
      </c>
      <c r="E1177" s="229" t="s">
        <v>818</v>
      </c>
      <c r="F1177" s="229">
        <v>2019</v>
      </c>
      <c r="G1177">
        <v>3</v>
      </c>
      <c r="H1177" t="s">
        <v>820</v>
      </c>
    </row>
    <row r="1178" spans="1:8">
      <c r="A1178" s="229" t="s">
        <v>1619</v>
      </c>
      <c r="C1178" s="229">
        <v>51.8</v>
      </c>
      <c r="D1178" s="229">
        <v>12010513</v>
      </c>
      <c r="E1178" s="229" t="s">
        <v>818</v>
      </c>
      <c r="F1178" s="229">
        <v>2019</v>
      </c>
      <c r="G1178">
        <v>3</v>
      </c>
      <c r="H1178" t="s">
        <v>820</v>
      </c>
    </row>
    <row r="1179" spans="1:8">
      <c r="A1179" s="229" t="s">
        <v>1620</v>
      </c>
      <c r="C1179" s="229">
        <v>120.38</v>
      </c>
      <c r="D1179" s="229">
        <v>12010513</v>
      </c>
      <c r="E1179" s="229" t="s">
        <v>818</v>
      </c>
      <c r="F1179" s="229">
        <v>2019</v>
      </c>
      <c r="G1179">
        <v>3</v>
      </c>
      <c r="H1179" t="s">
        <v>820</v>
      </c>
    </row>
    <row r="1180" spans="1:8">
      <c r="A1180" s="229" t="s">
        <v>1620</v>
      </c>
      <c r="C1180" s="229">
        <v>198.01</v>
      </c>
      <c r="D1180" s="229">
        <v>12010513</v>
      </c>
      <c r="E1180" s="229" t="s">
        <v>818</v>
      </c>
      <c r="F1180" s="229">
        <v>2019</v>
      </c>
      <c r="G1180">
        <v>3</v>
      </c>
      <c r="H1180" t="s">
        <v>820</v>
      </c>
    </row>
    <row r="1181" spans="1:8">
      <c r="A1181" s="229" t="s">
        <v>1620</v>
      </c>
      <c r="C1181" s="229">
        <v>282.39999999999998</v>
      </c>
      <c r="D1181" s="229">
        <v>12010513</v>
      </c>
      <c r="E1181" s="229" t="s">
        <v>818</v>
      </c>
      <c r="F1181" s="229">
        <v>2019</v>
      </c>
      <c r="G1181">
        <v>3</v>
      </c>
      <c r="H1181" t="s">
        <v>820</v>
      </c>
    </row>
    <row r="1182" spans="1:8">
      <c r="A1182" s="229" t="s">
        <v>1587</v>
      </c>
      <c r="C1182" s="229">
        <v>454.8</v>
      </c>
      <c r="D1182" s="229">
        <v>12010513</v>
      </c>
      <c r="E1182" s="229" t="s">
        <v>818</v>
      </c>
      <c r="F1182" s="229">
        <v>2019</v>
      </c>
      <c r="G1182">
        <v>4</v>
      </c>
      <c r="H1182" t="s">
        <v>820</v>
      </c>
    </row>
    <row r="1183" spans="1:8">
      <c r="A1183" s="229" t="s">
        <v>1587</v>
      </c>
      <c r="C1183" s="229">
        <v>454.8</v>
      </c>
      <c r="D1183" s="229">
        <v>12010513</v>
      </c>
      <c r="E1183" s="229" t="s">
        <v>818</v>
      </c>
      <c r="F1183" s="229">
        <v>2019</v>
      </c>
      <c r="G1183">
        <v>4</v>
      </c>
      <c r="H1183" t="s">
        <v>820</v>
      </c>
    </row>
    <row r="1184" spans="1:8">
      <c r="A1184" s="229" t="s">
        <v>1587</v>
      </c>
      <c r="C1184" s="229">
        <v>454.8</v>
      </c>
      <c r="D1184" s="229">
        <v>12010513</v>
      </c>
      <c r="E1184" s="229" t="s">
        <v>818</v>
      </c>
      <c r="F1184" s="229">
        <v>2019</v>
      </c>
      <c r="G1184">
        <v>4</v>
      </c>
      <c r="H1184" t="s">
        <v>820</v>
      </c>
    </row>
    <row r="1185" spans="1:8">
      <c r="A1185" s="229" t="s">
        <v>1587</v>
      </c>
      <c r="C1185" s="229">
        <v>454.8</v>
      </c>
      <c r="D1185" s="229">
        <v>12010513</v>
      </c>
      <c r="E1185" s="229" t="s">
        <v>818</v>
      </c>
      <c r="F1185" s="229">
        <v>2019</v>
      </c>
      <c r="G1185">
        <v>4</v>
      </c>
      <c r="H1185" t="s">
        <v>820</v>
      </c>
    </row>
    <row r="1186" spans="1:8">
      <c r="A1186" s="229" t="s">
        <v>1587</v>
      </c>
      <c r="C1186" s="229">
        <v>375.21</v>
      </c>
      <c r="D1186" s="229">
        <v>12010513</v>
      </c>
      <c r="E1186" s="229" t="s">
        <v>818</v>
      </c>
      <c r="F1186" s="229">
        <v>2019</v>
      </c>
      <c r="G1186">
        <v>4</v>
      </c>
      <c r="H1186" t="s">
        <v>820</v>
      </c>
    </row>
    <row r="1187" spans="1:8">
      <c r="A1187" s="229" t="s">
        <v>1587</v>
      </c>
      <c r="C1187" s="229">
        <v>397.95</v>
      </c>
      <c r="D1187" s="229">
        <v>12010513</v>
      </c>
      <c r="E1187" s="229" t="s">
        <v>818</v>
      </c>
      <c r="F1187" s="229">
        <v>2019</v>
      </c>
      <c r="G1187">
        <v>4</v>
      </c>
      <c r="H1187" t="s">
        <v>820</v>
      </c>
    </row>
    <row r="1188" spans="1:8">
      <c r="A1188" s="229" t="s">
        <v>1587</v>
      </c>
      <c r="C1188" s="229">
        <v>352.47</v>
      </c>
      <c r="D1188" s="229">
        <v>12010513</v>
      </c>
      <c r="E1188" s="229" t="s">
        <v>818</v>
      </c>
      <c r="F1188" s="229">
        <v>2019</v>
      </c>
      <c r="G1188">
        <v>4</v>
      </c>
      <c r="H1188" t="s">
        <v>820</v>
      </c>
    </row>
    <row r="1189" spans="1:8">
      <c r="A1189" s="229" t="s">
        <v>1587</v>
      </c>
      <c r="C1189" s="229">
        <v>534.39</v>
      </c>
      <c r="D1189" s="229">
        <v>12010513</v>
      </c>
      <c r="E1189" s="229" t="s">
        <v>818</v>
      </c>
      <c r="F1189" s="229">
        <v>2019</v>
      </c>
      <c r="G1189">
        <v>4</v>
      </c>
      <c r="H1189" t="s">
        <v>820</v>
      </c>
    </row>
    <row r="1190" spans="1:8">
      <c r="A1190" s="229" t="s">
        <v>1587</v>
      </c>
      <c r="C1190" s="229">
        <v>420.69</v>
      </c>
      <c r="D1190" s="229">
        <v>12010513</v>
      </c>
      <c r="E1190" s="229" t="s">
        <v>818</v>
      </c>
      <c r="F1190" s="229">
        <v>2019</v>
      </c>
      <c r="G1190">
        <v>4</v>
      </c>
      <c r="H1190" t="s">
        <v>820</v>
      </c>
    </row>
    <row r="1191" spans="1:8">
      <c r="A1191" s="229" t="s">
        <v>1587</v>
      </c>
      <c r="C1191" s="229">
        <v>304.14999999999998</v>
      </c>
      <c r="D1191" s="229">
        <v>12010513</v>
      </c>
      <c r="E1191" s="229" t="s">
        <v>818</v>
      </c>
      <c r="F1191" s="229">
        <v>2019</v>
      </c>
      <c r="G1191">
        <v>4</v>
      </c>
      <c r="H1191" t="s">
        <v>820</v>
      </c>
    </row>
    <row r="1192" spans="1:8">
      <c r="A1192" s="229" t="s">
        <v>1587</v>
      </c>
      <c r="C1192" s="229">
        <v>454.8</v>
      </c>
      <c r="D1192" s="229">
        <v>12010513</v>
      </c>
      <c r="E1192" s="229" t="s">
        <v>818</v>
      </c>
      <c r="F1192" s="229">
        <v>2019</v>
      </c>
      <c r="G1192">
        <v>4</v>
      </c>
      <c r="H1192" t="s">
        <v>820</v>
      </c>
    </row>
    <row r="1193" spans="1:8">
      <c r="A1193" s="229" t="s">
        <v>1587</v>
      </c>
      <c r="C1193" s="229">
        <v>454.8</v>
      </c>
      <c r="D1193" s="229">
        <v>12010513</v>
      </c>
      <c r="E1193" s="229" t="s">
        <v>818</v>
      </c>
      <c r="F1193" s="229">
        <v>2019</v>
      </c>
      <c r="G1193">
        <v>4</v>
      </c>
      <c r="H1193" t="s">
        <v>820</v>
      </c>
    </row>
    <row r="1194" spans="1:8">
      <c r="A1194" s="229" t="s">
        <v>1587</v>
      </c>
      <c r="C1194" s="229">
        <v>454.8</v>
      </c>
      <c r="D1194" s="229">
        <v>12010513</v>
      </c>
      <c r="E1194" s="229" t="s">
        <v>818</v>
      </c>
      <c r="F1194" s="229">
        <v>2019</v>
      </c>
      <c r="G1194">
        <v>4</v>
      </c>
      <c r="H1194" t="s">
        <v>820</v>
      </c>
    </row>
    <row r="1195" spans="1:8">
      <c r="A1195" s="229" t="s">
        <v>1587</v>
      </c>
      <c r="C1195" s="229">
        <v>454.8</v>
      </c>
      <c r="D1195" s="229">
        <v>12010513</v>
      </c>
      <c r="E1195" s="229" t="s">
        <v>818</v>
      </c>
      <c r="F1195" s="229">
        <v>2019</v>
      </c>
      <c r="G1195">
        <v>4</v>
      </c>
      <c r="H1195" t="s">
        <v>820</v>
      </c>
    </row>
    <row r="1196" spans="1:8">
      <c r="A1196" s="229" t="s">
        <v>1587</v>
      </c>
      <c r="C1196" s="229">
        <v>454.8</v>
      </c>
      <c r="D1196" s="229">
        <v>12010513</v>
      </c>
      <c r="E1196" s="229" t="s">
        <v>818</v>
      </c>
      <c r="F1196" s="229">
        <v>2019</v>
      </c>
      <c r="G1196">
        <v>4</v>
      </c>
      <c r="H1196" t="s">
        <v>820</v>
      </c>
    </row>
    <row r="1197" spans="1:8">
      <c r="A1197" s="229" t="s">
        <v>1587</v>
      </c>
      <c r="C1197" s="229">
        <v>454.8</v>
      </c>
      <c r="D1197" s="229">
        <v>12010513</v>
      </c>
      <c r="E1197" s="229" t="s">
        <v>818</v>
      </c>
      <c r="F1197" s="229">
        <v>2019</v>
      </c>
      <c r="G1197">
        <v>4</v>
      </c>
      <c r="H1197" t="s">
        <v>820</v>
      </c>
    </row>
    <row r="1198" spans="1:8">
      <c r="A1198" s="229" t="s">
        <v>1587</v>
      </c>
      <c r="C1198" s="229">
        <v>454.8</v>
      </c>
      <c r="D1198" s="229">
        <v>12010513</v>
      </c>
      <c r="E1198" s="229" t="s">
        <v>818</v>
      </c>
      <c r="F1198" s="229">
        <v>2019</v>
      </c>
      <c r="G1198">
        <v>4</v>
      </c>
      <c r="H1198" t="s">
        <v>820</v>
      </c>
    </row>
    <row r="1199" spans="1:8">
      <c r="A1199" s="229" t="s">
        <v>1587</v>
      </c>
      <c r="C1199" s="229">
        <v>335.42</v>
      </c>
      <c r="D1199" s="229">
        <v>12010513</v>
      </c>
      <c r="E1199" s="229" t="s">
        <v>818</v>
      </c>
      <c r="F1199" s="229">
        <v>2019</v>
      </c>
      <c r="G1199">
        <v>4</v>
      </c>
      <c r="H1199" t="s">
        <v>820</v>
      </c>
    </row>
    <row r="1200" spans="1:8">
      <c r="A1200" s="229" t="s">
        <v>1587</v>
      </c>
      <c r="C1200" s="229">
        <v>682.2</v>
      </c>
      <c r="D1200" s="229">
        <v>12010513</v>
      </c>
      <c r="E1200" s="229" t="s">
        <v>818</v>
      </c>
      <c r="F1200" s="229">
        <v>2019</v>
      </c>
      <c r="G1200">
        <v>4</v>
      </c>
      <c r="H1200" t="s">
        <v>820</v>
      </c>
    </row>
    <row r="1201" spans="1:8">
      <c r="A1201" s="229" t="s">
        <v>1587</v>
      </c>
      <c r="C1201" s="229">
        <v>662.3</v>
      </c>
      <c r="D1201" s="229">
        <v>12010513</v>
      </c>
      <c r="E1201" s="229" t="s">
        <v>818</v>
      </c>
      <c r="F1201" s="229">
        <v>2019</v>
      </c>
      <c r="G1201">
        <v>4</v>
      </c>
      <c r="H1201" t="s">
        <v>820</v>
      </c>
    </row>
    <row r="1202" spans="1:8">
      <c r="A1202" s="229" t="s">
        <v>1587</v>
      </c>
      <c r="C1202" s="229">
        <v>181.92</v>
      </c>
      <c r="D1202" s="229">
        <v>12010513</v>
      </c>
      <c r="E1202" s="229" t="s">
        <v>818</v>
      </c>
      <c r="F1202" s="229">
        <v>2019</v>
      </c>
      <c r="G1202">
        <v>4</v>
      </c>
      <c r="H1202" t="s">
        <v>820</v>
      </c>
    </row>
    <row r="1203" spans="1:8">
      <c r="A1203" s="229" t="s">
        <v>1587</v>
      </c>
      <c r="C1203" s="229">
        <v>113.7</v>
      </c>
      <c r="D1203" s="229">
        <v>12010513</v>
      </c>
      <c r="E1203" s="229" t="s">
        <v>818</v>
      </c>
      <c r="F1203" s="229">
        <v>2019</v>
      </c>
      <c r="G1203">
        <v>4</v>
      </c>
      <c r="H1203" t="s">
        <v>820</v>
      </c>
    </row>
    <row r="1204" spans="1:8">
      <c r="A1204" s="229" t="s">
        <v>1587</v>
      </c>
      <c r="C1204" s="229">
        <v>204.66</v>
      </c>
      <c r="D1204" s="229">
        <v>12010513</v>
      </c>
      <c r="E1204" s="229" t="s">
        <v>818</v>
      </c>
      <c r="F1204" s="229">
        <v>2019</v>
      </c>
      <c r="G1204">
        <v>4</v>
      </c>
      <c r="H1204" t="s">
        <v>820</v>
      </c>
    </row>
    <row r="1205" spans="1:8">
      <c r="A1205" s="229" t="s">
        <v>1587</v>
      </c>
      <c r="C1205" s="229">
        <v>170.55</v>
      </c>
      <c r="D1205" s="229">
        <v>12010513</v>
      </c>
      <c r="E1205" s="229" t="s">
        <v>818</v>
      </c>
      <c r="F1205" s="229">
        <v>2019</v>
      </c>
      <c r="G1205">
        <v>4</v>
      </c>
      <c r="H1205" t="s">
        <v>820</v>
      </c>
    </row>
    <row r="1206" spans="1:8">
      <c r="A1206" s="229" t="s">
        <v>1587</v>
      </c>
      <c r="C1206" s="229">
        <v>82.43</v>
      </c>
      <c r="D1206" s="229">
        <v>12010513</v>
      </c>
      <c r="E1206" s="229" t="s">
        <v>818</v>
      </c>
      <c r="F1206" s="229">
        <v>2019</v>
      </c>
      <c r="G1206">
        <v>4</v>
      </c>
      <c r="H1206" t="s">
        <v>820</v>
      </c>
    </row>
    <row r="1207" spans="1:8">
      <c r="A1207" s="229" t="s">
        <v>1587</v>
      </c>
      <c r="C1207" s="229">
        <v>59.69</v>
      </c>
      <c r="D1207" s="229">
        <v>12010513</v>
      </c>
      <c r="E1207" s="229" t="s">
        <v>818</v>
      </c>
      <c r="F1207" s="229">
        <v>2019</v>
      </c>
      <c r="G1207">
        <v>4</v>
      </c>
      <c r="H1207" t="s">
        <v>820</v>
      </c>
    </row>
    <row r="1208" spans="1:8">
      <c r="A1208" s="229" t="s">
        <v>1587</v>
      </c>
      <c r="C1208" s="229">
        <v>93.8</v>
      </c>
      <c r="D1208" s="229">
        <v>12010513</v>
      </c>
      <c r="E1208" s="229" t="s">
        <v>818</v>
      </c>
      <c r="F1208" s="229">
        <v>2019</v>
      </c>
      <c r="G1208">
        <v>4</v>
      </c>
      <c r="H1208" t="s">
        <v>820</v>
      </c>
    </row>
    <row r="1209" spans="1:8">
      <c r="A1209" s="229" t="s">
        <v>1587</v>
      </c>
      <c r="C1209" s="229">
        <v>306.99</v>
      </c>
      <c r="D1209" s="229">
        <v>12010513</v>
      </c>
      <c r="E1209" s="229" t="s">
        <v>818</v>
      </c>
      <c r="F1209" s="229">
        <v>2019</v>
      </c>
      <c r="G1209">
        <v>4</v>
      </c>
      <c r="H1209" t="s">
        <v>820</v>
      </c>
    </row>
    <row r="1210" spans="1:8">
      <c r="A1210" s="229" t="s">
        <v>1587</v>
      </c>
      <c r="C1210" s="229">
        <v>181.92</v>
      </c>
      <c r="D1210" s="229">
        <v>12010513</v>
      </c>
      <c r="E1210" s="229" t="s">
        <v>818</v>
      </c>
      <c r="F1210" s="229">
        <v>2019</v>
      </c>
      <c r="G1210">
        <v>4</v>
      </c>
      <c r="H1210" t="s">
        <v>820</v>
      </c>
    </row>
    <row r="1211" spans="1:8">
      <c r="A1211" s="229" t="s">
        <v>1587</v>
      </c>
      <c r="C1211" s="229">
        <v>204.66</v>
      </c>
      <c r="D1211" s="229">
        <v>12010513</v>
      </c>
      <c r="E1211" s="229" t="s">
        <v>818</v>
      </c>
      <c r="F1211" s="229">
        <v>2019</v>
      </c>
      <c r="G1211">
        <v>4</v>
      </c>
      <c r="H1211" t="s">
        <v>820</v>
      </c>
    </row>
    <row r="1212" spans="1:8">
      <c r="A1212" s="229" t="s">
        <v>1587</v>
      </c>
      <c r="C1212" s="229">
        <v>318.36</v>
      </c>
      <c r="D1212" s="229">
        <v>12010513</v>
      </c>
      <c r="E1212" s="229" t="s">
        <v>818</v>
      </c>
      <c r="F1212" s="229">
        <v>2019</v>
      </c>
      <c r="G1212">
        <v>4</v>
      </c>
      <c r="H1212" t="s">
        <v>820</v>
      </c>
    </row>
    <row r="1213" spans="1:8">
      <c r="A1213" s="229" t="s">
        <v>1587</v>
      </c>
      <c r="C1213" s="229">
        <v>125.07</v>
      </c>
      <c r="D1213" s="229">
        <v>12010513</v>
      </c>
      <c r="E1213" s="229" t="s">
        <v>818</v>
      </c>
      <c r="F1213" s="229">
        <v>2019</v>
      </c>
      <c r="G1213">
        <v>4</v>
      </c>
      <c r="H1213" t="s">
        <v>820</v>
      </c>
    </row>
    <row r="1214" spans="1:8">
      <c r="A1214" s="229" t="s">
        <v>1587</v>
      </c>
      <c r="C1214" s="229">
        <v>238.77</v>
      </c>
      <c r="D1214" s="229">
        <v>12010513</v>
      </c>
      <c r="E1214" s="229" t="s">
        <v>818</v>
      </c>
      <c r="F1214" s="229">
        <v>2019</v>
      </c>
      <c r="G1214">
        <v>4</v>
      </c>
      <c r="H1214" t="s">
        <v>820</v>
      </c>
    </row>
    <row r="1215" spans="1:8">
      <c r="A1215" s="229" t="s">
        <v>1587</v>
      </c>
      <c r="C1215" s="229">
        <v>250.14</v>
      </c>
      <c r="D1215" s="229">
        <v>12010513</v>
      </c>
      <c r="E1215" s="229" t="s">
        <v>818</v>
      </c>
      <c r="F1215" s="229">
        <v>2019</v>
      </c>
      <c r="G1215">
        <v>4</v>
      </c>
      <c r="H1215" t="s">
        <v>820</v>
      </c>
    </row>
    <row r="1216" spans="1:8">
      <c r="A1216" s="229" t="s">
        <v>1587</v>
      </c>
      <c r="C1216" s="229">
        <v>91.2</v>
      </c>
      <c r="D1216" s="229">
        <v>12010513</v>
      </c>
      <c r="E1216" s="229" t="s">
        <v>818</v>
      </c>
      <c r="F1216" s="229">
        <v>2019</v>
      </c>
      <c r="G1216">
        <v>4</v>
      </c>
      <c r="H1216" t="s">
        <v>820</v>
      </c>
    </row>
    <row r="1217" spans="1:8">
      <c r="A1217" s="229" t="s">
        <v>1587</v>
      </c>
      <c r="C1217" s="229">
        <v>450.3</v>
      </c>
      <c r="D1217" s="229">
        <v>12010513</v>
      </c>
      <c r="E1217" s="229" t="s">
        <v>818</v>
      </c>
      <c r="F1217" s="229">
        <v>2019</v>
      </c>
      <c r="G1217">
        <v>4</v>
      </c>
      <c r="H1217" t="s">
        <v>820</v>
      </c>
    </row>
    <row r="1218" spans="1:8">
      <c r="A1218" s="229" t="s">
        <v>1587</v>
      </c>
      <c r="C1218" s="229">
        <v>344.11</v>
      </c>
      <c r="D1218" s="229">
        <v>12010513</v>
      </c>
      <c r="E1218" s="229" t="s">
        <v>818</v>
      </c>
      <c r="F1218" s="229">
        <v>2019</v>
      </c>
      <c r="G1218">
        <v>4</v>
      </c>
      <c r="H1218" t="s">
        <v>820</v>
      </c>
    </row>
    <row r="1219" spans="1:8">
      <c r="A1219" s="229" t="s">
        <v>1587</v>
      </c>
      <c r="C1219" s="229">
        <v>777</v>
      </c>
      <c r="D1219" s="229">
        <v>12010513</v>
      </c>
      <c r="E1219" s="229" t="s">
        <v>818</v>
      </c>
      <c r="F1219" s="229">
        <v>2019</v>
      </c>
      <c r="G1219">
        <v>4</v>
      </c>
      <c r="H1219" t="s">
        <v>820</v>
      </c>
    </row>
    <row r="1220" spans="1:8">
      <c r="A1220" s="229" t="s">
        <v>1587</v>
      </c>
      <c r="C1220" s="229">
        <v>163.72999999999999</v>
      </c>
      <c r="D1220" s="229">
        <v>12010513</v>
      </c>
      <c r="E1220" s="229" t="s">
        <v>818</v>
      </c>
      <c r="F1220" s="229">
        <v>2019</v>
      </c>
      <c r="G1220">
        <v>4</v>
      </c>
      <c r="H1220" t="s">
        <v>820</v>
      </c>
    </row>
    <row r="1221" spans="1:8">
      <c r="A1221" s="229" t="s">
        <v>1587</v>
      </c>
      <c r="C1221" s="229">
        <v>280.27999999999997</v>
      </c>
      <c r="D1221" s="229">
        <v>12010513</v>
      </c>
      <c r="E1221" s="229" t="s">
        <v>818</v>
      </c>
      <c r="F1221" s="229">
        <v>2019</v>
      </c>
      <c r="G1221">
        <v>4</v>
      </c>
      <c r="H1221" t="s">
        <v>820</v>
      </c>
    </row>
    <row r="1222" spans="1:8">
      <c r="A1222" s="229" t="s">
        <v>1587</v>
      </c>
      <c r="C1222" s="229">
        <v>371.85</v>
      </c>
      <c r="D1222" s="229">
        <v>12010513</v>
      </c>
      <c r="E1222" s="229" t="s">
        <v>818</v>
      </c>
      <c r="F1222" s="229">
        <v>2019</v>
      </c>
      <c r="G1222">
        <v>4</v>
      </c>
      <c r="H1222" t="s">
        <v>820</v>
      </c>
    </row>
    <row r="1223" spans="1:8">
      <c r="A1223" s="229" t="s">
        <v>1587</v>
      </c>
      <c r="C1223" s="229">
        <v>222</v>
      </c>
      <c r="D1223" s="229">
        <v>12010513</v>
      </c>
      <c r="E1223" s="229" t="s">
        <v>818</v>
      </c>
      <c r="F1223" s="229">
        <v>2019</v>
      </c>
      <c r="G1223">
        <v>4</v>
      </c>
      <c r="H1223" t="s">
        <v>820</v>
      </c>
    </row>
    <row r="1224" spans="1:8">
      <c r="A1224" s="229" t="s">
        <v>1587</v>
      </c>
      <c r="C1224" s="229">
        <v>754.8</v>
      </c>
      <c r="D1224" s="229">
        <v>12010513</v>
      </c>
      <c r="E1224" s="229" t="s">
        <v>818</v>
      </c>
      <c r="F1224" s="229">
        <v>2019</v>
      </c>
      <c r="G1224">
        <v>4</v>
      </c>
      <c r="H1224" t="s">
        <v>820</v>
      </c>
    </row>
    <row r="1225" spans="1:8">
      <c r="A1225" s="229" t="s">
        <v>1587</v>
      </c>
      <c r="C1225" s="229">
        <v>740.93</v>
      </c>
      <c r="D1225" s="229">
        <v>12010513</v>
      </c>
      <c r="E1225" s="229" t="s">
        <v>818</v>
      </c>
      <c r="F1225" s="229">
        <v>2019</v>
      </c>
      <c r="G1225">
        <v>4</v>
      </c>
      <c r="H1225" t="s">
        <v>820</v>
      </c>
    </row>
    <row r="1226" spans="1:8">
      <c r="A1226" s="229" t="s">
        <v>1587</v>
      </c>
      <c r="C1226" s="229">
        <v>352.47</v>
      </c>
      <c r="D1226" s="229">
        <v>12010513</v>
      </c>
      <c r="E1226" s="229" t="s">
        <v>818</v>
      </c>
      <c r="F1226" s="229">
        <v>2019</v>
      </c>
      <c r="G1226">
        <v>4</v>
      </c>
      <c r="H1226" t="s">
        <v>820</v>
      </c>
    </row>
    <row r="1227" spans="1:8">
      <c r="A1227" s="229" t="s">
        <v>1587</v>
      </c>
      <c r="C1227" s="229">
        <v>136.44</v>
      </c>
      <c r="D1227" s="229">
        <v>12010513</v>
      </c>
      <c r="E1227" s="229" t="s">
        <v>818</v>
      </c>
      <c r="F1227" s="229">
        <v>2019</v>
      </c>
      <c r="G1227">
        <v>4</v>
      </c>
      <c r="H1227" t="s">
        <v>820</v>
      </c>
    </row>
    <row r="1228" spans="1:8">
      <c r="A1228" s="229" t="s">
        <v>1587</v>
      </c>
      <c r="C1228" s="229">
        <v>386.58</v>
      </c>
      <c r="D1228" s="229">
        <v>12010513</v>
      </c>
      <c r="E1228" s="229" t="s">
        <v>818</v>
      </c>
      <c r="F1228" s="229">
        <v>2019</v>
      </c>
      <c r="G1228">
        <v>4</v>
      </c>
      <c r="H1228" t="s">
        <v>820</v>
      </c>
    </row>
    <row r="1229" spans="1:8">
      <c r="A1229" s="229" t="s">
        <v>1587</v>
      </c>
      <c r="C1229" s="229">
        <v>90.96</v>
      </c>
      <c r="D1229" s="229">
        <v>12010513</v>
      </c>
      <c r="E1229" s="229" t="s">
        <v>818</v>
      </c>
      <c r="F1229" s="229">
        <v>2019</v>
      </c>
      <c r="G1229">
        <v>4</v>
      </c>
      <c r="H1229" t="s">
        <v>820</v>
      </c>
    </row>
    <row r="1230" spans="1:8">
      <c r="A1230" s="229" t="s">
        <v>1587</v>
      </c>
      <c r="C1230" s="229">
        <v>338.26</v>
      </c>
      <c r="D1230" s="229">
        <v>12010513</v>
      </c>
      <c r="E1230" s="229" t="s">
        <v>818</v>
      </c>
      <c r="F1230" s="229">
        <v>2019</v>
      </c>
      <c r="G1230">
        <v>4</v>
      </c>
      <c r="H1230" t="s">
        <v>820</v>
      </c>
    </row>
    <row r="1231" spans="1:8">
      <c r="A1231" s="229" t="s">
        <v>1587</v>
      </c>
      <c r="C1231" s="229">
        <v>162.02000000000001</v>
      </c>
      <c r="D1231" s="229">
        <v>12010513</v>
      </c>
      <c r="E1231" s="229" t="s">
        <v>818</v>
      </c>
      <c r="F1231" s="229">
        <v>2019</v>
      </c>
      <c r="G1231">
        <v>4</v>
      </c>
      <c r="H1231" t="s">
        <v>820</v>
      </c>
    </row>
    <row r="1232" spans="1:8">
      <c r="A1232" s="229" t="s">
        <v>1587</v>
      </c>
      <c r="C1232" s="229">
        <v>292.77999999999997</v>
      </c>
      <c r="D1232" s="229">
        <v>12010513</v>
      </c>
      <c r="E1232" s="229" t="s">
        <v>818</v>
      </c>
      <c r="F1232" s="229">
        <v>2019</v>
      </c>
      <c r="G1232">
        <v>4</v>
      </c>
      <c r="H1232" t="s">
        <v>820</v>
      </c>
    </row>
    <row r="1233" spans="1:8">
      <c r="A1233" s="229" t="s">
        <v>1587</v>
      </c>
      <c r="C1233" s="229">
        <v>267.2</v>
      </c>
      <c r="D1233" s="229">
        <v>12010513</v>
      </c>
      <c r="E1233" s="229" t="s">
        <v>818</v>
      </c>
      <c r="F1233" s="229">
        <v>2019</v>
      </c>
      <c r="G1233">
        <v>4</v>
      </c>
      <c r="H1233" t="s">
        <v>820</v>
      </c>
    </row>
    <row r="1234" spans="1:8">
      <c r="A1234" s="229" t="s">
        <v>1587</v>
      </c>
      <c r="C1234" s="229">
        <v>39.799999999999997</v>
      </c>
      <c r="D1234" s="229">
        <v>12010513</v>
      </c>
      <c r="E1234" s="229" t="s">
        <v>818</v>
      </c>
      <c r="F1234" s="229">
        <v>2019</v>
      </c>
      <c r="G1234">
        <v>4</v>
      </c>
      <c r="H1234" t="s">
        <v>820</v>
      </c>
    </row>
    <row r="1235" spans="1:8">
      <c r="A1235" s="229" t="s">
        <v>1587</v>
      </c>
      <c r="C1235" s="229">
        <v>34.11</v>
      </c>
      <c r="D1235" s="229">
        <v>12010513</v>
      </c>
      <c r="E1235" s="229" t="s">
        <v>818</v>
      </c>
      <c r="F1235" s="229">
        <v>2019</v>
      </c>
      <c r="G1235">
        <v>4</v>
      </c>
      <c r="H1235" t="s">
        <v>820</v>
      </c>
    </row>
    <row r="1236" spans="1:8">
      <c r="A1236" s="229" t="s">
        <v>1587</v>
      </c>
      <c r="C1236" s="229">
        <v>216.03</v>
      </c>
      <c r="D1236" s="229">
        <v>12010513</v>
      </c>
      <c r="E1236" s="229" t="s">
        <v>818</v>
      </c>
      <c r="F1236" s="229">
        <v>2019</v>
      </c>
      <c r="G1236">
        <v>4</v>
      </c>
      <c r="H1236" t="s">
        <v>820</v>
      </c>
    </row>
    <row r="1237" spans="1:8">
      <c r="A1237" s="229" t="s">
        <v>1587</v>
      </c>
      <c r="C1237" s="229">
        <v>250.14</v>
      </c>
      <c r="D1237" s="229">
        <v>12010513</v>
      </c>
      <c r="E1237" s="229" t="s">
        <v>818</v>
      </c>
      <c r="F1237" s="229">
        <v>2019</v>
      </c>
      <c r="G1237">
        <v>4</v>
      </c>
      <c r="H1237" t="s">
        <v>820</v>
      </c>
    </row>
    <row r="1238" spans="1:8">
      <c r="A1238" s="229" t="s">
        <v>1587</v>
      </c>
      <c r="C1238" s="229">
        <v>136.44</v>
      </c>
      <c r="D1238" s="229">
        <v>12010513</v>
      </c>
      <c r="E1238" s="229" t="s">
        <v>818</v>
      </c>
      <c r="F1238" s="229">
        <v>2019</v>
      </c>
      <c r="G1238">
        <v>4</v>
      </c>
      <c r="H1238" t="s">
        <v>820</v>
      </c>
    </row>
    <row r="1239" spans="1:8">
      <c r="A1239" s="229" t="s">
        <v>1587</v>
      </c>
      <c r="C1239" s="229">
        <v>284.25</v>
      </c>
      <c r="D1239" s="229">
        <v>12010513</v>
      </c>
      <c r="E1239" s="229" t="s">
        <v>818</v>
      </c>
      <c r="F1239" s="229">
        <v>2019</v>
      </c>
      <c r="G1239">
        <v>4</v>
      </c>
      <c r="H1239" t="s">
        <v>820</v>
      </c>
    </row>
    <row r="1240" spans="1:8">
      <c r="A1240" s="229" t="s">
        <v>1587</v>
      </c>
      <c r="C1240" s="229">
        <v>255.83</v>
      </c>
      <c r="D1240" s="229">
        <v>12010513</v>
      </c>
      <c r="E1240" s="229" t="s">
        <v>818</v>
      </c>
      <c r="F1240" s="229">
        <v>2019</v>
      </c>
      <c r="G1240">
        <v>4</v>
      </c>
      <c r="H1240" t="s">
        <v>820</v>
      </c>
    </row>
    <row r="1241" spans="1:8">
      <c r="A1241" s="229" t="s">
        <v>1587</v>
      </c>
      <c r="C1241" s="229">
        <v>164.87</v>
      </c>
      <c r="D1241" s="229">
        <v>12010513</v>
      </c>
      <c r="E1241" s="229" t="s">
        <v>818</v>
      </c>
      <c r="F1241" s="229">
        <v>2019</v>
      </c>
      <c r="G1241">
        <v>4</v>
      </c>
      <c r="H1241" t="s">
        <v>820</v>
      </c>
    </row>
    <row r="1242" spans="1:8">
      <c r="A1242" s="229" t="s">
        <v>1587</v>
      </c>
      <c r="C1242" s="229">
        <v>176.24</v>
      </c>
      <c r="D1242" s="229">
        <v>12010513</v>
      </c>
      <c r="E1242" s="229" t="s">
        <v>818</v>
      </c>
      <c r="F1242" s="229">
        <v>2019</v>
      </c>
      <c r="G1242">
        <v>4</v>
      </c>
      <c r="H1242" t="s">
        <v>820</v>
      </c>
    </row>
    <row r="1243" spans="1:8">
      <c r="A1243" s="229" t="s">
        <v>1587</v>
      </c>
      <c r="C1243" s="229">
        <v>271.95</v>
      </c>
      <c r="D1243" s="229">
        <v>12010513</v>
      </c>
      <c r="E1243" s="229" t="s">
        <v>818</v>
      </c>
      <c r="F1243" s="229">
        <v>2019</v>
      </c>
      <c r="G1243">
        <v>4</v>
      </c>
      <c r="H1243" t="s">
        <v>820</v>
      </c>
    </row>
    <row r="1244" spans="1:8">
      <c r="A1244" s="229" t="s">
        <v>1587</v>
      </c>
      <c r="C1244" s="229">
        <v>399.6</v>
      </c>
      <c r="D1244" s="229">
        <v>12010513</v>
      </c>
      <c r="E1244" s="229" t="s">
        <v>818</v>
      </c>
      <c r="F1244" s="229">
        <v>2019</v>
      </c>
      <c r="G1244">
        <v>4</v>
      </c>
      <c r="H1244" t="s">
        <v>820</v>
      </c>
    </row>
    <row r="1245" spans="1:8">
      <c r="A1245" s="229" t="s">
        <v>1587</v>
      </c>
      <c r="C1245" s="229">
        <v>66.599999999999994</v>
      </c>
      <c r="D1245" s="229">
        <v>12010513</v>
      </c>
      <c r="E1245" s="229" t="s">
        <v>818</v>
      </c>
      <c r="F1245" s="229">
        <v>2019</v>
      </c>
      <c r="G1245">
        <v>4</v>
      </c>
      <c r="H1245" t="s">
        <v>820</v>
      </c>
    </row>
    <row r="1246" spans="1:8">
      <c r="A1246" s="229" t="s">
        <v>1587</v>
      </c>
      <c r="C1246" s="229">
        <v>133.19999999999999</v>
      </c>
      <c r="D1246" s="229">
        <v>12010513</v>
      </c>
      <c r="E1246" s="229" t="s">
        <v>818</v>
      </c>
      <c r="F1246" s="229">
        <v>2019</v>
      </c>
      <c r="G1246">
        <v>4</v>
      </c>
      <c r="H1246" t="s">
        <v>820</v>
      </c>
    </row>
    <row r="1247" spans="1:8">
      <c r="A1247" s="229" t="s">
        <v>1587</v>
      </c>
      <c r="C1247" s="229">
        <v>133.19999999999999</v>
      </c>
      <c r="D1247" s="229">
        <v>12010513</v>
      </c>
      <c r="E1247" s="229" t="s">
        <v>818</v>
      </c>
      <c r="F1247" s="229">
        <v>2019</v>
      </c>
      <c r="G1247">
        <v>4</v>
      </c>
      <c r="H1247" t="s">
        <v>820</v>
      </c>
    </row>
    <row r="1248" spans="1:8">
      <c r="A1248" s="229" t="s">
        <v>1587</v>
      </c>
      <c r="C1248" s="229">
        <v>66.599999999999994</v>
      </c>
      <c r="D1248" s="229">
        <v>12010513</v>
      </c>
      <c r="E1248" s="229" t="s">
        <v>818</v>
      </c>
      <c r="F1248" s="229">
        <v>2019</v>
      </c>
      <c r="G1248">
        <v>4</v>
      </c>
      <c r="H1248" t="s">
        <v>820</v>
      </c>
    </row>
    <row r="1249" spans="1:8">
      <c r="A1249" s="229" t="s">
        <v>1587</v>
      </c>
      <c r="C1249" s="229">
        <v>199.8</v>
      </c>
      <c r="D1249" s="229">
        <v>12010513</v>
      </c>
      <c r="E1249" s="229" t="s">
        <v>818</v>
      </c>
      <c r="F1249" s="229">
        <v>2019</v>
      </c>
      <c r="G1249">
        <v>4</v>
      </c>
      <c r="H1249" t="s">
        <v>820</v>
      </c>
    </row>
    <row r="1250" spans="1:8">
      <c r="A1250" s="229" t="s">
        <v>1587</v>
      </c>
      <c r="C1250" s="229">
        <v>183.15</v>
      </c>
      <c r="D1250" s="229">
        <v>12010513</v>
      </c>
      <c r="E1250" s="229" t="s">
        <v>818</v>
      </c>
      <c r="F1250" s="229">
        <v>2019</v>
      </c>
      <c r="G1250">
        <v>4</v>
      </c>
      <c r="H1250" t="s">
        <v>820</v>
      </c>
    </row>
    <row r="1251" spans="1:8">
      <c r="A1251" s="229" t="s">
        <v>1587</v>
      </c>
      <c r="C1251" s="229">
        <v>99.75</v>
      </c>
      <c r="D1251" s="229">
        <v>12010513</v>
      </c>
      <c r="E1251" s="229" t="s">
        <v>818</v>
      </c>
      <c r="F1251" s="229">
        <v>2019</v>
      </c>
      <c r="G1251">
        <v>4</v>
      </c>
      <c r="H1251" t="s">
        <v>820</v>
      </c>
    </row>
    <row r="1252" spans="1:8">
      <c r="A1252" s="229" t="s">
        <v>1587</v>
      </c>
      <c r="C1252" s="229">
        <v>102.6</v>
      </c>
      <c r="D1252" s="229">
        <v>12010513</v>
      </c>
      <c r="E1252" s="229" t="s">
        <v>818</v>
      </c>
      <c r="F1252" s="229">
        <v>2019</v>
      </c>
      <c r="G1252">
        <v>4</v>
      </c>
      <c r="H1252" t="s">
        <v>820</v>
      </c>
    </row>
    <row r="1253" spans="1:8">
      <c r="A1253" s="229" t="s">
        <v>1587</v>
      </c>
      <c r="C1253" s="229">
        <v>273.60000000000002</v>
      </c>
      <c r="D1253" s="229">
        <v>12010513</v>
      </c>
      <c r="E1253" s="229" t="s">
        <v>818</v>
      </c>
      <c r="F1253" s="229">
        <v>2019</v>
      </c>
      <c r="G1253">
        <v>4</v>
      </c>
      <c r="H1253" t="s">
        <v>820</v>
      </c>
    </row>
    <row r="1254" spans="1:8">
      <c r="A1254" s="229" t="s">
        <v>1672</v>
      </c>
      <c r="C1254" s="229">
        <v>4.16</v>
      </c>
      <c r="D1254" s="229">
        <v>12010513</v>
      </c>
      <c r="E1254" s="229" t="s">
        <v>818</v>
      </c>
      <c r="F1254" s="229">
        <v>2019</v>
      </c>
      <c r="G1254">
        <v>4</v>
      </c>
      <c r="H1254" t="s">
        <v>820</v>
      </c>
    </row>
    <row r="1255" spans="1:8">
      <c r="A1255" s="229" t="s">
        <v>1589</v>
      </c>
      <c r="C1255" s="229">
        <v>58.59</v>
      </c>
      <c r="D1255" s="229">
        <v>12010513</v>
      </c>
      <c r="E1255" s="229" t="s">
        <v>818</v>
      </c>
      <c r="F1255" s="229">
        <v>2019</v>
      </c>
      <c r="G1255">
        <v>4</v>
      </c>
      <c r="H1255" t="s">
        <v>820</v>
      </c>
    </row>
    <row r="1256" spans="1:8">
      <c r="A1256" s="229" t="s">
        <v>1589</v>
      </c>
      <c r="C1256" s="229">
        <v>59.05</v>
      </c>
      <c r="D1256" s="229">
        <v>12010513</v>
      </c>
      <c r="E1256" s="229" t="s">
        <v>818</v>
      </c>
      <c r="F1256" s="229">
        <v>2019</v>
      </c>
      <c r="G1256">
        <v>4</v>
      </c>
      <c r="H1256" t="s">
        <v>820</v>
      </c>
    </row>
    <row r="1257" spans="1:8">
      <c r="A1257" s="229" t="s">
        <v>1589</v>
      </c>
      <c r="C1257" s="229">
        <v>34.270000000000003</v>
      </c>
      <c r="D1257" s="229">
        <v>12010513</v>
      </c>
      <c r="E1257" s="229" t="s">
        <v>818</v>
      </c>
      <c r="F1257" s="229">
        <v>2019</v>
      </c>
      <c r="G1257">
        <v>4</v>
      </c>
      <c r="H1257" t="s">
        <v>820</v>
      </c>
    </row>
    <row r="1258" spans="1:8">
      <c r="A1258" s="229" t="s">
        <v>1589</v>
      </c>
      <c r="C1258" s="229">
        <v>0.03</v>
      </c>
      <c r="D1258" s="229">
        <v>12010513</v>
      </c>
      <c r="E1258" s="229" t="s">
        <v>818</v>
      </c>
      <c r="F1258" s="229">
        <v>2019</v>
      </c>
      <c r="G1258">
        <v>4</v>
      </c>
      <c r="H1258" t="s">
        <v>820</v>
      </c>
    </row>
    <row r="1259" spans="1:8">
      <c r="A1259" s="229" t="s">
        <v>1589</v>
      </c>
      <c r="C1259" s="229">
        <v>18.579999999999998</v>
      </c>
      <c r="D1259" s="229">
        <v>12010513</v>
      </c>
      <c r="E1259" s="229" t="s">
        <v>818</v>
      </c>
      <c r="F1259" s="229">
        <v>2019</v>
      </c>
      <c r="G1259">
        <v>4</v>
      </c>
      <c r="H1259" t="s">
        <v>820</v>
      </c>
    </row>
    <row r="1260" spans="1:8">
      <c r="A1260" s="229" t="s">
        <v>1675</v>
      </c>
      <c r="C1260" s="229">
        <v>350</v>
      </c>
      <c r="D1260" s="229">
        <v>12010513</v>
      </c>
      <c r="E1260" s="229" t="s">
        <v>818</v>
      </c>
      <c r="F1260" s="229">
        <v>2019</v>
      </c>
      <c r="G1260">
        <v>4</v>
      </c>
      <c r="H1260" t="s">
        <v>820</v>
      </c>
    </row>
    <row r="1261" spans="1:8">
      <c r="A1261" s="229" t="s">
        <v>1675</v>
      </c>
      <c r="C1261" s="229">
        <v>350</v>
      </c>
      <c r="D1261" s="229">
        <v>12010513</v>
      </c>
      <c r="E1261" s="229" t="s">
        <v>818</v>
      </c>
      <c r="F1261" s="229">
        <v>2019</v>
      </c>
      <c r="G1261">
        <v>4</v>
      </c>
      <c r="H1261" t="s">
        <v>820</v>
      </c>
    </row>
    <row r="1262" spans="1:8">
      <c r="A1262" s="229" t="s">
        <v>1675</v>
      </c>
      <c r="C1262" s="229">
        <v>350</v>
      </c>
      <c r="D1262" s="229">
        <v>12010513</v>
      </c>
      <c r="E1262" s="229" t="s">
        <v>818</v>
      </c>
      <c r="F1262" s="229">
        <v>2019</v>
      </c>
      <c r="G1262">
        <v>4</v>
      </c>
      <c r="H1262" t="s">
        <v>820</v>
      </c>
    </row>
    <row r="1263" spans="1:8">
      <c r="A1263" s="229" t="s">
        <v>1675</v>
      </c>
      <c r="C1263" s="229">
        <v>350</v>
      </c>
      <c r="D1263" s="229">
        <v>12010513</v>
      </c>
      <c r="E1263" s="229" t="s">
        <v>818</v>
      </c>
      <c r="F1263" s="229">
        <v>2019</v>
      </c>
      <c r="G1263">
        <v>4</v>
      </c>
      <c r="H1263" t="s">
        <v>820</v>
      </c>
    </row>
    <row r="1264" spans="1:8">
      <c r="A1264" s="229" t="s">
        <v>1594</v>
      </c>
      <c r="C1264" s="229">
        <v>634.14</v>
      </c>
      <c r="D1264" s="229">
        <v>12010513</v>
      </c>
      <c r="E1264" s="229" t="s">
        <v>818</v>
      </c>
      <c r="F1264" s="229">
        <v>2019</v>
      </c>
      <c r="G1264">
        <v>4</v>
      </c>
      <c r="H1264" t="s">
        <v>820</v>
      </c>
    </row>
    <row r="1265" spans="1:8">
      <c r="A1265" s="229" t="s">
        <v>1596</v>
      </c>
      <c r="C1265" s="229">
        <v>58.08</v>
      </c>
      <c r="D1265" s="229">
        <v>12010513</v>
      </c>
      <c r="E1265" s="229" t="s">
        <v>818</v>
      </c>
      <c r="F1265" s="229">
        <v>2019</v>
      </c>
      <c r="G1265">
        <v>4</v>
      </c>
      <c r="H1265" t="s">
        <v>820</v>
      </c>
    </row>
    <row r="1266" spans="1:8">
      <c r="A1266" s="229" t="s">
        <v>1596</v>
      </c>
      <c r="D1266" s="229">
        <v>12010513</v>
      </c>
      <c r="E1266" s="229" t="s">
        <v>818</v>
      </c>
      <c r="F1266" s="229">
        <v>2019</v>
      </c>
      <c r="G1266">
        <v>4</v>
      </c>
      <c r="H1266" t="s">
        <v>820</v>
      </c>
    </row>
    <row r="1267" spans="1:8">
      <c r="A1267" s="229" t="s">
        <v>1596</v>
      </c>
      <c r="D1267" s="229">
        <v>12010513</v>
      </c>
      <c r="E1267" s="229" t="s">
        <v>818</v>
      </c>
      <c r="F1267" s="229">
        <v>2019</v>
      </c>
      <c r="G1267">
        <v>4</v>
      </c>
      <c r="H1267" t="s">
        <v>820</v>
      </c>
    </row>
    <row r="1268" spans="1:8">
      <c r="A1268" s="229" t="s">
        <v>1596</v>
      </c>
      <c r="C1268" s="229">
        <v>58.08</v>
      </c>
      <c r="D1268" s="229">
        <v>12010513</v>
      </c>
      <c r="E1268" s="229" t="s">
        <v>818</v>
      </c>
      <c r="F1268" s="229">
        <v>2019</v>
      </c>
      <c r="G1268">
        <v>4</v>
      </c>
      <c r="H1268" t="s">
        <v>820</v>
      </c>
    </row>
    <row r="1269" spans="1:8">
      <c r="A1269" s="229" t="s">
        <v>1596</v>
      </c>
      <c r="D1269" s="229">
        <v>12010513</v>
      </c>
      <c r="E1269" s="229" t="s">
        <v>818</v>
      </c>
      <c r="F1269" s="229">
        <v>2019</v>
      </c>
      <c r="G1269">
        <v>4</v>
      </c>
      <c r="H1269" t="s">
        <v>820</v>
      </c>
    </row>
    <row r="1270" spans="1:8">
      <c r="A1270" s="229" t="s">
        <v>1596</v>
      </c>
      <c r="C1270" s="229">
        <v>58.08</v>
      </c>
      <c r="D1270" s="229">
        <v>12010513</v>
      </c>
      <c r="E1270" s="229" t="s">
        <v>818</v>
      </c>
      <c r="F1270" s="229">
        <v>2019</v>
      </c>
      <c r="G1270">
        <v>4</v>
      </c>
      <c r="H1270" t="s">
        <v>820</v>
      </c>
    </row>
    <row r="1271" spans="1:8">
      <c r="A1271" s="229" t="s">
        <v>1597</v>
      </c>
      <c r="C1271" s="229">
        <v>39.700000000000003</v>
      </c>
      <c r="D1271" s="229">
        <v>12010513</v>
      </c>
      <c r="E1271" s="229" t="s">
        <v>818</v>
      </c>
      <c r="F1271" s="229">
        <v>2019</v>
      </c>
      <c r="G1271">
        <v>4</v>
      </c>
      <c r="H1271" t="s">
        <v>820</v>
      </c>
    </row>
    <row r="1272" spans="1:8">
      <c r="A1272" s="229" t="s">
        <v>1597</v>
      </c>
      <c r="C1272" s="229">
        <v>192</v>
      </c>
      <c r="D1272" s="229">
        <v>12010513</v>
      </c>
      <c r="E1272" s="229" t="s">
        <v>818</v>
      </c>
      <c r="F1272" s="229">
        <v>2019</v>
      </c>
      <c r="G1272">
        <v>4</v>
      </c>
      <c r="H1272" t="s">
        <v>820</v>
      </c>
    </row>
    <row r="1273" spans="1:8">
      <c r="A1273" s="229" t="s">
        <v>1602</v>
      </c>
      <c r="C1273" s="229">
        <v>6383.36</v>
      </c>
      <c r="D1273" s="229">
        <v>12010513</v>
      </c>
      <c r="E1273" s="229" t="s">
        <v>818</v>
      </c>
      <c r="F1273" s="229">
        <v>2019</v>
      </c>
      <c r="G1273">
        <v>4</v>
      </c>
      <c r="H1273" t="s">
        <v>820</v>
      </c>
    </row>
    <row r="1274" spans="1:8">
      <c r="A1274" s="229" t="s">
        <v>1680</v>
      </c>
      <c r="C1274" s="229">
        <v>360</v>
      </c>
      <c r="D1274" s="229">
        <v>12010513</v>
      </c>
      <c r="E1274" s="229" t="s">
        <v>818</v>
      </c>
      <c r="F1274" s="229">
        <v>2019</v>
      </c>
      <c r="G1274">
        <v>4</v>
      </c>
      <c r="H1274" t="s">
        <v>820</v>
      </c>
    </row>
    <row r="1275" spans="1:8">
      <c r="A1275" s="229" t="s">
        <v>1681</v>
      </c>
      <c r="C1275" s="229">
        <v>159</v>
      </c>
      <c r="D1275" s="229">
        <v>12010513</v>
      </c>
      <c r="E1275" s="229" t="s">
        <v>818</v>
      </c>
      <c r="F1275" s="229">
        <v>2019</v>
      </c>
      <c r="G1275">
        <v>4</v>
      </c>
      <c r="H1275" t="s">
        <v>820</v>
      </c>
    </row>
    <row r="1276" spans="1:8">
      <c r="A1276" s="229" t="s">
        <v>1606</v>
      </c>
      <c r="C1276" s="229">
        <v>140.55000000000001</v>
      </c>
      <c r="D1276" s="229">
        <v>12010513</v>
      </c>
      <c r="E1276" s="229" t="s">
        <v>818</v>
      </c>
      <c r="F1276" s="229">
        <v>2019</v>
      </c>
      <c r="G1276">
        <v>4</v>
      </c>
      <c r="H1276" t="s">
        <v>820</v>
      </c>
    </row>
    <row r="1277" spans="1:8">
      <c r="A1277" s="229" t="s">
        <v>1608</v>
      </c>
      <c r="C1277" s="229">
        <v>639</v>
      </c>
      <c r="D1277" s="229">
        <v>12010513</v>
      </c>
      <c r="E1277" s="229" t="s">
        <v>818</v>
      </c>
      <c r="F1277" s="229">
        <v>2019</v>
      </c>
      <c r="G1277">
        <v>4</v>
      </c>
      <c r="H1277" t="s">
        <v>820</v>
      </c>
    </row>
    <row r="1278" spans="1:8">
      <c r="A1278" s="229" t="s">
        <v>1610</v>
      </c>
      <c r="C1278" s="229">
        <v>1500</v>
      </c>
      <c r="D1278" s="229">
        <v>12010513</v>
      </c>
      <c r="E1278" s="229" t="s">
        <v>818</v>
      </c>
      <c r="F1278" s="229">
        <v>2019</v>
      </c>
      <c r="G1278">
        <v>4</v>
      </c>
      <c r="H1278" t="s">
        <v>820</v>
      </c>
    </row>
    <row r="1279" spans="1:8">
      <c r="A1279" s="229" t="s">
        <v>1610</v>
      </c>
      <c r="C1279" s="229">
        <v>1500</v>
      </c>
      <c r="D1279" s="229">
        <v>12010513</v>
      </c>
      <c r="E1279" s="229" t="s">
        <v>818</v>
      </c>
      <c r="F1279" s="229">
        <v>2019</v>
      </c>
      <c r="G1279">
        <v>4</v>
      </c>
      <c r="H1279" t="s">
        <v>820</v>
      </c>
    </row>
    <row r="1280" spans="1:8">
      <c r="A1280" s="229" t="s">
        <v>1610</v>
      </c>
      <c r="C1280" s="229">
        <v>1500</v>
      </c>
      <c r="D1280" s="229">
        <v>12010513</v>
      </c>
      <c r="E1280" s="229" t="s">
        <v>818</v>
      </c>
      <c r="F1280" s="229">
        <v>2019</v>
      </c>
      <c r="G1280">
        <v>4</v>
      </c>
      <c r="H1280" t="s">
        <v>820</v>
      </c>
    </row>
    <row r="1281" spans="1:8">
      <c r="A1281" s="229" t="s">
        <v>1610</v>
      </c>
      <c r="C1281" s="229">
        <v>1000</v>
      </c>
      <c r="D1281" s="229">
        <v>12010513</v>
      </c>
      <c r="E1281" s="229" t="s">
        <v>818</v>
      </c>
      <c r="F1281" s="229">
        <v>2019</v>
      </c>
      <c r="G1281">
        <v>4</v>
      </c>
      <c r="H1281" t="s">
        <v>820</v>
      </c>
    </row>
    <row r="1282" spans="1:8">
      <c r="A1282" s="229" t="s">
        <v>1611</v>
      </c>
      <c r="D1282" s="229">
        <v>12010513</v>
      </c>
      <c r="E1282" s="229" t="s">
        <v>818</v>
      </c>
      <c r="F1282" s="229">
        <v>2019</v>
      </c>
      <c r="G1282">
        <v>4</v>
      </c>
      <c r="H1282" t="s">
        <v>820</v>
      </c>
    </row>
    <row r="1283" spans="1:8">
      <c r="A1283" s="229" t="s">
        <v>1611</v>
      </c>
      <c r="C1283" s="229">
        <v>600</v>
      </c>
      <c r="D1283" s="229">
        <v>12010513</v>
      </c>
      <c r="E1283" s="229" t="s">
        <v>818</v>
      </c>
      <c r="F1283" s="229">
        <v>2019</v>
      </c>
      <c r="G1283">
        <v>4</v>
      </c>
      <c r="H1283" t="s">
        <v>820</v>
      </c>
    </row>
    <row r="1284" spans="1:8">
      <c r="A1284" s="229" t="s">
        <v>1611</v>
      </c>
      <c r="D1284" s="229">
        <v>12010513</v>
      </c>
      <c r="E1284" s="229" t="s">
        <v>818</v>
      </c>
      <c r="F1284" s="229">
        <v>2019</v>
      </c>
      <c r="G1284">
        <v>4</v>
      </c>
      <c r="H1284" t="s">
        <v>820</v>
      </c>
    </row>
    <row r="1285" spans="1:8">
      <c r="A1285" s="229" t="s">
        <v>1611</v>
      </c>
      <c r="C1285" s="229">
        <v>600</v>
      </c>
      <c r="D1285" s="229">
        <v>12010513</v>
      </c>
      <c r="E1285" s="229" t="s">
        <v>818</v>
      </c>
      <c r="F1285" s="229">
        <v>2019</v>
      </c>
      <c r="G1285">
        <v>4</v>
      </c>
      <c r="H1285" t="s">
        <v>820</v>
      </c>
    </row>
    <row r="1286" spans="1:8">
      <c r="A1286" s="229" t="s">
        <v>1611</v>
      </c>
      <c r="D1286" s="229">
        <v>12010513</v>
      </c>
      <c r="E1286" s="229" t="s">
        <v>818</v>
      </c>
      <c r="F1286" s="229">
        <v>2019</v>
      </c>
      <c r="G1286">
        <v>4</v>
      </c>
      <c r="H1286" t="s">
        <v>820</v>
      </c>
    </row>
    <row r="1287" spans="1:8">
      <c r="A1287" s="229" t="s">
        <v>1611</v>
      </c>
      <c r="D1287" s="229">
        <v>12010513</v>
      </c>
      <c r="E1287" s="229" t="s">
        <v>818</v>
      </c>
      <c r="F1287" s="229">
        <v>2019</v>
      </c>
      <c r="G1287">
        <v>4</v>
      </c>
      <c r="H1287" t="s">
        <v>820</v>
      </c>
    </row>
    <row r="1288" spans="1:8">
      <c r="A1288" s="229" t="s">
        <v>1611</v>
      </c>
      <c r="C1288" s="229">
        <v>600</v>
      </c>
      <c r="D1288" s="229">
        <v>12010513</v>
      </c>
      <c r="E1288" s="229" t="s">
        <v>818</v>
      </c>
      <c r="F1288" s="229">
        <v>2019</v>
      </c>
      <c r="G1288">
        <v>4</v>
      </c>
      <c r="H1288" t="s">
        <v>820</v>
      </c>
    </row>
    <row r="1289" spans="1:8">
      <c r="A1289" s="229" t="s">
        <v>1611</v>
      </c>
      <c r="C1289" s="229">
        <v>600</v>
      </c>
      <c r="D1289" s="229">
        <v>12010513</v>
      </c>
      <c r="E1289" s="229" t="s">
        <v>818</v>
      </c>
      <c r="F1289" s="229">
        <v>2019</v>
      </c>
      <c r="G1289">
        <v>4</v>
      </c>
      <c r="H1289" t="s">
        <v>820</v>
      </c>
    </row>
    <row r="1290" spans="1:8">
      <c r="A1290" s="229" t="s">
        <v>1616</v>
      </c>
      <c r="C1290" s="229">
        <v>-1902.53</v>
      </c>
      <c r="D1290" s="229">
        <v>12010513</v>
      </c>
      <c r="E1290" s="229" t="s">
        <v>818</v>
      </c>
      <c r="F1290" s="229">
        <v>2019</v>
      </c>
      <c r="G1290">
        <v>4</v>
      </c>
      <c r="H1290" t="s">
        <v>820</v>
      </c>
    </row>
    <row r="1291" spans="1:8">
      <c r="A1291" s="229" t="s">
        <v>1616</v>
      </c>
      <c r="C1291" s="229">
        <v>1902.53</v>
      </c>
      <c r="D1291" s="229">
        <v>12010513</v>
      </c>
      <c r="E1291" s="229" t="s">
        <v>818</v>
      </c>
      <c r="F1291" s="229">
        <v>2019</v>
      </c>
      <c r="G1291">
        <v>4</v>
      </c>
      <c r="H1291" t="s">
        <v>820</v>
      </c>
    </row>
    <row r="1292" spans="1:8">
      <c r="A1292" s="229" t="s">
        <v>1616</v>
      </c>
      <c r="C1292" s="229">
        <v>2887</v>
      </c>
      <c r="D1292" s="229">
        <v>12010513</v>
      </c>
      <c r="E1292" s="229" t="s">
        <v>818</v>
      </c>
      <c r="F1292" s="229">
        <v>2019</v>
      </c>
      <c r="G1292">
        <v>4</v>
      </c>
      <c r="H1292" t="s">
        <v>820</v>
      </c>
    </row>
    <row r="1293" spans="1:8">
      <c r="A1293" s="229" t="s">
        <v>1616</v>
      </c>
      <c r="C1293" s="229">
        <v>545.64</v>
      </c>
      <c r="D1293" s="229">
        <v>12010513</v>
      </c>
      <c r="E1293" s="229" t="s">
        <v>818</v>
      </c>
      <c r="F1293" s="229">
        <v>2019</v>
      </c>
      <c r="G1293">
        <v>4</v>
      </c>
      <c r="H1293" t="s">
        <v>820</v>
      </c>
    </row>
    <row r="1294" spans="1:8">
      <c r="A1294" s="229" t="s">
        <v>1616</v>
      </c>
      <c r="C1294" s="229">
        <v>980.72</v>
      </c>
      <c r="D1294" s="229">
        <v>12010513</v>
      </c>
      <c r="E1294" s="229" t="s">
        <v>818</v>
      </c>
      <c r="F1294" s="229">
        <v>2019</v>
      </c>
      <c r="G1294">
        <v>4</v>
      </c>
      <c r="H1294" t="s">
        <v>820</v>
      </c>
    </row>
    <row r="1295" spans="1:8">
      <c r="A1295" s="229" t="s">
        <v>1616</v>
      </c>
      <c r="C1295" s="229">
        <v>980.72</v>
      </c>
      <c r="D1295" s="229">
        <v>12010513</v>
      </c>
      <c r="E1295" s="229" t="s">
        <v>818</v>
      </c>
      <c r="F1295" s="229">
        <v>2019</v>
      </c>
      <c r="G1295">
        <v>4</v>
      </c>
      <c r="H1295" t="s">
        <v>820</v>
      </c>
    </row>
    <row r="1296" spans="1:8">
      <c r="A1296" s="229" t="s">
        <v>1617</v>
      </c>
      <c r="C1296" s="229">
        <v>85</v>
      </c>
      <c r="D1296" s="229">
        <v>12010513</v>
      </c>
      <c r="E1296" s="229" t="s">
        <v>818</v>
      </c>
      <c r="F1296" s="229">
        <v>2019</v>
      </c>
      <c r="G1296">
        <v>4</v>
      </c>
      <c r="H1296" t="s">
        <v>820</v>
      </c>
    </row>
    <row r="1297" spans="1:8">
      <c r="A1297" s="229" t="s">
        <v>1618</v>
      </c>
      <c r="C1297" s="229">
        <v>-820.03</v>
      </c>
      <c r="D1297" s="229">
        <v>12010513</v>
      </c>
      <c r="E1297" s="229" t="s">
        <v>818</v>
      </c>
      <c r="F1297" s="229">
        <v>2019</v>
      </c>
      <c r="G1297">
        <v>4</v>
      </c>
      <c r="H1297" t="s">
        <v>820</v>
      </c>
    </row>
    <row r="1298" spans="1:8">
      <c r="A1298" s="229" t="s">
        <v>1618</v>
      </c>
      <c r="C1298" s="229">
        <v>1640.06</v>
      </c>
      <c r="D1298" s="229">
        <v>12010513</v>
      </c>
      <c r="E1298" s="229" t="s">
        <v>818</v>
      </c>
      <c r="F1298" s="229">
        <v>2019</v>
      </c>
      <c r="G1298">
        <v>4</v>
      </c>
      <c r="H1298" t="s">
        <v>820</v>
      </c>
    </row>
    <row r="1299" spans="1:8">
      <c r="A1299" s="229" t="s">
        <v>1618</v>
      </c>
      <c r="C1299" s="229">
        <v>-408.77</v>
      </c>
      <c r="D1299" s="229">
        <v>12010513</v>
      </c>
      <c r="E1299" s="229" t="s">
        <v>818</v>
      </c>
      <c r="F1299" s="229">
        <v>2019</v>
      </c>
      <c r="G1299">
        <v>4</v>
      </c>
      <c r="H1299" t="s">
        <v>820</v>
      </c>
    </row>
    <row r="1300" spans="1:8">
      <c r="A1300" s="229" t="s">
        <v>1618</v>
      </c>
      <c r="C1300" s="229">
        <v>817.54</v>
      </c>
      <c r="D1300" s="229">
        <v>12010513</v>
      </c>
      <c r="E1300" s="229" t="s">
        <v>818</v>
      </c>
      <c r="F1300" s="229">
        <v>2019</v>
      </c>
      <c r="G1300">
        <v>4</v>
      </c>
      <c r="H1300" t="s">
        <v>820</v>
      </c>
    </row>
    <row r="1301" spans="1:8">
      <c r="A1301" s="229" t="s">
        <v>1618</v>
      </c>
      <c r="C1301" s="229">
        <v>-192.36</v>
      </c>
      <c r="D1301" s="229">
        <v>12010513</v>
      </c>
      <c r="E1301" s="229" t="s">
        <v>818</v>
      </c>
      <c r="F1301" s="229">
        <v>2019</v>
      </c>
      <c r="G1301">
        <v>4</v>
      </c>
      <c r="H1301" t="s">
        <v>820</v>
      </c>
    </row>
    <row r="1302" spans="1:8">
      <c r="A1302" s="229" t="s">
        <v>1618</v>
      </c>
      <c r="C1302" s="229">
        <v>384.71</v>
      </c>
      <c r="D1302" s="229">
        <v>12010513</v>
      </c>
      <c r="E1302" s="229" t="s">
        <v>818</v>
      </c>
      <c r="F1302" s="229">
        <v>2019</v>
      </c>
      <c r="G1302">
        <v>4</v>
      </c>
      <c r="H1302" t="s">
        <v>820</v>
      </c>
    </row>
    <row r="1303" spans="1:8">
      <c r="A1303" s="229" t="s">
        <v>1618</v>
      </c>
      <c r="C1303" s="229">
        <v>-99.4</v>
      </c>
      <c r="D1303" s="229">
        <v>12010513</v>
      </c>
      <c r="E1303" s="229" t="s">
        <v>818</v>
      </c>
      <c r="F1303" s="229">
        <v>2019</v>
      </c>
      <c r="G1303">
        <v>4</v>
      </c>
      <c r="H1303" t="s">
        <v>820</v>
      </c>
    </row>
    <row r="1304" spans="1:8">
      <c r="A1304" s="229" t="s">
        <v>1618</v>
      </c>
      <c r="C1304" s="229">
        <v>198.79</v>
      </c>
      <c r="D1304" s="229">
        <v>12010513</v>
      </c>
      <c r="E1304" s="229" t="s">
        <v>818</v>
      </c>
      <c r="F1304" s="229">
        <v>2019</v>
      </c>
      <c r="G1304">
        <v>4</v>
      </c>
      <c r="H1304" t="s">
        <v>820</v>
      </c>
    </row>
    <row r="1305" spans="1:8">
      <c r="A1305" s="229" t="s">
        <v>1619</v>
      </c>
      <c r="C1305" s="229">
        <v>150.41999999999999</v>
      </c>
      <c r="D1305" s="229">
        <v>12010513</v>
      </c>
      <c r="E1305" s="229" t="s">
        <v>818</v>
      </c>
      <c r="F1305" s="229">
        <v>2019</v>
      </c>
      <c r="G1305">
        <v>4</v>
      </c>
      <c r="H1305" t="s">
        <v>820</v>
      </c>
    </row>
    <row r="1306" spans="1:8">
      <c r="A1306" s="229" t="s">
        <v>1619</v>
      </c>
      <c r="C1306" s="229">
        <v>74.98</v>
      </c>
      <c r="D1306" s="229">
        <v>12010513</v>
      </c>
      <c r="E1306" s="229" t="s">
        <v>818</v>
      </c>
      <c r="F1306" s="229">
        <v>2019</v>
      </c>
      <c r="G1306">
        <v>4</v>
      </c>
      <c r="H1306" t="s">
        <v>820</v>
      </c>
    </row>
    <row r="1307" spans="1:8">
      <c r="A1307" s="229" t="s">
        <v>1619</v>
      </c>
      <c r="C1307" s="229">
        <v>35.28</v>
      </c>
      <c r="D1307" s="229">
        <v>12010513</v>
      </c>
      <c r="E1307" s="229" t="s">
        <v>818</v>
      </c>
      <c r="F1307" s="229">
        <v>2019</v>
      </c>
      <c r="G1307">
        <v>4</v>
      </c>
      <c r="H1307" t="s">
        <v>820</v>
      </c>
    </row>
    <row r="1308" spans="1:8">
      <c r="A1308" s="229" t="s">
        <v>1619</v>
      </c>
      <c r="C1308" s="229">
        <v>18.23</v>
      </c>
      <c r="D1308" s="229">
        <v>12010513</v>
      </c>
      <c r="E1308" s="229" t="s">
        <v>818</v>
      </c>
      <c r="F1308" s="229">
        <v>2019</v>
      </c>
      <c r="G1308">
        <v>4</v>
      </c>
      <c r="H1308" t="s">
        <v>820</v>
      </c>
    </row>
    <row r="1309" spans="1:8">
      <c r="A1309" s="229" t="s">
        <v>1620</v>
      </c>
      <c r="C1309" s="229">
        <v>820.03</v>
      </c>
      <c r="D1309" s="229">
        <v>12010513</v>
      </c>
      <c r="E1309" s="229" t="s">
        <v>818</v>
      </c>
      <c r="F1309" s="229">
        <v>2019</v>
      </c>
      <c r="G1309">
        <v>4</v>
      </c>
      <c r="H1309" t="s">
        <v>820</v>
      </c>
    </row>
    <row r="1310" spans="1:8">
      <c r="A1310" s="229" t="s">
        <v>1620</v>
      </c>
      <c r="C1310" s="229">
        <v>408.77</v>
      </c>
      <c r="D1310" s="229">
        <v>12010513</v>
      </c>
      <c r="E1310" s="229" t="s">
        <v>818</v>
      </c>
      <c r="F1310" s="229">
        <v>2019</v>
      </c>
      <c r="G1310">
        <v>4</v>
      </c>
      <c r="H1310" t="s">
        <v>820</v>
      </c>
    </row>
    <row r="1311" spans="1:8">
      <c r="A1311" s="229" t="s">
        <v>1620</v>
      </c>
      <c r="C1311" s="229">
        <v>192.36</v>
      </c>
      <c r="D1311" s="229">
        <v>12010513</v>
      </c>
      <c r="E1311" s="229" t="s">
        <v>818</v>
      </c>
      <c r="F1311" s="229">
        <v>2019</v>
      </c>
      <c r="G1311">
        <v>4</v>
      </c>
      <c r="H1311" t="s">
        <v>820</v>
      </c>
    </row>
    <row r="1312" spans="1:8">
      <c r="A1312" s="229" t="s">
        <v>1620</v>
      </c>
      <c r="C1312" s="229">
        <v>99.4</v>
      </c>
      <c r="D1312" s="229">
        <v>12010513</v>
      </c>
      <c r="E1312" s="229" t="s">
        <v>818</v>
      </c>
      <c r="F1312" s="229">
        <v>2019</v>
      </c>
      <c r="G1312">
        <v>4</v>
      </c>
      <c r="H1312" t="s">
        <v>820</v>
      </c>
    </row>
    <row r="1313" spans="1:8">
      <c r="A1313" s="229" t="s">
        <v>1621</v>
      </c>
      <c r="C1313" s="229">
        <v>-40564.04</v>
      </c>
      <c r="D1313" s="229">
        <v>12010512</v>
      </c>
      <c r="E1313" s="229" t="s">
        <v>818</v>
      </c>
      <c r="F1313" s="229">
        <v>2019</v>
      </c>
      <c r="G1313">
        <v>4</v>
      </c>
      <c r="H1313" t="s">
        <v>820</v>
      </c>
    </row>
    <row r="1314" spans="1:8">
      <c r="A1314" s="229" t="s">
        <v>1621</v>
      </c>
      <c r="C1314" s="229">
        <v>-5988</v>
      </c>
      <c r="D1314" s="229">
        <v>12010512</v>
      </c>
      <c r="E1314" s="229" t="s">
        <v>818</v>
      </c>
      <c r="F1314" s="229">
        <v>2019</v>
      </c>
      <c r="G1314">
        <v>4</v>
      </c>
      <c r="H1314" t="s">
        <v>820</v>
      </c>
    </row>
    <row r="1315" spans="1:8">
      <c r="A1315" s="229" t="s">
        <v>1622</v>
      </c>
      <c r="C1315" s="229">
        <v>40564.04</v>
      </c>
      <c r="D1315" s="229">
        <v>12010513</v>
      </c>
      <c r="E1315" s="229" t="s">
        <v>818</v>
      </c>
      <c r="F1315" s="229">
        <v>2019</v>
      </c>
      <c r="G1315">
        <v>4</v>
      </c>
      <c r="H1315" t="s">
        <v>820</v>
      </c>
    </row>
    <row r="1316" spans="1:8">
      <c r="A1316" s="229" t="s">
        <v>1622</v>
      </c>
      <c r="C1316" s="229">
        <v>5988</v>
      </c>
      <c r="D1316" s="229">
        <v>12012397</v>
      </c>
      <c r="E1316" s="229" t="s">
        <v>1690</v>
      </c>
      <c r="F1316" s="229">
        <v>2019</v>
      </c>
      <c r="G1316">
        <v>4</v>
      </c>
      <c r="H1316" t="s">
        <v>820</v>
      </c>
    </row>
    <row r="1317" spans="1:8">
      <c r="A1317" s="229" t="s">
        <v>1584</v>
      </c>
      <c r="B1317" s="229">
        <v>-147042</v>
      </c>
      <c r="D1317" s="229">
        <v>12010513</v>
      </c>
      <c r="E1317" s="229" t="s">
        <v>818</v>
      </c>
      <c r="F1317" s="229">
        <v>2020</v>
      </c>
      <c r="G1317">
        <v>1</v>
      </c>
      <c r="H1317" t="s">
        <v>820</v>
      </c>
    </row>
    <row r="1318" spans="1:8">
      <c r="A1318" s="229" t="s">
        <v>1585</v>
      </c>
      <c r="C1318" s="229">
        <v>-73521</v>
      </c>
      <c r="D1318" s="229">
        <v>12010513</v>
      </c>
      <c r="E1318" s="229" t="s">
        <v>818</v>
      </c>
      <c r="F1318" s="229">
        <v>2020</v>
      </c>
      <c r="G1318">
        <v>1</v>
      </c>
      <c r="H1318" t="s">
        <v>820</v>
      </c>
    </row>
    <row r="1319" spans="1:8">
      <c r="A1319" s="229" t="s">
        <v>1586</v>
      </c>
      <c r="B1319" s="229">
        <v>80188</v>
      </c>
      <c r="D1319" s="229">
        <v>12010513</v>
      </c>
      <c r="E1319" s="229" t="s">
        <v>818</v>
      </c>
      <c r="F1319" s="229">
        <v>2020</v>
      </c>
      <c r="G1319">
        <v>1</v>
      </c>
      <c r="H1319" t="s">
        <v>820</v>
      </c>
    </row>
    <row r="1320" spans="1:8">
      <c r="A1320" s="229" t="s">
        <v>1587</v>
      </c>
      <c r="C1320" s="229">
        <v>201.82</v>
      </c>
      <c r="D1320" s="229">
        <v>12010513</v>
      </c>
      <c r="E1320" s="229" t="s">
        <v>818</v>
      </c>
      <c r="F1320" s="229">
        <v>2020</v>
      </c>
      <c r="G1320">
        <v>1</v>
      </c>
      <c r="H1320" t="s">
        <v>820</v>
      </c>
    </row>
    <row r="1321" spans="1:8">
      <c r="A1321" s="229" t="s">
        <v>1587</v>
      </c>
      <c r="C1321" s="229">
        <v>355.31</v>
      </c>
      <c r="D1321" s="229">
        <v>12010513</v>
      </c>
      <c r="E1321" s="229" t="s">
        <v>818</v>
      </c>
      <c r="F1321" s="229">
        <v>2020</v>
      </c>
      <c r="G1321">
        <v>1</v>
      </c>
      <c r="H1321" t="s">
        <v>820</v>
      </c>
    </row>
    <row r="1322" spans="1:8">
      <c r="A1322" s="229" t="s">
        <v>1587</v>
      </c>
      <c r="C1322" s="229">
        <v>1307.55</v>
      </c>
      <c r="D1322" s="229">
        <v>12010513</v>
      </c>
      <c r="E1322" s="229" t="s">
        <v>818</v>
      </c>
      <c r="F1322" s="229">
        <v>2020</v>
      </c>
      <c r="G1322">
        <v>1</v>
      </c>
      <c r="H1322" t="s">
        <v>820</v>
      </c>
    </row>
    <row r="1323" spans="1:8">
      <c r="A1323" s="229" t="s">
        <v>1587</v>
      </c>
      <c r="C1323" s="229">
        <v>19.899999999999999</v>
      </c>
      <c r="D1323" s="229">
        <v>12010513</v>
      </c>
      <c r="E1323" s="229" t="s">
        <v>818</v>
      </c>
      <c r="F1323" s="229">
        <v>2020</v>
      </c>
      <c r="G1323">
        <v>1</v>
      </c>
      <c r="H1323" t="s">
        <v>820</v>
      </c>
    </row>
    <row r="1324" spans="1:8">
      <c r="A1324" s="229" t="s">
        <v>1587</v>
      </c>
      <c r="C1324" s="229">
        <v>79.59</v>
      </c>
      <c r="D1324" s="229">
        <v>12010513</v>
      </c>
      <c r="E1324" s="229" t="s">
        <v>818</v>
      </c>
      <c r="F1324" s="229">
        <v>2020</v>
      </c>
      <c r="G1324">
        <v>1</v>
      </c>
      <c r="H1324" t="s">
        <v>820</v>
      </c>
    </row>
    <row r="1325" spans="1:8">
      <c r="A1325" s="229" t="s">
        <v>1587</v>
      </c>
      <c r="C1325" s="229">
        <v>250.14</v>
      </c>
      <c r="D1325" s="229">
        <v>12010513</v>
      </c>
      <c r="E1325" s="229" t="s">
        <v>818</v>
      </c>
      <c r="F1325" s="229">
        <v>2020</v>
      </c>
      <c r="G1325">
        <v>1</v>
      </c>
      <c r="H1325" t="s">
        <v>820</v>
      </c>
    </row>
    <row r="1326" spans="1:8">
      <c r="A1326" s="229" t="s">
        <v>1587</v>
      </c>
      <c r="C1326" s="229">
        <v>204.66</v>
      </c>
      <c r="D1326" s="229">
        <v>12010513</v>
      </c>
      <c r="E1326" s="229" t="s">
        <v>818</v>
      </c>
      <c r="F1326" s="229">
        <v>2020</v>
      </c>
      <c r="G1326">
        <v>1</v>
      </c>
      <c r="H1326" t="s">
        <v>820</v>
      </c>
    </row>
    <row r="1327" spans="1:8">
      <c r="A1327" s="229" t="s">
        <v>1587</v>
      </c>
      <c r="C1327" s="229">
        <v>591.24</v>
      </c>
      <c r="D1327" s="229">
        <v>12010513</v>
      </c>
      <c r="E1327" s="229" t="s">
        <v>818</v>
      </c>
      <c r="F1327" s="229">
        <v>2020</v>
      </c>
      <c r="G1327">
        <v>1</v>
      </c>
      <c r="H1327" t="s">
        <v>820</v>
      </c>
    </row>
    <row r="1328" spans="1:8">
      <c r="A1328" s="229" t="s">
        <v>1587</v>
      </c>
      <c r="C1328" s="229">
        <v>159.6</v>
      </c>
      <c r="D1328" s="229">
        <v>12010513</v>
      </c>
      <c r="E1328" s="229" t="s">
        <v>818</v>
      </c>
      <c r="F1328" s="229">
        <v>2020</v>
      </c>
      <c r="G1328">
        <v>1</v>
      </c>
      <c r="H1328" t="s">
        <v>820</v>
      </c>
    </row>
    <row r="1329" spans="1:8">
      <c r="A1329" s="229" t="s">
        <v>1587</v>
      </c>
      <c r="C1329" s="229">
        <v>250.8</v>
      </c>
      <c r="D1329" s="229">
        <v>12010513</v>
      </c>
      <c r="E1329" s="229" t="s">
        <v>818</v>
      </c>
      <c r="F1329" s="229">
        <v>2020</v>
      </c>
      <c r="G1329">
        <v>1</v>
      </c>
      <c r="H1329" t="s">
        <v>820</v>
      </c>
    </row>
    <row r="1330" spans="1:8">
      <c r="A1330" s="229" t="s">
        <v>1587</v>
      </c>
      <c r="C1330" s="229">
        <v>0</v>
      </c>
      <c r="D1330" s="229">
        <v>12010513</v>
      </c>
      <c r="E1330" s="229" t="s">
        <v>818</v>
      </c>
      <c r="F1330" s="229">
        <v>2020</v>
      </c>
      <c r="G1330">
        <v>1</v>
      </c>
      <c r="H1330" t="s">
        <v>820</v>
      </c>
    </row>
    <row r="1331" spans="1:8">
      <c r="A1331" s="229" t="s">
        <v>1587</v>
      </c>
      <c r="C1331" s="229">
        <v>461.7</v>
      </c>
      <c r="D1331" s="229">
        <v>12010513</v>
      </c>
      <c r="E1331" s="229" t="s">
        <v>818</v>
      </c>
      <c r="F1331" s="229">
        <v>2020</v>
      </c>
      <c r="G1331">
        <v>1</v>
      </c>
      <c r="H1331" t="s">
        <v>820</v>
      </c>
    </row>
    <row r="1332" spans="1:8">
      <c r="A1332" s="229" t="s">
        <v>1587</v>
      </c>
      <c r="C1332" s="229">
        <v>535.79999999999995</v>
      </c>
      <c r="D1332" s="229">
        <v>12010513</v>
      </c>
      <c r="E1332" s="229" t="s">
        <v>818</v>
      </c>
      <c r="F1332" s="229">
        <v>2020</v>
      </c>
      <c r="G1332">
        <v>1</v>
      </c>
      <c r="H1332" t="s">
        <v>820</v>
      </c>
    </row>
    <row r="1333" spans="1:8">
      <c r="A1333" s="229" t="s">
        <v>1587</v>
      </c>
      <c r="C1333" s="229">
        <v>763.8</v>
      </c>
      <c r="D1333" s="229">
        <v>12010513</v>
      </c>
      <c r="E1333" s="229" t="s">
        <v>818</v>
      </c>
      <c r="F1333" s="229">
        <v>2020</v>
      </c>
      <c r="G1333">
        <v>1</v>
      </c>
      <c r="H1333" t="s">
        <v>820</v>
      </c>
    </row>
    <row r="1334" spans="1:8">
      <c r="A1334" s="229" t="s">
        <v>1587</v>
      </c>
      <c r="C1334" s="229">
        <v>444.6</v>
      </c>
      <c r="D1334" s="229">
        <v>12010513</v>
      </c>
      <c r="E1334" s="229" t="s">
        <v>818</v>
      </c>
      <c r="F1334" s="229">
        <v>2020</v>
      </c>
      <c r="G1334">
        <v>1</v>
      </c>
      <c r="H1334" t="s">
        <v>820</v>
      </c>
    </row>
    <row r="1335" spans="1:8">
      <c r="A1335" s="229" t="s">
        <v>1587</v>
      </c>
      <c r="C1335" s="229">
        <v>665.15</v>
      </c>
      <c r="D1335" s="229">
        <v>12010513</v>
      </c>
      <c r="E1335" s="229" t="s">
        <v>818</v>
      </c>
      <c r="F1335" s="229">
        <v>2020</v>
      </c>
      <c r="G1335">
        <v>1</v>
      </c>
      <c r="H1335" t="s">
        <v>820</v>
      </c>
    </row>
    <row r="1336" spans="1:8">
      <c r="A1336" s="229" t="s">
        <v>1587</v>
      </c>
      <c r="C1336" s="229">
        <v>389.42</v>
      </c>
      <c r="D1336" s="229">
        <v>12010513</v>
      </c>
      <c r="E1336" s="229" t="s">
        <v>818</v>
      </c>
      <c r="F1336" s="229">
        <v>2020</v>
      </c>
      <c r="G1336">
        <v>1</v>
      </c>
      <c r="H1336" t="s">
        <v>820</v>
      </c>
    </row>
    <row r="1337" spans="1:8">
      <c r="A1337" s="229" t="s">
        <v>1587</v>
      </c>
      <c r="C1337" s="229">
        <v>469.01</v>
      </c>
      <c r="D1337" s="229">
        <v>12010513</v>
      </c>
      <c r="E1337" s="229" t="s">
        <v>818</v>
      </c>
      <c r="F1337" s="229">
        <v>2020</v>
      </c>
      <c r="G1337">
        <v>1</v>
      </c>
      <c r="H1337" t="s">
        <v>820</v>
      </c>
    </row>
    <row r="1338" spans="1:8">
      <c r="A1338" s="229" t="s">
        <v>1587</v>
      </c>
      <c r="C1338" s="229">
        <v>1387.14</v>
      </c>
      <c r="D1338" s="229">
        <v>12010513</v>
      </c>
      <c r="E1338" s="229" t="s">
        <v>818</v>
      </c>
      <c r="F1338" s="229">
        <v>2020</v>
      </c>
      <c r="G1338">
        <v>1</v>
      </c>
      <c r="H1338" t="s">
        <v>820</v>
      </c>
    </row>
    <row r="1339" spans="1:8">
      <c r="A1339" s="229" t="s">
        <v>1587</v>
      </c>
      <c r="C1339" s="229">
        <v>272.88</v>
      </c>
      <c r="D1339" s="229">
        <v>12010513</v>
      </c>
      <c r="E1339" s="229" t="s">
        <v>818</v>
      </c>
      <c r="F1339" s="229">
        <v>2020</v>
      </c>
      <c r="G1339">
        <v>1</v>
      </c>
      <c r="H1339" t="s">
        <v>820</v>
      </c>
    </row>
    <row r="1340" spans="1:8">
      <c r="A1340" s="229" t="s">
        <v>1587</v>
      </c>
      <c r="C1340" s="229">
        <v>250.14</v>
      </c>
      <c r="D1340" s="229">
        <v>12010513</v>
      </c>
      <c r="E1340" s="229" t="s">
        <v>818</v>
      </c>
      <c r="F1340" s="229">
        <v>2020</v>
      </c>
      <c r="G1340">
        <v>1</v>
      </c>
      <c r="H1340" t="s">
        <v>820</v>
      </c>
    </row>
    <row r="1341" spans="1:8">
      <c r="A1341" s="229" t="s">
        <v>1587</v>
      </c>
      <c r="C1341" s="229">
        <v>181.92</v>
      </c>
      <c r="D1341" s="229">
        <v>12010513</v>
      </c>
      <c r="E1341" s="229" t="s">
        <v>818</v>
      </c>
      <c r="F1341" s="229">
        <v>2020</v>
      </c>
      <c r="G1341">
        <v>1</v>
      </c>
      <c r="H1341" t="s">
        <v>820</v>
      </c>
    </row>
    <row r="1342" spans="1:8">
      <c r="A1342" s="229" t="s">
        <v>1587</v>
      </c>
      <c r="C1342" s="229">
        <v>352.47</v>
      </c>
      <c r="D1342" s="229">
        <v>12010513</v>
      </c>
      <c r="E1342" s="229" t="s">
        <v>818</v>
      </c>
      <c r="F1342" s="229">
        <v>2020</v>
      </c>
      <c r="G1342">
        <v>1</v>
      </c>
      <c r="H1342" t="s">
        <v>820</v>
      </c>
    </row>
    <row r="1343" spans="1:8">
      <c r="A1343" s="229" t="s">
        <v>1587</v>
      </c>
      <c r="C1343" s="229">
        <v>153.5</v>
      </c>
      <c r="D1343" s="229">
        <v>12010513</v>
      </c>
      <c r="E1343" s="229" t="s">
        <v>818</v>
      </c>
      <c r="F1343" s="229">
        <v>2020</v>
      </c>
      <c r="G1343">
        <v>1</v>
      </c>
      <c r="H1343" t="s">
        <v>820</v>
      </c>
    </row>
    <row r="1344" spans="1:8">
      <c r="A1344" s="229" t="s">
        <v>1587</v>
      </c>
      <c r="C1344" s="229">
        <v>415.01</v>
      </c>
      <c r="D1344" s="229">
        <v>12010513</v>
      </c>
      <c r="E1344" s="229" t="s">
        <v>818</v>
      </c>
      <c r="F1344" s="229">
        <v>2020</v>
      </c>
      <c r="G1344">
        <v>1</v>
      </c>
      <c r="H1344" t="s">
        <v>820</v>
      </c>
    </row>
    <row r="1345" spans="1:8">
      <c r="A1345" s="229" t="s">
        <v>1587</v>
      </c>
      <c r="C1345" s="229">
        <v>283.05</v>
      </c>
      <c r="D1345" s="229">
        <v>12010513</v>
      </c>
      <c r="E1345" s="229" t="s">
        <v>818</v>
      </c>
      <c r="F1345" s="229">
        <v>2020</v>
      </c>
      <c r="G1345">
        <v>1</v>
      </c>
      <c r="H1345" t="s">
        <v>820</v>
      </c>
    </row>
    <row r="1346" spans="1:8">
      <c r="A1346" s="229" t="s">
        <v>1587</v>
      </c>
      <c r="C1346" s="229">
        <v>333</v>
      </c>
      <c r="D1346" s="229">
        <v>12010513</v>
      </c>
      <c r="E1346" s="229" t="s">
        <v>818</v>
      </c>
      <c r="F1346" s="229">
        <v>2020</v>
      </c>
      <c r="G1346">
        <v>1</v>
      </c>
      <c r="H1346" t="s">
        <v>820</v>
      </c>
    </row>
    <row r="1347" spans="1:8">
      <c r="A1347" s="229" t="s">
        <v>1587</v>
      </c>
      <c r="C1347" s="229">
        <v>421.8</v>
      </c>
      <c r="D1347" s="229">
        <v>12010513</v>
      </c>
      <c r="E1347" s="229" t="s">
        <v>818</v>
      </c>
      <c r="F1347" s="229">
        <v>2020</v>
      </c>
      <c r="G1347">
        <v>1</v>
      </c>
      <c r="H1347" t="s">
        <v>820</v>
      </c>
    </row>
    <row r="1348" spans="1:8">
      <c r="A1348" s="229" t="s">
        <v>1587</v>
      </c>
      <c r="C1348" s="229">
        <v>449.55</v>
      </c>
      <c r="D1348" s="229">
        <v>12010513</v>
      </c>
      <c r="E1348" s="229" t="s">
        <v>818</v>
      </c>
      <c r="F1348" s="229">
        <v>2020</v>
      </c>
      <c r="G1348">
        <v>1</v>
      </c>
      <c r="H1348" t="s">
        <v>820</v>
      </c>
    </row>
    <row r="1349" spans="1:8">
      <c r="A1349" s="229" t="s">
        <v>1587</v>
      </c>
      <c r="C1349" s="229">
        <v>327.45</v>
      </c>
      <c r="D1349" s="229">
        <v>12010513</v>
      </c>
      <c r="E1349" s="229" t="s">
        <v>818</v>
      </c>
      <c r="F1349" s="229">
        <v>2020</v>
      </c>
      <c r="G1349">
        <v>1</v>
      </c>
      <c r="H1349" t="s">
        <v>820</v>
      </c>
    </row>
    <row r="1350" spans="1:8">
      <c r="A1350" s="229" t="s">
        <v>1587</v>
      </c>
      <c r="C1350" s="229">
        <v>458.85</v>
      </c>
      <c r="D1350" s="229">
        <v>12010513</v>
      </c>
      <c r="E1350" s="229" t="s">
        <v>818</v>
      </c>
      <c r="F1350" s="229">
        <v>2020</v>
      </c>
      <c r="G1350">
        <v>1</v>
      </c>
      <c r="H1350" t="s">
        <v>820</v>
      </c>
    </row>
    <row r="1351" spans="1:8">
      <c r="A1351" s="229" t="s">
        <v>1587</v>
      </c>
      <c r="C1351" s="229">
        <v>444.6</v>
      </c>
      <c r="D1351" s="229">
        <v>12010513</v>
      </c>
      <c r="E1351" s="229" t="s">
        <v>818</v>
      </c>
      <c r="F1351" s="229">
        <v>2020</v>
      </c>
      <c r="G1351">
        <v>1</v>
      </c>
      <c r="H1351" t="s">
        <v>820</v>
      </c>
    </row>
    <row r="1352" spans="1:8">
      <c r="A1352" s="229" t="s">
        <v>1587</v>
      </c>
      <c r="C1352" s="229">
        <v>364.8</v>
      </c>
      <c r="D1352" s="229">
        <v>12010513</v>
      </c>
      <c r="E1352" s="229" t="s">
        <v>818</v>
      </c>
      <c r="F1352" s="229">
        <v>2020</v>
      </c>
      <c r="G1352">
        <v>1</v>
      </c>
      <c r="H1352" t="s">
        <v>820</v>
      </c>
    </row>
    <row r="1353" spans="1:8">
      <c r="A1353" s="229" t="s">
        <v>1587</v>
      </c>
      <c r="C1353" s="229">
        <v>718.2</v>
      </c>
      <c r="D1353" s="229">
        <v>12010513</v>
      </c>
      <c r="E1353" s="229" t="s">
        <v>818</v>
      </c>
      <c r="F1353" s="229">
        <v>2020</v>
      </c>
      <c r="G1353">
        <v>1</v>
      </c>
      <c r="H1353" t="s">
        <v>820</v>
      </c>
    </row>
    <row r="1354" spans="1:8">
      <c r="A1354" s="229" t="s">
        <v>1587</v>
      </c>
      <c r="C1354" s="229">
        <v>393.3</v>
      </c>
      <c r="D1354" s="229">
        <v>12010513</v>
      </c>
      <c r="E1354" s="229" t="s">
        <v>818</v>
      </c>
      <c r="F1354" s="229">
        <v>2020</v>
      </c>
      <c r="G1354">
        <v>1</v>
      </c>
      <c r="H1354" t="s">
        <v>820</v>
      </c>
    </row>
    <row r="1355" spans="1:8">
      <c r="A1355" s="229" t="s">
        <v>1587</v>
      </c>
      <c r="C1355" s="229">
        <v>57</v>
      </c>
      <c r="D1355" s="229">
        <v>12010513</v>
      </c>
      <c r="E1355" s="229" t="s">
        <v>818</v>
      </c>
      <c r="F1355" s="229">
        <v>2020</v>
      </c>
      <c r="G1355">
        <v>1</v>
      </c>
      <c r="H1355" t="s">
        <v>820</v>
      </c>
    </row>
    <row r="1356" spans="1:8">
      <c r="A1356" s="229" t="s">
        <v>1587</v>
      </c>
      <c r="C1356" s="229">
        <v>60</v>
      </c>
      <c r="D1356" s="229">
        <v>12010513</v>
      </c>
      <c r="E1356" s="229" t="s">
        <v>818</v>
      </c>
      <c r="F1356" s="229">
        <v>2020</v>
      </c>
      <c r="G1356">
        <v>1</v>
      </c>
      <c r="H1356" t="s">
        <v>820</v>
      </c>
    </row>
    <row r="1357" spans="1:8">
      <c r="A1357" s="229" t="s">
        <v>1587</v>
      </c>
      <c r="C1357" s="229">
        <v>246</v>
      </c>
      <c r="D1357" s="229">
        <v>12010513</v>
      </c>
      <c r="E1357" s="229" t="s">
        <v>818</v>
      </c>
      <c r="F1357" s="229">
        <v>2020</v>
      </c>
      <c r="G1357">
        <v>1</v>
      </c>
      <c r="H1357" t="s">
        <v>820</v>
      </c>
    </row>
    <row r="1358" spans="1:8">
      <c r="A1358" s="229" t="s">
        <v>1588</v>
      </c>
      <c r="B1358" s="229">
        <v>882</v>
      </c>
      <c r="D1358" s="229">
        <v>12010513</v>
      </c>
      <c r="E1358" s="229" t="s">
        <v>818</v>
      </c>
      <c r="F1358" s="229">
        <v>2020</v>
      </c>
      <c r="G1358">
        <v>1</v>
      </c>
      <c r="H1358" t="s">
        <v>820</v>
      </c>
    </row>
    <row r="1359" spans="1:8">
      <c r="A1359" s="229" t="s">
        <v>1589</v>
      </c>
      <c r="C1359" s="229">
        <v>32.97</v>
      </c>
      <c r="D1359" s="229">
        <v>12010513</v>
      </c>
      <c r="E1359" s="229" t="s">
        <v>818</v>
      </c>
      <c r="F1359" s="229">
        <v>2020</v>
      </c>
      <c r="G1359">
        <v>1</v>
      </c>
      <c r="H1359" t="s">
        <v>820</v>
      </c>
    </row>
    <row r="1360" spans="1:8">
      <c r="A1360" s="229" t="s">
        <v>1589</v>
      </c>
      <c r="C1360" s="229">
        <v>31.5</v>
      </c>
      <c r="D1360" s="229">
        <v>12010513</v>
      </c>
      <c r="E1360" s="229" t="s">
        <v>818</v>
      </c>
      <c r="F1360" s="229">
        <v>2020</v>
      </c>
      <c r="G1360">
        <v>1</v>
      </c>
      <c r="H1360" t="s">
        <v>820</v>
      </c>
    </row>
    <row r="1361" spans="1:8">
      <c r="A1361" s="229" t="s">
        <v>1589</v>
      </c>
      <c r="C1361" s="229">
        <v>97.46</v>
      </c>
      <c r="D1361" s="229">
        <v>12010513</v>
      </c>
      <c r="E1361" s="229" t="s">
        <v>818</v>
      </c>
      <c r="F1361" s="229">
        <v>2020</v>
      </c>
      <c r="G1361">
        <v>1</v>
      </c>
      <c r="H1361" t="s">
        <v>820</v>
      </c>
    </row>
    <row r="1362" spans="1:8">
      <c r="A1362" s="229" t="s">
        <v>1673</v>
      </c>
      <c r="B1362" s="229">
        <v>7652</v>
      </c>
      <c r="D1362" s="229">
        <v>12010513</v>
      </c>
      <c r="E1362" s="229" t="s">
        <v>818</v>
      </c>
      <c r="F1362" s="229">
        <v>2020</v>
      </c>
      <c r="G1362">
        <v>1</v>
      </c>
      <c r="H1362" t="s">
        <v>820</v>
      </c>
    </row>
    <row r="1363" spans="1:8">
      <c r="A1363" s="229" t="s">
        <v>1590</v>
      </c>
      <c r="B1363" s="229">
        <v>40181</v>
      </c>
      <c r="D1363" s="229">
        <v>12010513</v>
      </c>
      <c r="E1363" s="229" t="s">
        <v>818</v>
      </c>
      <c r="F1363" s="229">
        <v>2020</v>
      </c>
      <c r="G1363">
        <v>1</v>
      </c>
      <c r="H1363" t="s">
        <v>820</v>
      </c>
    </row>
    <row r="1364" spans="1:8">
      <c r="A1364" s="229" t="s">
        <v>1593</v>
      </c>
      <c r="C1364" s="229">
        <v>1.8</v>
      </c>
      <c r="D1364" s="229">
        <v>12010513</v>
      </c>
      <c r="E1364" s="229" t="s">
        <v>818</v>
      </c>
      <c r="F1364" s="229">
        <v>2020</v>
      </c>
      <c r="G1364">
        <v>1</v>
      </c>
      <c r="H1364" t="s">
        <v>820</v>
      </c>
    </row>
    <row r="1365" spans="1:8">
      <c r="A1365" s="229" t="s">
        <v>1596</v>
      </c>
      <c r="D1365" s="229">
        <v>12010513</v>
      </c>
      <c r="E1365" s="229" t="s">
        <v>818</v>
      </c>
      <c r="F1365" s="229">
        <v>2020</v>
      </c>
      <c r="G1365">
        <v>1</v>
      </c>
      <c r="H1365" t="s">
        <v>820</v>
      </c>
    </row>
    <row r="1366" spans="1:8">
      <c r="A1366" s="229" t="s">
        <v>1596</v>
      </c>
      <c r="C1366" s="229">
        <v>65.33</v>
      </c>
      <c r="D1366" s="229">
        <v>12010513</v>
      </c>
      <c r="E1366" s="229" t="s">
        <v>818</v>
      </c>
      <c r="F1366" s="229">
        <v>2020</v>
      </c>
      <c r="G1366">
        <v>1</v>
      </c>
      <c r="H1366" t="s">
        <v>820</v>
      </c>
    </row>
    <row r="1367" spans="1:8">
      <c r="A1367" s="229" t="s">
        <v>1596</v>
      </c>
      <c r="D1367" s="229">
        <v>12010513</v>
      </c>
      <c r="E1367" s="229" t="s">
        <v>818</v>
      </c>
      <c r="F1367" s="229">
        <v>2020</v>
      </c>
      <c r="G1367">
        <v>1</v>
      </c>
      <c r="H1367" t="s">
        <v>820</v>
      </c>
    </row>
    <row r="1368" spans="1:8">
      <c r="A1368" s="229" t="s">
        <v>1596</v>
      </c>
      <c r="D1368" s="229">
        <v>12010513</v>
      </c>
      <c r="E1368" s="229" t="s">
        <v>818</v>
      </c>
      <c r="F1368" s="229">
        <v>2020</v>
      </c>
      <c r="G1368">
        <v>1</v>
      </c>
      <c r="H1368" t="s">
        <v>820</v>
      </c>
    </row>
    <row r="1369" spans="1:8">
      <c r="A1369" s="229" t="s">
        <v>1596</v>
      </c>
      <c r="C1369" s="229">
        <v>65.33</v>
      </c>
      <c r="D1369" s="229">
        <v>12010513</v>
      </c>
      <c r="E1369" s="229" t="s">
        <v>818</v>
      </c>
      <c r="F1369" s="229">
        <v>2020</v>
      </c>
      <c r="G1369">
        <v>1</v>
      </c>
      <c r="H1369" t="s">
        <v>820</v>
      </c>
    </row>
    <row r="1370" spans="1:8">
      <c r="A1370" s="229" t="s">
        <v>1596</v>
      </c>
      <c r="D1370" s="229">
        <v>12010513</v>
      </c>
      <c r="E1370" s="229" t="s">
        <v>818</v>
      </c>
      <c r="F1370" s="229">
        <v>2020</v>
      </c>
      <c r="G1370">
        <v>1</v>
      </c>
      <c r="H1370" t="s">
        <v>820</v>
      </c>
    </row>
    <row r="1371" spans="1:8">
      <c r="A1371" s="229" t="s">
        <v>1596</v>
      </c>
      <c r="C1371" s="229">
        <v>65.33</v>
      </c>
      <c r="D1371" s="229">
        <v>12010513</v>
      </c>
      <c r="E1371" s="229" t="s">
        <v>818</v>
      </c>
      <c r="F1371" s="229">
        <v>2020</v>
      </c>
      <c r="G1371">
        <v>1</v>
      </c>
      <c r="H1371" t="s">
        <v>820</v>
      </c>
    </row>
    <row r="1372" spans="1:8">
      <c r="A1372" s="229" t="s">
        <v>1597</v>
      </c>
      <c r="C1372" s="229">
        <v>2415</v>
      </c>
      <c r="D1372" s="229">
        <v>12010513</v>
      </c>
      <c r="E1372" s="229" t="s">
        <v>818</v>
      </c>
      <c r="F1372" s="229">
        <v>2020</v>
      </c>
      <c r="G1372">
        <v>1</v>
      </c>
      <c r="H1372" t="s">
        <v>820</v>
      </c>
    </row>
    <row r="1373" spans="1:8">
      <c r="A1373" s="229" t="s">
        <v>1678</v>
      </c>
      <c r="C1373" s="229">
        <v>199.99</v>
      </c>
      <c r="D1373" s="229">
        <v>12010513</v>
      </c>
      <c r="E1373" s="229" t="s">
        <v>818</v>
      </c>
      <c r="F1373" s="229">
        <v>2020</v>
      </c>
      <c r="G1373">
        <v>1</v>
      </c>
      <c r="H1373" t="s">
        <v>820</v>
      </c>
    </row>
    <row r="1374" spans="1:8">
      <c r="A1374" s="229" t="s">
        <v>1680</v>
      </c>
      <c r="C1374" s="229">
        <v>150</v>
      </c>
      <c r="D1374" s="229">
        <v>12010513</v>
      </c>
      <c r="E1374" s="229" t="s">
        <v>818</v>
      </c>
      <c r="F1374" s="229">
        <v>2020</v>
      </c>
      <c r="G1374">
        <v>1</v>
      </c>
      <c r="H1374" t="s">
        <v>820</v>
      </c>
    </row>
    <row r="1375" spans="1:8">
      <c r="A1375" s="229" t="s">
        <v>1681</v>
      </c>
      <c r="C1375" s="229">
        <v>926</v>
      </c>
      <c r="D1375" s="229">
        <v>12010513</v>
      </c>
      <c r="E1375" s="229" t="s">
        <v>818</v>
      </c>
      <c r="F1375" s="229">
        <v>2020</v>
      </c>
      <c r="G1375">
        <v>1</v>
      </c>
      <c r="H1375" t="s">
        <v>820</v>
      </c>
    </row>
    <row r="1376" spans="1:8">
      <c r="A1376" s="229" t="s">
        <v>1681</v>
      </c>
      <c r="C1376" s="229">
        <v>159</v>
      </c>
      <c r="D1376" s="229">
        <v>12010513</v>
      </c>
      <c r="E1376" s="229" t="s">
        <v>818</v>
      </c>
      <c r="F1376" s="229">
        <v>2020</v>
      </c>
      <c r="G1376">
        <v>1</v>
      </c>
      <c r="H1376" t="s">
        <v>820</v>
      </c>
    </row>
    <row r="1377" spans="1:8">
      <c r="A1377" s="229" t="s">
        <v>1682</v>
      </c>
      <c r="C1377" s="229">
        <v>3016</v>
      </c>
      <c r="D1377" s="229">
        <v>12010512</v>
      </c>
      <c r="E1377" s="229" t="s">
        <v>818</v>
      </c>
      <c r="F1377" s="229">
        <v>2020</v>
      </c>
      <c r="G1377">
        <v>1</v>
      </c>
      <c r="H1377" t="s">
        <v>820</v>
      </c>
    </row>
    <row r="1378" spans="1:8">
      <c r="A1378" s="229" t="s">
        <v>1682</v>
      </c>
      <c r="C1378" s="229">
        <v>1975</v>
      </c>
      <c r="D1378" s="229">
        <v>12010512</v>
      </c>
      <c r="E1378" s="229" t="s">
        <v>818</v>
      </c>
      <c r="F1378" s="229">
        <v>2020</v>
      </c>
      <c r="G1378">
        <v>1</v>
      </c>
      <c r="H1378" t="s">
        <v>820</v>
      </c>
    </row>
    <row r="1379" spans="1:8">
      <c r="A1379" s="229" t="s">
        <v>1609</v>
      </c>
      <c r="C1379" s="229">
        <v>51.96</v>
      </c>
      <c r="D1379" s="229">
        <v>12010513</v>
      </c>
      <c r="E1379" s="229" t="s">
        <v>818</v>
      </c>
      <c r="F1379" s="229">
        <v>2020</v>
      </c>
      <c r="G1379">
        <v>1</v>
      </c>
      <c r="H1379" t="s">
        <v>820</v>
      </c>
    </row>
    <row r="1380" spans="1:8">
      <c r="A1380" s="229" t="s">
        <v>1609</v>
      </c>
      <c r="C1380" s="229">
        <v>385</v>
      </c>
      <c r="D1380" s="229">
        <v>12010513</v>
      </c>
      <c r="E1380" s="229" t="s">
        <v>818</v>
      </c>
      <c r="F1380" s="229">
        <v>2020</v>
      </c>
      <c r="G1380">
        <v>1</v>
      </c>
      <c r="H1380" t="s">
        <v>820</v>
      </c>
    </row>
    <row r="1381" spans="1:8">
      <c r="A1381" s="229" t="s">
        <v>1609</v>
      </c>
      <c r="C1381" s="229">
        <v>158.03</v>
      </c>
      <c r="D1381" s="229">
        <v>12010513</v>
      </c>
      <c r="E1381" s="229" t="s">
        <v>818</v>
      </c>
      <c r="F1381" s="229">
        <v>2020</v>
      </c>
      <c r="G1381">
        <v>1</v>
      </c>
      <c r="H1381" t="s">
        <v>820</v>
      </c>
    </row>
    <row r="1382" spans="1:8">
      <c r="A1382" s="229" t="s">
        <v>1611</v>
      </c>
      <c r="D1382" s="229">
        <v>12010513</v>
      </c>
      <c r="E1382" s="229" t="s">
        <v>818</v>
      </c>
      <c r="F1382" s="229">
        <v>2020</v>
      </c>
      <c r="G1382">
        <v>1</v>
      </c>
      <c r="H1382" t="s">
        <v>820</v>
      </c>
    </row>
    <row r="1383" spans="1:8">
      <c r="A1383" s="229" t="s">
        <v>1611</v>
      </c>
      <c r="C1383" s="229">
        <v>-600</v>
      </c>
      <c r="D1383" s="229">
        <v>12010513</v>
      </c>
      <c r="E1383" s="229" t="s">
        <v>818</v>
      </c>
      <c r="F1383" s="229">
        <v>2020</v>
      </c>
      <c r="G1383">
        <v>1</v>
      </c>
      <c r="H1383" t="s">
        <v>820</v>
      </c>
    </row>
    <row r="1384" spans="1:8">
      <c r="A1384" s="229" t="s">
        <v>1611</v>
      </c>
      <c r="D1384" s="229">
        <v>12010513</v>
      </c>
      <c r="E1384" s="229" t="s">
        <v>818</v>
      </c>
      <c r="F1384" s="229">
        <v>2020</v>
      </c>
      <c r="G1384">
        <v>1</v>
      </c>
      <c r="H1384" t="s">
        <v>820</v>
      </c>
    </row>
    <row r="1385" spans="1:8">
      <c r="A1385" s="229" t="s">
        <v>1611</v>
      </c>
      <c r="C1385" s="229">
        <v>600</v>
      </c>
      <c r="D1385" s="229">
        <v>12010513</v>
      </c>
      <c r="E1385" s="229" t="s">
        <v>818</v>
      </c>
      <c r="F1385" s="229">
        <v>2020</v>
      </c>
      <c r="G1385">
        <v>1</v>
      </c>
      <c r="H1385" t="s">
        <v>820</v>
      </c>
    </row>
    <row r="1386" spans="1:8">
      <c r="A1386" s="229" t="s">
        <v>1611</v>
      </c>
      <c r="D1386" s="229">
        <v>12010513</v>
      </c>
      <c r="E1386" s="229" t="s">
        <v>818</v>
      </c>
      <c r="F1386" s="229">
        <v>2020</v>
      </c>
      <c r="G1386">
        <v>1</v>
      </c>
      <c r="H1386" t="s">
        <v>820</v>
      </c>
    </row>
    <row r="1387" spans="1:8">
      <c r="A1387" s="229" t="s">
        <v>1611</v>
      </c>
      <c r="C1387" s="229">
        <v>600</v>
      </c>
      <c r="D1387" s="229">
        <v>12010513</v>
      </c>
      <c r="E1387" s="229" t="s">
        <v>818</v>
      </c>
      <c r="F1387" s="229">
        <v>2020</v>
      </c>
      <c r="G1387">
        <v>1</v>
      </c>
      <c r="H1387" t="s">
        <v>820</v>
      </c>
    </row>
    <row r="1388" spans="1:8">
      <c r="A1388" s="229" t="s">
        <v>1611</v>
      </c>
      <c r="D1388" s="229">
        <v>12010513</v>
      </c>
      <c r="E1388" s="229" t="s">
        <v>818</v>
      </c>
      <c r="F1388" s="229">
        <v>2020</v>
      </c>
      <c r="G1388">
        <v>1</v>
      </c>
      <c r="H1388" t="s">
        <v>820</v>
      </c>
    </row>
    <row r="1389" spans="1:8">
      <c r="A1389" s="229" t="s">
        <v>1611</v>
      </c>
      <c r="C1389" s="229">
        <v>600</v>
      </c>
      <c r="D1389" s="229">
        <v>12010513</v>
      </c>
      <c r="E1389" s="229" t="s">
        <v>818</v>
      </c>
      <c r="F1389" s="229">
        <v>2020</v>
      </c>
      <c r="G1389">
        <v>1</v>
      </c>
      <c r="H1389" t="s">
        <v>820</v>
      </c>
    </row>
    <row r="1390" spans="1:8">
      <c r="A1390" s="229" t="s">
        <v>1615</v>
      </c>
      <c r="B1390" s="229">
        <v>7652</v>
      </c>
      <c r="D1390" s="229">
        <v>12010513</v>
      </c>
      <c r="E1390" s="229" t="s">
        <v>818</v>
      </c>
      <c r="F1390" s="229">
        <v>2020</v>
      </c>
      <c r="G1390">
        <v>1</v>
      </c>
      <c r="H1390" t="s">
        <v>820</v>
      </c>
    </row>
    <row r="1391" spans="1:8">
      <c r="A1391" s="229" t="s">
        <v>1686</v>
      </c>
      <c r="C1391" s="229">
        <v>746.53</v>
      </c>
      <c r="D1391" s="229">
        <v>12010513</v>
      </c>
      <c r="E1391" s="229" t="s">
        <v>818</v>
      </c>
      <c r="F1391" s="229">
        <v>2020</v>
      </c>
      <c r="G1391">
        <v>1</v>
      </c>
      <c r="H1391" t="s">
        <v>820</v>
      </c>
    </row>
    <row r="1392" spans="1:8">
      <c r="A1392" s="229" t="s">
        <v>1686</v>
      </c>
      <c r="C1392" s="229">
        <v>730.77</v>
      </c>
      <c r="D1392" s="229">
        <v>12010513</v>
      </c>
      <c r="E1392" s="229" t="s">
        <v>818</v>
      </c>
      <c r="F1392" s="229">
        <v>2020</v>
      </c>
      <c r="G1392">
        <v>1</v>
      </c>
      <c r="H1392" t="s">
        <v>820</v>
      </c>
    </row>
    <row r="1393" spans="1:8">
      <c r="A1393" s="229" t="s">
        <v>1618</v>
      </c>
      <c r="B1393" s="229">
        <v>9640</v>
      </c>
      <c r="D1393" s="229">
        <v>12010513</v>
      </c>
      <c r="E1393" s="229" t="s">
        <v>818</v>
      </c>
      <c r="F1393" s="229">
        <v>2020</v>
      </c>
      <c r="G1393">
        <v>1</v>
      </c>
      <c r="H1393" t="s">
        <v>820</v>
      </c>
    </row>
    <row r="1394" spans="1:8">
      <c r="A1394" s="229" t="s">
        <v>1618</v>
      </c>
      <c r="C1394" s="229">
        <v>-130.44999999999999</v>
      </c>
      <c r="D1394" s="229">
        <v>12010513</v>
      </c>
      <c r="E1394" s="229" t="s">
        <v>818</v>
      </c>
      <c r="F1394" s="229">
        <v>2020</v>
      </c>
      <c r="G1394">
        <v>1</v>
      </c>
      <c r="H1394" t="s">
        <v>820</v>
      </c>
    </row>
    <row r="1395" spans="1:8">
      <c r="A1395" s="229" t="s">
        <v>1618</v>
      </c>
      <c r="C1395" s="229">
        <v>260.89999999999998</v>
      </c>
      <c r="D1395" s="229">
        <v>12010513</v>
      </c>
      <c r="E1395" s="229" t="s">
        <v>818</v>
      </c>
      <c r="F1395" s="229">
        <v>2020</v>
      </c>
      <c r="G1395">
        <v>1</v>
      </c>
      <c r="H1395" t="s">
        <v>820</v>
      </c>
    </row>
    <row r="1396" spans="1:8">
      <c r="A1396" s="229" t="s">
        <v>1618</v>
      </c>
      <c r="C1396" s="229">
        <v>-216.11</v>
      </c>
      <c r="D1396" s="229">
        <v>12010513</v>
      </c>
      <c r="E1396" s="229" t="s">
        <v>818</v>
      </c>
      <c r="F1396" s="229">
        <v>2020</v>
      </c>
      <c r="G1396">
        <v>1</v>
      </c>
      <c r="H1396" t="s">
        <v>820</v>
      </c>
    </row>
    <row r="1397" spans="1:8">
      <c r="A1397" s="229" t="s">
        <v>1618</v>
      </c>
      <c r="C1397" s="229">
        <v>432.22</v>
      </c>
      <c r="D1397" s="229">
        <v>12010513</v>
      </c>
      <c r="E1397" s="229" t="s">
        <v>818</v>
      </c>
      <c r="F1397" s="229">
        <v>2020</v>
      </c>
      <c r="G1397">
        <v>1</v>
      </c>
      <c r="H1397" t="s">
        <v>820</v>
      </c>
    </row>
    <row r="1398" spans="1:8">
      <c r="A1398" s="229" t="s">
        <v>1618</v>
      </c>
      <c r="C1398" s="229">
        <v>-437.2</v>
      </c>
      <c r="D1398" s="229">
        <v>12010513</v>
      </c>
      <c r="E1398" s="229" t="s">
        <v>818</v>
      </c>
      <c r="F1398" s="229">
        <v>2020</v>
      </c>
      <c r="G1398">
        <v>1</v>
      </c>
      <c r="H1398" t="s">
        <v>820</v>
      </c>
    </row>
    <row r="1399" spans="1:8">
      <c r="A1399" s="229" t="s">
        <v>1618</v>
      </c>
      <c r="C1399" s="229">
        <v>-176.18</v>
      </c>
      <c r="D1399" s="229">
        <v>12010512</v>
      </c>
      <c r="E1399" s="229" t="s">
        <v>818</v>
      </c>
      <c r="F1399" s="229">
        <v>2020</v>
      </c>
      <c r="G1399">
        <v>1</v>
      </c>
      <c r="H1399" t="s">
        <v>820</v>
      </c>
    </row>
    <row r="1400" spans="1:8">
      <c r="A1400" s="229" t="s">
        <v>1618</v>
      </c>
      <c r="C1400" s="229">
        <v>874.4</v>
      </c>
      <c r="D1400" s="229">
        <v>12010513</v>
      </c>
      <c r="E1400" s="229" t="s">
        <v>818</v>
      </c>
      <c r="F1400" s="229">
        <v>2020</v>
      </c>
      <c r="G1400">
        <v>1</v>
      </c>
      <c r="H1400" t="s">
        <v>820</v>
      </c>
    </row>
    <row r="1401" spans="1:8">
      <c r="A1401" s="229" t="s">
        <v>1618</v>
      </c>
      <c r="C1401" s="229">
        <v>352.37</v>
      </c>
      <c r="D1401" s="229">
        <v>12010512</v>
      </c>
      <c r="E1401" s="229" t="s">
        <v>818</v>
      </c>
      <c r="F1401" s="229">
        <v>2020</v>
      </c>
      <c r="G1401">
        <v>1</v>
      </c>
      <c r="H1401" t="s">
        <v>820</v>
      </c>
    </row>
    <row r="1402" spans="1:8">
      <c r="A1402" s="229" t="s">
        <v>1619</v>
      </c>
      <c r="B1402" s="229">
        <v>846</v>
      </c>
      <c r="D1402" s="229">
        <v>12010513</v>
      </c>
      <c r="E1402" s="229" t="s">
        <v>818</v>
      </c>
      <c r="F1402" s="229">
        <v>2020</v>
      </c>
      <c r="G1402">
        <v>1</v>
      </c>
      <c r="H1402" t="s">
        <v>820</v>
      </c>
    </row>
    <row r="1403" spans="1:8">
      <c r="A1403" s="229" t="s">
        <v>1619</v>
      </c>
      <c r="C1403" s="229">
        <v>22.91</v>
      </c>
      <c r="D1403" s="229">
        <v>12010513</v>
      </c>
      <c r="E1403" s="229" t="s">
        <v>818</v>
      </c>
      <c r="F1403" s="229">
        <v>2020</v>
      </c>
      <c r="G1403">
        <v>1</v>
      </c>
      <c r="H1403" t="s">
        <v>820</v>
      </c>
    </row>
    <row r="1404" spans="1:8">
      <c r="A1404" s="229" t="s">
        <v>1619</v>
      </c>
      <c r="C1404" s="229">
        <v>37.96</v>
      </c>
      <c r="D1404" s="229">
        <v>12010513</v>
      </c>
      <c r="E1404" s="229" t="s">
        <v>818</v>
      </c>
      <c r="F1404" s="229">
        <v>2020</v>
      </c>
      <c r="G1404">
        <v>1</v>
      </c>
      <c r="H1404" t="s">
        <v>820</v>
      </c>
    </row>
    <row r="1405" spans="1:8">
      <c r="A1405" s="229" t="s">
        <v>1619</v>
      </c>
      <c r="C1405" s="229">
        <v>76.790000000000006</v>
      </c>
      <c r="D1405" s="229">
        <v>12010513</v>
      </c>
      <c r="E1405" s="229" t="s">
        <v>818</v>
      </c>
      <c r="F1405" s="229">
        <v>2020</v>
      </c>
      <c r="G1405">
        <v>1</v>
      </c>
      <c r="H1405" t="s">
        <v>820</v>
      </c>
    </row>
    <row r="1406" spans="1:8">
      <c r="A1406" s="229" t="s">
        <v>1619</v>
      </c>
      <c r="C1406" s="229">
        <v>30.94</v>
      </c>
      <c r="D1406" s="229">
        <v>12010512</v>
      </c>
      <c r="E1406" s="229" t="s">
        <v>818</v>
      </c>
      <c r="F1406" s="229">
        <v>2020</v>
      </c>
      <c r="G1406">
        <v>1</v>
      </c>
      <c r="H1406" t="s">
        <v>820</v>
      </c>
    </row>
    <row r="1407" spans="1:8">
      <c r="A1407" s="229" t="s">
        <v>1620</v>
      </c>
      <c r="C1407" s="229">
        <v>130.44999999999999</v>
      </c>
      <c r="D1407" s="229">
        <v>12010513</v>
      </c>
      <c r="E1407" s="229" t="s">
        <v>818</v>
      </c>
      <c r="F1407" s="229">
        <v>2020</v>
      </c>
      <c r="G1407">
        <v>1</v>
      </c>
      <c r="H1407" t="s">
        <v>820</v>
      </c>
    </row>
    <row r="1408" spans="1:8">
      <c r="A1408" s="229" t="s">
        <v>1620</v>
      </c>
      <c r="C1408" s="229">
        <v>216.11</v>
      </c>
      <c r="D1408" s="229">
        <v>12010513</v>
      </c>
      <c r="E1408" s="229" t="s">
        <v>818</v>
      </c>
      <c r="F1408" s="229">
        <v>2020</v>
      </c>
      <c r="G1408">
        <v>1</v>
      </c>
      <c r="H1408" t="s">
        <v>820</v>
      </c>
    </row>
    <row r="1409" spans="1:8">
      <c r="A1409" s="229" t="s">
        <v>1620</v>
      </c>
      <c r="C1409" s="229">
        <v>437.2</v>
      </c>
      <c r="D1409" s="229">
        <v>12010513</v>
      </c>
      <c r="E1409" s="229" t="s">
        <v>818</v>
      </c>
      <c r="F1409" s="229">
        <v>2020</v>
      </c>
      <c r="G1409">
        <v>1</v>
      </c>
      <c r="H1409" t="s">
        <v>820</v>
      </c>
    </row>
    <row r="1410" spans="1:8">
      <c r="A1410" s="229" t="s">
        <v>1620</v>
      </c>
      <c r="C1410" s="229">
        <v>176.18</v>
      </c>
      <c r="D1410" s="229">
        <v>12010512</v>
      </c>
      <c r="E1410" s="229" t="s">
        <v>818</v>
      </c>
      <c r="F1410" s="229">
        <v>2020</v>
      </c>
      <c r="G1410">
        <v>1</v>
      </c>
      <c r="H1410" t="s">
        <v>820</v>
      </c>
    </row>
    <row r="1411" spans="1:8">
      <c r="A1411" s="229" t="s">
        <v>1622</v>
      </c>
      <c r="C1411" s="229">
        <v>37265</v>
      </c>
      <c r="D1411" s="229">
        <v>12010512</v>
      </c>
      <c r="E1411" s="229" t="s">
        <v>818</v>
      </c>
      <c r="F1411" s="229">
        <v>2020</v>
      </c>
      <c r="G1411">
        <v>1</v>
      </c>
      <c r="H1411" t="s">
        <v>820</v>
      </c>
    </row>
    <row r="1412" spans="1:8">
      <c r="A1412" s="229" t="s">
        <v>1587</v>
      </c>
      <c r="C1412" s="229">
        <v>99.49</v>
      </c>
      <c r="D1412" s="229">
        <v>12010513</v>
      </c>
      <c r="E1412" s="229" t="s">
        <v>818</v>
      </c>
      <c r="F1412" s="229">
        <v>2020</v>
      </c>
      <c r="G1412">
        <v>2</v>
      </c>
      <c r="H1412" t="s">
        <v>820</v>
      </c>
    </row>
    <row r="1413" spans="1:8">
      <c r="A1413" s="229" t="s">
        <v>1587</v>
      </c>
      <c r="C1413" s="229">
        <v>184.76</v>
      </c>
      <c r="D1413" s="229">
        <v>12010513</v>
      </c>
      <c r="E1413" s="229" t="s">
        <v>818</v>
      </c>
      <c r="F1413" s="229">
        <v>2020</v>
      </c>
      <c r="G1413">
        <v>2</v>
      </c>
      <c r="H1413" t="s">
        <v>820</v>
      </c>
    </row>
    <row r="1414" spans="1:8">
      <c r="A1414" s="229" t="s">
        <v>1587</v>
      </c>
      <c r="C1414" s="229">
        <v>65.38</v>
      </c>
      <c r="D1414" s="229">
        <v>12010513</v>
      </c>
      <c r="E1414" s="229" t="s">
        <v>818</v>
      </c>
      <c r="F1414" s="229">
        <v>2020</v>
      </c>
      <c r="G1414">
        <v>2</v>
      </c>
      <c r="H1414" t="s">
        <v>820</v>
      </c>
    </row>
    <row r="1415" spans="1:8">
      <c r="A1415" s="229" t="s">
        <v>1587</v>
      </c>
      <c r="C1415" s="229">
        <v>224.56</v>
      </c>
      <c r="D1415" s="229">
        <v>12010513</v>
      </c>
      <c r="E1415" s="229" t="s">
        <v>818</v>
      </c>
      <c r="F1415" s="229">
        <v>2020</v>
      </c>
      <c r="G1415">
        <v>2</v>
      </c>
      <c r="H1415" t="s">
        <v>820</v>
      </c>
    </row>
    <row r="1416" spans="1:8">
      <c r="A1416" s="229" t="s">
        <v>1587</v>
      </c>
      <c r="C1416" s="229">
        <v>275.72000000000003</v>
      </c>
      <c r="D1416" s="229">
        <v>12010513</v>
      </c>
      <c r="E1416" s="229" t="s">
        <v>818</v>
      </c>
      <c r="F1416" s="229">
        <v>2020</v>
      </c>
      <c r="G1416">
        <v>2</v>
      </c>
      <c r="H1416" t="s">
        <v>820</v>
      </c>
    </row>
    <row r="1417" spans="1:8">
      <c r="A1417" s="229" t="s">
        <v>1587</v>
      </c>
      <c r="C1417" s="229">
        <v>113.7</v>
      </c>
      <c r="D1417" s="229">
        <v>12010513</v>
      </c>
      <c r="E1417" s="229" t="s">
        <v>818</v>
      </c>
      <c r="F1417" s="229">
        <v>2020</v>
      </c>
      <c r="G1417">
        <v>2</v>
      </c>
      <c r="H1417" t="s">
        <v>820</v>
      </c>
    </row>
    <row r="1418" spans="1:8">
      <c r="A1418" s="229" t="s">
        <v>1587</v>
      </c>
      <c r="C1418" s="229">
        <v>210.35</v>
      </c>
      <c r="D1418" s="229">
        <v>12010513</v>
      </c>
      <c r="E1418" s="229" t="s">
        <v>818</v>
      </c>
      <c r="F1418" s="229">
        <v>2020</v>
      </c>
      <c r="G1418">
        <v>2</v>
      </c>
      <c r="H1418" t="s">
        <v>820</v>
      </c>
    </row>
    <row r="1419" spans="1:8">
      <c r="A1419" s="229" t="s">
        <v>1587</v>
      </c>
      <c r="C1419" s="229">
        <v>176.24</v>
      </c>
      <c r="D1419" s="229">
        <v>12010513</v>
      </c>
      <c r="E1419" s="229" t="s">
        <v>818</v>
      </c>
      <c r="F1419" s="229">
        <v>2020</v>
      </c>
      <c r="G1419">
        <v>2</v>
      </c>
      <c r="H1419" t="s">
        <v>820</v>
      </c>
    </row>
    <row r="1420" spans="1:8">
      <c r="A1420" s="229" t="s">
        <v>1587</v>
      </c>
      <c r="C1420" s="229">
        <v>210.35</v>
      </c>
      <c r="D1420" s="229">
        <v>12010513</v>
      </c>
      <c r="E1420" s="229" t="s">
        <v>818</v>
      </c>
      <c r="F1420" s="229">
        <v>2020</v>
      </c>
      <c r="G1420">
        <v>2</v>
      </c>
      <c r="H1420" t="s">
        <v>820</v>
      </c>
    </row>
    <row r="1421" spans="1:8">
      <c r="A1421" s="229" t="s">
        <v>1587</v>
      </c>
      <c r="C1421" s="229">
        <v>170.55</v>
      </c>
      <c r="D1421" s="229">
        <v>12010513</v>
      </c>
      <c r="E1421" s="229" t="s">
        <v>818</v>
      </c>
      <c r="F1421" s="229">
        <v>2020</v>
      </c>
      <c r="G1421">
        <v>2</v>
      </c>
      <c r="H1421" t="s">
        <v>820</v>
      </c>
    </row>
    <row r="1422" spans="1:8">
      <c r="A1422" s="229" t="s">
        <v>1587</v>
      </c>
      <c r="C1422" s="229">
        <v>204.66</v>
      </c>
      <c r="D1422" s="229">
        <v>12010513</v>
      </c>
      <c r="E1422" s="229" t="s">
        <v>818</v>
      </c>
      <c r="F1422" s="229">
        <v>2020</v>
      </c>
      <c r="G1422">
        <v>2</v>
      </c>
      <c r="H1422" t="s">
        <v>820</v>
      </c>
    </row>
    <row r="1423" spans="1:8">
      <c r="A1423" s="229" t="s">
        <v>1587</v>
      </c>
      <c r="C1423" s="229">
        <v>176.24</v>
      </c>
      <c r="D1423" s="229">
        <v>12010513</v>
      </c>
      <c r="E1423" s="229" t="s">
        <v>818</v>
      </c>
      <c r="F1423" s="229">
        <v>2020</v>
      </c>
      <c r="G1423">
        <v>2</v>
      </c>
      <c r="H1423" t="s">
        <v>820</v>
      </c>
    </row>
    <row r="1424" spans="1:8">
      <c r="A1424" s="229" t="s">
        <v>1587</v>
      </c>
      <c r="C1424" s="229">
        <v>90.96</v>
      </c>
      <c r="D1424" s="229">
        <v>12010513</v>
      </c>
      <c r="E1424" s="229" t="s">
        <v>818</v>
      </c>
      <c r="F1424" s="229">
        <v>2020</v>
      </c>
      <c r="G1424">
        <v>2</v>
      </c>
      <c r="H1424" t="s">
        <v>820</v>
      </c>
    </row>
    <row r="1425" spans="1:8">
      <c r="A1425" s="229" t="s">
        <v>1587</v>
      </c>
      <c r="C1425" s="229">
        <v>181.92</v>
      </c>
      <c r="D1425" s="229">
        <v>12010513</v>
      </c>
      <c r="E1425" s="229" t="s">
        <v>818</v>
      </c>
      <c r="F1425" s="229">
        <v>2020</v>
      </c>
      <c r="G1425">
        <v>2</v>
      </c>
      <c r="H1425" t="s">
        <v>820</v>
      </c>
    </row>
    <row r="1426" spans="1:8">
      <c r="A1426" s="229" t="s">
        <v>1587</v>
      </c>
      <c r="C1426" s="229">
        <v>285</v>
      </c>
      <c r="D1426" s="229">
        <v>12010513</v>
      </c>
      <c r="E1426" s="229" t="s">
        <v>818</v>
      </c>
      <c r="F1426" s="229">
        <v>2020</v>
      </c>
      <c r="G1426">
        <v>2</v>
      </c>
      <c r="H1426" t="s">
        <v>820</v>
      </c>
    </row>
    <row r="1427" spans="1:8">
      <c r="A1427" s="229" t="s">
        <v>1587</v>
      </c>
      <c r="C1427" s="229">
        <v>239.4</v>
      </c>
      <c r="D1427" s="229">
        <v>12010513</v>
      </c>
      <c r="E1427" s="229" t="s">
        <v>818</v>
      </c>
      <c r="F1427" s="229">
        <v>2020</v>
      </c>
      <c r="G1427">
        <v>2</v>
      </c>
      <c r="H1427" t="s">
        <v>820</v>
      </c>
    </row>
    <row r="1428" spans="1:8">
      <c r="A1428" s="229" t="s">
        <v>1587</v>
      </c>
      <c r="C1428" s="229">
        <v>250.8</v>
      </c>
      <c r="D1428" s="229">
        <v>12010513</v>
      </c>
      <c r="E1428" s="229" t="s">
        <v>818</v>
      </c>
      <c r="F1428" s="229">
        <v>2020</v>
      </c>
      <c r="G1428">
        <v>2</v>
      </c>
      <c r="H1428" t="s">
        <v>820</v>
      </c>
    </row>
    <row r="1429" spans="1:8">
      <c r="A1429" s="229" t="s">
        <v>1587</v>
      </c>
      <c r="C1429" s="229">
        <v>159.6</v>
      </c>
      <c r="D1429" s="229">
        <v>12010513</v>
      </c>
      <c r="E1429" s="229" t="s">
        <v>818</v>
      </c>
      <c r="F1429" s="229">
        <v>2020</v>
      </c>
      <c r="G1429">
        <v>2</v>
      </c>
      <c r="H1429" t="s">
        <v>820</v>
      </c>
    </row>
    <row r="1430" spans="1:8">
      <c r="A1430" s="229" t="s">
        <v>1587</v>
      </c>
      <c r="C1430" s="229">
        <v>182.4</v>
      </c>
      <c r="D1430" s="229">
        <v>12010513</v>
      </c>
      <c r="E1430" s="229" t="s">
        <v>818</v>
      </c>
      <c r="F1430" s="229">
        <v>2020</v>
      </c>
      <c r="G1430">
        <v>2</v>
      </c>
      <c r="H1430" t="s">
        <v>820</v>
      </c>
    </row>
    <row r="1431" spans="1:8">
      <c r="A1431" s="229" t="s">
        <v>1587</v>
      </c>
      <c r="C1431" s="229">
        <v>114</v>
      </c>
      <c r="D1431" s="229">
        <v>12010513</v>
      </c>
      <c r="E1431" s="229" t="s">
        <v>818</v>
      </c>
      <c r="F1431" s="229">
        <v>2020</v>
      </c>
      <c r="G1431">
        <v>2</v>
      </c>
      <c r="H1431" t="s">
        <v>820</v>
      </c>
    </row>
    <row r="1432" spans="1:8">
      <c r="A1432" s="229" t="s">
        <v>1587</v>
      </c>
      <c r="C1432" s="229">
        <v>262.2</v>
      </c>
      <c r="D1432" s="229">
        <v>12010513</v>
      </c>
      <c r="E1432" s="229" t="s">
        <v>818</v>
      </c>
      <c r="F1432" s="229">
        <v>2020</v>
      </c>
      <c r="G1432">
        <v>2</v>
      </c>
      <c r="H1432" t="s">
        <v>820</v>
      </c>
    </row>
    <row r="1433" spans="1:8">
      <c r="A1433" s="229" t="s">
        <v>1587</v>
      </c>
      <c r="C1433" s="229">
        <v>410.4</v>
      </c>
      <c r="D1433" s="229">
        <v>12010513</v>
      </c>
      <c r="E1433" s="229" t="s">
        <v>818</v>
      </c>
      <c r="F1433" s="229">
        <v>2020</v>
      </c>
      <c r="G1433">
        <v>2</v>
      </c>
      <c r="H1433" t="s">
        <v>820</v>
      </c>
    </row>
    <row r="1434" spans="1:8">
      <c r="A1434" s="229" t="s">
        <v>1587</v>
      </c>
      <c r="C1434" s="229">
        <v>433.2</v>
      </c>
      <c r="D1434" s="229">
        <v>12010513</v>
      </c>
      <c r="E1434" s="229" t="s">
        <v>818</v>
      </c>
      <c r="F1434" s="229">
        <v>2020</v>
      </c>
      <c r="G1434">
        <v>2</v>
      </c>
      <c r="H1434" t="s">
        <v>820</v>
      </c>
    </row>
    <row r="1435" spans="1:8">
      <c r="A1435" s="229" t="s">
        <v>1587</v>
      </c>
      <c r="C1435" s="229">
        <v>484.5</v>
      </c>
      <c r="D1435" s="229">
        <v>12010513</v>
      </c>
      <c r="E1435" s="229" t="s">
        <v>818</v>
      </c>
      <c r="F1435" s="229">
        <v>2020</v>
      </c>
      <c r="G1435">
        <v>2</v>
      </c>
      <c r="H1435" t="s">
        <v>820</v>
      </c>
    </row>
    <row r="1436" spans="1:8">
      <c r="A1436" s="229" t="s">
        <v>1587</v>
      </c>
      <c r="C1436" s="229">
        <v>456</v>
      </c>
      <c r="D1436" s="229">
        <v>12010513</v>
      </c>
      <c r="E1436" s="229" t="s">
        <v>818</v>
      </c>
      <c r="F1436" s="229">
        <v>2020</v>
      </c>
      <c r="G1436">
        <v>2</v>
      </c>
      <c r="H1436" t="s">
        <v>820</v>
      </c>
    </row>
    <row r="1437" spans="1:8">
      <c r="A1437" s="229" t="s">
        <v>1587</v>
      </c>
      <c r="C1437" s="229">
        <v>433.2</v>
      </c>
      <c r="D1437" s="229">
        <v>12010513</v>
      </c>
      <c r="E1437" s="229" t="s">
        <v>818</v>
      </c>
      <c r="F1437" s="229">
        <v>2020</v>
      </c>
      <c r="G1437">
        <v>2</v>
      </c>
      <c r="H1437" t="s">
        <v>820</v>
      </c>
    </row>
    <row r="1438" spans="1:8">
      <c r="A1438" s="229" t="s">
        <v>1587</v>
      </c>
      <c r="C1438" s="229">
        <v>457.88</v>
      </c>
      <c r="D1438" s="229">
        <v>12010513</v>
      </c>
      <c r="E1438" s="229" t="s">
        <v>818</v>
      </c>
      <c r="F1438" s="229">
        <v>2020</v>
      </c>
      <c r="G1438">
        <v>2</v>
      </c>
      <c r="H1438" t="s">
        <v>820</v>
      </c>
    </row>
    <row r="1439" spans="1:8">
      <c r="A1439" s="229" t="s">
        <v>1587</v>
      </c>
      <c r="C1439" s="229">
        <v>369.08</v>
      </c>
      <c r="D1439" s="229">
        <v>12010513</v>
      </c>
      <c r="E1439" s="229" t="s">
        <v>818</v>
      </c>
      <c r="F1439" s="229">
        <v>2020</v>
      </c>
      <c r="G1439">
        <v>2</v>
      </c>
      <c r="H1439" t="s">
        <v>820</v>
      </c>
    </row>
    <row r="1440" spans="1:8">
      <c r="A1440" s="229" t="s">
        <v>1587</v>
      </c>
      <c r="C1440" s="229">
        <v>432.9</v>
      </c>
      <c r="D1440" s="229">
        <v>12010513</v>
      </c>
      <c r="E1440" s="229" t="s">
        <v>818</v>
      </c>
      <c r="F1440" s="229">
        <v>2020</v>
      </c>
      <c r="G1440">
        <v>2</v>
      </c>
      <c r="H1440" t="s">
        <v>820</v>
      </c>
    </row>
    <row r="1441" spans="1:8">
      <c r="A1441" s="229" t="s">
        <v>1587</v>
      </c>
      <c r="C1441" s="229">
        <v>66.599999999999994</v>
      </c>
      <c r="D1441" s="229">
        <v>12010513</v>
      </c>
      <c r="E1441" s="229" t="s">
        <v>818</v>
      </c>
      <c r="F1441" s="229">
        <v>2020</v>
      </c>
      <c r="G1441">
        <v>2</v>
      </c>
      <c r="H1441" t="s">
        <v>820</v>
      </c>
    </row>
    <row r="1442" spans="1:8">
      <c r="A1442" s="229" t="s">
        <v>1587</v>
      </c>
      <c r="C1442" s="229">
        <v>216.03</v>
      </c>
      <c r="D1442" s="229">
        <v>12010513</v>
      </c>
      <c r="E1442" s="229" t="s">
        <v>818</v>
      </c>
      <c r="F1442" s="229">
        <v>2020</v>
      </c>
      <c r="G1442">
        <v>2</v>
      </c>
      <c r="H1442" t="s">
        <v>820</v>
      </c>
    </row>
    <row r="1443" spans="1:8">
      <c r="A1443" s="229" t="s">
        <v>1587</v>
      </c>
      <c r="C1443" s="229">
        <v>227.4</v>
      </c>
      <c r="D1443" s="229">
        <v>12010513</v>
      </c>
      <c r="E1443" s="229" t="s">
        <v>818</v>
      </c>
      <c r="F1443" s="229">
        <v>2020</v>
      </c>
      <c r="G1443">
        <v>2</v>
      </c>
      <c r="H1443" t="s">
        <v>820</v>
      </c>
    </row>
    <row r="1444" spans="1:8">
      <c r="A1444" s="229" t="s">
        <v>1587</v>
      </c>
      <c r="C1444" s="229">
        <v>261.51</v>
      </c>
      <c r="D1444" s="229">
        <v>12010513</v>
      </c>
      <c r="E1444" s="229" t="s">
        <v>818</v>
      </c>
      <c r="F1444" s="229">
        <v>2020</v>
      </c>
      <c r="G1444">
        <v>2</v>
      </c>
      <c r="H1444" t="s">
        <v>820</v>
      </c>
    </row>
    <row r="1445" spans="1:8">
      <c r="A1445" s="229" t="s">
        <v>1587</v>
      </c>
      <c r="C1445" s="229">
        <v>250.14</v>
      </c>
      <c r="D1445" s="229">
        <v>12010513</v>
      </c>
      <c r="E1445" s="229" t="s">
        <v>818</v>
      </c>
      <c r="F1445" s="229">
        <v>2020</v>
      </c>
      <c r="G1445">
        <v>2</v>
      </c>
      <c r="H1445" t="s">
        <v>820</v>
      </c>
    </row>
    <row r="1446" spans="1:8">
      <c r="A1446" s="229" t="s">
        <v>1587</v>
      </c>
      <c r="C1446" s="229">
        <v>289.94</v>
      </c>
      <c r="D1446" s="229">
        <v>12010513</v>
      </c>
      <c r="E1446" s="229" t="s">
        <v>818</v>
      </c>
      <c r="F1446" s="229">
        <v>2020</v>
      </c>
      <c r="G1446">
        <v>2</v>
      </c>
      <c r="H1446" t="s">
        <v>820</v>
      </c>
    </row>
    <row r="1447" spans="1:8">
      <c r="A1447" s="229" t="s">
        <v>1587</v>
      </c>
      <c r="C1447" s="229">
        <v>244.46</v>
      </c>
      <c r="D1447" s="229">
        <v>12010513</v>
      </c>
      <c r="E1447" s="229" t="s">
        <v>818</v>
      </c>
      <c r="F1447" s="229">
        <v>2020</v>
      </c>
      <c r="G1447">
        <v>2</v>
      </c>
      <c r="H1447" t="s">
        <v>820</v>
      </c>
    </row>
    <row r="1448" spans="1:8">
      <c r="A1448" s="229" t="s">
        <v>1587</v>
      </c>
      <c r="C1448" s="229">
        <v>301.31</v>
      </c>
      <c r="D1448" s="229">
        <v>12010513</v>
      </c>
      <c r="E1448" s="229" t="s">
        <v>818</v>
      </c>
      <c r="F1448" s="229">
        <v>2020</v>
      </c>
      <c r="G1448">
        <v>2</v>
      </c>
      <c r="H1448" t="s">
        <v>820</v>
      </c>
    </row>
    <row r="1449" spans="1:8">
      <c r="A1449" s="229" t="s">
        <v>1587</v>
      </c>
      <c r="C1449" s="229">
        <v>260.85000000000002</v>
      </c>
      <c r="D1449" s="229">
        <v>12010513</v>
      </c>
      <c r="E1449" s="229" t="s">
        <v>818</v>
      </c>
      <c r="F1449" s="229">
        <v>2020</v>
      </c>
      <c r="G1449">
        <v>2</v>
      </c>
      <c r="H1449" t="s">
        <v>820</v>
      </c>
    </row>
    <row r="1450" spans="1:8">
      <c r="A1450" s="229" t="s">
        <v>1587</v>
      </c>
      <c r="C1450" s="229">
        <v>260.85000000000002</v>
      </c>
      <c r="D1450" s="229">
        <v>12010513</v>
      </c>
      <c r="E1450" s="229" t="s">
        <v>818</v>
      </c>
      <c r="F1450" s="229">
        <v>2020</v>
      </c>
      <c r="G1450">
        <v>2</v>
      </c>
      <c r="H1450" t="s">
        <v>820</v>
      </c>
    </row>
    <row r="1451" spans="1:8">
      <c r="A1451" s="229" t="s">
        <v>1587</v>
      </c>
      <c r="C1451" s="229">
        <v>260.85000000000002</v>
      </c>
      <c r="D1451" s="229">
        <v>12010513</v>
      </c>
      <c r="E1451" s="229" t="s">
        <v>818</v>
      </c>
      <c r="F1451" s="229">
        <v>2020</v>
      </c>
      <c r="G1451">
        <v>2</v>
      </c>
      <c r="H1451" t="s">
        <v>820</v>
      </c>
    </row>
    <row r="1452" spans="1:8">
      <c r="A1452" s="229" t="s">
        <v>1587</v>
      </c>
      <c r="C1452" s="229">
        <v>244.2</v>
      </c>
      <c r="D1452" s="229">
        <v>12010513</v>
      </c>
      <c r="E1452" s="229" t="s">
        <v>818</v>
      </c>
      <c r="F1452" s="229">
        <v>2020</v>
      </c>
      <c r="G1452">
        <v>2</v>
      </c>
      <c r="H1452" t="s">
        <v>820</v>
      </c>
    </row>
    <row r="1453" spans="1:8">
      <c r="A1453" s="229" t="s">
        <v>1587</v>
      </c>
      <c r="C1453" s="229">
        <v>266.39999999999998</v>
      </c>
      <c r="D1453" s="229">
        <v>12010513</v>
      </c>
      <c r="E1453" s="229" t="s">
        <v>818</v>
      </c>
      <c r="F1453" s="229">
        <v>2020</v>
      </c>
      <c r="G1453">
        <v>2</v>
      </c>
      <c r="H1453" t="s">
        <v>820</v>
      </c>
    </row>
    <row r="1454" spans="1:8">
      <c r="A1454" s="229" t="s">
        <v>1587</v>
      </c>
      <c r="C1454" s="229">
        <v>260.85000000000002</v>
      </c>
      <c r="D1454" s="229">
        <v>12010513</v>
      </c>
      <c r="E1454" s="229" t="s">
        <v>818</v>
      </c>
      <c r="F1454" s="229">
        <v>2020</v>
      </c>
      <c r="G1454">
        <v>2</v>
      </c>
      <c r="H1454" t="s">
        <v>820</v>
      </c>
    </row>
    <row r="1455" spans="1:8">
      <c r="A1455" s="229" t="s">
        <v>1587</v>
      </c>
      <c r="C1455" s="229">
        <v>266.39999999999998</v>
      </c>
      <c r="D1455" s="229">
        <v>12010513</v>
      </c>
      <c r="E1455" s="229" t="s">
        <v>818</v>
      </c>
      <c r="F1455" s="229">
        <v>2020</v>
      </c>
      <c r="G1455">
        <v>2</v>
      </c>
      <c r="H1455" t="s">
        <v>820</v>
      </c>
    </row>
    <row r="1456" spans="1:8">
      <c r="A1456" s="229" t="s">
        <v>1587</v>
      </c>
      <c r="C1456" s="229">
        <v>91.2</v>
      </c>
      <c r="D1456" s="229">
        <v>12010513</v>
      </c>
      <c r="E1456" s="229" t="s">
        <v>818</v>
      </c>
      <c r="F1456" s="229">
        <v>2020</v>
      </c>
      <c r="G1456">
        <v>2</v>
      </c>
      <c r="H1456" t="s">
        <v>820</v>
      </c>
    </row>
    <row r="1457" spans="1:8">
      <c r="A1457" s="229" t="s">
        <v>1587</v>
      </c>
      <c r="C1457" s="229">
        <v>57</v>
      </c>
      <c r="D1457" s="229">
        <v>12010513</v>
      </c>
      <c r="E1457" s="229" t="s">
        <v>818</v>
      </c>
      <c r="F1457" s="229">
        <v>2020</v>
      </c>
      <c r="G1457">
        <v>2</v>
      </c>
      <c r="H1457" t="s">
        <v>820</v>
      </c>
    </row>
    <row r="1458" spans="1:8">
      <c r="A1458" s="229" t="s">
        <v>1587</v>
      </c>
      <c r="C1458" s="229">
        <v>94.05</v>
      </c>
      <c r="D1458" s="229">
        <v>12010513</v>
      </c>
      <c r="E1458" s="229" t="s">
        <v>818</v>
      </c>
      <c r="F1458" s="229">
        <v>2020</v>
      </c>
      <c r="G1458">
        <v>2</v>
      </c>
      <c r="H1458" t="s">
        <v>820</v>
      </c>
    </row>
    <row r="1459" spans="1:8">
      <c r="A1459" s="229" t="s">
        <v>1587</v>
      </c>
      <c r="C1459" s="229">
        <v>122.55</v>
      </c>
      <c r="D1459" s="229">
        <v>12010513</v>
      </c>
      <c r="E1459" s="229" t="s">
        <v>818</v>
      </c>
      <c r="F1459" s="229">
        <v>2020</v>
      </c>
      <c r="G1459">
        <v>2</v>
      </c>
      <c r="H1459" t="s">
        <v>820</v>
      </c>
    </row>
    <row r="1460" spans="1:8">
      <c r="A1460" s="229" t="s">
        <v>1587</v>
      </c>
      <c r="C1460" s="229">
        <v>139.65</v>
      </c>
      <c r="D1460" s="229">
        <v>12010513</v>
      </c>
      <c r="E1460" s="229" t="s">
        <v>818</v>
      </c>
      <c r="F1460" s="229">
        <v>2020</v>
      </c>
      <c r="G1460">
        <v>2</v>
      </c>
      <c r="H1460" t="s">
        <v>820</v>
      </c>
    </row>
    <row r="1461" spans="1:8">
      <c r="A1461" s="229" t="s">
        <v>1587</v>
      </c>
      <c r="C1461" s="229">
        <v>79.8</v>
      </c>
      <c r="D1461" s="229">
        <v>12010513</v>
      </c>
      <c r="E1461" s="229" t="s">
        <v>818</v>
      </c>
      <c r="F1461" s="229">
        <v>2020</v>
      </c>
      <c r="G1461">
        <v>2</v>
      </c>
      <c r="H1461" t="s">
        <v>820</v>
      </c>
    </row>
    <row r="1462" spans="1:8">
      <c r="A1462" s="229" t="s">
        <v>1587</v>
      </c>
      <c r="C1462" s="229">
        <v>427.5</v>
      </c>
      <c r="D1462" s="229">
        <v>12010513</v>
      </c>
      <c r="E1462" s="229" t="s">
        <v>818</v>
      </c>
      <c r="F1462" s="229">
        <v>2020</v>
      </c>
      <c r="G1462">
        <v>2</v>
      </c>
      <c r="H1462" t="s">
        <v>820</v>
      </c>
    </row>
    <row r="1463" spans="1:8">
      <c r="A1463" s="229" t="s">
        <v>1587</v>
      </c>
      <c r="C1463" s="229">
        <v>498.75</v>
      </c>
      <c r="D1463" s="229">
        <v>12010513</v>
      </c>
      <c r="E1463" s="229" t="s">
        <v>818</v>
      </c>
      <c r="F1463" s="229">
        <v>2020</v>
      </c>
      <c r="G1463">
        <v>2</v>
      </c>
      <c r="H1463" t="s">
        <v>820</v>
      </c>
    </row>
    <row r="1464" spans="1:8">
      <c r="A1464" s="229" t="s">
        <v>1587</v>
      </c>
      <c r="C1464" s="229">
        <v>324.89999999999998</v>
      </c>
      <c r="D1464" s="229">
        <v>12010513</v>
      </c>
      <c r="E1464" s="229" t="s">
        <v>818</v>
      </c>
      <c r="F1464" s="229">
        <v>2020</v>
      </c>
      <c r="G1464">
        <v>2</v>
      </c>
      <c r="H1464" t="s">
        <v>820</v>
      </c>
    </row>
    <row r="1465" spans="1:8">
      <c r="A1465" s="229" t="s">
        <v>1587</v>
      </c>
      <c r="C1465" s="229">
        <v>387.6</v>
      </c>
      <c r="D1465" s="229">
        <v>12010513</v>
      </c>
      <c r="E1465" s="229" t="s">
        <v>818</v>
      </c>
      <c r="F1465" s="229">
        <v>2020</v>
      </c>
      <c r="G1465">
        <v>2</v>
      </c>
      <c r="H1465" t="s">
        <v>820</v>
      </c>
    </row>
    <row r="1466" spans="1:8">
      <c r="A1466" s="229" t="s">
        <v>1587</v>
      </c>
      <c r="C1466" s="229">
        <v>473.1</v>
      </c>
      <c r="D1466" s="229">
        <v>12010513</v>
      </c>
      <c r="E1466" s="229" t="s">
        <v>818</v>
      </c>
      <c r="F1466" s="229">
        <v>2020</v>
      </c>
      <c r="G1466">
        <v>2</v>
      </c>
      <c r="H1466" t="s">
        <v>820</v>
      </c>
    </row>
    <row r="1467" spans="1:8">
      <c r="A1467" s="229" t="s">
        <v>1587</v>
      </c>
      <c r="C1467" s="229">
        <v>575.70000000000005</v>
      </c>
      <c r="D1467" s="229">
        <v>12010513</v>
      </c>
      <c r="E1467" s="229" t="s">
        <v>818</v>
      </c>
      <c r="F1467" s="229">
        <v>2020</v>
      </c>
      <c r="G1467">
        <v>2</v>
      </c>
      <c r="H1467" t="s">
        <v>820</v>
      </c>
    </row>
    <row r="1468" spans="1:8">
      <c r="A1468" s="229" t="s">
        <v>1587</v>
      </c>
      <c r="C1468" s="229">
        <v>473.1</v>
      </c>
      <c r="D1468" s="229">
        <v>12010513</v>
      </c>
      <c r="E1468" s="229" t="s">
        <v>818</v>
      </c>
      <c r="F1468" s="229">
        <v>2020</v>
      </c>
      <c r="G1468">
        <v>2</v>
      </c>
      <c r="H1468" t="s">
        <v>820</v>
      </c>
    </row>
    <row r="1469" spans="1:8">
      <c r="A1469" s="229" t="s">
        <v>1587</v>
      </c>
      <c r="C1469" s="229">
        <v>136.80000000000001</v>
      </c>
      <c r="D1469" s="229">
        <v>12010513</v>
      </c>
      <c r="E1469" s="229" t="s">
        <v>818</v>
      </c>
      <c r="F1469" s="229">
        <v>2020</v>
      </c>
      <c r="G1469">
        <v>2</v>
      </c>
      <c r="H1469" t="s">
        <v>820</v>
      </c>
    </row>
    <row r="1470" spans="1:8">
      <c r="A1470" s="229" t="s">
        <v>1587</v>
      </c>
      <c r="C1470" s="229">
        <v>205.2</v>
      </c>
      <c r="D1470" s="229">
        <v>12010513</v>
      </c>
      <c r="E1470" s="229" t="s">
        <v>818</v>
      </c>
      <c r="F1470" s="229">
        <v>2020</v>
      </c>
      <c r="G1470">
        <v>2</v>
      </c>
      <c r="H1470" t="s">
        <v>820</v>
      </c>
    </row>
    <row r="1471" spans="1:8">
      <c r="A1471" s="229" t="s">
        <v>1587</v>
      </c>
      <c r="C1471" s="229">
        <v>79.8</v>
      </c>
      <c r="D1471" s="229">
        <v>12010513</v>
      </c>
      <c r="E1471" s="229" t="s">
        <v>818</v>
      </c>
      <c r="F1471" s="229">
        <v>2020</v>
      </c>
      <c r="G1471">
        <v>2</v>
      </c>
      <c r="H1471" t="s">
        <v>820</v>
      </c>
    </row>
    <row r="1472" spans="1:8">
      <c r="A1472" s="229" t="s">
        <v>1587</v>
      </c>
      <c r="C1472" s="229">
        <v>219.45</v>
      </c>
      <c r="D1472" s="229">
        <v>12010513</v>
      </c>
      <c r="E1472" s="229" t="s">
        <v>818</v>
      </c>
      <c r="F1472" s="229">
        <v>2020</v>
      </c>
      <c r="G1472">
        <v>2</v>
      </c>
      <c r="H1472" t="s">
        <v>820</v>
      </c>
    </row>
    <row r="1473" spans="1:8">
      <c r="A1473" s="229" t="s">
        <v>1587</v>
      </c>
      <c r="C1473" s="229">
        <v>279</v>
      </c>
      <c r="D1473" s="229">
        <v>12010513</v>
      </c>
      <c r="E1473" s="229" t="s">
        <v>818</v>
      </c>
      <c r="F1473" s="229">
        <v>2020</v>
      </c>
      <c r="G1473">
        <v>2</v>
      </c>
      <c r="H1473" t="s">
        <v>820</v>
      </c>
    </row>
    <row r="1474" spans="1:8">
      <c r="A1474" s="229" t="s">
        <v>1587</v>
      </c>
      <c r="C1474" s="229">
        <v>180</v>
      </c>
      <c r="D1474" s="229">
        <v>12010513</v>
      </c>
      <c r="E1474" s="229" t="s">
        <v>818</v>
      </c>
      <c r="F1474" s="229">
        <v>2020</v>
      </c>
      <c r="G1474">
        <v>2</v>
      </c>
      <c r="H1474" t="s">
        <v>820</v>
      </c>
    </row>
    <row r="1475" spans="1:8">
      <c r="A1475" s="229" t="s">
        <v>1587</v>
      </c>
      <c r="C1475" s="229">
        <v>267</v>
      </c>
      <c r="D1475" s="229">
        <v>12010513</v>
      </c>
      <c r="E1475" s="229" t="s">
        <v>818</v>
      </c>
      <c r="F1475" s="229">
        <v>2020</v>
      </c>
      <c r="G1475">
        <v>2</v>
      </c>
      <c r="H1475" t="s">
        <v>820</v>
      </c>
    </row>
    <row r="1476" spans="1:8">
      <c r="A1476" s="229" t="s">
        <v>1587</v>
      </c>
      <c r="C1476" s="229">
        <v>249</v>
      </c>
      <c r="D1476" s="229">
        <v>12010513</v>
      </c>
      <c r="E1476" s="229" t="s">
        <v>818</v>
      </c>
      <c r="F1476" s="229">
        <v>2020</v>
      </c>
      <c r="G1476">
        <v>2</v>
      </c>
      <c r="H1476" t="s">
        <v>820</v>
      </c>
    </row>
    <row r="1477" spans="1:8">
      <c r="A1477" s="229" t="s">
        <v>1587</v>
      </c>
      <c r="C1477" s="229">
        <v>237</v>
      </c>
      <c r="D1477" s="229">
        <v>12010513</v>
      </c>
      <c r="E1477" s="229" t="s">
        <v>818</v>
      </c>
      <c r="F1477" s="229">
        <v>2020</v>
      </c>
      <c r="G1477">
        <v>2</v>
      </c>
      <c r="H1477" t="s">
        <v>820</v>
      </c>
    </row>
    <row r="1478" spans="1:8">
      <c r="A1478" s="229" t="s">
        <v>1587</v>
      </c>
      <c r="C1478" s="229">
        <v>150</v>
      </c>
      <c r="D1478" s="229">
        <v>12010513</v>
      </c>
      <c r="E1478" s="229" t="s">
        <v>818</v>
      </c>
      <c r="F1478" s="229">
        <v>2020</v>
      </c>
      <c r="G1478">
        <v>2</v>
      </c>
      <c r="H1478" t="s">
        <v>820</v>
      </c>
    </row>
    <row r="1479" spans="1:8">
      <c r="A1479" s="229" t="s">
        <v>1587</v>
      </c>
      <c r="C1479" s="229">
        <v>192</v>
      </c>
      <c r="D1479" s="229">
        <v>12010513</v>
      </c>
      <c r="E1479" s="229" t="s">
        <v>818</v>
      </c>
      <c r="F1479" s="229">
        <v>2020</v>
      </c>
      <c r="G1479">
        <v>2</v>
      </c>
      <c r="H1479" t="s">
        <v>820</v>
      </c>
    </row>
    <row r="1480" spans="1:8">
      <c r="A1480" s="229" t="s">
        <v>1589</v>
      </c>
      <c r="C1480" s="229">
        <v>49.91</v>
      </c>
      <c r="D1480" s="229">
        <v>12010513</v>
      </c>
      <c r="E1480" s="229" t="s">
        <v>818</v>
      </c>
      <c r="F1480" s="229">
        <v>2020</v>
      </c>
      <c r="G1480">
        <v>2</v>
      </c>
      <c r="H1480" t="s">
        <v>820</v>
      </c>
    </row>
    <row r="1481" spans="1:8">
      <c r="A1481" s="229" t="s">
        <v>1589</v>
      </c>
      <c r="C1481" s="229">
        <v>84.56</v>
      </c>
      <c r="D1481" s="229">
        <v>12010513</v>
      </c>
      <c r="E1481" s="229" t="s">
        <v>818</v>
      </c>
      <c r="F1481" s="229">
        <v>2020</v>
      </c>
      <c r="G1481">
        <v>2</v>
      </c>
      <c r="H1481" t="s">
        <v>820</v>
      </c>
    </row>
    <row r="1482" spans="1:8">
      <c r="A1482" s="229" t="s">
        <v>1589</v>
      </c>
      <c r="C1482" s="229">
        <v>52.24</v>
      </c>
      <c r="D1482" s="229">
        <v>12010513</v>
      </c>
      <c r="E1482" s="229" t="s">
        <v>818</v>
      </c>
      <c r="F1482" s="229">
        <v>2020</v>
      </c>
      <c r="G1482">
        <v>2</v>
      </c>
      <c r="H1482" t="s">
        <v>820</v>
      </c>
    </row>
    <row r="1483" spans="1:8">
      <c r="A1483" s="229" t="s">
        <v>1596</v>
      </c>
      <c r="C1483" s="229">
        <v>65.33</v>
      </c>
      <c r="D1483" s="229">
        <v>12010513</v>
      </c>
      <c r="E1483" s="229" t="s">
        <v>818</v>
      </c>
      <c r="F1483" s="229">
        <v>2020</v>
      </c>
      <c r="G1483">
        <v>2</v>
      </c>
      <c r="H1483" t="s">
        <v>820</v>
      </c>
    </row>
    <row r="1484" spans="1:8">
      <c r="A1484" s="229" t="s">
        <v>1596</v>
      </c>
      <c r="D1484" s="229">
        <v>12010513</v>
      </c>
      <c r="E1484" s="229" t="s">
        <v>818</v>
      </c>
      <c r="F1484" s="229">
        <v>2020</v>
      </c>
      <c r="G1484">
        <v>2</v>
      </c>
      <c r="H1484" t="s">
        <v>820</v>
      </c>
    </row>
    <row r="1485" spans="1:8">
      <c r="A1485" s="229" t="s">
        <v>1596</v>
      </c>
      <c r="D1485" s="229">
        <v>12010513</v>
      </c>
      <c r="E1485" s="229" t="s">
        <v>818</v>
      </c>
      <c r="F1485" s="229">
        <v>2020</v>
      </c>
      <c r="G1485">
        <v>2</v>
      </c>
      <c r="H1485" t="s">
        <v>820</v>
      </c>
    </row>
    <row r="1486" spans="1:8">
      <c r="A1486" s="229" t="s">
        <v>1596</v>
      </c>
      <c r="C1486" s="229">
        <v>65.33</v>
      </c>
      <c r="D1486" s="229">
        <v>12010513</v>
      </c>
      <c r="E1486" s="229" t="s">
        <v>818</v>
      </c>
      <c r="F1486" s="229">
        <v>2020</v>
      </c>
      <c r="G1486">
        <v>2</v>
      </c>
      <c r="H1486" t="s">
        <v>820</v>
      </c>
    </row>
    <row r="1487" spans="1:8">
      <c r="A1487" s="229" t="s">
        <v>1596</v>
      </c>
      <c r="C1487" s="229">
        <v>65.33</v>
      </c>
      <c r="D1487" s="229">
        <v>12010513</v>
      </c>
      <c r="E1487" s="229" t="s">
        <v>818</v>
      </c>
      <c r="F1487" s="229">
        <v>2020</v>
      </c>
      <c r="G1487">
        <v>2</v>
      </c>
      <c r="H1487" t="s">
        <v>820</v>
      </c>
    </row>
    <row r="1488" spans="1:8">
      <c r="A1488" s="229" t="s">
        <v>1596</v>
      </c>
      <c r="D1488" s="229">
        <v>12010513</v>
      </c>
      <c r="E1488" s="229" t="s">
        <v>818</v>
      </c>
      <c r="F1488" s="229">
        <v>2020</v>
      </c>
      <c r="G1488">
        <v>2</v>
      </c>
      <c r="H1488" t="s">
        <v>820</v>
      </c>
    </row>
    <row r="1489" spans="1:8">
      <c r="A1489" s="229" t="s">
        <v>1679</v>
      </c>
      <c r="C1489" s="229">
        <v>6500</v>
      </c>
      <c r="D1489" s="229">
        <v>12010513</v>
      </c>
      <c r="E1489" s="229" t="s">
        <v>818</v>
      </c>
      <c r="F1489" s="229">
        <v>2020</v>
      </c>
      <c r="G1489">
        <v>2</v>
      </c>
      <c r="H1489" t="s">
        <v>820</v>
      </c>
    </row>
    <row r="1490" spans="1:8">
      <c r="A1490" s="229" t="s">
        <v>1600</v>
      </c>
      <c r="C1490" s="229">
        <v>152</v>
      </c>
      <c r="D1490" s="229">
        <v>12010513</v>
      </c>
      <c r="E1490" s="229" t="s">
        <v>818</v>
      </c>
      <c r="F1490" s="229">
        <v>2020</v>
      </c>
      <c r="G1490">
        <v>2</v>
      </c>
      <c r="H1490" t="s">
        <v>820</v>
      </c>
    </row>
    <row r="1491" spans="1:8">
      <c r="A1491" s="229" t="s">
        <v>1609</v>
      </c>
      <c r="C1491" s="229">
        <v>123.93</v>
      </c>
      <c r="D1491" s="229">
        <v>12010513</v>
      </c>
      <c r="E1491" s="229" t="s">
        <v>818</v>
      </c>
      <c r="F1491" s="229">
        <v>2020</v>
      </c>
      <c r="G1491">
        <v>2</v>
      </c>
      <c r="H1491" t="s">
        <v>820</v>
      </c>
    </row>
    <row r="1492" spans="1:8">
      <c r="A1492" s="229" t="s">
        <v>1611</v>
      </c>
      <c r="D1492" s="229">
        <v>12010513</v>
      </c>
      <c r="E1492" s="229" t="s">
        <v>818</v>
      </c>
      <c r="F1492" s="229">
        <v>2020</v>
      </c>
      <c r="G1492">
        <v>2</v>
      </c>
      <c r="H1492" t="s">
        <v>820</v>
      </c>
    </row>
    <row r="1493" spans="1:8">
      <c r="A1493" s="229" t="s">
        <v>1611</v>
      </c>
      <c r="C1493" s="229">
        <v>600</v>
      </c>
      <c r="D1493" s="229">
        <v>12010513</v>
      </c>
      <c r="E1493" s="229" t="s">
        <v>818</v>
      </c>
      <c r="F1493" s="229">
        <v>2020</v>
      </c>
      <c r="G1493">
        <v>2</v>
      </c>
      <c r="H1493" t="s">
        <v>820</v>
      </c>
    </row>
    <row r="1494" spans="1:8">
      <c r="A1494" s="229" t="s">
        <v>1611</v>
      </c>
      <c r="D1494" s="229">
        <v>12010513</v>
      </c>
      <c r="E1494" s="229" t="s">
        <v>818</v>
      </c>
      <c r="F1494" s="229">
        <v>2020</v>
      </c>
      <c r="G1494">
        <v>2</v>
      </c>
      <c r="H1494" t="s">
        <v>820</v>
      </c>
    </row>
    <row r="1495" spans="1:8">
      <c r="A1495" s="229" t="s">
        <v>1611</v>
      </c>
      <c r="C1495" s="229">
        <v>600</v>
      </c>
      <c r="D1495" s="229">
        <v>12010513</v>
      </c>
      <c r="E1495" s="229" t="s">
        <v>818</v>
      </c>
      <c r="F1495" s="229">
        <v>2020</v>
      </c>
      <c r="G1495">
        <v>2</v>
      </c>
      <c r="H1495" t="s">
        <v>820</v>
      </c>
    </row>
    <row r="1496" spans="1:8">
      <c r="A1496" s="229" t="s">
        <v>1611</v>
      </c>
      <c r="D1496" s="229">
        <v>12010513</v>
      </c>
      <c r="E1496" s="229" t="s">
        <v>818</v>
      </c>
      <c r="F1496" s="229">
        <v>2020</v>
      </c>
      <c r="G1496">
        <v>2</v>
      </c>
      <c r="H1496" t="s">
        <v>820</v>
      </c>
    </row>
    <row r="1497" spans="1:8">
      <c r="A1497" s="229" t="s">
        <v>1611</v>
      </c>
      <c r="C1497" s="229">
        <v>600</v>
      </c>
      <c r="D1497" s="229">
        <v>12010513</v>
      </c>
      <c r="E1497" s="229" t="s">
        <v>818</v>
      </c>
      <c r="F1497" s="229">
        <v>2020</v>
      </c>
      <c r="G1497">
        <v>2</v>
      </c>
      <c r="H1497" t="s">
        <v>820</v>
      </c>
    </row>
    <row r="1498" spans="1:8">
      <c r="A1498" s="229" t="s">
        <v>1686</v>
      </c>
      <c r="C1498" s="229">
        <v>699.31</v>
      </c>
      <c r="D1498" s="229">
        <v>12010513</v>
      </c>
      <c r="E1498" s="229" t="s">
        <v>818</v>
      </c>
      <c r="F1498" s="229">
        <v>2020</v>
      </c>
      <c r="G1498">
        <v>2</v>
      </c>
      <c r="H1498" t="s">
        <v>820</v>
      </c>
    </row>
    <row r="1499" spans="1:8">
      <c r="A1499" s="229" t="s">
        <v>1686</v>
      </c>
      <c r="C1499" s="229">
        <v>609.29999999999995</v>
      </c>
      <c r="D1499" s="229">
        <v>12010513</v>
      </c>
      <c r="E1499" s="229" t="s">
        <v>818</v>
      </c>
      <c r="F1499" s="229">
        <v>2020</v>
      </c>
      <c r="G1499">
        <v>2</v>
      </c>
      <c r="H1499" t="s">
        <v>820</v>
      </c>
    </row>
    <row r="1500" spans="1:8">
      <c r="A1500" s="229" t="s">
        <v>1686</v>
      </c>
      <c r="C1500" s="229">
        <v>630.16</v>
      </c>
      <c r="D1500" s="229">
        <v>12010513</v>
      </c>
      <c r="E1500" s="229" t="s">
        <v>818</v>
      </c>
      <c r="F1500" s="229">
        <v>2020</v>
      </c>
      <c r="G1500">
        <v>2</v>
      </c>
      <c r="H1500" t="s">
        <v>820</v>
      </c>
    </row>
    <row r="1501" spans="1:8">
      <c r="A1501" s="229" t="s">
        <v>1618</v>
      </c>
      <c r="C1501" s="229">
        <v>-439.56</v>
      </c>
      <c r="D1501" s="229">
        <v>12010513</v>
      </c>
      <c r="E1501" s="229" t="s">
        <v>818</v>
      </c>
      <c r="F1501" s="229">
        <v>2020</v>
      </c>
      <c r="G1501">
        <v>2</v>
      </c>
      <c r="H1501" t="s">
        <v>820</v>
      </c>
    </row>
    <row r="1502" spans="1:8">
      <c r="A1502" s="229" t="s">
        <v>1618</v>
      </c>
      <c r="C1502" s="229">
        <v>879.11</v>
      </c>
      <c r="D1502" s="229">
        <v>12010513</v>
      </c>
      <c r="E1502" s="229" t="s">
        <v>818</v>
      </c>
      <c r="F1502" s="229">
        <v>2020</v>
      </c>
      <c r="G1502">
        <v>2</v>
      </c>
      <c r="H1502" t="s">
        <v>820</v>
      </c>
    </row>
    <row r="1503" spans="1:8">
      <c r="A1503" s="229" t="s">
        <v>1618</v>
      </c>
      <c r="C1503" s="229">
        <v>-323.70999999999998</v>
      </c>
      <c r="D1503" s="229">
        <v>12010513</v>
      </c>
      <c r="E1503" s="229" t="s">
        <v>818</v>
      </c>
      <c r="F1503" s="229">
        <v>2020</v>
      </c>
      <c r="G1503">
        <v>2</v>
      </c>
      <c r="H1503" t="s">
        <v>820</v>
      </c>
    </row>
    <row r="1504" spans="1:8">
      <c r="A1504" s="229" t="s">
        <v>1618</v>
      </c>
      <c r="C1504" s="229">
        <v>647.42999999999995</v>
      </c>
      <c r="D1504" s="229">
        <v>12010513</v>
      </c>
      <c r="E1504" s="229" t="s">
        <v>818</v>
      </c>
      <c r="F1504" s="229">
        <v>2020</v>
      </c>
      <c r="G1504">
        <v>2</v>
      </c>
      <c r="H1504" t="s">
        <v>820</v>
      </c>
    </row>
    <row r="1505" spans="1:8">
      <c r="A1505" s="229" t="s">
        <v>1618</v>
      </c>
      <c r="C1505" s="229">
        <v>-220.57</v>
      </c>
      <c r="D1505" s="229">
        <v>12010513</v>
      </c>
      <c r="E1505" s="229" t="s">
        <v>818</v>
      </c>
      <c r="F1505" s="229">
        <v>2020</v>
      </c>
      <c r="G1505">
        <v>2</v>
      </c>
      <c r="H1505" t="s">
        <v>820</v>
      </c>
    </row>
    <row r="1506" spans="1:8">
      <c r="A1506" s="229" t="s">
        <v>1618</v>
      </c>
      <c r="C1506" s="229">
        <v>441.14</v>
      </c>
      <c r="D1506" s="229">
        <v>12010513</v>
      </c>
      <c r="E1506" s="229" t="s">
        <v>818</v>
      </c>
      <c r="F1506" s="229">
        <v>2020</v>
      </c>
      <c r="G1506">
        <v>2</v>
      </c>
      <c r="H1506" t="s">
        <v>820</v>
      </c>
    </row>
    <row r="1507" spans="1:8">
      <c r="A1507" s="229" t="s">
        <v>1619</v>
      </c>
      <c r="C1507" s="229">
        <v>77.2</v>
      </c>
      <c r="D1507" s="229">
        <v>12010513</v>
      </c>
      <c r="E1507" s="229" t="s">
        <v>818</v>
      </c>
      <c r="F1507" s="229">
        <v>2020</v>
      </c>
      <c r="G1507">
        <v>2</v>
      </c>
      <c r="H1507" t="s">
        <v>820</v>
      </c>
    </row>
    <row r="1508" spans="1:8">
      <c r="A1508" s="229" t="s">
        <v>1619</v>
      </c>
      <c r="C1508" s="229">
        <v>56.86</v>
      </c>
      <c r="D1508" s="229">
        <v>12010513</v>
      </c>
      <c r="E1508" s="229" t="s">
        <v>818</v>
      </c>
      <c r="F1508" s="229">
        <v>2020</v>
      </c>
      <c r="G1508">
        <v>2</v>
      </c>
      <c r="H1508" t="s">
        <v>820</v>
      </c>
    </row>
    <row r="1509" spans="1:8">
      <c r="A1509" s="229" t="s">
        <v>1619</v>
      </c>
      <c r="C1509" s="229">
        <v>38.74</v>
      </c>
      <c r="D1509" s="229">
        <v>12010513</v>
      </c>
      <c r="E1509" s="229" t="s">
        <v>818</v>
      </c>
      <c r="F1509" s="229">
        <v>2020</v>
      </c>
      <c r="G1509">
        <v>2</v>
      </c>
      <c r="H1509" t="s">
        <v>820</v>
      </c>
    </row>
    <row r="1510" spans="1:8">
      <c r="A1510" s="229" t="s">
        <v>1620</v>
      </c>
      <c r="C1510" s="229">
        <v>439.56</v>
      </c>
      <c r="D1510" s="229">
        <v>12010513</v>
      </c>
      <c r="E1510" s="229" t="s">
        <v>818</v>
      </c>
      <c r="F1510" s="229">
        <v>2020</v>
      </c>
      <c r="G1510">
        <v>2</v>
      </c>
      <c r="H1510" t="s">
        <v>820</v>
      </c>
    </row>
    <row r="1511" spans="1:8">
      <c r="A1511" s="229" t="s">
        <v>1620</v>
      </c>
      <c r="C1511" s="229">
        <v>323.70999999999998</v>
      </c>
      <c r="D1511" s="229">
        <v>12010513</v>
      </c>
      <c r="E1511" s="229" t="s">
        <v>818</v>
      </c>
      <c r="F1511" s="229">
        <v>2020</v>
      </c>
      <c r="G1511">
        <v>2</v>
      </c>
      <c r="H1511" t="s">
        <v>820</v>
      </c>
    </row>
    <row r="1512" spans="1:8">
      <c r="A1512" s="229" t="s">
        <v>1620</v>
      </c>
      <c r="C1512" s="229">
        <v>220.57</v>
      </c>
      <c r="D1512" s="229">
        <v>12010513</v>
      </c>
      <c r="E1512" s="229" t="s">
        <v>818</v>
      </c>
      <c r="F1512" s="229">
        <v>2020</v>
      </c>
      <c r="G1512">
        <v>2</v>
      </c>
      <c r="H1512" t="s">
        <v>820</v>
      </c>
    </row>
    <row r="1513" spans="1:8">
      <c r="A1513" s="229" t="s">
        <v>1585</v>
      </c>
      <c r="C1513" s="229">
        <v>-73521</v>
      </c>
      <c r="D1513" s="229">
        <v>12010513</v>
      </c>
      <c r="E1513" s="229" t="s">
        <v>818</v>
      </c>
      <c r="F1513" s="229">
        <v>2020</v>
      </c>
      <c r="G1513">
        <v>3</v>
      </c>
      <c r="H1513" t="s">
        <v>820</v>
      </c>
    </row>
    <row r="1514" spans="1:8">
      <c r="A1514" s="229" t="s">
        <v>1587</v>
      </c>
      <c r="C1514" s="229">
        <v>48</v>
      </c>
      <c r="D1514" s="229">
        <v>12010513</v>
      </c>
      <c r="E1514" s="229" t="s">
        <v>818</v>
      </c>
      <c r="F1514" s="229">
        <v>2020</v>
      </c>
      <c r="G1514">
        <v>3</v>
      </c>
      <c r="H1514" t="s">
        <v>820</v>
      </c>
    </row>
    <row r="1515" spans="1:8">
      <c r="A1515" s="229" t="s">
        <v>1587</v>
      </c>
      <c r="C1515" s="229">
        <v>90</v>
      </c>
      <c r="D1515" s="229">
        <v>12010513</v>
      </c>
      <c r="E1515" s="229" t="s">
        <v>818</v>
      </c>
      <c r="F1515" s="229">
        <v>2020</v>
      </c>
      <c r="G1515">
        <v>3</v>
      </c>
      <c r="H1515" t="s">
        <v>820</v>
      </c>
    </row>
    <row r="1516" spans="1:8">
      <c r="A1516" s="229" t="s">
        <v>1587</v>
      </c>
      <c r="C1516" s="229">
        <v>132</v>
      </c>
      <c r="D1516" s="229">
        <v>12010513</v>
      </c>
      <c r="E1516" s="229" t="s">
        <v>818</v>
      </c>
      <c r="F1516" s="229">
        <v>2020</v>
      </c>
      <c r="G1516">
        <v>3</v>
      </c>
      <c r="H1516" t="s">
        <v>820</v>
      </c>
    </row>
    <row r="1517" spans="1:8">
      <c r="A1517" s="229" t="s">
        <v>1587</v>
      </c>
      <c r="C1517" s="229">
        <v>192</v>
      </c>
      <c r="D1517" s="229">
        <v>12010513</v>
      </c>
      <c r="E1517" s="229" t="s">
        <v>818</v>
      </c>
      <c r="F1517" s="229">
        <v>2020</v>
      </c>
      <c r="G1517">
        <v>3</v>
      </c>
      <c r="H1517" t="s">
        <v>820</v>
      </c>
    </row>
    <row r="1518" spans="1:8">
      <c r="A1518" s="229" t="s">
        <v>1587</v>
      </c>
      <c r="C1518" s="229">
        <v>120</v>
      </c>
      <c r="D1518" s="229">
        <v>12010513</v>
      </c>
      <c r="E1518" s="229" t="s">
        <v>818</v>
      </c>
      <c r="F1518" s="229">
        <v>2020</v>
      </c>
      <c r="G1518">
        <v>3</v>
      </c>
      <c r="H1518" t="s">
        <v>820</v>
      </c>
    </row>
    <row r="1519" spans="1:8">
      <c r="A1519" s="229" t="s">
        <v>1587</v>
      </c>
      <c r="C1519" s="229">
        <v>552</v>
      </c>
      <c r="D1519" s="229">
        <v>12010513</v>
      </c>
      <c r="E1519" s="229" t="s">
        <v>818</v>
      </c>
      <c r="F1519" s="229">
        <v>2020</v>
      </c>
      <c r="G1519">
        <v>3</v>
      </c>
      <c r="H1519" t="s">
        <v>820</v>
      </c>
    </row>
    <row r="1520" spans="1:8">
      <c r="A1520" s="229" t="s">
        <v>1587</v>
      </c>
      <c r="C1520" s="229">
        <v>483</v>
      </c>
      <c r="D1520" s="229">
        <v>12010513</v>
      </c>
      <c r="E1520" s="229" t="s">
        <v>818</v>
      </c>
      <c r="F1520" s="229">
        <v>2020</v>
      </c>
      <c r="G1520">
        <v>3</v>
      </c>
      <c r="H1520" t="s">
        <v>820</v>
      </c>
    </row>
    <row r="1521" spans="1:8">
      <c r="A1521" s="229" t="s">
        <v>1587</v>
      </c>
      <c r="C1521" s="229">
        <v>492</v>
      </c>
      <c r="D1521" s="229">
        <v>12010513</v>
      </c>
      <c r="E1521" s="229" t="s">
        <v>818</v>
      </c>
      <c r="F1521" s="229">
        <v>2020</v>
      </c>
      <c r="G1521">
        <v>3</v>
      </c>
      <c r="H1521" t="s">
        <v>820</v>
      </c>
    </row>
    <row r="1522" spans="1:8">
      <c r="A1522" s="229" t="s">
        <v>1587</v>
      </c>
      <c r="C1522" s="229">
        <v>513</v>
      </c>
      <c r="D1522" s="229">
        <v>12010513</v>
      </c>
      <c r="E1522" s="229" t="s">
        <v>818</v>
      </c>
      <c r="F1522" s="229">
        <v>2020</v>
      </c>
      <c r="G1522">
        <v>3</v>
      </c>
      <c r="H1522" t="s">
        <v>820</v>
      </c>
    </row>
    <row r="1523" spans="1:8">
      <c r="A1523" s="229" t="s">
        <v>1587</v>
      </c>
      <c r="C1523" s="229">
        <v>480</v>
      </c>
      <c r="D1523" s="229">
        <v>12010513</v>
      </c>
      <c r="E1523" s="229" t="s">
        <v>818</v>
      </c>
      <c r="F1523" s="229">
        <v>2020</v>
      </c>
      <c r="G1523">
        <v>3</v>
      </c>
      <c r="H1523" t="s">
        <v>820</v>
      </c>
    </row>
    <row r="1524" spans="1:8">
      <c r="A1524" s="229" t="s">
        <v>1587</v>
      </c>
      <c r="C1524" s="229">
        <v>437.75</v>
      </c>
      <c r="D1524" s="229">
        <v>12010513</v>
      </c>
      <c r="E1524" s="229" t="s">
        <v>818</v>
      </c>
      <c r="F1524" s="229">
        <v>2020</v>
      </c>
      <c r="G1524">
        <v>3</v>
      </c>
      <c r="H1524" t="s">
        <v>820</v>
      </c>
    </row>
    <row r="1525" spans="1:8">
      <c r="A1525" s="229" t="s">
        <v>1587</v>
      </c>
      <c r="C1525" s="229">
        <v>765.91</v>
      </c>
      <c r="D1525" s="229">
        <v>12010513</v>
      </c>
      <c r="E1525" s="229" t="s">
        <v>818</v>
      </c>
      <c r="F1525" s="229">
        <v>2020</v>
      </c>
      <c r="G1525">
        <v>3</v>
      </c>
      <c r="H1525" t="s">
        <v>820</v>
      </c>
    </row>
    <row r="1526" spans="1:8">
      <c r="A1526" s="229" t="s">
        <v>1587</v>
      </c>
      <c r="C1526" s="229">
        <v>192</v>
      </c>
      <c r="D1526" s="229">
        <v>12010513</v>
      </c>
      <c r="E1526" s="229" t="s">
        <v>818</v>
      </c>
      <c r="F1526" s="229">
        <v>2020</v>
      </c>
      <c r="G1526">
        <v>3</v>
      </c>
      <c r="H1526" t="s">
        <v>820</v>
      </c>
    </row>
    <row r="1527" spans="1:8">
      <c r="A1527" s="229" t="s">
        <v>1587</v>
      </c>
      <c r="C1527" s="229">
        <v>438</v>
      </c>
      <c r="D1527" s="229">
        <v>12010513</v>
      </c>
      <c r="E1527" s="229" t="s">
        <v>818</v>
      </c>
      <c r="F1527" s="229">
        <v>2020</v>
      </c>
      <c r="G1527">
        <v>3</v>
      </c>
      <c r="H1527" t="s">
        <v>820</v>
      </c>
    </row>
    <row r="1528" spans="1:8">
      <c r="A1528" s="229" t="s">
        <v>1587</v>
      </c>
      <c r="C1528" s="229">
        <v>444</v>
      </c>
      <c r="D1528" s="229">
        <v>12010513</v>
      </c>
      <c r="E1528" s="229" t="s">
        <v>818</v>
      </c>
      <c r="F1528" s="229">
        <v>2020</v>
      </c>
      <c r="G1528">
        <v>3</v>
      </c>
      <c r="H1528" t="s">
        <v>820</v>
      </c>
    </row>
    <row r="1529" spans="1:8">
      <c r="A1529" s="229" t="s">
        <v>1587</v>
      </c>
      <c r="C1529" s="229">
        <v>579</v>
      </c>
      <c r="D1529" s="229">
        <v>12010513</v>
      </c>
      <c r="E1529" s="229" t="s">
        <v>818</v>
      </c>
      <c r="F1529" s="229">
        <v>2020</v>
      </c>
      <c r="G1529">
        <v>3</v>
      </c>
      <c r="H1529" t="s">
        <v>820</v>
      </c>
    </row>
    <row r="1530" spans="1:8">
      <c r="A1530" s="229" t="s">
        <v>1587</v>
      </c>
      <c r="C1530" s="229">
        <v>114</v>
      </c>
      <c r="D1530" s="229">
        <v>12010513</v>
      </c>
      <c r="E1530" s="229" t="s">
        <v>818</v>
      </c>
      <c r="F1530" s="229">
        <v>2020</v>
      </c>
      <c r="G1530">
        <v>3</v>
      </c>
      <c r="H1530" t="s">
        <v>820</v>
      </c>
    </row>
    <row r="1531" spans="1:8">
      <c r="A1531" s="229" t="s">
        <v>1587</v>
      </c>
      <c r="C1531" s="229">
        <v>120</v>
      </c>
      <c r="D1531" s="229">
        <v>12010513</v>
      </c>
      <c r="E1531" s="229" t="s">
        <v>818</v>
      </c>
      <c r="F1531" s="229">
        <v>2020</v>
      </c>
      <c r="G1531">
        <v>3</v>
      </c>
      <c r="H1531" t="s">
        <v>820</v>
      </c>
    </row>
    <row r="1532" spans="1:8">
      <c r="A1532" s="229" t="s">
        <v>1587</v>
      </c>
      <c r="C1532" s="229">
        <v>261</v>
      </c>
      <c r="D1532" s="229">
        <v>12010513</v>
      </c>
      <c r="E1532" s="229" t="s">
        <v>818</v>
      </c>
      <c r="F1532" s="229">
        <v>2020</v>
      </c>
      <c r="G1532">
        <v>3</v>
      </c>
      <c r="H1532" t="s">
        <v>820</v>
      </c>
    </row>
    <row r="1533" spans="1:8">
      <c r="A1533" s="229" t="s">
        <v>1587</v>
      </c>
      <c r="C1533" s="229">
        <v>216</v>
      </c>
      <c r="D1533" s="229">
        <v>12010513</v>
      </c>
      <c r="E1533" s="229" t="s">
        <v>818</v>
      </c>
      <c r="F1533" s="229">
        <v>2020</v>
      </c>
      <c r="G1533">
        <v>3</v>
      </c>
      <c r="H1533" t="s">
        <v>820</v>
      </c>
    </row>
    <row r="1534" spans="1:8">
      <c r="A1534" s="229" t="s">
        <v>1587</v>
      </c>
      <c r="C1534" s="229">
        <v>372</v>
      </c>
      <c r="D1534" s="229">
        <v>12010513</v>
      </c>
      <c r="E1534" s="229" t="s">
        <v>818</v>
      </c>
      <c r="F1534" s="229">
        <v>2020</v>
      </c>
      <c r="G1534">
        <v>3</v>
      </c>
      <c r="H1534" t="s">
        <v>820</v>
      </c>
    </row>
    <row r="1535" spans="1:8">
      <c r="A1535" s="229" t="s">
        <v>1587</v>
      </c>
      <c r="C1535" s="229">
        <v>360</v>
      </c>
      <c r="D1535" s="229">
        <v>12010513</v>
      </c>
      <c r="E1535" s="229" t="s">
        <v>818</v>
      </c>
      <c r="F1535" s="229">
        <v>2020</v>
      </c>
      <c r="G1535">
        <v>3</v>
      </c>
      <c r="H1535" t="s">
        <v>820</v>
      </c>
    </row>
    <row r="1536" spans="1:8">
      <c r="A1536" s="229" t="s">
        <v>1587</v>
      </c>
      <c r="C1536" s="229">
        <v>336</v>
      </c>
      <c r="D1536" s="229">
        <v>12010513</v>
      </c>
      <c r="E1536" s="229" t="s">
        <v>818</v>
      </c>
      <c r="F1536" s="229">
        <v>2020</v>
      </c>
      <c r="G1536">
        <v>3</v>
      </c>
      <c r="H1536" t="s">
        <v>820</v>
      </c>
    </row>
    <row r="1537" spans="1:8">
      <c r="A1537" s="229" t="s">
        <v>1587</v>
      </c>
      <c r="C1537" s="229">
        <v>276</v>
      </c>
      <c r="D1537" s="229">
        <v>12010513</v>
      </c>
      <c r="E1537" s="229" t="s">
        <v>818</v>
      </c>
      <c r="F1537" s="229">
        <v>2020</v>
      </c>
      <c r="G1537">
        <v>3</v>
      </c>
      <c r="H1537" t="s">
        <v>820</v>
      </c>
    </row>
    <row r="1538" spans="1:8">
      <c r="A1538" s="229" t="s">
        <v>1587</v>
      </c>
      <c r="C1538" s="229">
        <v>240</v>
      </c>
      <c r="D1538" s="229">
        <v>12010513</v>
      </c>
      <c r="E1538" s="229" t="s">
        <v>818</v>
      </c>
      <c r="F1538" s="229">
        <v>2020</v>
      </c>
      <c r="G1538">
        <v>3</v>
      </c>
      <c r="H1538" t="s">
        <v>820</v>
      </c>
    </row>
    <row r="1539" spans="1:8">
      <c r="A1539" s="229" t="s">
        <v>1587</v>
      </c>
      <c r="C1539" s="229">
        <v>288</v>
      </c>
      <c r="D1539" s="229">
        <v>12010513</v>
      </c>
      <c r="E1539" s="229" t="s">
        <v>818</v>
      </c>
      <c r="F1539" s="229">
        <v>2020</v>
      </c>
      <c r="G1539">
        <v>3</v>
      </c>
      <c r="H1539" t="s">
        <v>820</v>
      </c>
    </row>
    <row r="1540" spans="1:8">
      <c r="A1540" s="229" t="s">
        <v>1587</v>
      </c>
      <c r="C1540" s="229">
        <v>276</v>
      </c>
      <c r="D1540" s="229">
        <v>12010513</v>
      </c>
      <c r="E1540" s="229" t="s">
        <v>818</v>
      </c>
      <c r="F1540" s="229">
        <v>2020</v>
      </c>
      <c r="G1540">
        <v>3</v>
      </c>
      <c r="H1540" t="s">
        <v>820</v>
      </c>
    </row>
    <row r="1541" spans="1:8">
      <c r="A1541" s="229" t="s">
        <v>1587</v>
      </c>
      <c r="C1541" s="229">
        <v>288</v>
      </c>
      <c r="D1541" s="229">
        <v>12010513</v>
      </c>
      <c r="E1541" s="229" t="s">
        <v>818</v>
      </c>
      <c r="F1541" s="229">
        <v>2020</v>
      </c>
      <c r="G1541">
        <v>3</v>
      </c>
      <c r="H1541" t="s">
        <v>820</v>
      </c>
    </row>
    <row r="1542" spans="1:8">
      <c r="A1542" s="229" t="s">
        <v>1587</v>
      </c>
      <c r="C1542" s="229">
        <v>282</v>
      </c>
      <c r="D1542" s="229">
        <v>12010513</v>
      </c>
      <c r="E1542" s="229" t="s">
        <v>818</v>
      </c>
      <c r="F1542" s="229">
        <v>2020</v>
      </c>
      <c r="G1542">
        <v>3</v>
      </c>
      <c r="H1542" t="s">
        <v>820</v>
      </c>
    </row>
    <row r="1543" spans="1:8">
      <c r="A1543" s="229" t="s">
        <v>1587</v>
      </c>
      <c r="C1543" s="229">
        <v>60</v>
      </c>
      <c r="D1543" s="229">
        <v>12010513</v>
      </c>
      <c r="E1543" s="229" t="s">
        <v>818</v>
      </c>
      <c r="F1543" s="229">
        <v>2020</v>
      </c>
      <c r="G1543">
        <v>3</v>
      </c>
      <c r="H1543" t="s">
        <v>820</v>
      </c>
    </row>
    <row r="1544" spans="1:8">
      <c r="A1544" s="229" t="s">
        <v>1587</v>
      </c>
      <c r="C1544" s="229">
        <v>90</v>
      </c>
      <c r="D1544" s="229">
        <v>12010513</v>
      </c>
      <c r="E1544" s="229" t="s">
        <v>818</v>
      </c>
      <c r="F1544" s="229">
        <v>2020</v>
      </c>
      <c r="G1544">
        <v>3</v>
      </c>
      <c r="H1544" t="s">
        <v>820</v>
      </c>
    </row>
    <row r="1545" spans="1:8">
      <c r="A1545" s="229" t="s">
        <v>1587</v>
      </c>
      <c r="C1545" s="229">
        <v>108</v>
      </c>
      <c r="D1545" s="229">
        <v>12010513</v>
      </c>
      <c r="E1545" s="229" t="s">
        <v>818</v>
      </c>
      <c r="F1545" s="229">
        <v>2020</v>
      </c>
      <c r="G1545">
        <v>3</v>
      </c>
      <c r="H1545" t="s">
        <v>820</v>
      </c>
    </row>
    <row r="1546" spans="1:8">
      <c r="A1546" s="229" t="s">
        <v>1587</v>
      </c>
      <c r="C1546" s="229">
        <v>84</v>
      </c>
      <c r="D1546" s="229">
        <v>12010513</v>
      </c>
      <c r="E1546" s="229" t="s">
        <v>818</v>
      </c>
      <c r="F1546" s="229">
        <v>2020</v>
      </c>
      <c r="G1546">
        <v>3</v>
      </c>
      <c r="H1546" t="s">
        <v>820</v>
      </c>
    </row>
    <row r="1547" spans="1:8">
      <c r="A1547" s="229" t="s">
        <v>1587</v>
      </c>
      <c r="C1547" s="229">
        <v>528</v>
      </c>
      <c r="D1547" s="229">
        <v>12010513</v>
      </c>
      <c r="E1547" s="229" t="s">
        <v>818</v>
      </c>
      <c r="F1547" s="229">
        <v>2020</v>
      </c>
      <c r="G1547">
        <v>3</v>
      </c>
      <c r="H1547" t="s">
        <v>820</v>
      </c>
    </row>
    <row r="1548" spans="1:8">
      <c r="A1548" s="229" t="s">
        <v>1587</v>
      </c>
      <c r="C1548" s="229">
        <v>600</v>
      </c>
      <c r="D1548" s="229">
        <v>12010513</v>
      </c>
      <c r="E1548" s="229" t="s">
        <v>818</v>
      </c>
      <c r="F1548" s="229">
        <v>2020</v>
      </c>
      <c r="G1548">
        <v>3</v>
      </c>
      <c r="H1548" t="s">
        <v>820</v>
      </c>
    </row>
    <row r="1549" spans="1:8">
      <c r="A1549" s="229" t="s">
        <v>1587</v>
      </c>
      <c r="C1549" s="229">
        <v>600</v>
      </c>
      <c r="D1549" s="229">
        <v>12010513</v>
      </c>
      <c r="E1549" s="229" t="s">
        <v>818</v>
      </c>
      <c r="F1549" s="229">
        <v>2020</v>
      </c>
      <c r="G1549">
        <v>3</v>
      </c>
      <c r="H1549" t="s">
        <v>820</v>
      </c>
    </row>
    <row r="1550" spans="1:8">
      <c r="A1550" s="229" t="s">
        <v>1587</v>
      </c>
      <c r="C1550" s="229">
        <v>600</v>
      </c>
      <c r="D1550" s="229">
        <v>12010513</v>
      </c>
      <c r="E1550" s="229" t="s">
        <v>818</v>
      </c>
      <c r="F1550" s="229">
        <v>2020</v>
      </c>
      <c r="G1550">
        <v>3</v>
      </c>
      <c r="H1550" t="s">
        <v>820</v>
      </c>
    </row>
    <row r="1551" spans="1:8">
      <c r="A1551" s="229" t="s">
        <v>1587</v>
      </c>
      <c r="C1551" s="229">
        <v>600</v>
      </c>
      <c r="D1551" s="229">
        <v>12010513</v>
      </c>
      <c r="E1551" s="229" t="s">
        <v>818</v>
      </c>
      <c r="F1551" s="229">
        <v>2020</v>
      </c>
      <c r="G1551">
        <v>3</v>
      </c>
      <c r="H1551" t="s">
        <v>820</v>
      </c>
    </row>
    <row r="1552" spans="1:8">
      <c r="A1552" s="229" t="s">
        <v>1587</v>
      </c>
      <c r="C1552" s="229">
        <v>162</v>
      </c>
      <c r="D1552" s="229">
        <v>12010513</v>
      </c>
      <c r="E1552" s="229" t="s">
        <v>818</v>
      </c>
      <c r="F1552" s="229">
        <v>2020</v>
      </c>
      <c r="G1552">
        <v>3</v>
      </c>
      <c r="H1552" t="s">
        <v>820</v>
      </c>
    </row>
    <row r="1553" spans="1:8">
      <c r="A1553" s="229" t="s">
        <v>1587</v>
      </c>
      <c r="C1553" s="229">
        <v>138</v>
      </c>
      <c r="D1553" s="229">
        <v>12010513</v>
      </c>
      <c r="E1553" s="229" t="s">
        <v>818</v>
      </c>
      <c r="F1553" s="229">
        <v>2020</v>
      </c>
      <c r="G1553">
        <v>3</v>
      </c>
      <c r="H1553" t="s">
        <v>820</v>
      </c>
    </row>
    <row r="1554" spans="1:8">
      <c r="A1554" s="229" t="s">
        <v>1587</v>
      </c>
      <c r="C1554" s="229">
        <v>132</v>
      </c>
      <c r="D1554" s="229">
        <v>12010513</v>
      </c>
      <c r="E1554" s="229" t="s">
        <v>818</v>
      </c>
      <c r="F1554" s="229">
        <v>2020</v>
      </c>
      <c r="G1554">
        <v>3</v>
      </c>
      <c r="H1554" t="s">
        <v>820</v>
      </c>
    </row>
    <row r="1555" spans="1:8">
      <c r="A1555" s="229" t="s">
        <v>1587</v>
      </c>
      <c r="C1555" s="229">
        <v>198</v>
      </c>
      <c r="D1555" s="229">
        <v>12010513</v>
      </c>
      <c r="E1555" s="229" t="s">
        <v>818</v>
      </c>
      <c r="F1555" s="229">
        <v>2020</v>
      </c>
      <c r="G1555">
        <v>3</v>
      </c>
      <c r="H1555" t="s">
        <v>820</v>
      </c>
    </row>
    <row r="1556" spans="1:8">
      <c r="A1556" s="229" t="s">
        <v>1587</v>
      </c>
      <c r="C1556" s="229">
        <v>108</v>
      </c>
      <c r="D1556" s="229">
        <v>12010513</v>
      </c>
      <c r="E1556" s="229" t="s">
        <v>818</v>
      </c>
      <c r="F1556" s="229">
        <v>2020</v>
      </c>
      <c r="G1556">
        <v>3</v>
      </c>
      <c r="H1556" t="s">
        <v>820</v>
      </c>
    </row>
    <row r="1557" spans="1:8">
      <c r="A1557" s="229" t="s">
        <v>1587</v>
      </c>
      <c r="C1557" s="229">
        <v>234</v>
      </c>
      <c r="D1557" s="229">
        <v>12010513</v>
      </c>
      <c r="E1557" s="229" t="s">
        <v>818</v>
      </c>
      <c r="F1557" s="229">
        <v>2020</v>
      </c>
      <c r="G1557">
        <v>3</v>
      </c>
      <c r="H1557" t="s">
        <v>820</v>
      </c>
    </row>
    <row r="1558" spans="1:8">
      <c r="A1558" s="229" t="s">
        <v>1587</v>
      </c>
      <c r="C1558" s="229">
        <v>300</v>
      </c>
      <c r="D1558" s="229">
        <v>12010513</v>
      </c>
      <c r="E1558" s="229" t="s">
        <v>818</v>
      </c>
      <c r="F1558" s="229">
        <v>2020</v>
      </c>
      <c r="G1558">
        <v>3</v>
      </c>
      <c r="H1558" t="s">
        <v>820</v>
      </c>
    </row>
    <row r="1559" spans="1:8">
      <c r="A1559" s="229" t="s">
        <v>1587</v>
      </c>
      <c r="C1559" s="229">
        <v>396</v>
      </c>
      <c r="D1559" s="229">
        <v>12010513</v>
      </c>
      <c r="E1559" s="229" t="s">
        <v>818</v>
      </c>
      <c r="F1559" s="229">
        <v>2020</v>
      </c>
      <c r="G1559">
        <v>3</v>
      </c>
      <c r="H1559" t="s">
        <v>820</v>
      </c>
    </row>
    <row r="1560" spans="1:8">
      <c r="A1560" s="229" t="s">
        <v>1587</v>
      </c>
      <c r="C1560" s="229">
        <v>324</v>
      </c>
      <c r="D1560" s="229">
        <v>12010513</v>
      </c>
      <c r="E1560" s="229" t="s">
        <v>818</v>
      </c>
      <c r="F1560" s="229">
        <v>2020</v>
      </c>
      <c r="G1560">
        <v>3</v>
      </c>
      <c r="H1560" t="s">
        <v>820</v>
      </c>
    </row>
    <row r="1561" spans="1:8">
      <c r="A1561" s="229" t="s">
        <v>1587</v>
      </c>
      <c r="C1561" s="229">
        <v>180</v>
      </c>
      <c r="D1561" s="229">
        <v>12010513</v>
      </c>
      <c r="E1561" s="229" t="s">
        <v>818</v>
      </c>
      <c r="F1561" s="229">
        <v>2020</v>
      </c>
      <c r="G1561">
        <v>3</v>
      </c>
      <c r="H1561" t="s">
        <v>820</v>
      </c>
    </row>
    <row r="1562" spans="1:8">
      <c r="A1562" s="229" t="s">
        <v>1587</v>
      </c>
      <c r="C1562" s="229">
        <v>144</v>
      </c>
      <c r="D1562" s="229">
        <v>12010513</v>
      </c>
      <c r="E1562" s="229" t="s">
        <v>818</v>
      </c>
      <c r="F1562" s="229">
        <v>2020</v>
      </c>
      <c r="G1562">
        <v>3</v>
      </c>
      <c r="H1562" t="s">
        <v>820</v>
      </c>
    </row>
    <row r="1563" spans="1:8">
      <c r="A1563" s="229" t="s">
        <v>1587</v>
      </c>
      <c r="C1563" s="229">
        <v>144</v>
      </c>
      <c r="D1563" s="229">
        <v>12010513</v>
      </c>
      <c r="E1563" s="229" t="s">
        <v>818</v>
      </c>
      <c r="F1563" s="229">
        <v>2020</v>
      </c>
      <c r="G1563">
        <v>3</v>
      </c>
      <c r="H1563" t="s">
        <v>820</v>
      </c>
    </row>
    <row r="1564" spans="1:8">
      <c r="A1564" s="229" t="s">
        <v>1587</v>
      </c>
      <c r="C1564" s="229">
        <v>339</v>
      </c>
      <c r="D1564" s="229">
        <v>12010513</v>
      </c>
      <c r="E1564" s="229" t="s">
        <v>818</v>
      </c>
      <c r="F1564" s="229">
        <v>2020</v>
      </c>
      <c r="G1564">
        <v>3</v>
      </c>
      <c r="H1564" t="s">
        <v>820</v>
      </c>
    </row>
    <row r="1565" spans="1:8">
      <c r="A1565" s="229" t="s">
        <v>1589</v>
      </c>
      <c r="C1565" s="229">
        <v>33.11</v>
      </c>
      <c r="D1565" s="229">
        <v>12010513</v>
      </c>
      <c r="E1565" s="229" t="s">
        <v>818</v>
      </c>
      <c r="F1565" s="229">
        <v>2020</v>
      </c>
      <c r="G1565">
        <v>3</v>
      </c>
      <c r="H1565" t="s">
        <v>820</v>
      </c>
    </row>
    <row r="1566" spans="1:8">
      <c r="A1566" s="229" t="s">
        <v>1589</v>
      </c>
      <c r="C1566" s="229">
        <v>59.7</v>
      </c>
      <c r="D1566" s="229">
        <v>12010513</v>
      </c>
      <c r="E1566" s="229" t="s">
        <v>818</v>
      </c>
      <c r="F1566" s="229">
        <v>2020</v>
      </c>
      <c r="G1566">
        <v>3</v>
      </c>
      <c r="H1566" t="s">
        <v>820</v>
      </c>
    </row>
    <row r="1567" spans="1:8">
      <c r="A1567" s="229" t="s">
        <v>1589</v>
      </c>
      <c r="C1567" s="229">
        <v>77.22</v>
      </c>
      <c r="D1567" s="229">
        <v>12010513</v>
      </c>
      <c r="E1567" s="229" t="s">
        <v>818</v>
      </c>
      <c r="F1567" s="229">
        <v>2020</v>
      </c>
      <c r="G1567">
        <v>3</v>
      </c>
      <c r="H1567" t="s">
        <v>820</v>
      </c>
    </row>
    <row r="1568" spans="1:8">
      <c r="A1568" s="229" t="s">
        <v>1593</v>
      </c>
      <c r="C1568" s="229">
        <v>19.600000000000001</v>
      </c>
      <c r="D1568" s="229">
        <v>12010513</v>
      </c>
      <c r="E1568" s="229" t="s">
        <v>818</v>
      </c>
      <c r="F1568" s="229">
        <v>2020</v>
      </c>
      <c r="G1568">
        <v>3</v>
      </c>
      <c r="H1568" t="s">
        <v>820</v>
      </c>
    </row>
    <row r="1569" spans="1:8">
      <c r="A1569" s="229" t="s">
        <v>1596</v>
      </c>
      <c r="D1569" s="229">
        <v>12010513</v>
      </c>
      <c r="E1569" s="229" t="s">
        <v>818</v>
      </c>
      <c r="F1569" s="229">
        <v>2020</v>
      </c>
      <c r="G1569">
        <v>3</v>
      </c>
      <c r="H1569" t="s">
        <v>820</v>
      </c>
    </row>
    <row r="1570" spans="1:8">
      <c r="A1570" s="229" t="s">
        <v>1596</v>
      </c>
      <c r="C1570" s="229">
        <v>65.33</v>
      </c>
      <c r="D1570" s="229">
        <v>12010513</v>
      </c>
      <c r="E1570" s="229" t="s">
        <v>818</v>
      </c>
      <c r="F1570" s="229">
        <v>2020</v>
      </c>
      <c r="G1570">
        <v>3</v>
      </c>
      <c r="H1570" t="s">
        <v>820</v>
      </c>
    </row>
    <row r="1571" spans="1:8">
      <c r="A1571" s="229" t="s">
        <v>1596</v>
      </c>
      <c r="C1571" s="229">
        <v>65.33</v>
      </c>
      <c r="D1571" s="229">
        <v>12010513</v>
      </c>
      <c r="E1571" s="229" t="s">
        <v>818</v>
      </c>
      <c r="F1571" s="229">
        <v>2020</v>
      </c>
      <c r="G1571">
        <v>3</v>
      </c>
      <c r="H1571" t="s">
        <v>820</v>
      </c>
    </row>
    <row r="1572" spans="1:8">
      <c r="A1572" s="229" t="s">
        <v>1596</v>
      </c>
      <c r="D1572" s="229">
        <v>12010513</v>
      </c>
      <c r="E1572" s="229" t="s">
        <v>818</v>
      </c>
      <c r="F1572" s="229">
        <v>2020</v>
      </c>
      <c r="G1572">
        <v>3</v>
      </c>
      <c r="H1572" t="s">
        <v>820</v>
      </c>
    </row>
    <row r="1573" spans="1:8">
      <c r="A1573" s="229" t="s">
        <v>1596</v>
      </c>
      <c r="C1573" s="229">
        <v>65.33</v>
      </c>
      <c r="D1573" s="229">
        <v>12010513</v>
      </c>
      <c r="E1573" s="229" t="s">
        <v>818</v>
      </c>
      <c r="F1573" s="229">
        <v>2020</v>
      </c>
      <c r="G1573">
        <v>3</v>
      </c>
      <c r="H1573" t="s">
        <v>820</v>
      </c>
    </row>
    <row r="1574" spans="1:8">
      <c r="A1574" s="229" t="s">
        <v>1596</v>
      </c>
      <c r="D1574" s="229">
        <v>12010513</v>
      </c>
      <c r="E1574" s="229" t="s">
        <v>818</v>
      </c>
      <c r="F1574" s="229">
        <v>2020</v>
      </c>
      <c r="G1574">
        <v>3</v>
      </c>
      <c r="H1574" t="s">
        <v>820</v>
      </c>
    </row>
    <row r="1575" spans="1:8">
      <c r="A1575" s="229" t="s">
        <v>1676</v>
      </c>
      <c r="C1575" s="229">
        <v>7.99</v>
      </c>
      <c r="D1575" s="229">
        <v>12010513</v>
      </c>
      <c r="E1575" s="229" t="s">
        <v>818</v>
      </c>
      <c r="F1575" s="229">
        <v>2020</v>
      </c>
      <c r="G1575">
        <v>3</v>
      </c>
      <c r="H1575" t="s">
        <v>820</v>
      </c>
    </row>
    <row r="1576" spans="1:8">
      <c r="A1576" s="229" t="s">
        <v>1598</v>
      </c>
      <c r="C1576" s="229">
        <v>803.74</v>
      </c>
      <c r="D1576" s="229">
        <v>12010513</v>
      </c>
      <c r="E1576" s="229" t="s">
        <v>818</v>
      </c>
      <c r="F1576" s="229">
        <v>2020</v>
      </c>
      <c r="G1576">
        <v>3</v>
      </c>
      <c r="H1576" t="s">
        <v>820</v>
      </c>
    </row>
    <row r="1577" spans="1:8">
      <c r="A1577" s="229" t="s">
        <v>1678</v>
      </c>
      <c r="C1577" s="229">
        <v>165.96</v>
      </c>
      <c r="D1577" s="229">
        <v>12010513</v>
      </c>
      <c r="E1577" s="229" t="s">
        <v>818</v>
      </c>
      <c r="F1577" s="229">
        <v>2020</v>
      </c>
      <c r="G1577">
        <v>3</v>
      </c>
      <c r="H1577" t="s">
        <v>820</v>
      </c>
    </row>
    <row r="1578" spans="1:8">
      <c r="A1578" s="229" t="s">
        <v>1603</v>
      </c>
      <c r="C1578" s="229">
        <v>144</v>
      </c>
      <c r="D1578" s="229">
        <v>12010513</v>
      </c>
      <c r="E1578" s="229" t="s">
        <v>818</v>
      </c>
      <c r="F1578" s="229">
        <v>2020</v>
      </c>
      <c r="G1578">
        <v>3</v>
      </c>
      <c r="H1578" t="s">
        <v>820</v>
      </c>
    </row>
    <row r="1579" spans="1:8">
      <c r="A1579" s="229" t="s">
        <v>1606</v>
      </c>
      <c r="C1579" s="229">
        <v>146</v>
      </c>
      <c r="D1579" s="229">
        <v>12010513</v>
      </c>
      <c r="E1579" s="229" t="s">
        <v>818</v>
      </c>
      <c r="F1579" s="229">
        <v>2020</v>
      </c>
      <c r="G1579">
        <v>3</v>
      </c>
      <c r="H1579" t="s">
        <v>820</v>
      </c>
    </row>
    <row r="1580" spans="1:8">
      <c r="A1580" s="229" t="s">
        <v>1610</v>
      </c>
      <c r="C1580" s="229">
        <v>16.95</v>
      </c>
      <c r="D1580" s="229">
        <v>12010513</v>
      </c>
      <c r="E1580" s="229" t="s">
        <v>818</v>
      </c>
      <c r="F1580" s="229">
        <v>2020</v>
      </c>
      <c r="G1580">
        <v>3</v>
      </c>
      <c r="H1580" t="s">
        <v>820</v>
      </c>
    </row>
    <row r="1581" spans="1:8">
      <c r="A1581" s="229" t="s">
        <v>1611</v>
      </c>
      <c r="D1581" s="229">
        <v>12010513</v>
      </c>
      <c r="E1581" s="229" t="s">
        <v>818</v>
      </c>
      <c r="F1581" s="229">
        <v>2020</v>
      </c>
      <c r="G1581">
        <v>3</v>
      </c>
      <c r="H1581" t="s">
        <v>820</v>
      </c>
    </row>
    <row r="1582" spans="1:8">
      <c r="A1582" s="229" t="s">
        <v>1611</v>
      </c>
      <c r="C1582" s="229">
        <v>600</v>
      </c>
      <c r="D1582" s="229">
        <v>12010513</v>
      </c>
      <c r="E1582" s="229" t="s">
        <v>818</v>
      </c>
      <c r="F1582" s="229">
        <v>2020</v>
      </c>
      <c r="G1582">
        <v>3</v>
      </c>
      <c r="H1582" t="s">
        <v>820</v>
      </c>
    </row>
    <row r="1583" spans="1:8">
      <c r="A1583" s="229" t="s">
        <v>1611</v>
      </c>
      <c r="D1583" s="229">
        <v>12010513</v>
      </c>
      <c r="E1583" s="229" t="s">
        <v>818</v>
      </c>
      <c r="F1583" s="229">
        <v>2020</v>
      </c>
      <c r="G1583">
        <v>3</v>
      </c>
      <c r="H1583" t="s">
        <v>820</v>
      </c>
    </row>
    <row r="1584" spans="1:8">
      <c r="A1584" s="229" t="s">
        <v>1611</v>
      </c>
      <c r="C1584" s="229">
        <v>600</v>
      </c>
      <c r="D1584" s="229">
        <v>12010513</v>
      </c>
      <c r="E1584" s="229" t="s">
        <v>818</v>
      </c>
      <c r="F1584" s="229">
        <v>2020</v>
      </c>
      <c r="G1584">
        <v>3</v>
      </c>
      <c r="H1584" t="s">
        <v>820</v>
      </c>
    </row>
    <row r="1585" spans="1:8">
      <c r="A1585" s="229" t="s">
        <v>1611</v>
      </c>
      <c r="D1585" s="229">
        <v>12010513</v>
      </c>
      <c r="E1585" s="229" t="s">
        <v>818</v>
      </c>
      <c r="F1585" s="229">
        <v>2020</v>
      </c>
      <c r="G1585">
        <v>3</v>
      </c>
      <c r="H1585" t="s">
        <v>820</v>
      </c>
    </row>
    <row r="1586" spans="1:8">
      <c r="A1586" s="229" t="s">
        <v>1611</v>
      </c>
      <c r="C1586" s="229">
        <v>600</v>
      </c>
      <c r="D1586" s="229">
        <v>12010513</v>
      </c>
      <c r="E1586" s="229" t="s">
        <v>818</v>
      </c>
      <c r="F1586" s="229">
        <v>2020</v>
      </c>
      <c r="G1586">
        <v>3</v>
      </c>
      <c r="H1586" t="s">
        <v>820</v>
      </c>
    </row>
    <row r="1587" spans="1:8">
      <c r="A1587" s="229" t="s">
        <v>1613</v>
      </c>
      <c r="C1587" s="229">
        <v>395</v>
      </c>
      <c r="D1587" s="229">
        <v>12010513</v>
      </c>
      <c r="E1587" s="229" t="s">
        <v>818</v>
      </c>
      <c r="F1587" s="229">
        <v>2020</v>
      </c>
      <c r="G1587">
        <v>3</v>
      </c>
      <c r="H1587" t="s">
        <v>820</v>
      </c>
    </row>
    <row r="1588" spans="1:8">
      <c r="A1588" s="229" t="s">
        <v>1613</v>
      </c>
      <c r="C1588" s="229">
        <v>495</v>
      </c>
      <c r="D1588" s="229">
        <v>12010513</v>
      </c>
      <c r="E1588" s="229" t="s">
        <v>818</v>
      </c>
      <c r="F1588" s="229">
        <v>2020</v>
      </c>
      <c r="G1588">
        <v>3</v>
      </c>
      <c r="H1588" t="s">
        <v>820</v>
      </c>
    </row>
    <row r="1589" spans="1:8">
      <c r="A1589" s="229" t="s">
        <v>1613</v>
      </c>
      <c r="C1589" s="229">
        <v>395</v>
      </c>
      <c r="D1589" s="229">
        <v>12010513</v>
      </c>
      <c r="E1589" s="229" t="s">
        <v>818</v>
      </c>
      <c r="F1589" s="229">
        <v>2020</v>
      </c>
      <c r="G1589">
        <v>3</v>
      </c>
      <c r="H1589" t="s">
        <v>820</v>
      </c>
    </row>
    <row r="1590" spans="1:8">
      <c r="A1590" s="229" t="s">
        <v>1613</v>
      </c>
      <c r="C1590" s="229">
        <v>395</v>
      </c>
      <c r="D1590" s="229">
        <v>12010513</v>
      </c>
      <c r="E1590" s="229" t="s">
        <v>818</v>
      </c>
      <c r="F1590" s="229">
        <v>2020</v>
      </c>
      <c r="G1590">
        <v>3</v>
      </c>
      <c r="H1590" t="s">
        <v>820</v>
      </c>
    </row>
    <row r="1591" spans="1:8">
      <c r="A1591" s="229" t="s">
        <v>1686</v>
      </c>
      <c r="C1591" s="229">
        <v>651.41</v>
      </c>
      <c r="D1591" s="229">
        <v>12010513</v>
      </c>
      <c r="E1591" s="229" t="s">
        <v>818</v>
      </c>
      <c r="F1591" s="229">
        <v>2020</v>
      </c>
      <c r="G1591">
        <v>3</v>
      </c>
      <c r="H1591" t="s">
        <v>820</v>
      </c>
    </row>
    <row r="1592" spans="1:8">
      <c r="A1592" s="229" t="s">
        <v>1686</v>
      </c>
      <c r="C1592" s="229">
        <v>630.03</v>
      </c>
      <c r="D1592" s="229">
        <v>12010513</v>
      </c>
      <c r="E1592" s="229" t="s">
        <v>818</v>
      </c>
      <c r="F1592" s="229">
        <v>2020</v>
      </c>
      <c r="G1592">
        <v>3</v>
      </c>
      <c r="H1592" t="s">
        <v>820</v>
      </c>
    </row>
    <row r="1593" spans="1:8">
      <c r="A1593" s="229" t="s">
        <v>1686</v>
      </c>
      <c r="C1593" s="229">
        <v>640.9</v>
      </c>
      <c r="D1593" s="229">
        <v>12010513</v>
      </c>
      <c r="E1593" s="229" t="s">
        <v>818</v>
      </c>
      <c r="F1593" s="229">
        <v>2020</v>
      </c>
      <c r="G1593">
        <v>3</v>
      </c>
      <c r="H1593" t="s">
        <v>820</v>
      </c>
    </row>
    <row r="1594" spans="1:8">
      <c r="A1594" s="229" t="s">
        <v>1618</v>
      </c>
      <c r="C1594" s="229">
        <v>-180.15</v>
      </c>
      <c r="D1594" s="229">
        <v>12010513</v>
      </c>
      <c r="E1594" s="229" t="s">
        <v>818</v>
      </c>
      <c r="F1594" s="229">
        <v>2020</v>
      </c>
      <c r="G1594">
        <v>3</v>
      </c>
      <c r="H1594" t="s">
        <v>820</v>
      </c>
    </row>
    <row r="1595" spans="1:8">
      <c r="A1595" s="229" t="s">
        <v>1618</v>
      </c>
      <c r="C1595" s="229">
        <v>360.31</v>
      </c>
      <c r="D1595" s="229">
        <v>12010513</v>
      </c>
      <c r="E1595" s="229" t="s">
        <v>818</v>
      </c>
      <c r="F1595" s="229">
        <v>2020</v>
      </c>
      <c r="G1595">
        <v>3</v>
      </c>
      <c r="H1595" t="s">
        <v>820</v>
      </c>
    </row>
    <row r="1596" spans="1:8">
      <c r="A1596" s="229" t="s">
        <v>1618</v>
      </c>
      <c r="C1596" s="229">
        <v>-274.22000000000003</v>
      </c>
      <c r="D1596" s="229">
        <v>12010513</v>
      </c>
      <c r="E1596" s="229" t="s">
        <v>818</v>
      </c>
      <c r="F1596" s="229">
        <v>2020</v>
      </c>
      <c r="G1596">
        <v>3</v>
      </c>
      <c r="H1596" t="s">
        <v>820</v>
      </c>
    </row>
    <row r="1597" spans="1:8">
      <c r="A1597" s="229" t="s">
        <v>1618</v>
      </c>
      <c r="C1597" s="229">
        <v>548.45000000000005</v>
      </c>
      <c r="D1597" s="229">
        <v>12010513</v>
      </c>
      <c r="E1597" s="229" t="s">
        <v>818</v>
      </c>
      <c r="F1597" s="229">
        <v>2020</v>
      </c>
      <c r="G1597">
        <v>3</v>
      </c>
      <c r="H1597" t="s">
        <v>820</v>
      </c>
    </row>
    <row r="1598" spans="1:8">
      <c r="A1598" s="229" t="s">
        <v>1618</v>
      </c>
      <c r="C1598" s="229">
        <v>-340.91</v>
      </c>
      <c r="D1598" s="229">
        <v>12010513</v>
      </c>
      <c r="E1598" s="229" t="s">
        <v>818</v>
      </c>
      <c r="F1598" s="229">
        <v>2020</v>
      </c>
      <c r="G1598">
        <v>3</v>
      </c>
      <c r="H1598" t="s">
        <v>820</v>
      </c>
    </row>
    <row r="1599" spans="1:8">
      <c r="A1599" s="229" t="s">
        <v>1618</v>
      </c>
      <c r="C1599" s="229">
        <v>681.81</v>
      </c>
      <c r="D1599" s="229">
        <v>12010513</v>
      </c>
      <c r="E1599" s="229" t="s">
        <v>818</v>
      </c>
      <c r="F1599" s="229">
        <v>2020</v>
      </c>
      <c r="G1599">
        <v>3</v>
      </c>
      <c r="H1599" t="s">
        <v>820</v>
      </c>
    </row>
    <row r="1600" spans="1:8">
      <c r="A1600" s="229" t="s">
        <v>1619</v>
      </c>
      <c r="C1600" s="229">
        <v>31.64</v>
      </c>
      <c r="D1600" s="229">
        <v>12010513</v>
      </c>
      <c r="E1600" s="229" t="s">
        <v>818</v>
      </c>
      <c r="F1600" s="229">
        <v>2020</v>
      </c>
      <c r="G1600">
        <v>3</v>
      </c>
      <c r="H1600" t="s">
        <v>820</v>
      </c>
    </row>
    <row r="1601" spans="1:8">
      <c r="A1601" s="229" t="s">
        <v>1619</v>
      </c>
      <c r="C1601" s="229">
        <v>48.16</v>
      </c>
      <c r="D1601" s="229">
        <v>12010513</v>
      </c>
      <c r="E1601" s="229" t="s">
        <v>818</v>
      </c>
      <c r="F1601" s="229">
        <v>2020</v>
      </c>
      <c r="G1601">
        <v>3</v>
      </c>
      <c r="H1601" t="s">
        <v>820</v>
      </c>
    </row>
    <row r="1602" spans="1:8">
      <c r="A1602" s="229" t="s">
        <v>1619</v>
      </c>
      <c r="C1602" s="229">
        <v>59.88</v>
      </c>
      <c r="D1602" s="229">
        <v>12010513</v>
      </c>
      <c r="E1602" s="229" t="s">
        <v>818</v>
      </c>
      <c r="F1602" s="229">
        <v>2020</v>
      </c>
      <c r="G1602">
        <v>3</v>
      </c>
      <c r="H1602" t="s">
        <v>820</v>
      </c>
    </row>
    <row r="1603" spans="1:8">
      <c r="A1603" s="229" t="s">
        <v>1620</v>
      </c>
      <c r="C1603" s="229">
        <v>180.15</v>
      </c>
      <c r="D1603" s="229">
        <v>12010513</v>
      </c>
      <c r="E1603" s="229" t="s">
        <v>818</v>
      </c>
      <c r="F1603" s="229">
        <v>2020</v>
      </c>
      <c r="G1603">
        <v>3</v>
      </c>
      <c r="H1603" t="s">
        <v>820</v>
      </c>
    </row>
    <row r="1604" spans="1:8">
      <c r="A1604" s="229" t="s">
        <v>1620</v>
      </c>
      <c r="C1604" s="229">
        <v>274.22000000000003</v>
      </c>
      <c r="D1604" s="229">
        <v>12010513</v>
      </c>
      <c r="E1604" s="229" t="s">
        <v>818</v>
      </c>
      <c r="F1604" s="229">
        <v>2020</v>
      </c>
      <c r="G1604">
        <v>3</v>
      </c>
      <c r="H1604" t="s">
        <v>820</v>
      </c>
    </row>
    <row r="1605" spans="1:8">
      <c r="A1605" s="229" t="s">
        <v>1620</v>
      </c>
      <c r="C1605" s="229">
        <v>340.91</v>
      </c>
      <c r="D1605" s="229">
        <v>12010513</v>
      </c>
      <c r="E1605" s="229" t="s">
        <v>818</v>
      </c>
      <c r="F1605" s="229">
        <v>2020</v>
      </c>
      <c r="G1605">
        <v>3</v>
      </c>
      <c r="H1605" t="s">
        <v>820</v>
      </c>
    </row>
    <row r="1606" spans="1:8">
      <c r="A1606" s="229" t="s">
        <v>1587</v>
      </c>
      <c r="C1606" s="229">
        <v>3727.5</v>
      </c>
      <c r="D1606" s="229">
        <v>12010513</v>
      </c>
      <c r="E1606" s="229" t="s">
        <v>818</v>
      </c>
      <c r="F1606" s="229">
        <v>2020</v>
      </c>
      <c r="G1606">
        <v>4</v>
      </c>
      <c r="H1606" t="s">
        <v>820</v>
      </c>
    </row>
    <row r="1607" spans="1:8">
      <c r="A1607" s="229" t="s">
        <v>1587</v>
      </c>
      <c r="C1607" s="229">
        <v>180</v>
      </c>
      <c r="D1607" s="229">
        <v>12010513</v>
      </c>
      <c r="E1607" s="229" t="s">
        <v>818</v>
      </c>
      <c r="F1607" s="229">
        <v>2020</v>
      </c>
      <c r="G1607">
        <v>4</v>
      </c>
      <c r="H1607" t="s">
        <v>820</v>
      </c>
    </row>
    <row r="1608" spans="1:8">
      <c r="A1608" s="229" t="s">
        <v>1587</v>
      </c>
      <c r="C1608" s="229">
        <v>360</v>
      </c>
      <c r="D1608" s="229">
        <v>12010513</v>
      </c>
      <c r="E1608" s="229" t="s">
        <v>818</v>
      </c>
      <c r="F1608" s="229">
        <v>2020</v>
      </c>
      <c r="G1608">
        <v>4</v>
      </c>
      <c r="H1608" t="s">
        <v>820</v>
      </c>
    </row>
    <row r="1609" spans="1:8">
      <c r="A1609" s="229" t="s">
        <v>1587</v>
      </c>
      <c r="C1609" s="229">
        <v>360</v>
      </c>
      <c r="D1609" s="229">
        <v>12010513</v>
      </c>
      <c r="E1609" s="229" t="s">
        <v>818</v>
      </c>
      <c r="F1609" s="229">
        <v>2020</v>
      </c>
      <c r="G1609">
        <v>4</v>
      </c>
      <c r="H1609" t="s">
        <v>820</v>
      </c>
    </row>
    <row r="1610" spans="1:8">
      <c r="A1610" s="229" t="s">
        <v>1587</v>
      </c>
      <c r="C1610" s="229">
        <v>360</v>
      </c>
      <c r="D1610" s="229">
        <v>12010513</v>
      </c>
      <c r="E1610" s="229" t="s">
        <v>818</v>
      </c>
      <c r="F1610" s="229">
        <v>2020</v>
      </c>
      <c r="G1610">
        <v>4</v>
      </c>
      <c r="H1610" t="s">
        <v>820</v>
      </c>
    </row>
    <row r="1611" spans="1:8">
      <c r="A1611" s="229" t="s">
        <v>1587</v>
      </c>
      <c r="C1611" s="229">
        <v>360</v>
      </c>
      <c r="D1611" s="229">
        <v>12010513</v>
      </c>
      <c r="E1611" s="229" t="s">
        <v>818</v>
      </c>
      <c r="F1611" s="229">
        <v>2020</v>
      </c>
      <c r="G1611">
        <v>4</v>
      </c>
      <c r="H1611" t="s">
        <v>820</v>
      </c>
    </row>
    <row r="1612" spans="1:8">
      <c r="A1612" s="229" t="s">
        <v>1587</v>
      </c>
      <c r="C1612" s="229">
        <v>180</v>
      </c>
      <c r="D1612" s="229">
        <v>12010513</v>
      </c>
      <c r="E1612" s="229" t="s">
        <v>818</v>
      </c>
      <c r="F1612" s="229">
        <v>2020</v>
      </c>
      <c r="G1612">
        <v>4</v>
      </c>
      <c r="H1612" t="s">
        <v>820</v>
      </c>
    </row>
    <row r="1613" spans="1:8">
      <c r="A1613" s="229" t="s">
        <v>1587</v>
      </c>
      <c r="C1613" s="229">
        <v>462</v>
      </c>
      <c r="D1613" s="229">
        <v>12010513</v>
      </c>
      <c r="E1613" s="229" t="s">
        <v>818</v>
      </c>
      <c r="F1613" s="229">
        <v>2020</v>
      </c>
      <c r="G1613">
        <v>4</v>
      </c>
      <c r="H1613" t="s">
        <v>820</v>
      </c>
    </row>
    <row r="1614" spans="1:8">
      <c r="A1614" s="229" t="s">
        <v>1587</v>
      </c>
      <c r="C1614" s="229">
        <v>360</v>
      </c>
      <c r="D1614" s="229">
        <v>12010513</v>
      </c>
      <c r="E1614" s="229" t="s">
        <v>818</v>
      </c>
      <c r="F1614" s="229">
        <v>2020</v>
      </c>
      <c r="G1614">
        <v>4</v>
      </c>
      <c r="H1614" t="s">
        <v>820</v>
      </c>
    </row>
    <row r="1615" spans="1:8">
      <c r="A1615" s="229" t="s">
        <v>1587</v>
      </c>
      <c r="C1615" s="229">
        <v>828</v>
      </c>
      <c r="D1615" s="229">
        <v>12010513</v>
      </c>
      <c r="E1615" s="229" t="s">
        <v>818</v>
      </c>
      <c r="F1615" s="229">
        <v>2020</v>
      </c>
      <c r="G1615">
        <v>4</v>
      </c>
      <c r="H1615" t="s">
        <v>820</v>
      </c>
    </row>
    <row r="1616" spans="1:8">
      <c r="A1616" s="229" t="s">
        <v>1587</v>
      </c>
      <c r="C1616" s="229">
        <v>435</v>
      </c>
      <c r="D1616" s="229">
        <v>12010513</v>
      </c>
      <c r="E1616" s="229" t="s">
        <v>818</v>
      </c>
      <c r="F1616" s="229">
        <v>2020</v>
      </c>
      <c r="G1616">
        <v>4</v>
      </c>
      <c r="H1616" t="s">
        <v>820</v>
      </c>
    </row>
    <row r="1617" spans="1:8">
      <c r="A1617" s="229" t="s">
        <v>1587</v>
      </c>
      <c r="C1617" s="229">
        <v>488.41</v>
      </c>
      <c r="D1617" s="229">
        <v>12010513</v>
      </c>
      <c r="E1617" s="229" t="s">
        <v>818</v>
      </c>
      <c r="F1617" s="229">
        <v>2020</v>
      </c>
      <c r="G1617">
        <v>4</v>
      </c>
      <c r="H1617" t="s">
        <v>820</v>
      </c>
    </row>
    <row r="1618" spans="1:8">
      <c r="A1618" s="229" t="s">
        <v>1587</v>
      </c>
      <c r="C1618" s="229">
        <v>396</v>
      </c>
      <c r="D1618" s="229">
        <v>12010513</v>
      </c>
      <c r="E1618" s="229" t="s">
        <v>818</v>
      </c>
      <c r="F1618" s="229">
        <v>2020</v>
      </c>
      <c r="G1618">
        <v>4</v>
      </c>
      <c r="H1618" t="s">
        <v>820</v>
      </c>
    </row>
    <row r="1619" spans="1:8">
      <c r="A1619" s="229" t="s">
        <v>1587</v>
      </c>
      <c r="C1619" s="229">
        <v>447</v>
      </c>
      <c r="D1619" s="229">
        <v>12010513</v>
      </c>
      <c r="E1619" s="229" t="s">
        <v>818</v>
      </c>
      <c r="F1619" s="229">
        <v>2020</v>
      </c>
      <c r="G1619">
        <v>4</v>
      </c>
      <c r="H1619" t="s">
        <v>820</v>
      </c>
    </row>
    <row r="1620" spans="1:8">
      <c r="A1620" s="229" t="s">
        <v>1587</v>
      </c>
      <c r="C1620" s="229">
        <v>360</v>
      </c>
      <c r="D1620" s="229">
        <v>12010513</v>
      </c>
      <c r="E1620" s="229" t="s">
        <v>818</v>
      </c>
      <c r="F1620" s="229">
        <v>2020</v>
      </c>
      <c r="G1620">
        <v>4</v>
      </c>
      <c r="H1620" t="s">
        <v>820</v>
      </c>
    </row>
    <row r="1621" spans="1:8">
      <c r="A1621" s="229" t="s">
        <v>1587</v>
      </c>
      <c r="C1621" s="229">
        <v>735</v>
      </c>
      <c r="D1621" s="229">
        <v>12010513</v>
      </c>
      <c r="E1621" s="229" t="s">
        <v>818</v>
      </c>
      <c r="F1621" s="229">
        <v>2020</v>
      </c>
      <c r="G1621">
        <v>4</v>
      </c>
      <c r="H1621" t="s">
        <v>820</v>
      </c>
    </row>
    <row r="1622" spans="1:8">
      <c r="A1622" s="229" t="s">
        <v>1587</v>
      </c>
      <c r="C1622" s="229">
        <v>168</v>
      </c>
      <c r="D1622" s="229">
        <v>12010513</v>
      </c>
      <c r="E1622" s="229" t="s">
        <v>818</v>
      </c>
      <c r="F1622" s="229">
        <v>2020</v>
      </c>
      <c r="G1622">
        <v>4</v>
      </c>
      <c r="H1622" t="s">
        <v>820</v>
      </c>
    </row>
    <row r="1623" spans="1:8">
      <c r="A1623" s="229" t="s">
        <v>1587</v>
      </c>
      <c r="C1623" s="229">
        <v>516</v>
      </c>
      <c r="D1623" s="229">
        <v>12010513</v>
      </c>
      <c r="E1623" s="229" t="s">
        <v>818</v>
      </c>
      <c r="F1623" s="229">
        <v>2020</v>
      </c>
      <c r="G1623">
        <v>4</v>
      </c>
      <c r="H1623" t="s">
        <v>820</v>
      </c>
    </row>
    <row r="1624" spans="1:8">
      <c r="A1624" s="229" t="s">
        <v>1587</v>
      </c>
      <c r="C1624" s="229">
        <v>360</v>
      </c>
      <c r="D1624" s="229">
        <v>12010513</v>
      </c>
      <c r="E1624" s="229" t="s">
        <v>818</v>
      </c>
      <c r="F1624" s="229">
        <v>2020</v>
      </c>
      <c r="G1624">
        <v>4</v>
      </c>
      <c r="H1624" t="s">
        <v>820</v>
      </c>
    </row>
    <row r="1625" spans="1:8">
      <c r="A1625" s="229" t="s">
        <v>1587</v>
      </c>
      <c r="C1625" s="229">
        <v>180</v>
      </c>
      <c r="D1625" s="229">
        <v>12010513</v>
      </c>
      <c r="E1625" s="229" t="s">
        <v>818</v>
      </c>
      <c r="F1625" s="229">
        <v>2020</v>
      </c>
      <c r="G1625">
        <v>4</v>
      </c>
      <c r="H1625" t="s">
        <v>820</v>
      </c>
    </row>
    <row r="1626" spans="1:8">
      <c r="A1626" s="229" t="s">
        <v>1587</v>
      </c>
      <c r="C1626" s="229">
        <v>360</v>
      </c>
      <c r="D1626" s="229">
        <v>12010513</v>
      </c>
      <c r="E1626" s="229" t="s">
        <v>818</v>
      </c>
      <c r="F1626" s="229">
        <v>2020</v>
      </c>
      <c r="G1626">
        <v>4</v>
      </c>
      <c r="H1626" t="s">
        <v>820</v>
      </c>
    </row>
    <row r="1627" spans="1:8">
      <c r="A1627" s="229" t="s">
        <v>1587</v>
      </c>
      <c r="C1627" s="229">
        <v>360</v>
      </c>
      <c r="D1627" s="229">
        <v>12010513</v>
      </c>
      <c r="E1627" s="229" t="s">
        <v>818</v>
      </c>
      <c r="F1627" s="229">
        <v>2020</v>
      </c>
      <c r="G1627">
        <v>4</v>
      </c>
      <c r="H1627" t="s">
        <v>820</v>
      </c>
    </row>
    <row r="1628" spans="1:8">
      <c r="A1628" s="229" t="s">
        <v>1587</v>
      </c>
      <c r="C1628" s="229">
        <v>360</v>
      </c>
      <c r="D1628" s="229">
        <v>12010513</v>
      </c>
      <c r="E1628" s="229" t="s">
        <v>818</v>
      </c>
      <c r="F1628" s="229">
        <v>2020</v>
      </c>
      <c r="G1628">
        <v>4</v>
      </c>
      <c r="H1628" t="s">
        <v>820</v>
      </c>
    </row>
    <row r="1629" spans="1:8">
      <c r="A1629" s="229" t="s">
        <v>1587</v>
      </c>
      <c r="C1629" s="229">
        <v>444</v>
      </c>
      <c r="D1629" s="229">
        <v>12010513</v>
      </c>
      <c r="E1629" s="229" t="s">
        <v>818</v>
      </c>
      <c r="F1629" s="229">
        <v>2020</v>
      </c>
      <c r="G1629">
        <v>4</v>
      </c>
      <c r="H1629" t="s">
        <v>820</v>
      </c>
    </row>
    <row r="1630" spans="1:8">
      <c r="A1630" s="229" t="s">
        <v>1587</v>
      </c>
      <c r="C1630" s="229">
        <v>528</v>
      </c>
      <c r="D1630" s="229">
        <v>12010513</v>
      </c>
      <c r="E1630" s="229" t="s">
        <v>818</v>
      </c>
      <c r="F1630" s="229">
        <v>2020</v>
      </c>
      <c r="G1630">
        <v>4</v>
      </c>
      <c r="H1630" t="s">
        <v>820</v>
      </c>
    </row>
    <row r="1631" spans="1:8">
      <c r="A1631" s="229" t="s">
        <v>1587</v>
      </c>
      <c r="C1631" s="229">
        <v>462</v>
      </c>
      <c r="D1631" s="229">
        <v>12010513</v>
      </c>
      <c r="E1631" s="229" t="s">
        <v>818</v>
      </c>
      <c r="F1631" s="229">
        <v>2020</v>
      </c>
      <c r="G1631">
        <v>4</v>
      </c>
      <c r="H1631" t="s">
        <v>820</v>
      </c>
    </row>
    <row r="1632" spans="1:8">
      <c r="A1632" s="229" t="s">
        <v>1587</v>
      </c>
      <c r="C1632" s="229">
        <v>456</v>
      </c>
      <c r="D1632" s="229">
        <v>12010513</v>
      </c>
      <c r="E1632" s="229" t="s">
        <v>818</v>
      </c>
      <c r="F1632" s="229">
        <v>2020</v>
      </c>
      <c r="G1632">
        <v>4</v>
      </c>
      <c r="H1632" t="s">
        <v>820</v>
      </c>
    </row>
    <row r="1633" spans="1:8">
      <c r="A1633" s="229" t="s">
        <v>1587</v>
      </c>
      <c r="C1633" s="229">
        <v>480</v>
      </c>
      <c r="D1633" s="229">
        <v>12010513</v>
      </c>
      <c r="E1633" s="229" t="s">
        <v>818</v>
      </c>
      <c r="F1633" s="229">
        <v>2020</v>
      </c>
      <c r="G1633">
        <v>4</v>
      </c>
      <c r="H1633" t="s">
        <v>820</v>
      </c>
    </row>
    <row r="1634" spans="1:8">
      <c r="A1634" s="229" t="s">
        <v>1587</v>
      </c>
      <c r="C1634" s="229">
        <v>456</v>
      </c>
      <c r="D1634" s="229">
        <v>12010513</v>
      </c>
      <c r="E1634" s="229" t="s">
        <v>818</v>
      </c>
      <c r="F1634" s="229">
        <v>2020</v>
      </c>
      <c r="G1634">
        <v>4</v>
      </c>
      <c r="H1634" t="s">
        <v>820</v>
      </c>
    </row>
    <row r="1635" spans="1:8">
      <c r="A1635" s="229" t="s">
        <v>1587</v>
      </c>
      <c r="C1635" s="229">
        <v>486</v>
      </c>
      <c r="D1635" s="229">
        <v>12010513</v>
      </c>
      <c r="E1635" s="229" t="s">
        <v>818</v>
      </c>
      <c r="F1635" s="229">
        <v>2020</v>
      </c>
      <c r="G1635">
        <v>4</v>
      </c>
      <c r="H1635" t="s">
        <v>820</v>
      </c>
    </row>
    <row r="1636" spans="1:8">
      <c r="A1636" s="229" t="s">
        <v>1587</v>
      </c>
      <c r="C1636" s="229">
        <v>324</v>
      </c>
      <c r="D1636" s="229">
        <v>12010513</v>
      </c>
      <c r="E1636" s="229" t="s">
        <v>818</v>
      </c>
      <c r="F1636" s="229">
        <v>2020</v>
      </c>
      <c r="G1636">
        <v>4</v>
      </c>
      <c r="H1636" t="s">
        <v>820</v>
      </c>
    </row>
    <row r="1637" spans="1:8">
      <c r="A1637" s="229" t="s">
        <v>1587</v>
      </c>
      <c r="C1637" s="229">
        <v>360</v>
      </c>
      <c r="D1637" s="229">
        <v>12010513</v>
      </c>
      <c r="E1637" s="229" t="s">
        <v>818</v>
      </c>
      <c r="F1637" s="229">
        <v>2020</v>
      </c>
      <c r="G1637">
        <v>4</v>
      </c>
      <c r="H1637" t="s">
        <v>820</v>
      </c>
    </row>
    <row r="1638" spans="1:8">
      <c r="A1638" s="229" t="s">
        <v>1587</v>
      </c>
      <c r="C1638" s="229">
        <v>360</v>
      </c>
      <c r="D1638" s="229">
        <v>12010513</v>
      </c>
      <c r="E1638" s="229" t="s">
        <v>818</v>
      </c>
      <c r="F1638" s="229">
        <v>2020</v>
      </c>
      <c r="G1638">
        <v>4</v>
      </c>
      <c r="H1638" t="s">
        <v>820</v>
      </c>
    </row>
    <row r="1639" spans="1:8">
      <c r="A1639" s="229" t="s">
        <v>1587</v>
      </c>
      <c r="C1639" s="229">
        <v>360</v>
      </c>
      <c r="D1639" s="229">
        <v>12010513</v>
      </c>
      <c r="E1639" s="229" t="s">
        <v>818</v>
      </c>
      <c r="F1639" s="229">
        <v>2020</v>
      </c>
      <c r="G1639">
        <v>4</v>
      </c>
      <c r="H1639" t="s">
        <v>820</v>
      </c>
    </row>
    <row r="1640" spans="1:8">
      <c r="A1640" s="229" t="s">
        <v>1587</v>
      </c>
      <c r="C1640" s="229">
        <v>360</v>
      </c>
      <c r="D1640" s="229">
        <v>12010513</v>
      </c>
      <c r="E1640" s="229" t="s">
        <v>818</v>
      </c>
      <c r="F1640" s="229">
        <v>2020</v>
      </c>
      <c r="G1640">
        <v>4</v>
      </c>
      <c r="H1640" t="s">
        <v>820</v>
      </c>
    </row>
    <row r="1641" spans="1:8">
      <c r="A1641" s="229" t="s">
        <v>1587</v>
      </c>
      <c r="C1641" s="229">
        <v>360</v>
      </c>
      <c r="D1641" s="229">
        <v>12010513</v>
      </c>
      <c r="E1641" s="229" t="s">
        <v>818</v>
      </c>
      <c r="F1641" s="229">
        <v>2020</v>
      </c>
      <c r="G1641">
        <v>4</v>
      </c>
      <c r="H1641" t="s">
        <v>820</v>
      </c>
    </row>
    <row r="1642" spans="1:8">
      <c r="A1642" s="229" t="s">
        <v>1587</v>
      </c>
      <c r="C1642" s="229">
        <v>360</v>
      </c>
      <c r="D1642" s="229">
        <v>12010513</v>
      </c>
      <c r="E1642" s="229" t="s">
        <v>818</v>
      </c>
      <c r="F1642" s="229">
        <v>2020</v>
      </c>
      <c r="G1642">
        <v>4</v>
      </c>
      <c r="H1642" t="s">
        <v>820</v>
      </c>
    </row>
    <row r="1643" spans="1:8">
      <c r="A1643" s="229" t="s">
        <v>1587</v>
      </c>
      <c r="C1643" s="229">
        <v>360</v>
      </c>
      <c r="D1643" s="229">
        <v>12010513</v>
      </c>
      <c r="E1643" s="229" t="s">
        <v>818</v>
      </c>
      <c r="F1643" s="229">
        <v>2020</v>
      </c>
      <c r="G1643">
        <v>4</v>
      </c>
      <c r="H1643" t="s">
        <v>820</v>
      </c>
    </row>
    <row r="1644" spans="1:8">
      <c r="A1644" s="229" t="s">
        <v>1587</v>
      </c>
      <c r="C1644" s="229">
        <v>252</v>
      </c>
      <c r="D1644" s="229">
        <v>12010513</v>
      </c>
      <c r="E1644" s="229" t="s">
        <v>818</v>
      </c>
      <c r="F1644" s="229">
        <v>2020</v>
      </c>
      <c r="G1644">
        <v>4</v>
      </c>
      <c r="H1644" t="s">
        <v>820</v>
      </c>
    </row>
    <row r="1645" spans="1:8">
      <c r="A1645" s="229" t="s">
        <v>1587</v>
      </c>
      <c r="C1645" s="229">
        <v>252</v>
      </c>
      <c r="D1645" s="229">
        <v>12010513</v>
      </c>
      <c r="E1645" s="229" t="s">
        <v>818</v>
      </c>
      <c r="F1645" s="229">
        <v>2020</v>
      </c>
      <c r="G1645">
        <v>4</v>
      </c>
      <c r="H1645" t="s">
        <v>820</v>
      </c>
    </row>
    <row r="1646" spans="1:8">
      <c r="A1646" s="229" t="s">
        <v>1587</v>
      </c>
      <c r="C1646" s="229">
        <v>288</v>
      </c>
      <c r="D1646" s="229">
        <v>12010513</v>
      </c>
      <c r="E1646" s="229" t="s">
        <v>818</v>
      </c>
      <c r="F1646" s="229">
        <v>2020</v>
      </c>
      <c r="G1646">
        <v>4</v>
      </c>
      <c r="H1646" t="s">
        <v>820</v>
      </c>
    </row>
    <row r="1647" spans="1:8">
      <c r="A1647" s="229" t="s">
        <v>1587</v>
      </c>
      <c r="C1647" s="229">
        <v>282</v>
      </c>
      <c r="D1647" s="229">
        <v>12010513</v>
      </c>
      <c r="E1647" s="229" t="s">
        <v>818</v>
      </c>
      <c r="F1647" s="229">
        <v>2020</v>
      </c>
      <c r="G1647">
        <v>4</v>
      </c>
      <c r="H1647" t="s">
        <v>820</v>
      </c>
    </row>
    <row r="1648" spans="1:8">
      <c r="A1648" s="229" t="s">
        <v>1587</v>
      </c>
      <c r="C1648" s="229">
        <v>600</v>
      </c>
      <c r="D1648" s="229">
        <v>12010513</v>
      </c>
      <c r="E1648" s="229" t="s">
        <v>818</v>
      </c>
      <c r="F1648" s="229">
        <v>2020</v>
      </c>
      <c r="G1648">
        <v>4</v>
      </c>
      <c r="H1648" t="s">
        <v>820</v>
      </c>
    </row>
    <row r="1649" spans="1:8">
      <c r="A1649" s="229" t="s">
        <v>1587</v>
      </c>
      <c r="C1649" s="229">
        <v>360</v>
      </c>
      <c r="D1649" s="229">
        <v>12010513</v>
      </c>
      <c r="E1649" s="229" t="s">
        <v>818</v>
      </c>
      <c r="F1649" s="229">
        <v>2020</v>
      </c>
      <c r="G1649">
        <v>4</v>
      </c>
      <c r="H1649" t="s">
        <v>820</v>
      </c>
    </row>
    <row r="1650" spans="1:8">
      <c r="A1650" s="229" t="s">
        <v>1587</v>
      </c>
      <c r="C1650" s="229">
        <v>480</v>
      </c>
      <c r="D1650" s="229">
        <v>12010513</v>
      </c>
      <c r="E1650" s="229" t="s">
        <v>818</v>
      </c>
      <c r="F1650" s="229">
        <v>2020</v>
      </c>
      <c r="G1650">
        <v>4</v>
      </c>
      <c r="H1650" t="s">
        <v>820</v>
      </c>
    </row>
    <row r="1651" spans="1:8">
      <c r="A1651" s="229" t="s">
        <v>1587</v>
      </c>
      <c r="C1651" s="229">
        <v>480</v>
      </c>
      <c r="D1651" s="229">
        <v>12010513</v>
      </c>
      <c r="E1651" s="229" t="s">
        <v>818</v>
      </c>
      <c r="F1651" s="229">
        <v>2020</v>
      </c>
      <c r="G1651">
        <v>4</v>
      </c>
      <c r="H1651" t="s">
        <v>820</v>
      </c>
    </row>
    <row r="1652" spans="1:8">
      <c r="A1652" s="229" t="s">
        <v>1587</v>
      </c>
      <c r="C1652" s="229">
        <v>480</v>
      </c>
      <c r="D1652" s="229">
        <v>12010513</v>
      </c>
      <c r="E1652" s="229" t="s">
        <v>818</v>
      </c>
      <c r="F1652" s="229">
        <v>2020</v>
      </c>
      <c r="G1652">
        <v>4</v>
      </c>
      <c r="H1652" t="s">
        <v>820</v>
      </c>
    </row>
    <row r="1653" spans="1:8">
      <c r="A1653" s="229" t="s">
        <v>1587</v>
      </c>
      <c r="C1653" s="229">
        <v>480</v>
      </c>
      <c r="D1653" s="229">
        <v>12010513</v>
      </c>
      <c r="E1653" s="229" t="s">
        <v>818</v>
      </c>
      <c r="F1653" s="229">
        <v>2020</v>
      </c>
      <c r="G1653">
        <v>4</v>
      </c>
      <c r="H1653" t="s">
        <v>820</v>
      </c>
    </row>
    <row r="1654" spans="1:8">
      <c r="A1654" s="229" t="s">
        <v>1587</v>
      </c>
      <c r="C1654" s="229">
        <v>480</v>
      </c>
      <c r="D1654" s="229">
        <v>12010513</v>
      </c>
      <c r="E1654" s="229" t="s">
        <v>818</v>
      </c>
      <c r="F1654" s="229">
        <v>2020</v>
      </c>
      <c r="G1654">
        <v>4</v>
      </c>
      <c r="H1654" t="s">
        <v>820</v>
      </c>
    </row>
    <row r="1655" spans="1:8">
      <c r="A1655" s="229" t="s">
        <v>1587</v>
      </c>
      <c r="C1655" s="229">
        <v>360</v>
      </c>
      <c r="D1655" s="229">
        <v>12010513</v>
      </c>
      <c r="E1655" s="229" t="s">
        <v>818</v>
      </c>
      <c r="F1655" s="229">
        <v>2020</v>
      </c>
      <c r="G1655">
        <v>4</v>
      </c>
      <c r="H1655" t="s">
        <v>820</v>
      </c>
    </row>
    <row r="1656" spans="1:8">
      <c r="A1656" s="229" t="s">
        <v>1587</v>
      </c>
      <c r="C1656" s="229">
        <v>360</v>
      </c>
      <c r="D1656" s="229">
        <v>12010513</v>
      </c>
      <c r="E1656" s="229" t="s">
        <v>818</v>
      </c>
      <c r="F1656" s="229">
        <v>2020</v>
      </c>
      <c r="G1656">
        <v>4</v>
      </c>
      <c r="H1656" t="s">
        <v>820</v>
      </c>
    </row>
    <row r="1657" spans="1:8">
      <c r="A1657" s="229" t="s">
        <v>1587</v>
      </c>
      <c r="C1657" s="229">
        <v>360</v>
      </c>
      <c r="D1657" s="229">
        <v>12010513</v>
      </c>
      <c r="E1657" s="229" t="s">
        <v>818</v>
      </c>
      <c r="F1657" s="229">
        <v>2020</v>
      </c>
      <c r="G1657">
        <v>4</v>
      </c>
      <c r="H1657" t="s">
        <v>820</v>
      </c>
    </row>
    <row r="1658" spans="1:8">
      <c r="A1658" s="229" t="s">
        <v>1587</v>
      </c>
      <c r="C1658" s="229">
        <v>360</v>
      </c>
      <c r="D1658" s="229">
        <v>12010513</v>
      </c>
      <c r="E1658" s="229" t="s">
        <v>818</v>
      </c>
      <c r="F1658" s="229">
        <v>2020</v>
      </c>
      <c r="G1658">
        <v>4</v>
      </c>
      <c r="H1658" t="s">
        <v>820</v>
      </c>
    </row>
    <row r="1659" spans="1:8">
      <c r="A1659" s="229" t="s">
        <v>1587</v>
      </c>
      <c r="C1659" s="229">
        <v>360</v>
      </c>
      <c r="D1659" s="229">
        <v>12010513</v>
      </c>
      <c r="E1659" s="229" t="s">
        <v>818</v>
      </c>
      <c r="F1659" s="229">
        <v>2020</v>
      </c>
      <c r="G1659">
        <v>4</v>
      </c>
      <c r="H1659" t="s">
        <v>820</v>
      </c>
    </row>
    <row r="1660" spans="1:8">
      <c r="A1660" s="229" t="s">
        <v>1587</v>
      </c>
      <c r="C1660" s="229">
        <v>360</v>
      </c>
      <c r="D1660" s="229">
        <v>12010513</v>
      </c>
      <c r="E1660" s="229" t="s">
        <v>818</v>
      </c>
      <c r="F1660" s="229">
        <v>2020</v>
      </c>
      <c r="G1660">
        <v>4</v>
      </c>
      <c r="H1660" t="s">
        <v>820</v>
      </c>
    </row>
    <row r="1661" spans="1:8">
      <c r="A1661" s="229" t="s">
        <v>1587</v>
      </c>
      <c r="C1661" s="229">
        <v>360</v>
      </c>
      <c r="D1661" s="229">
        <v>12010513</v>
      </c>
      <c r="E1661" s="229" t="s">
        <v>818</v>
      </c>
      <c r="F1661" s="229">
        <v>2020</v>
      </c>
      <c r="G1661">
        <v>4</v>
      </c>
      <c r="H1661" t="s">
        <v>820</v>
      </c>
    </row>
    <row r="1662" spans="1:8">
      <c r="A1662" s="229" t="s">
        <v>1587</v>
      </c>
      <c r="C1662" s="229">
        <v>360</v>
      </c>
      <c r="D1662" s="229">
        <v>12010513</v>
      </c>
      <c r="E1662" s="229" t="s">
        <v>818</v>
      </c>
      <c r="F1662" s="229">
        <v>2020</v>
      </c>
      <c r="G1662">
        <v>4</v>
      </c>
      <c r="H1662" t="s">
        <v>820</v>
      </c>
    </row>
    <row r="1663" spans="1:8">
      <c r="A1663" s="229" t="s">
        <v>1587</v>
      </c>
      <c r="C1663" s="229">
        <v>360</v>
      </c>
      <c r="D1663" s="229">
        <v>12010513</v>
      </c>
      <c r="E1663" s="229" t="s">
        <v>818</v>
      </c>
      <c r="F1663" s="229">
        <v>2020</v>
      </c>
      <c r="G1663">
        <v>4</v>
      </c>
      <c r="H1663" t="s">
        <v>820</v>
      </c>
    </row>
    <row r="1664" spans="1:8">
      <c r="A1664" s="229" t="s">
        <v>1587</v>
      </c>
      <c r="C1664" s="229">
        <v>360</v>
      </c>
      <c r="D1664" s="229">
        <v>12010513</v>
      </c>
      <c r="E1664" s="229" t="s">
        <v>818</v>
      </c>
      <c r="F1664" s="229">
        <v>2020</v>
      </c>
      <c r="G1664">
        <v>4</v>
      </c>
      <c r="H1664" t="s">
        <v>820</v>
      </c>
    </row>
    <row r="1665" spans="1:8">
      <c r="A1665" s="229" t="s">
        <v>1587</v>
      </c>
      <c r="C1665" s="229">
        <v>360</v>
      </c>
      <c r="D1665" s="229">
        <v>12010513</v>
      </c>
      <c r="E1665" s="229" t="s">
        <v>818</v>
      </c>
      <c r="F1665" s="229">
        <v>2020</v>
      </c>
      <c r="G1665">
        <v>4</v>
      </c>
      <c r="H1665" t="s">
        <v>820</v>
      </c>
    </row>
    <row r="1666" spans="1:8">
      <c r="A1666" s="229" t="s">
        <v>1587</v>
      </c>
      <c r="C1666" s="229">
        <v>360</v>
      </c>
      <c r="D1666" s="229">
        <v>12010513</v>
      </c>
      <c r="E1666" s="229" t="s">
        <v>818</v>
      </c>
      <c r="F1666" s="229">
        <v>2020</v>
      </c>
      <c r="G1666">
        <v>4</v>
      </c>
      <c r="H1666" t="s">
        <v>820</v>
      </c>
    </row>
    <row r="1667" spans="1:8">
      <c r="A1667" s="229" t="s">
        <v>1587</v>
      </c>
      <c r="C1667" s="229">
        <v>360</v>
      </c>
      <c r="D1667" s="229">
        <v>12010513</v>
      </c>
      <c r="E1667" s="229" t="s">
        <v>818</v>
      </c>
      <c r="F1667" s="229">
        <v>2020</v>
      </c>
      <c r="G1667">
        <v>4</v>
      </c>
      <c r="H1667" t="s">
        <v>820</v>
      </c>
    </row>
    <row r="1668" spans="1:8">
      <c r="A1668" s="229" t="s">
        <v>1587</v>
      </c>
      <c r="C1668" s="229">
        <v>360</v>
      </c>
      <c r="D1668" s="229">
        <v>12010513</v>
      </c>
      <c r="E1668" s="229" t="s">
        <v>818</v>
      </c>
      <c r="F1668" s="229">
        <v>2020</v>
      </c>
      <c r="G1668">
        <v>4</v>
      </c>
      <c r="H1668" t="s">
        <v>820</v>
      </c>
    </row>
    <row r="1669" spans="1:8">
      <c r="A1669" s="229" t="s">
        <v>1587</v>
      </c>
      <c r="C1669" s="229">
        <v>214.38</v>
      </c>
      <c r="D1669" s="229">
        <v>12010513</v>
      </c>
      <c r="E1669" s="229" t="s">
        <v>818</v>
      </c>
      <c r="F1669" s="229">
        <v>2020</v>
      </c>
      <c r="G1669">
        <v>4</v>
      </c>
      <c r="H1669" t="s">
        <v>820</v>
      </c>
    </row>
    <row r="1670" spans="1:8">
      <c r="A1670" s="229" t="s">
        <v>1587</v>
      </c>
      <c r="C1670" s="229">
        <v>42.88</v>
      </c>
      <c r="D1670" s="229">
        <v>12010513</v>
      </c>
      <c r="E1670" s="229" t="s">
        <v>818</v>
      </c>
      <c r="F1670" s="229">
        <v>2020</v>
      </c>
      <c r="G1670">
        <v>4</v>
      </c>
      <c r="H1670" t="s">
        <v>820</v>
      </c>
    </row>
    <row r="1671" spans="1:8">
      <c r="A1671" s="229" t="s">
        <v>1587</v>
      </c>
      <c r="C1671" s="229">
        <v>385.88</v>
      </c>
      <c r="D1671" s="229">
        <v>12010513</v>
      </c>
      <c r="E1671" s="229" t="s">
        <v>818</v>
      </c>
      <c r="F1671" s="229">
        <v>2020</v>
      </c>
      <c r="G1671">
        <v>4</v>
      </c>
      <c r="H1671" t="s">
        <v>820</v>
      </c>
    </row>
    <row r="1672" spans="1:8">
      <c r="A1672" s="229" t="s">
        <v>1587</v>
      </c>
      <c r="C1672" s="229">
        <v>367.5</v>
      </c>
      <c r="D1672" s="229">
        <v>12010513</v>
      </c>
      <c r="E1672" s="229" t="s">
        <v>818</v>
      </c>
      <c r="F1672" s="229">
        <v>2020</v>
      </c>
      <c r="G1672">
        <v>4</v>
      </c>
      <c r="H1672" t="s">
        <v>820</v>
      </c>
    </row>
    <row r="1673" spans="1:8">
      <c r="A1673" s="229" t="s">
        <v>1587</v>
      </c>
      <c r="C1673" s="229">
        <v>367.5</v>
      </c>
      <c r="D1673" s="229">
        <v>12010513</v>
      </c>
      <c r="E1673" s="229" t="s">
        <v>818</v>
      </c>
      <c r="F1673" s="229">
        <v>2020</v>
      </c>
      <c r="G1673">
        <v>4</v>
      </c>
      <c r="H1673" t="s">
        <v>820</v>
      </c>
    </row>
    <row r="1674" spans="1:8">
      <c r="A1674" s="229" t="s">
        <v>1587</v>
      </c>
      <c r="C1674" s="229">
        <v>367.5</v>
      </c>
      <c r="D1674" s="229">
        <v>12010513</v>
      </c>
      <c r="E1674" s="229" t="s">
        <v>818</v>
      </c>
      <c r="F1674" s="229">
        <v>2020</v>
      </c>
      <c r="G1674">
        <v>4</v>
      </c>
      <c r="H1674" t="s">
        <v>820</v>
      </c>
    </row>
    <row r="1675" spans="1:8">
      <c r="A1675" s="229" t="s">
        <v>1587</v>
      </c>
      <c r="C1675" s="229">
        <v>367.5</v>
      </c>
      <c r="D1675" s="229">
        <v>12010513</v>
      </c>
      <c r="E1675" s="229" t="s">
        <v>818</v>
      </c>
      <c r="F1675" s="229">
        <v>2020</v>
      </c>
      <c r="G1675">
        <v>4</v>
      </c>
      <c r="H1675" t="s">
        <v>820</v>
      </c>
    </row>
    <row r="1676" spans="1:8">
      <c r="A1676" s="229" t="s">
        <v>1587</v>
      </c>
      <c r="C1676" s="229">
        <v>367.5</v>
      </c>
      <c r="D1676" s="229">
        <v>12010513</v>
      </c>
      <c r="E1676" s="229" t="s">
        <v>818</v>
      </c>
      <c r="F1676" s="229">
        <v>2020</v>
      </c>
      <c r="G1676">
        <v>4</v>
      </c>
      <c r="H1676" t="s">
        <v>820</v>
      </c>
    </row>
    <row r="1677" spans="1:8">
      <c r="A1677" s="229" t="s">
        <v>1589</v>
      </c>
      <c r="C1677" s="229">
        <v>87.52</v>
      </c>
      <c r="D1677" s="229">
        <v>12010513</v>
      </c>
      <c r="E1677" s="229" t="s">
        <v>818</v>
      </c>
      <c r="F1677" s="229">
        <v>2020</v>
      </c>
      <c r="G1677">
        <v>4</v>
      </c>
      <c r="H1677" t="s">
        <v>820</v>
      </c>
    </row>
    <row r="1678" spans="1:8">
      <c r="A1678" s="229" t="s">
        <v>1589</v>
      </c>
      <c r="C1678" s="229">
        <v>115.58</v>
      </c>
      <c r="D1678" s="229">
        <v>12010513</v>
      </c>
      <c r="E1678" s="229" t="s">
        <v>818</v>
      </c>
      <c r="F1678" s="229">
        <v>2020</v>
      </c>
      <c r="G1678">
        <v>4</v>
      </c>
      <c r="H1678" t="s">
        <v>820</v>
      </c>
    </row>
    <row r="1679" spans="1:8">
      <c r="A1679" s="229" t="s">
        <v>1589</v>
      </c>
      <c r="C1679" s="229">
        <v>90.88</v>
      </c>
      <c r="D1679" s="229">
        <v>12010513</v>
      </c>
      <c r="E1679" s="229" t="s">
        <v>818</v>
      </c>
      <c r="F1679" s="229">
        <v>2020</v>
      </c>
      <c r="G1679">
        <v>4</v>
      </c>
      <c r="H1679" t="s">
        <v>820</v>
      </c>
    </row>
    <row r="1680" spans="1:8">
      <c r="A1680" s="229" t="s">
        <v>1589</v>
      </c>
      <c r="C1680" s="229">
        <v>41</v>
      </c>
      <c r="D1680" s="229">
        <v>12010513</v>
      </c>
      <c r="E1680" s="229" t="s">
        <v>818</v>
      </c>
      <c r="F1680" s="229">
        <v>2020</v>
      </c>
      <c r="G1680">
        <v>4</v>
      </c>
      <c r="H1680" t="s">
        <v>820</v>
      </c>
    </row>
    <row r="1681" spans="1:8">
      <c r="A1681" s="229" t="s">
        <v>1596</v>
      </c>
      <c r="D1681" s="229">
        <v>12010513</v>
      </c>
      <c r="E1681" s="229" t="s">
        <v>818</v>
      </c>
      <c r="F1681" s="229">
        <v>2020</v>
      </c>
      <c r="G1681">
        <v>4</v>
      </c>
      <c r="H1681" t="s">
        <v>820</v>
      </c>
    </row>
    <row r="1682" spans="1:8">
      <c r="A1682" s="229" t="s">
        <v>1596</v>
      </c>
      <c r="C1682" s="229">
        <v>65.33</v>
      </c>
      <c r="D1682" s="229">
        <v>12010513</v>
      </c>
      <c r="E1682" s="229" t="s">
        <v>818</v>
      </c>
      <c r="F1682" s="229">
        <v>2020</v>
      </c>
      <c r="G1682">
        <v>4</v>
      </c>
      <c r="H1682" t="s">
        <v>820</v>
      </c>
    </row>
    <row r="1683" spans="1:8">
      <c r="A1683" s="229" t="s">
        <v>1596</v>
      </c>
      <c r="C1683" s="229">
        <v>65.33</v>
      </c>
      <c r="D1683" s="229">
        <v>12010513</v>
      </c>
      <c r="E1683" s="229" t="s">
        <v>818</v>
      </c>
      <c r="F1683" s="229">
        <v>2020</v>
      </c>
      <c r="G1683">
        <v>4</v>
      </c>
      <c r="H1683" t="s">
        <v>820</v>
      </c>
    </row>
    <row r="1684" spans="1:8">
      <c r="A1684" s="229" t="s">
        <v>1596</v>
      </c>
      <c r="D1684" s="229">
        <v>12010513</v>
      </c>
      <c r="E1684" s="229" t="s">
        <v>818</v>
      </c>
      <c r="F1684" s="229">
        <v>2020</v>
      </c>
      <c r="G1684">
        <v>4</v>
      </c>
      <c r="H1684" t="s">
        <v>820</v>
      </c>
    </row>
    <row r="1685" spans="1:8">
      <c r="A1685" s="229" t="s">
        <v>1596</v>
      </c>
      <c r="D1685" s="229">
        <v>12010513</v>
      </c>
      <c r="E1685" s="229" t="s">
        <v>818</v>
      </c>
      <c r="F1685" s="229">
        <v>2020</v>
      </c>
      <c r="G1685">
        <v>4</v>
      </c>
      <c r="H1685" t="s">
        <v>820</v>
      </c>
    </row>
    <row r="1686" spans="1:8">
      <c r="A1686" s="229" t="s">
        <v>1596</v>
      </c>
      <c r="C1686" s="229">
        <v>65.33</v>
      </c>
      <c r="D1686" s="229">
        <v>12010513</v>
      </c>
      <c r="E1686" s="229" t="s">
        <v>818</v>
      </c>
      <c r="F1686" s="229">
        <v>2020</v>
      </c>
      <c r="G1686">
        <v>4</v>
      </c>
      <c r="H1686" t="s">
        <v>820</v>
      </c>
    </row>
    <row r="1687" spans="1:8">
      <c r="A1687" s="229" t="s">
        <v>1597</v>
      </c>
      <c r="C1687" s="229">
        <v>2415</v>
      </c>
      <c r="D1687" s="229">
        <v>12010513</v>
      </c>
      <c r="E1687" s="229" t="s">
        <v>818</v>
      </c>
      <c r="F1687" s="229">
        <v>2020</v>
      </c>
      <c r="G1687">
        <v>4</v>
      </c>
      <c r="H1687" t="s">
        <v>820</v>
      </c>
    </row>
    <row r="1688" spans="1:8">
      <c r="A1688" s="229" t="s">
        <v>1597</v>
      </c>
      <c r="C1688" s="229">
        <v>2000</v>
      </c>
      <c r="D1688" s="229">
        <v>12010513</v>
      </c>
      <c r="E1688" s="229" t="s">
        <v>818</v>
      </c>
      <c r="F1688" s="229">
        <v>2020</v>
      </c>
      <c r="G1688">
        <v>4</v>
      </c>
      <c r="H1688" t="s">
        <v>820</v>
      </c>
    </row>
    <row r="1689" spans="1:8">
      <c r="A1689" s="229" t="s">
        <v>1597</v>
      </c>
      <c r="C1689" s="229">
        <v>192</v>
      </c>
      <c r="D1689" s="229">
        <v>12010513</v>
      </c>
      <c r="E1689" s="229" t="s">
        <v>818</v>
      </c>
      <c r="F1689" s="229">
        <v>2020</v>
      </c>
      <c r="G1689">
        <v>4</v>
      </c>
      <c r="H1689" t="s">
        <v>820</v>
      </c>
    </row>
    <row r="1690" spans="1:8">
      <c r="A1690" s="229" t="s">
        <v>1598</v>
      </c>
      <c r="C1690" s="229">
        <v>1541.89</v>
      </c>
      <c r="D1690" s="229">
        <v>12010513</v>
      </c>
      <c r="E1690" s="229" t="s">
        <v>818</v>
      </c>
      <c r="F1690" s="229">
        <v>2020</v>
      </c>
      <c r="G1690">
        <v>4</v>
      </c>
      <c r="H1690" t="s">
        <v>820</v>
      </c>
    </row>
    <row r="1691" spans="1:8">
      <c r="A1691" s="229" t="s">
        <v>1679</v>
      </c>
      <c r="C1691" s="229">
        <v>-6500</v>
      </c>
      <c r="D1691" s="229">
        <v>12010513</v>
      </c>
      <c r="E1691" s="229" t="s">
        <v>818</v>
      </c>
      <c r="F1691" s="229">
        <v>2020</v>
      </c>
      <c r="G1691">
        <v>4</v>
      </c>
      <c r="H1691" t="s">
        <v>820</v>
      </c>
    </row>
    <row r="1692" spans="1:8">
      <c r="A1692" s="229" t="s">
        <v>1663</v>
      </c>
      <c r="C1692" s="229">
        <v>6500</v>
      </c>
      <c r="D1692" s="229">
        <v>12010513</v>
      </c>
      <c r="E1692" s="229" t="s">
        <v>818</v>
      </c>
      <c r="F1692" s="229">
        <v>2020</v>
      </c>
      <c r="G1692">
        <v>4</v>
      </c>
      <c r="H1692" t="s">
        <v>820</v>
      </c>
    </row>
    <row r="1693" spans="1:8">
      <c r="A1693" s="229" t="s">
        <v>1604</v>
      </c>
      <c r="C1693" s="229">
        <v>59.99</v>
      </c>
      <c r="D1693" s="229">
        <v>12010513</v>
      </c>
      <c r="E1693" s="229" t="s">
        <v>818</v>
      </c>
      <c r="F1693" s="229">
        <v>2020</v>
      </c>
      <c r="G1693">
        <v>4</v>
      </c>
      <c r="H1693" t="s">
        <v>820</v>
      </c>
    </row>
    <row r="1694" spans="1:8">
      <c r="A1694" s="229" t="s">
        <v>1604</v>
      </c>
      <c r="C1694" s="229">
        <v>752.2</v>
      </c>
      <c r="D1694" s="229">
        <v>12010513</v>
      </c>
      <c r="E1694" s="229" t="s">
        <v>818</v>
      </c>
      <c r="F1694" s="229">
        <v>2020</v>
      </c>
      <c r="G1694">
        <v>4</v>
      </c>
      <c r="H1694" t="s">
        <v>820</v>
      </c>
    </row>
    <row r="1695" spans="1:8">
      <c r="A1695" s="229" t="s">
        <v>1604</v>
      </c>
      <c r="C1695" s="229">
        <v>779.92</v>
      </c>
      <c r="D1695" s="229">
        <v>12010513</v>
      </c>
      <c r="E1695" s="229" t="s">
        <v>818</v>
      </c>
      <c r="F1695" s="229">
        <v>2020</v>
      </c>
      <c r="G1695">
        <v>4</v>
      </c>
      <c r="H1695" t="s">
        <v>820</v>
      </c>
    </row>
    <row r="1696" spans="1:8">
      <c r="A1696" s="229" t="s">
        <v>1604</v>
      </c>
      <c r="C1696" s="229">
        <v>185.45</v>
      </c>
      <c r="D1696" s="229">
        <v>12010513</v>
      </c>
      <c r="E1696" s="229" t="s">
        <v>818</v>
      </c>
      <c r="F1696" s="229">
        <v>2020</v>
      </c>
      <c r="G1696">
        <v>4</v>
      </c>
      <c r="H1696" t="s">
        <v>820</v>
      </c>
    </row>
    <row r="1697" spans="1:8">
      <c r="A1697" s="229" t="s">
        <v>1604</v>
      </c>
      <c r="C1697" s="229">
        <v>11.12</v>
      </c>
      <c r="D1697" s="229">
        <v>12010513</v>
      </c>
      <c r="E1697" s="229" t="s">
        <v>818</v>
      </c>
      <c r="F1697" s="229">
        <v>2020</v>
      </c>
      <c r="G1697">
        <v>4</v>
      </c>
      <c r="H1697" t="s">
        <v>820</v>
      </c>
    </row>
    <row r="1698" spans="1:8">
      <c r="A1698" s="229" t="s">
        <v>1604</v>
      </c>
      <c r="C1698" s="229">
        <v>10.75</v>
      </c>
      <c r="D1698" s="229">
        <v>12010513</v>
      </c>
      <c r="E1698" s="229" t="s">
        <v>818</v>
      </c>
      <c r="F1698" s="229">
        <v>2020</v>
      </c>
      <c r="G1698">
        <v>4</v>
      </c>
      <c r="H1698" t="s">
        <v>820</v>
      </c>
    </row>
    <row r="1699" spans="1:8">
      <c r="A1699" s="229" t="s">
        <v>1604</v>
      </c>
      <c r="C1699" s="229">
        <v>594</v>
      </c>
      <c r="D1699" s="229">
        <v>12010513</v>
      </c>
      <c r="E1699" s="229" t="s">
        <v>818</v>
      </c>
      <c r="F1699" s="229">
        <v>2020</v>
      </c>
      <c r="G1699">
        <v>4</v>
      </c>
      <c r="H1699" t="s">
        <v>820</v>
      </c>
    </row>
    <row r="1700" spans="1:8">
      <c r="A1700" s="229" t="s">
        <v>1604</v>
      </c>
      <c r="C1700" s="229">
        <v>239.96</v>
      </c>
      <c r="D1700" s="229">
        <v>12010513</v>
      </c>
      <c r="E1700" s="229" t="s">
        <v>818</v>
      </c>
      <c r="F1700" s="229">
        <v>2020</v>
      </c>
      <c r="G1700">
        <v>4</v>
      </c>
      <c r="H1700" t="s">
        <v>820</v>
      </c>
    </row>
    <row r="1701" spans="1:8">
      <c r="A1701" s="229" t="s">
        <v>1604</v>
      </c>
      <c r="C1701" s="229">
        <v>239.96</v>
      </c>
      <c r="D1701" s="229">
        <v>12010513</v>
      </c>
      <c r="E1701" s="229" t="s">
        <v>818</v>
      </c>
      <c r="F1701" s="229">
        <v>2020</v>
      </c>
      <c r="G1701">
        <v>4</v>
      </c>
      <c r="H1701" t="s">
        <v>820</v>
      </c>
    </row>
    <row r="1702" spans="1:8">
      <c r="A1702" s="229" t="s">
        <v>1604</v>
      </c>
      <c r="C1702" s="229">
        <v>2219.25</v>
      </c>
      <c r="D1702" s="229">
        <v>12010513</v>
      </c>
      <c r="E1702" s="229" t="s">
        <v>818</v>
      </c>
      <c r="F1702" s="229">
        <v>2020</v>
      </c>
      <c r="G1702">
        <v>4</v>
      </c>
      <c r="H1702" t="s">
        <v>820</v>
      </c>
    </row>
    <row r="1703" spans="1:8">
      <c r="A1703" s="229" t="s">
        <v>1604</v>
      </c>
      <c r="C1703" s="229">
        <v>2240.48</v>
      </c>
      <c r="D1703" s="229">
        <v>12010513</v>
      </c>
      <c r="E1703" s="229" t="s">
        <v>818</v>
      </c>
      <c r="F1703" s="229">
        <v>2020</v>
      </c>
      <c r="G1703">
        <v>4</v>
      </c>
      <c r="H1703" t="s">
        <v>820</v>
      </c>
    </row>
    <row r="1704" spans="1:8">
      <c r="A1704" s="229" t="s">
        <v>1604</v>
      </c>
      <c r="C1704" s="229">
        <v>4896.05</v>
      </c>
      <c r="D1704" s="229">
        <v>12010513</v>
      </c>
      <c r="E1704" s="229" t="s">
        <v>818</v>
      </c>
      <c r="F1704" s="229">
        <v>2020</v>
      </c>
      <c r="G1704">
        <v>4</v>
      </c>
      <c r="H1704" t="s">
        <v>820</v>
      </c>
    </row>
    <row r="1705" spans="1:8">
      <c r="A1705" s="229" t="s">
        <v>1611</v>
      </c>
      <c r="D1705" s="229">
        <v>12010513</v>
      </c>
      <c r="E1705" s="229" t="s">
        <v>818</v>
      </c>
      <c r="F1705" s="229">
        <v>2020</v>
      </c>
      <c r="G1705">
        <v>4</v>
      </c>
      <c r="H1705" t="s">
        <v>820</v>
      </c>
    </row>
    <row r="1706" spans="1:8">
      <c r="A1706" s="229" t="s">
        <v>1611</v>
      </c>
      <c r="C1706" s="229">
        <v>600</v>
      </c>
      <c r="D1706" s="229">
        <v>12010513</v>
      </c>
      <c r="E1706" s="229" t="s">
        <v>818</v>
      </c>
      <c r="F1706" s="229">
        <v>2020</v>
      </c>
      <c r="G1706">
        <v>4</v>
      </c>
      <c r="H1706" t="s">
        <v>820</v>
      </c>
    </row>
    <row r="1707" spans="1:8">
      <c r="A1707" s="229" t="s">
        <v>1611</v>
      </c>
      <c r="D1707" s="229">
        <v>12010513</v>
      </c>
      <c r="E1707" s="229" t="s">
        <v>818</v>
      </c>
      <c r="F1707" s="229">
        <v>2020</v>
      </c>
      <c r="G1707">
        <v>4</v>
      </c>
      <c r="H1707" t="s">
        <v>820</v>
      </c>
    </row>
    <row r="1708" spans="1:8">
      <c r="A1708" s="229" t="s">
        <v>1611</v>
      </c>
      <c r="C1708" s="229">
        <v>600</v>
      </c>
      <c r="D1708" s="229">
        <v>12010513</v>
      </c>
      <c r="E1708" s="229" t="s">
        <v>818</v>
      </c>
      <c r="F1708" s="229">
        <v>2020</v>
      </c>
      <c r="G1708">
        <v>4</v>
      </c>
      <c r="H1708" t="s">
        <v>820</v>
      </c>
    </row>
    <row r="1709" spans="1:8">
      <c r="A1709" s="229" t="s">
        <v>1611</v>
      </c>
      <c r="D1709" s="229">
        <v>12010513</v>
      </c>
      <c r="E1709" s="229" t="s">
        <v>818</v>
      </c>
      <c r="F1709" s="229">
        <v>2020</v>
      </c>
      <c r="G1709">
        <v>4</v>
      </c>
      <c r="H1709" t="s">
        <v>820</v>
      </c>
    </row>
    <row r="1710" spans="1:8">
      <c r="A1710" s="229" t="s">
        <v>1611</v>
      </c>
      <c r="C1710" s="229">
        <v>600</v>
      </c>
      <c r="D1710" s="229">
        <v>12010513</v>
      </c>
      <c r="E1710" s="229" t="s">
        <v>818</v>
      </c>
      <c r="F1710" s="229">
        <v>2020</v>
      </c>
      <c r="G1710">
        <v>4</v>
      </c>
      <c r="H1710" t="s">
        <v>820</v>
      </c>
    </row>
    <row r="1711" spans="1:8">
      <c r="A1711" s="229" t="s">
        <v>1611</v>
      </c>
      <c r="C1711" s="229">
        <v>600</v>
      </c>
      <c r="D1711" s="229">
        <v>12010513</v>
      </c>
      <c r="E1711" s="229" t="s">
        <v>818</v>
      </c>
      <c r="F1711" s="229">
        <v>2020</v>
      </c>
      <c r="G1711">
        <v>4</v>
      </c>
      <c r="H1711" t="s">
        <v>820</v>
      </c>
    </row>
    <row r="1712" spans="1:8">
      <c r="A1712" s="229" t="s">
        <v>1616</v>
      </c>
      <c r="C1712" s="229">
        <v>0</v>
      </c>
      <c r="D1712" s="229">
        <v>12010513</v>
      </c>
      <c r="E1712" s="229" t="s">
        <v>818</v>
      </c>
      <c r="F1712" s="229">
        <v>2020</v>
      </c>
      <c r="G1712">
        <v>4</v>
      </c>
      <c r="H1712" t="s">
        <v>820</v>
      </c>
    </row>
    <row r="1713" spans="1:8">
      <c r="A1713" s="229" t="s">
        <v>1616</v>
      </c>
      <c r="C1713" s="229">
        <v>371.19</v>
      </c>
      <c r="D1713" s="229">
        <v>12010513</v>
      </c>
      <c r="E1713" s="229" t="s">
        <v>818</v>
      </c>
      <c r="F1713" s="229">
        <v>2020</v>
      </c>
      <c r="G1713">
        <v>4</v>
      </c>
      <c r="H1713" t="s">
        <v>820</v>
      </c>
    </row>
    <row r="1714" spans="1:8">
      <c r="A1714" s="229" t="s">
        <v>1686</v>
      </c>
      <c r="C1714" s="229">
        <v>651.96</v>
      </c>
      <c r="D1714" s="229">
        <v>12010513</v>
      </c>
      <c r="E1714" s="229" t="s">
        <v>818</v>
      </c>
      <c r="F1714" s="229">
        <v>2020</v>
      </c>
      <c r="G1714">
        <v>4</v>
      </c>
      <c r="H1714" t="s">
        <v>820</v>
      </c>
    </row>
    <row r="1715" spans="1:8">
      <c r="A1715" s="229" t="s">
        <v>1686</v>
      </c>
      <c r="C1715" s="229">
        <v>638.39</v>
      </c>
      <c r="D1715" s="229">
        <v>12010513</v>
      </c>
      <c r="E1715" s="229" t="s">
        <v>818</v>
      </c>
      <c r="F1715" s="229">
        <v>2020</v>
      </c>
      <c r="G1715">
        <v>4</v>
      </c>
      <c r="H1715" t="s">
        <v>820</v>
      </c>
    </row>
    <row r="1716" spans="1:8">
      <c r="A1716" s="229" t="s">
        <v>1686</v>
      </c>
      <c r="C1716" s="229">
        <v>1109.27</v>
      </c>
      <c r="D1716" s="229">
        <v>12010513</v>
      </c>
      <c r="E1716" s="229" t="s">
        <v>818</v>
      </c>
      <c r="F1716" s="229">
        <v>2020</v>
      </c>
      <c r="G1716">
        <v>4</v>
      </c>
      <c r="H1716" t="s">
        <v>820</v>
      </c>
    </row>
    <row r="1717" spans="1:8">
      <c r="A1717" s="229" t="s">
        <v>1618</v>
      </c>
      <c r="C1717" s="229">
        <v>-422.24</v>
      </c>
      <c r="D1717" s="229">
        <v>12010513</v>
      </c>
      <c r="E1717" s="229" t="s">
        <v>818</v>
      </c>
      <c r="F1717" s="229">
        <v>2020</v>
      </c>
      <c r="G1717">
        <v>4</v>
      </c>
      <c r="H1717" t="s">
        <v>820</v>
      </c>
    </row>
    <row r="1718" spans="1:8">
      <c r="A1718" s="229" t="s">
        <v>1618</v>
      </c>
      <c r="C1718" s="229">
        <v>844.47</v>
      </c>
      <c r="D1718" s="229">
        <v>12010513</v>
      </c>
      <c r="E1718" s="229" t="s">
        <v>818</v>
      </c>
      <c r="F1718" s="229">
        <v>2020</v>
      </c>
      <c r="G1718">
        <v>4</v>
      </c>
      <c r="H1718" t="s">
        <v>820</v>
      </c>
    </row>
    <row r="1719" spans="1:8">
      <c r="A1719" s="229" t="s">
        <v>1618</v>
      </c>
      <c r="C1719" s="229">
        <v>-467.37</v>
      </c>
      <c r="D1719" s="229">
        <v>12010513</v>
      </c>
      <c r="E1719" s="229" t="s">
        <v>818</v>
      </c>
      <c r="F1719" s="229">
        <v>2020</v>
      </c>
      <c r="G1719">
        <v>4</v>
      </c>
      <c r="H1719" t="s">
        <v>820</v>
      </c>
    </row>
    <row r="1720" spans="1:8">
      <c r="A1720" s="229" t="s">
        <v>1618</v>
      </c>
      <c r="C1720" s="229">
        <v>934.74</v>
      </c>
      <c r="D1720" s="229">
        <v>12010513</v>
      </c>
      <c r="E1720" s="229" t="s">
        <v>818</v>
      </c>
      <c r="F1720" s="229">
        <v>2020</v>
      </c>
      <c r="G1720">
        <v>4</v>
      </c>
      <c r="H1720" t="s">
        <v>820</v>
      </c>
    </row>
    <row r="1721" spans="1:8">
      <c r="A1721" s="229" t="s">
        <v>1618</v>
      </c>
      <c r="C1721" s="229">
        <v>-648.04999999999995</v>
      </c>
      <c r="D1721" s="229">
        <v>12010513</v>
      </c>
      <c r="E1721" s="229" t="s">
        <v>818</v>
      </c>
      <c r="F1721" s="229">
        <v>2020</v>
      </c>
      <c r="G1721">
        <v>4</v>
      </c>
      <c r="H1721" t="s">
        <v>820</v>
      </c>
    </row>
    <row r="1722" spans="1:8">
      <c r="A1722" s="229" t="s">
        <v>1618</v>
      </c>
      <c r="C1722" s="229">
        <v>1296.0999999999999</v>
      </c>
      <c r="D1722" s="229">
        <v>12010513</v>
      </c>
      <c r="E1722" s="229" t="s">
        <v>818</v>
      </c>
      <c r="F1722" s="229">
        <v>2020</v>
      </c>
      <c r="G1722">
        <v>4</v>
      </c>
      <c r="H1722" t="s">
        <v>820</v>
      </c>
    </row>
    <row r="1723" spans="1:8">
      <c r="A1723" s="229" t="s">
        <v>1618</v>
      </c>
      <c r="C1723" s="229">
        <v>-387.38</v>
      </c>
      <c r="D1723" s="229">
        <v>12010513</v>
      </c>
      <c r="E1723" s="229" t="s">
        <v>818</v>
      </c>
      <c r="F1723" s="229">
        <v>2020</v>
      </c>
      <c r="G1723">
        <v>4</v>
      </c>
      <c r="H1723" t="s">
        <v>820</v>
      </c>
    </row>
    <row r="1724" spans="1:8">
      <c r="A1724" s="229" t="s">
        <v>1618</v>
      </c>
      <c r="C1724" s="229">
        <v>774.75</v>
      </c>
      <c r="D1724" s="229">
        <v>12010513</v>
      </c>
      <c r="E1724" s="229" t="s">
        <v>818</v>
      </c>
      <c r="F1724" s="229">
        <v>2020</v>
      </c>
      <c r="G1724">
        <v>4</v>
      </c>
      <c r="H1724" t="s">
        <v>820</v>
      </c>
    </row>
    <row r="1725" spans="1:8">
      <c r="A1725" s="229" t="s">
        <v>1619</v>
      </c>
      <c r="C1725" s="229">
        <v>74.16</v>
      </c>
      <c r="D1725" s="229">
        <v>12010513</v>
      </c>
      <c r="E1725" s="229" t="s">
        <v>818</v>
      </c>
      <c r="F1725" s="229">
        <v>2020</v>
      </c>
      <c r="G1725">
        <v>4</v>
      </c>
      <c r="H1725" t="s">
        <v>820</v>
      </c>
    </row>
    <row r="1726" spans="1:8">
      <c r="A1726" s="229" t="s">
        <v>1619</v>
      </c>
      <c r="C1726" s="229">
        <v>82.09</v>
      </c>
      <c r="D1726" s="229">
        <v>12010513</v>
      </c>
      <c r="E1726" s="229" t="s">
        <v>818</v>
      </c>
      <c r="F1726" s="229">
        <v>2020</v>
      </c>
      <c r="G1726">
        <v>4</v>
      </c>
      <c r="H1726" t="s">
        <v>820</v>
      </c>
    </row>
    <row r="1727" spans="1:8">
      <c r="A1727" s="229" t="s">
        <v>1619</v>
      </c>
      <c r="C1727" s="229">
        <v>113.82</v>
      </c>
      <c r="D1727" s="229">
        <v>12010513</v>
      </c>
      <c r="E1727" s="229" t="s">
        <v>818</v>
      </c>
      <c r="F1727" s="229">
        <v>2020</v>
      </c>
      <c r="G1727">
        <v>4</v>
      </c>
      <c r="H1727" t="s">
        <v>820</v>
      </c>
    </row>
    <row r="1728" spans="1:8">
      <c r="A1728" s="229" t="s">
        <v>1619</v>
      </c>
      <c r="C1728" s="229">
        <v>68.040000000000006</v>
      </c>
      <c r="D1728" s="229">
        <v>12010513</v>
      </c>
      <c r="E1728" s="229" t="s">
        <v>818</v>
      </c>
      <c r="F1728" s="229">
        <v>2020</v>
      </c>
      <c r="G1728">
        <v>4</v>
      </c>
      <c r="H1728" t="s">
        <v>820</v>
      </c>
    </row>
    <row r="1729" spans="1:8">
      <c r="A1729" s="229" t="s">
        <v>1620</v>
      </c>
      <c r="C1729" s="229">
        <v>422.24</v>
      </c>
      <c r="D1729" s="229">
        <v>12010513</v>
      </c>
      <c r="E1729" s="229" t="s">
        <v>818</v>
      </c>
      <c r="F1729" s="229">
        <v>2020</v>
      </c>
      <c r="G1729">
        <v>4</v>
      </c>
      <c r="H1729" t="s">
        <v>820</v>
      </c>
    </row>
    <row r="1730" spans="1:8">
      <c r="A1730" s="229" t="s">
        <v>1620</v>
      </c>
      <c r="C1730" s="229">
        <v>467.37</v>
      </c>
      <c r="D1730" s="229">
        <v>12010513</v>
      </c>
      <c r="E1730" s="229" t="s">
        <v>818</v>
      </c>
      <c r="F1730" s="229">
        <v>2020</v>
      </c>
      <c r="G1730">
        <v>4</v>
      </c>
      <c r="H1730" t="s">
        <v>820</v>
      </c>
    </row>
    <row r="1731" spans="1:8">
      <c r="A1731" s="229" t="s">
        <v>1620</v>
      </c>
      <c r="C1731" s="229">
        <v>648.04999999999995</v>
      </c>
      <c r="D1731" s="229">
        <v>12010513</v>
      </c>
      <c r="E1731" s="229" t="s">
        <v>818</v>
      </c>
      <c r="F1731" s="229">
        <v>2020</v>
      </c>
      <c r="G1731">
        <v>4</v>
      </c>
      <c r="H1731" t="s">
        <v>820</v>
      </c>
    </row>
    <row r="1732" spans="1:8">
      <c r="A1732" s="229" t="s">
        <v>1620</v>
      </c>
      <c r="C1732" s="229">
        <v>387.38</v>
      </c>
      <c r="D1732" s="229">
        <v>12010513</v>
      </c>
      <c r="E1732" s="229" t="s">
        <v>818</v>
      </c>
      <c r="F1732" s="229">
        <v>2020</v>
      </c>
      <c r="G1732">
        <v>4</v>
      </c>
      <c r="H1732" t="s">
        <v>820</v>
      </c>
    </row>
  </sheetData>
  <sortState xmlns:xlrd2="http://schemas.microsoft.com/office/spreadsheetml/2017/richdata2" ref="A2:D7355">
    <sortCondition ref="B2:B7355"/>
    <sortCondition ref="A2:A7355"/>
  </sortState>
  <dataConsolidate>
    <dataRefs count="1">
      <dataRef ref="A1:E920" sheet="Data"/>
    </dataRefs>
  </dataConsolid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0E3D2-7471-4F47-AC72-84D3A26658C2}">
  <sheetPr codeName="GroupedData">
    <tabColor theme="2" tint="-9.9978637043366805E-2"/>
  </sheetPr>
  <dimension ref="A1:D284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52" bestFit="1" customWidth="1"/>
    <col min="2" max="2" width="14.5546875" bestFit="1" customWidth="1"/>
    <col min="3" max="3" width="15.33203125" bestFit="1" customWidth="1"/>
    <col min="4" max="4" width="26.109375" bestFit="1" customWidth="1"/>
    <col min="5" max="5" width="15.6640625" bestFit="1" customWidth="1"/>
  </cols>
  <sheetData>
    <row r="1" spans="1:4">
      <c r="A1" t="s">
        <v>1626</v>
      </c>
      <c r="B1" t="s">
        <v>1692</v>
      </c>
      <c r="C1" t="s">
        <v>1693</v>
      </c>
      <c r="D1" t="s">
        <v>1640</v>
      </c>
    </row>
    <row r="2" spans="1:4">
      <c r="A2" t="s">
        <v>820</v>
      </c>
      <c r="B2">
        <v>-2</v>
      </c>
      <c r="C2">
        <v>-80355.592000000135</v>
      </c>
      <c r="D2" t="s">
        <v>820</v>
      </c>
    </row>
    <row r="3" spans="1:4">
      <c r="A3">
        <v>2017</v>
      </c>
      <c r="B3">
        <v>0</v>
      </c>
      <c r="C3">
        <v>-56957.560000000027</v>
      </c>
      <c r="D3" t="s">
        <v>1507</v>
      </c>
    </row>
    <row r="4" spans="1:4">
      <c r="A4">
        <v>1</v>
      </c>
      <c r="B4">
        <v>0</v>
      </c>
      <c r="C4">
        <v>-52785.360000000008</v>
      </c>
      <c r="D4" t="s">
        <v>72</v>
      </c>
    </row>
    <row r="5" spans="1:4">
      <c r="A5" t="s">
        <v>1584</v>
      </c>
      <c r="B5">
        <v>-143669</v>
      </c>
      <c r="C5">
        <v>-71835</v>
      </c>
      <c r="D5">
        <v>8</v>
      </c>
    </row>
    <row r="6" spans="1:4">
      <c r="A6" t="s">
        <v>1586</v>
      </c>
      <c r="B6">
        <v>78500</v>
      </c>
      <c r="D6">
        <v>17</v>
      </c>
    </row>
    <row r="7" spans="1:4">
      <c r="A7" t="s">
        <v>1587</v>
      </c>
      <c r="C7">
        <v>12552.219999999996</v>
      </c>
      <c r="D7">
        <v>17</v>
      </c>
    </row>
    <row r="8" spans="1:4">
      <c r="A8" t="s">
        <v>1588</v>
      </c>
      <c r="B8">
        <v>942</v>
      </c>
      <c r="D8">
        <v>20</v>
      </c>
    </row>
    <row r="9" spans="1:4">
      <c r="A9" t="s">
        <v>1589</v>
      </c>
      <c r="C9">
        <v>150.63</v>
      </c>
      <c r="D9">
        <v>20</v>
      </c>
    </row>
    <row r="10" spans="1:4">
      <c r="A10" t="s">
        <v>1590</v>
      </c>
      <c r="B10">
        <v>35220</v>
      </c>
      <c r="D10">
        <v>23</v>
      </c>
    </row>
    <row r="11" spans="1:4">
      <c r="A11" t="s">
        <v>1667</v>
      </c>
      <c r="C11">
        <v>101.43</v>
      </c>
      <c r="D11">
        <v>25</v>
      </c>
    </row>
    <row r="12" spans="1:4">
      <c r="A12" t="s">
        <v>1596</v>
      </c>
      <c r="C12">
        <v>147.60000000000002</v>
      </c>
      <c r="D12">
        <v>25</v>
      </c>
    </row>
    <row r="13" spans="1:4">
      <c r="A13" t="s">
        <v>1677</v>
      </c>
      <c r="C13">
        <v>79.989999999999995</v>
      </c>
      <c r="D13">
        <v>25</v>
      </c>
    </row>
    <row r="14" spans="1:4">
      <c r="A14" t="s">
        <v>1602</v>
      </c>
      <c r="C14">
        <v>339.9</v>
      </c>
      <c r="D14">
        <v>28</v>
      </c>
    </row>
    <row r="15" spans="1:4">
      <c r="A15" t="s">
        <v>1680</v>
      </c>
      <c r="C15">
        <v>150</v>
      </c>
      <c r="D15">
        <v>29</v>
      </c>
    </row>
    <row r="16" spans="1:4">
      <c r="A16" t="s">
        <v>1604</v>
      </c>
      <c r="C16">
        <v>1576.24</v>
      </c>
      <c r="D16">
        <v>29</v>
      </c>
    </row>
    <row r="17" spans="1:4">
      <c r="A17" t="s">
        <v>1605</v>
      </c>
      <c r="C17">
        <v>0</v>
      </c>
      <c r="D17">
        <v>29</v>
      </c>
    </row>
    <row r="18" spans="1:4">
      <c r="A18" t="s">
        <v>1611</v>
      </c>
      <c r="C18">
        <v>1800</v>
      </c>
      <c r="D18">
        <v>29</v>
      </c>
    </row>
    <row r="19" spans="1:4">
      <c r="A19" t="s">
        <v>1615</v>
      </c>
      <c r="B19">
        <v>1500</v>
      </c>
      <c r="D19">
        <v>32</v>
      </c>
    </row>
    <row r="20" spans="1:4">
      <c r="A20" t="s">
        <v>1685</v>
      </c>
      <c r="C20">
        <v>982.26</v>
      </c>
      <c r="D20">
        <v>32</v>
      </c>
    </row>
    <row r="21" spans="1:4">
      <c r="A21" t="s">
        <v>1687</v>
      </c>
      <c r="B21">
        <v>18688</v>
      </c>
      <c r="D21">
        <v>38</v>
      </c>
    </row>
    <row r="22" spans="1:4">
      <c r="A22" t="s">
        <v>1618</v>
      </c>
      <c r="B22">
        <v>8145</v>
      </c>
      <c r="C22">
        <v>539.98</v>
      </c>
      <c r="D22">
        <v>40</v>
      </c>
    </row>
    <row r="23" spans="1:4">
      <c r="A23" t="s">
        <v>1619</v>
      </c>
      <c r="B23">
        <v>674</v>
      </c>
      <c r="C23">
        <v>89.4</v>
      </c>
      <c r="D23">
        <v>41</v>
      </c>
    </row>
    <row r="24" spans="1:4">
      <c r="A24" t="s">
        <v>1620</v>
      </c>
      <c r="C24">
        <v>539.99</v>
      </c>
      <c r="D24">
        <v>40</v>
      </c>
    </row>
    <row r="25" spans="1:4">
      <c r="A25">
        <v>2</v>
      </c>
      <c r="C25">
        <v>29598.66</v>
      </c>
      <c r="D25" t="s">
        <v>72</v>
      </c>
    </row>
    <row r="26" spans="1:4">
      <c r="A26" t="s">
        <v>1587</v>
      </c>
      <c r="C26">
        <v>14886.590000000006</v>
      </c>
      <c r="D26">
        <v>17</v>
      </c>
    </row>
    <row r="27" spans="1:4">
      <c r="A27" t="s">
        <v>1589</v>
      </c>
      <c r="C27">
        <v>178.64000000000001</v>
      </c>
      <c r="D27">
        <v>20</v>
      </c>
    </row>
    <row r="28" spans="1:4">
      <c r="A28" t="s">
        <v>1591</v>
      </c>
      <c r="C28">
        <v>7.32</v>
      </c>
      <c r="D28">
        <v>25</v>
      </c>
    </row>
    <row r="29" spans="1:4">
      <c r="A29" t="s">
        <v>1596</v>
      </c>
      <c r="C29">
        <v>147.60000000000002</v>
      </c>
      <c r="D29">
        <v>25</v>
      </c>
    </row>
    <row r="30" spans="1:4">
      <c r="A30" t="s">
        <v>1597</v>
      </c>
      <c r="C30">
        <v>759</v>
      </c>
      <c r="D30">
        <v>25</v>
      </c>
    </row>
    <row r="31" spans="1:4">
      <c r="A31" t="s">
        <v>1601</v>
      </c>
      <c r="C31">
        <v>500</v>
      </c>
      <c r="D31">
        <v>28</v>
      </c>
    </row>
    <row r="32" spans="1:4">
      <c r="A32" t="s">
        <v>1602</v>
      </c>
      <c r="C32">
        <v>2197.62</v>
      </c>
      <c r="D32">
        <v>28</v>
      </c>
    </row>
    <row r="33" spans="1:4">
      <c r="A33" t="s">
        <v>1604</v>
      </c>
      <c r="C33">
        <v>890.46</v>
      </c>
      <c r="D33">
        <v>29</v>
      </c>
    </row>
    <row r="34" spans="1:4">
      <c r="A34" t="s">
        <v>1608</v>
      </c>
      <c r="C34">
        <v>23</v>
      </c>
      <c r="D34">
        <v>26</v>
      </c>
    </row>
    <row r="35" spans="1:4">
      <c r="A35" t="s">
        <v>1611</v>
      </c>
      <c r="C35">
        <v>1800</v>
      </c>
      <c r="D35">
        <v>29</v>
      </c>
    </row>
    <row r="36" spans="1:4">
      <c r="A36" t="s">
        <v>1613</v>
      </c>
      <c r="C36">
        <v>1125</v>
      </c>
      <c r="D36">
        <v>29</v>
      </c>
    </row>
    <row r="37" spans="1:4">
      <c r="A37" t="s">
        <v>1685</v>
      </c>
      <c r="C37">
        <v>1044.5999999999999</v>
      </c>
      <c r="D37">
        <v>32</v>
      </c>
    </row>
    <row r="38" spans="1:4">
      <c r="A38" t="s">
        <v>1618</v>
      </c>
      <c r="C38">
        <v>711.51</v>
      </c>
      <c r="D38">
        <v>40</v>
      </c>
    </row>
    <row r="39" spans="1:4">
      <c r="A39" t="s">
        <v>1619</v>
      </c>
      <c r="C39">
        <v>117.81</v>
      </c>
      <c r="D39">
        <v>41</v>
      </c>
    </row>
    <row r="40" spans="1:4">
      <c r="A40" t="s">
        <v>1620</v>
      </c>
      <c r="C40">
        <v>711.51</v>
      </c>
      <c r="D40">
        <v>40</v>
      </c>
    </row>
    <row r="41" spans="1:4">
      <c r="A41" t="s">
        <v>1622</v>
      </c>
      <c r="C41">
        <v>4498</v>
      </c>
      <c r="D41">
        <v>45</v>
      </c>
    </row>
    <row r="42" spans="1:4">
      <c r="A42">
        <v>3</v>
      </c>
      <c r="C42">
        <v>-57478.69</v>
      </c>
      <c r="D42" t="s">
        <v>72</v>
      </c>
    </row>
    <row r="43" spans="1:4">
      <c r="A43" t="s">
        <v>1584</v>
      </c>
      <c r="C43">
        <v>-71834</v>
      </c>
      <c r="D43">
        <v>8</v>
      </c>
    </row>
    <row r="44" spans="1:4">
      <c r="A44" t="s">
        <v>1587</v>
      </c>
      <c r="C44">
        <v>11275.580000000002</v>
      </c>
      <c r="D44">
        <v>17</v>
      </c>
    </row>
    <row r="45" spans="1:4">
      <c r="A45" t="s">
        <v>1589</v>
      </c>
      <c r="C45">
        <v>135.31</v>
      </c>
      <c r="D45">
        <v>20</v>
      </c>
    </row>
    <row r="46" spans="1:4">
      <c r="A46" t="s">
        <v>1596</v>
      </c>
      <c r="C46">
        <v>147.60000000000002</v>
      </c>
      <c r="D46">
        <v>25</v>
      </c>
    </row>
    <row r="47" spans="1:4">
      <c r="A47" t="s">
        <v>1597</v>
      </c>
      <c r="C47">
        <v>115.61</v>
      </c>
      <c r="D47">
        <v>25</v>
      </c>
    </row>
    <row r="48" spans="1:4">
      <c r="A48" t="s">
        <v>1611</v>
      </c>
      <c r="C48">
        <v>1800</v>
      </c>
      <c r="D48">
        <v>29</v>
      </c>
    </row>
    <row r="49" spans="1:4">
      <c r="A49" t="s">
        <v>1684</v>
      </c>
      <c r="C49">
        <v>0</v>
      </c>
      <c r="D49">
        <v>29</v>
      </c>
    </row>
    <row r="50" spans="1:4">
      <c r="A50" t="s">
        <v>1618</v>
      </c>
      <c r="C50">
        <v>406.91999999999996</v>
      </c>
      <c r="D50">
        <v>40</v>
      </c>
    </row>
    <row r="51" spans="1:4">
      <c r="A51" t="s">
        <v>1619</v>
      </c>
      <c r="C51">
        <v>67.37</v>
      </c>
      <c r="D51">
        <v>41</v>
      </c>
    </row>
    <row r="52" spans="1:4">
      <c r="A52" t="s">
        <v>1620</v>
      </c>
      <c r="C52">
        <v>406.91999999999996</v>
      </c>
      <c r="D52">
        <v>40</v>
      </c>
    </row>
    <row r="53" spans="1:4">
      <c r="A53">
        <v>4</v>
      </c>
      <c r="C53">
        <v>23707.83</v>
      </c>
      <c r="D53" t="s">
        <v>72</v>
      </c>
    </row>
    <row r="54" spans="1:4">
      <c r="A54" t="s">
        <v>1587</v>
      </c>
      <c r="C54">
        <v>14882.240000000002</v>
      </c>
      <c r="D54">
        <v>17</v>
      </c>
    </row>
    <row r="55" spans="1:4">
      <c r="A55" t="s">
        <v>1589</v>
      </c>
      <c r="C55">
        <v>178.59</v>
      </c>
      <c r="D55">
        <v>20</v>
      </c>
    </row>
    <row r="56" spans="1:4">
      <c r="A56" t="s">
        <v>1594</v>
      </c>
      <c r="C56">
        <v>36.730000000000004</v>
      </c>
      <c r="D56">
        <v>25</v>
      </c>
    </row>
    <row r="57" spans="1:4">
      <c r="A57" t="s">
        <v>1595</v>
      </c>
      <c r="C57">
        <v>192</v>
      </c>
      <c r="D57">
        <v>25</v>
      </c>
    </row>
    <row r="58" spans="1:4">
      <c r="A58" t="s">
        <v>1596</v>
      </c>
      <c r="C58">
        <v>147.60000000000002</v>
      </c>
      <c r="D58">
        <v>25</v>
      </c>
    </row>
    <row r="59" spans="1:4">
      <c r="A59" t="s">
        <v>1597</v>
      </c>
      <c r="C59">
        <v>2523.0700000000002</v>
      </c>
      <c r="D59">
        <v>25</v>
      </c>
    </row>
    <row r="60" spans="1:4">
      <c r="A60" t="s">
        <v>1601</v>
      </c>
      <c r="C60">
        <v>1152</v>
      </c>
      <c r="D60">
        <v>28</v>
      </c>
    </row>
    <row r="61" spans="1:4">
      <c r="A61" t="s">
        <v>1604</v>
      </c>
      <c r="C61">
        <v>-41.25</v>
      </c>
      <c r="D61">
        <v>29</v>
      </c>
    </row>
    <row r="62" spans="1:4">
      <c r="A62" t="s">
        <v>1606</v>
      </c>
      <c r="C62">
        <v>424.25</v>
      </c>
      <c r="D62">
        <v>26</v>
      </c>
    </row>
    <row r="63" spans="1:4">
      <c r="A63" t="s">
        <v>1608</v>
      </c>
      <c r="C63">
        <v>134</v>
      </c>
      <c r="D63">
        <v>26</v>
      </c>
    </row>
    <row r="64" spans="1:4">
      <c r="A64" t="s">
        <v>1609</v>
      </c>
      <c r="C64">
        <v>223.29000000000002</v>
      </c>
      <c r="D64">
        <v>29</v>
      </c>
    </row>
    <row r="65" spans="1:4">
      <c r="A65" t="s">
        <v>1611</v>
      </c>
      <c r="C65">
        <v>2400</v>
      </c>
      <c r="D65">
        <v>29</v>
      </c>
    </row>
    <row r="66" spans="1:4">
      <c r="A66" t="s">
        <v>1614</v>
      </c>
      <c r="C66">
        <v>0</v>
      </c>
      <c r="D66">
        <v>29</v>
      </c>
    </row>
    <row r="67" spans="1:4">
      <c r="A67" t="s">
        <v>1618</v>
      </c>
      <c r="C67">
        <v>672.03000000000009</v>
      </c>
      <c r="D67">
        <v>40</v>
      </c>
    </row>
    <row r="68" spans="1:4">
      <c r="A68" t="s">
        <v>1619</v>
      </c>
      <c r="C68">
        <v>111.26</v>
      </c>
      <c r="D68">
        <v>41</v>
      </c>
    </row>
    <row r="69" spans="1:4">
      <c r="A69" t="s">
        <v>1620</v>
      </c>
      <c r="C69">
        <v>672.01999999999987</v>
      </c>
      <c r="D69">
        <v>40</v>
      </c>
    </row>
    <row r="70" spans="1:4">
      <c r="A70" t="s">
        <v>1621</v>
      </c>
      <c r="C70">
        <v>-61455.56</v>
      </c>
      <c r="D70">
        <v>11</v>
      </c>
    </row>
    <row r="71" spans="1:4">
      <c r="A71" t="s">
        <v>1622</v>
      </c>
      <c r="C71">
        <v>61455.56</v>
      </c>
      <c r="D71">
        <v>45</v>
      </c>
    </row>
    <row r="72" spans="1:4">
      <c r="A72">
        <v>2018</v>
      </c>
      <c r="B72">
        <v>0</v>
      </c>
      <c r="C72">
        <v>-51386.179999999986</v>
      </c>
      <c r="D72" t="s">
        <v>1507</v>
      </c>
    </row>
    <row r="73" spans="1:4">
      <c r="A73">
        <v>1</v>
      </c>
      <c r="B73">
        <v>0</v>
      </c>
      <c r="C73">
        <v>-46328.419999999991</v>
      </c>
      <c r="D73" t="s">
        <v>72</v>
      </c>
    </row>
    <row r="74" spans="1:4">
      <c r="A74" t="s">
        <v>1584</v>
      </c>
      <c r="B74">
        <v>-143892</v>
      </c>
      <c r="C74">
        <v>-71946</v>
      </c>
      <c r="D74">
        <v>8</v>
      </c>
    </row>
    <row r="75" spans="1:4">
      <c r="A75" t="s">
        <v>1586</v>
      </c>
      <c r="B75">
        <v>78707</v>
      </c>
      <c r="D75">
        <v>17</v>
      </c>
    </row>
    <row r="76" spans="1:4">
      <c r="A76" t="s">
        <v>1587</v>
      </c>
      <c r="C76">
        <v>7292.0899999999992</v>
      </c>
      <c r="D76">
        <v>17</v>
      </c>
    </row>
    <row r="77" spans="1:4">
      <c r="A77" t="s">
        <v>1588</v>
      </c>
      <c r="B77">
        <v>787</v>
      </c>
      <c r="D77">
        <v>20</v>
      </c>
    </row>
    <row r="78" spans="1:4">
      <c r="A78" t="s">
        <v>1589</v>
      </c>
      <c r="C78">
        <v>72.91</v>
      </c>
      <c r="D78">
        <v>20</v>
      </c>
    </row>
    <row r="79" spans="1:4">
      <c r="A79" t="s">
        <v>1590</v>
      </c>
      <c r="B79">
        <v>35377</v>
      </c>
      <c r="D79">
        <v>23</v>
      </c>
    </row>
    <row r="80" spans="1:4">
      <c r="A80" t="s">
        <v>1593</v>
      </c>
      <c r="C80">
        <v>1.62</v>
      </c>
      <c r="D80">
        <v>28</v>
      </c>
    </row>
    <row r="81" spans="1:4">
      <c r="A81" t="s">
        <v>1596</v>
      </c>
      <c r="C81">
        <v>146.72999999999999</v>
      </c>
      <c r="D81">
        <v>25</v>
      </c>
    </row>
    <row r="82" spans="1:4">
      <c r="A82" t="s">
        <v>1597</v>
      </c>
      <c r="C82">
        <v>227.5300000000002</v>
      </c>
      <c r="D82">
        <v>25</v>
      </c>
    </row>
    <row r="83" spans="1:4">
      <c r="A83" t="s">
        <v>1676</v>
      </c>
      <c r="C83">
        <v>1800</v>
      </c>
      <c r="D83">
        <v>25</v>
      </c>
    </row>
    <row r="84" spans="1:4">
      <c r="A84" t="s">
        <v>1599</v>
      </c>
      <c r="C84">
        <v>451.44</v>
      </c>
      <c r="D84">
        <v>25</v>
      </c>
    </row>
    <row r="85" spans="1:4">
      <c r="A85" t="s">
        <v>1680</v>
      </c>
      <c r="C85">
        <v>150</v>
      </c>
      <c r="D85">
        <v>29</v>
      </c>
    </row>
    <row r="86" spans="1:4">
      <c r="A86" t="s">
        <v>1605</v>
      </c>
      <c r="C86">
        <v>399.98</v>
      </c>
      <c r="D86">
        <v>29</v>
      </c>
    </row>
    <row r="87" spans="1:4">
      <c r="A87" t="s">
        <v>1611</v>
      </c>
      <c r="C87">
        <v>1800</v>
      </c>
      <c r="D87">
        <v>29</v>
      </c>
    </row>
    <row r="88" spans="1:4">
      <c r="A88" t="s">
        <v>1615</v>
      </c>
      <c r="B88">
        <v>1500</v>
      </c>
      <c r="D88">
        <v>32</v>
      </c>
    </row>
    <row r="89" spans="1:4">
      <c r="A89" t="s">
        <v>1687</v>
      </c>
      <c r="B89">
        <v>18688</v>
      </c>
      <c r="D89">
        <v>38</v>
      </c>
    </row>
    <row r="90" spans="1:4">
      <c r="A90" t="s">
        <v>1618</v>
      </c>
      <c r="B90">
        <v>8158</v>
      </c>
      <c r="C90">
        <v>388.17</v>
      </c>
      <c r="D90">
        <v>40</v>
      </c>
    </row>
    <row r="91" spans="1:4">
      <c r="A91" t="s">
        <v>1619</v>
      </c>
      <c r="B91">
        <v>675</v>
      </c>
      <c r="C91">
        <v>62.95000000000001</v>
      </c>
      <c r="D91">
        <v>41</v>
      </c>
    </row>
    <row r="92" spans="1:4">
      <c r="A92" t="s">
        <v>1620</v>
      </c>
      <c r="C92">
        <v>388.15999999999997</v>
      </c>
      <c r="D92">
        <v>40</v>
      </c>
    </row>
    <row r="93" spans="1:4">
      <c r="A93" t="s">
        <v>1622</v>
      </c>
      <c r="C93">
        <v>12436</v>
      </c>
      <c r="D93">
        <v>45</v>
      </c>
    </row>
    <row r="94" spans="1:4">
      <c r="A94">
        <v>2</v>
      </c>
      <c r="C94">
        <v>22492.719999999994</v>
      </c>
      <c r="D94" t="s">
        <v>72</v>
      </c>
    </row>
    <row r="95" spans="1:4">
      <c r="A95" t="s">
        <v>1587</v>
      </c>
      <c r="C95">
        <v>12146.729999999998</v>
      </c>
      <c r="D95">
        <v>17</v>
      </c>
    </row>
    <row r="96" spans="1:4">
      <c r="A96" t="s">
        <v>1589</v>
      </c>
      <c r="C96">
        <v>121.47</v>
      </c>
      <c r="D96">
        <v>20</v>
      </c>
    </row>
    <row r="97" spans="1:4">
      <c r="A97" t="s">
        <v>1674</v>
      </c>
      <c r="C97">
        <v>135</v>
      </c>
      <c r="D97">
        <v>25</v>
      </c>
    </row>
    <row r="98" spans="1:4">
      <c r="A98" t="s">
        <v>1593</v>
      </c>
      <c r="C98">
        <v>9.36</v>
      </c>
      <c r="D98">
        <v>28</v>
      </c>
    </row>
    <row r="99" spans="1:4">
      <c r="A99" t="s">
        <v>1596</v>
      </c>
      <c r="C99">
        <v>146.72999999999999</v>
      </c>
      <c r="D99">
        <v>25</v>
      </c>
    </row>
    <row r="100" spans="1:4">
      <c r="A100" t="s">
        <v>1597</v>
      </c>
      <c r="C100">
        <v>759</v>
      </c>
      <c r="D100">
        <v>25</v>
      </c>
    </row>
    <row r="101" spans="1:4">
      <c r="A101" t="s">
        <v>1602</v>
      </c>
      <c r="C101">
        <v>2360.3000000000002</v>
      </c>
      <c r="D101">
        <v>28</v>
      </c>
    </row>
    <row r="102" spans="1:4">
      <c r="A102" t="s">
        <v>1604</v>
      </c>
      <c r="C102">
        <v>4135</v>
      </c>
      <c r="D102">
        <v>29</v>
      </c>
    </row>
    <row r="103" spans="1:4">
      <c r="A103" t="s">
        <v>1607</v>
      </c>
      <c r="C103">
        <v>47</v>
      </c>
      <c r="D103">
        <v>26</v>
      </c>
    </row>
    <row r="104" spans="1:4">
      <c r="A104" t="s">
        <v>1611</v>
      </c>
      <c r="C104">
        <v>1200</v>
      </c>
      <c r="D104">
        <v>29</v>
      </c>
    </row>
    <row r="105" spans="1:4">
      <c r="A105" t="s">
        <v>1618</v>
      </c>
      <c r="C105">
        <v>662.35</v>
      </c>
      <c r="D105">
        <v>40</v>
      </c>
    </row>
    <row r="106" spans="1:4">
      <c r="A106" t="s">
        <v>1619</v>
      </c>
      <c r="C106">
        <v>107.42</v>
      </c>
      <c r="D106">
        <v>41</v>
      </c>
    </row>
    <row r="107" spans="1:4">
      <c r="A107" t="s">
        <v>1620</v>
      </c>
      <c r="C107">
        <v>662.36</v>
      </c>
      <c r="D107">
        <v>40</v>
      </c>
    </row>
    <row r="108" spans="1:4">
      <c r="A108">
        <v>3</v>
      </c>
      <c r="C108">
        <v>-55544.80999999999</v>
      </c>
      <c r="D108" t="s">
        <v>72</v>
      </c>
    </row>
    <row r="109" spans="1:4">
      <c r="A109" t="s">
        <v>1584</v>
      </c>
      <c r="C109">
        <v>-71946</v>
      </c>
      <c r="D109">
        <v>8</v>
      </c>
    </row>
    <row r="110" spans="1:4">
      <c r="A110" t="s">
        <v>1587</v>
      </c>
      <c r="C110">
        <v>7172.1600000000017</v>
      </c>
      <c r="D110">
        <v>17</v>
      </c>
    </row>
    <row r="111" spans="1:4">
      <c r="A111" t="s">
        <v>1589</v>
      </c>
      <c r="C111">
        <v>71.72</v>
      </c>
      <c r="D111">
        <v>20</v>
      </c>
    </row>
    <row r="112" spans="1:4">
      <c r="A112" t="s">
        <v>1591</v>
      </c>
      <c r="C112">
        <v>35.369999999999997</v>
      </c>
      <c r="D112">
        <v>25</v>
      </c>
    </row>
    <row r="113" spans="1:4">
      <c r="A113" t="s">
        <v>1592</v>
      </c>
      <c r="C113">
        <v>13.6</v>
      </c>
      <c r="D113">
        <v>25</v>
      </c>
    </row>
    <row r="114" spans="1:4">
      <c r="A114" t="s">
        <v>1593</v>
      </c>
      <c r="C114">
        <v>9.7200000000000006</v>
      </c>
      <c r="D114">
        <v>28</v>
      </c>
    </row>
    <row r="115" spans="1:4">
      <c r="A115" t="s">
        <v>1596</v>
      </c>
      <c r="C115">
        <v>146.72999999999999</v>
      </c>
      <c r="D115">
        <v>25</v>
      </c>
    </row>
    <row r="116" spans="1:4">
      <c r="A116" t="s">
        <v>1602</v>
      </c>
      <c r="C116">
        <v>2607.6</v>
      </c>
      <c r="D116">
        <v>28</v>
      </c>
    </row>
    <row r="117" spans="1:4">
      <c r="A117" t="s">
        <v>1611</v>
      </c>
      <c r="C117">
        <v>1800</v>
      </c>
      <c r="D117">
        <v>29</v>
      </c>
    </row>
    <row r="118" spans="1:4">
      <c r="A118" t="s">
        <v>1613</v>
      </c>
      <c r="C118">
        <v>3500</v>
      </c>
      <c r="D118">
        <v>29</v>
      </c>
    </row>
    <row r="119" spans="1:4">
      <c r="A119" t="s">
        <v>1618</v>
      </c>
      <c r="C119">
        <v>482.99</v>
      </c>
      <c r="D119">
        <v>40</v>
      </c>
    </row>
    <row r="120" spans="1:4">
      <c r="A120" t="s">
        <v>1619</v>
      </c>
      <c r="C120">
        <v>78.33</v>
      </c>
      <c r="D120">
        <v>41</v>
      </c>
    </row>
    <row r="121" spans="1:4">
      <c r="A121" t="s">
        <v>1620</v>
      </c>
      <c r="C121">
        <v>482.97</v>
      </c>
      <c r="D121">
        <v>40</v>
      </c>
    </row>
    <row r="122" spans="1:4">
      <c r="A122">
        <v>4</v>
      </c>
      <c r="C122">
        <v>27994.33</v>
      </c>
      <c r="D122" t="s">
        <v>72</v>
      </c>
    </row>
    <row r="123" spans="1:4">
      <c r="A123" t="s">
        <v>1587</v>
      </c>
      <c r="C123">
        <v>10937.39</v>
      </c>
      <c r="D123">
        <v>17</v>
      </c>
    </row>
    <row r="124" spans="1:4">
      <c r="A124" t="s">
        <v>1589</v>
      </c>
      <c r="C124">
        <v>109.36999999999999</v>
      </c>
      <c r="D124">
        <v>20</v>
      </c>
    </row>
    <row r="125" spans="1:4">
      <c r="A125" t="s">
        <v>1591</v>
      </c>
      <c r="C125">
        <v>3.5527136788005009E-15</v>
      </c>
      <c r="D125">
        <v>25</v>
      </c>
    </row>
    <row r="126" spans="1:4">
      <c r="A126" t="s">
        <v>1592</v>
      </c>
      <c r="C126">
        <v>0</v>
      </c>
      <c r="D126">
        <v>25</v>
      </c>
    </row>
    <row r="127" spans="1:4">
      <c r="A127" t="s">
        <v>1593</v>
      </c>
      <c r="C127">
        <v>1.8</v>
      </c>
      <c r="D127">
        <v>28</v>
      </c>
    </row>
    <row r="128" spans="1:4">
      <c r="A128" t="s">
        <v>1595</v>
      </c>
      <c r="C128">
        <v>192</v>
      </c>
      <c r="D128">
        <v>25</v>
      </c>
    </row>
    <row r="129" spans="1:4">
      <c r="A129" t="s">
        <v>1596</v>
      </c>
      <c r="C129">
        <v>146.72999999999999</v>
      </c>
      <c r="D129">
        <v>25</v>
      </c>
    </row>
    <row r="130" spans="1:4">
      <c r="A130" t="s">
        <v>1597</v>
      </c>
      <c r="C130">
        <v>2415</v>
      </c>
      <c r="D130">
        <v>25</v>
      </c>
    </row>
    <row r="131" spans="1:4">
      <c r="A131" t="s">
        <v>1676</v>
      </c>
      <c r="C131">
        <v>357</v>
      </c>
      <c r="D131">
        <v>25</v>
      </c>
    </row>
    <row r="132" spans="1:4">
      <c r="A132" t="s">
        <v>1598</v>
      </c>
      <c r="C132">
        <v>4217</v>
      </c>
      <c r="D132">
        <v>25</v>
      </c>
    </row>
    <row r="133" spans="1:4">
      <c r="A133" t="s">
        <v>1600</v>
      </c>
      <c r="C133">
        <v>284.75</v>
      </c>
      <c r="D133">
        <v>27</v>
      </c>
    </row>
    <row r="134" spans="1:4">
      <c r="A134" t="s">
        <v>1680</v>
      </c>
      <c r="C134">
        <v>360</v>
      </c>
      <c r="D134">
        <v>29</v>
      </c>
    </row>
    <row r="135" spans="1:4">
      <c r="A135" t="s">
        <v>1681</v>
      </c>
      <c r="C135">
        <v>908</v>
      </c>
      <c r="D135">
        <v>29</v>
      </c>
    </row>
    <row r="136" spans="1:4">
      <c r="A136" t="s">
        <v>1604</v>
      </c>
      <c r="C136">
        <v>1091.51</v>
      </c>
      <c r="D136">
        <v>29</v>
      </c>
    </row>
    <row r="137" spans="1:4">
      <c r="A137" t="s">
        <v>1608</v>
      </c>
      <c r="C137">
        <v>201.2</v>
      </c>
      <c r="D137">
        <v>26</v>
      </c>
    </row>
    <row r="138" spans="1:4">
      <c r="A138" t="s">
        <v>1609</v>
      </c>
      <c r="C138">
        <v>95.22</v>
      </c>
      <c r="D138">
        <v>29</v>
      </c>
    </row>
    <row r="139" spans="1:4">
      <c r="A139" t="s">
        <v>1611</v>
      </c>
      <c r="C139">
        <v>2400</v>
      </c>
      <c r="D139">
        <v>29</v>
      </c>
    </row>
    <row r="140" spans="1:4">
      <c r="A140" t="s">
        <v>1612</v>
      </c>
      <c r="C140">
        <v>250</v>
      </c>
      <c r="D140">
        <v>29</v>
      </c>
    </row>
    <row r="141" spans="1:4">
      <c r="A141" t="s">
        <v>1683</v>
      </c>
      <c r="C141">
        <v>155</v>
      </c>
      <c r="D141">
        <v>29</v>
      </c>
    </row>
    <row r="142" spans="1:4">
      <c r="A142" t="s">
        <v>1616</v>
      </c>
      <c r="C142">
        <v>2089.9499999999998</v>
      </c>
      <c r="D142">
        <v>32</v>
      </c>
    </row>
    <row r="143" spans="1:4">
      <c r="A143" t="s">
        <v>1618</v>
      </c>
      <c r="C143">
        <v>824.3599999999999</v>
      </c>
      <c r="D143">
        <v>40</v>
      </c>
    </row>
    <row r="144" spans="1:4">
      <c r="A144" t="s">
        <v>1619</v>
      </c>
      <c r="C144">
        <v>133.68</v>
      </c>
      <c r="D144">
        <v>41</v>
      </c>
    </row>
    <row r="145" spans="1:4">
      <c r="A145" t="s">
        <v>1620</v>
      </c>
      <c r="C145">
        <v>824.37</v>
      </c>
      <c r="D145">
        <v>40</v>
      </c>
    </row>
    <row r="146" spans="1:4">
      <c r="A146" t="s">
        <v>1621</v>
      </c>
      <c r="C146">
        <v>-63822.18</v>
      </c>
      <c r="D146">
        <v>11</v>
      </c>
    </row>
    <row r="147" spans="1:4">
      <c r="A147" t="s">
        <v>1622</v>
      </c>
      <c r="C147">
        <v>63822.18</v>
      </c>
      <c r="D147">
        <v>45</v>
      </c>
    </row>
    <row r="148" spans="1:4">
      <c r="A148">
        <v>2019</v>
      </c>
      <c r="B148">
        <v>-1</v>
      </c>
      <c r="C148">
        <v>-4509.3819999999905</v>
      </c>
      <c r="D148" t="s">
        <v>1507</v>
      </c>
    </row>
    <row r="149" spans="1:4">
      <c r="A149">
        <v>1</v>
      </c>
      <c r="B149">
        <v>-1</v>
      </c>
      <c r="C149">
        <v>-29571.711999999992</v>
      </c>
      <c r="D149" t="s">
        <v>72</v>
      </c>
    </row>
    <row r="150" spans="1:4">
      <c r="A150" t="s">
        <v>1584</v>
      </c>
      <c r="B150">
        <v>-145841</v>
      </c>
      <c r="C150">
        <v>-72920</v>
      </c>
      <c r="D150">
        <v>8</v>
      </c>
    </row>
    <row r="151" spans="1:4">
      <c r="A151" t="s">
        <v>1586</v>
      </c>
      <c r="B151">
        <v>80188</v>
      </c>
      <c r="D151">
        <v>17</v>
      </c>
    </row>
    <row r="152" spans="1:4">
      <c r="A152" t="s">
        <v>1587</v>
      </c>
      <c r="C152">
        <v>5819.130000000001</v>
      </c>
      <c r="D152">
        <v>17</v>
      </c>
    </row>
    <row r="153" spans="1:4">
      <c r="A153" t="s">
        <v>1588</v>
      </c>
      <c r="B153">
        <v>802</v>
      </c>
      <c r="D153">
        <v>20</v>
      </c>
    </row>
    <row r="154" spans="1:4">
      <c r="A154" t="s">
        <v>1589</v>
      </c>
      <c r="C154">
        <v>46.56</v>
      </c>
      <c r="D154">
        <v>20</v>
      </c>
    </row>
    <row r="155" spans="1:4">
      <c r="A155" t="s">
        <v>1590</v>
      </c>
      <c r="B155">
        <v>44065</v>
      </c>
      <c r="D155">
        <v>23</v>
      </c>
    </row>
    <row r="156" spans="1:4">
      <c r="A156" t="s">
        <v>1593</v>
      </c>
      <c r="C156">
        <v>2.4300000000000002</v>
      </c>
      <c r="D156">
        <v>28</v>
      </c>
    </row>
    <row r="157" spans="1:4">
      <c r="A157" t="s">
        <v>1596</v>
      </c>
      <c r="C157">
        <v>174.24</v>
      </c>
      <c r="D157">
        <v>25</v>
      </c>
    </row>
    <row r="158" spans="1:4">
      <c r="A158" t="s">
        <v>1680</v>
      </c>
      <c r="C158">
        <v>150</v>
      </c>
      <c r="D158">
        <v>29</v>
      </c>
    </row>
    <row r="159" spans="1:4">
      <c r="A159" t="s">
        <v>1611</v>
      </c>
      <c r="C159">
        <v>600</v>
      </c>
      <c r="D159">
        <v>29</v>
      </c>
    </row>
    <row r="160" spans="1:4">
      <c r="A160" t="s">
        <v>1615</v>
      </c>
      <c r="B160">
        <v>1500</v>
      </c>
      <c r="D160">
        <v>32</v>
      </c>
    </row>
    <row r="161" spans="1:4">
      <c r="A161" t="s">
        <v>1687</v>
      </c>
      <c r="B161">
        <v>10000</v>
      </c>
      <c r="D161">
        <v>38</v>
      </c>
    </row>
    <row r="162" spans="1:4">
      <c r="A162" t="s">
        <v>1618</v>
      </c>
      <c r="B162">
        <v>8589</v>
      </c>
      <c r="C162">
        <v>229.57999999999998</v>
      </c>
      <c r="D162">
        <v>40</v>
      </c>
    </row>
    <row r="163" spans="1:4">
      <c r="A163" t="s">
        <v>1619</v>
      </c>
      <c r="B163">
        <v>696</v>
      </c>
      <c r="C163">
        <v>42.11</v>
      </c>
      <c r="D163">
        <v>41</v>
      </c>
    </row>
    <row r="164" spans="1:4">
      <c r="A164" t="s">
        <v>1620</v>
      </c>
      <c r="C164">
        <v>229.58</v>
      </c>
      <c r="D164">
        <v>40</v>
      </c>
    </row>
    <row r="165" spans="1:4">
      <c r="A165" t="s">
        <v>1622</v>
      </c>
      <c r="C165">
        <v>36054.658000000003</v>
      </c>
      <c r="D165">
        <v>45</v>
      </c>
    </row>
    <row r="166" spans="1:4">
      <c r="A166">
        <v>2</v>
      </c>
      <c r="C166">
        <v>30590.170000000009</v>
      </c>
      <c r="D166" t="s">
        <v>72</v>
      </c>
    </row>
    <row r="167" spans="1:4">
      <c r="A167" t="s">
        <v>1587</v>
      </c>
      <c r="C167">
        <v>19469.09</v>
      </c>
      <c r="D167">
        <v>17</v>
      </c>
    </row>
    <row r="168" spans="1:4">
      <c r="A168" t="s">
        <v>1589</v>
      </c>
      <c r="C168">
        <v>155.75</v>
      </c>
      <c r="D168">
        <v>20</v>
      </c>
    </row>
    <row r="169" spans="1:4">
      <c r="A169" t="s">
        <v>1596</v>
      </c>
      <c r="C169">
        <v>174.24</v>
      </c>
      <c r="D169">
        <v>25</v>
      </c>
    </row>
    <row r="170" spans="1:4">
      <c r="A170" t="s">
        <v>1597</v>
      </c>
      <c r="C170">
        <v>144</v>
      </c>
      <c r="D170">
        <v>25</v>
      </c>
    </row>
    <row r="171" spans="1:4">
      <c r="A171" t="s">
        <v>1602</v>
      </c>
      <c r="C171">
        <v>5680.8600000000006</v>
      </c>
      <c r="D171">
        <v>28</v>
      </c>
    </row>
    <row r="172" spans="1:4">
      <c r="A172" t="s">
        <v>1604</v>
      </c>
      <c r="C172">
        <v>1272.29</v>
      </c>
      <c r="D172">
        <v>29</v>
      </c>
    </row>
    <row r="173" spans="1:4">
      <c r="A173" t="s">
        <v>1608</v>
      </c>
      <c r="C173">
        <v>30.97</v>
      </c>
      <c r="D173">
        <v>26</v>
      </c>
    </row>
    <row r="174" spans="1:4">
      <c r="A174" t="s">
        <v>1609</v>
      </c>
      <c r="C174">
        <v>160.56</v>
      </c>
      <c r="D174">
        <v>29</v>
      </c>
    </row>
    <row r="175" spans="1:4">
      <c r="A175" t="s">
        <v>1610</v>
      </c>
      <c r="C175">
        <v>200</v>
      </c>
      <c r="D175">
        <v>29</v>
      </c>
    </row>
    <row r="176" spans="1:4">
      <c r="A176" t="s">
        <v>1611</v>
      </c>
      <c r="C176">
        <v>1200</v>
      </c>
      <c r="D176">
        <v>29</v>
      </c>
    </row>
    <row r="177" spans="1:4">
      <c r="A177" t="s">
        <v>1618</v>
      </c>
      <c r="C177">
        <v>962.9</v>
      </c>
      <c r="D177">
        <v>40</v>
      </c>
    </row>
    <row r="178" spans="1:4">
      <c r="A178" t="s">
        <v>1619</v>
      </c>
      <c r="C178">
        <v>176.63</v>
      </c>
      <c r="D178">
        <v>41</v>
      </c>
    </row>
    <row r="179" spans="1:4">
      <c r="A179" t="s">
        <v>1620</v>
      </c>
      <c r="C179">
        <v>962.88000000000011</v>
      </c>
      <c r="D179">
        <v>40</v>
      </c>
    </row>
    <row r="180" spans="1:4">
      <c r="A180">
        <v>3</v>
      </c>
      <c r="C180">
        <v>-53834.51</v>
      </c>
      <c r="D180" t="s">
        <v>72</v>
      </c>
    </row>
    <row r="181" spans="1:4">
      <c r="A181" t="s">
        <v>1584</v>
      </c>
      <c r="C181">
        <v>-72921</v>
      </c>
      <c r="D181">
        <v>8</v>
      </c>
    </row>
    <row r="182" spans="1:4">
      <c r="A182" t="s">
        <v>1587</v>
      </c>
      <c r="C182">
        <v>12168.89</v>
      </c>
      <c r="D182">
        <v>17</v>
      </c>
    </row>
    <row r="183" spans="1:4">
      <c r="A183" t="s">
        <v>1589</v>
      </c>
      <c r="C183">
        <v>97.36</v>
      </c>
      <c r="D183">
        <v>20</v>
      </c>
    </row>
    <row r="184" spans="1:4">
      <c r="A184" t="s">
        <v>1596</v>
      </c>
      <c r="C184">
        <v>174.24</v>
      </c>
      <c r="D184">
        <v>25</v>
      </c>
    </row>
    <row r="185" spans="1:4">
      <c r="A185" t="s">
        <v>1600</v>
      </c>
      <c r="C185">
        <v>371.25</v>
      </c>
      <c r="D185">
        <v>27</v>
      </c>
    </row>
    <row r="186" spans="1:4">
      <c r="A186" t="s">
        <v>1608</v>
      </c>
      <c r="C186">
        <v>37.979999999999997</v>
      </c>
      <c r="D186">
        <v>26</v>
      </c>
    </row>
    <row r="187" spans="1:4">
      <c r="A187" t="s">
        <v>1611</v>
      </c>
      <c r="C187">
        <v>3000</v>
      </c>
      <c r="D187">
        <v>29</v>
      </c>
    </row>
    <row r="188" spans="1:4">
      <c r="A188" t="s">
        <v>1613</v>
      </c>
      <c r="C188">
        <v>1925</v>
      </c>
      <c r="D188">
        <v>29</v>
      </c>
    </row>
    <row r="189" spans="1:4">
      <c r="A189" t="s">
        <v>1618</v>
      </c>
      <c r="C189">
        <v>600.78</v>
      </c>
      <c r="D189">
        <v>40</v>
      </c>
    </row>
    <row r="190" spans="1:4">
      <c r="A190" t="s">
        <v>1619</v>
      </c>
      <c r="C190">
        <v>110.19999999999999</v>
      </c>
      <c r="D190">
        <v>41</v>
      </c>
    </row>
    <row r="191" spans="1:4">
      <c r="A191" t="s">
        <v>1620</v>
      </c>
      <c r="C191">
        <v>600.79</v>
      </c>
      <c r="D191">
        <v>40</v>
      </c>
    </row>
    <row r="192" spans="1:4">
      <c r="A192">
        <v>4</v>
      </c>
      <c r="C192">
        <v>48306.67</v>
      </c>
      <c r="D192" t="s">
        <v>72</v>
      </c>
    </row>
    <row r="193" spans="1:4">
      <c r="A193" t="s">
        <v>1587</v>
      </c>
      <c r="C193">
        <v>21310.909999999993</v>
      </c>
      <c r="D193">
        <v>17</v>
      </c>
    </row>
    <row r="194" spans="1:4">
      <c r="A194" t="s">
        <v>1672</v>
      </c>
      <c r="C194">
        <v>4.16</v>
      </c>
      <c r="D194">
        <v>17</v>
      </c>
    </row>
    <row r="195" spans="1:4">
      <c r="A195" t="s">
        <v>1589</v>
      </c>
      <c r="C195">
        <v>170.51999999999998</v>
      </c>
      <c r="D195">
        <v>20</v>
      </c>
    </row>
    <row r="196" spans="1:4">
      <c r="A196" t="s">
        <v>1675</v>
      </c>
      <c r="C196">
        <v>1400</v>
      </c>
      <c r="D196">
        <v>29</v>
      </c>
    </row>
    <row r="197" spans="1:4">
      <c r="A197" t="s">
        <v>1594</v>
      </c>
      <c r="C197">
        <v>634.14</v>
      </c>
      <c r="D197">
        <v>25</v>
      </c>
    </row>
    <row r="198" spans="1:4">
      <c r="A198" t="s">
        <v>1596</v>
      </c>
      <c r="C198">
        <v>174.24</v>
      </c>
      <c r="D198">
        <v>25</v>
      </c>
    </row>
    <row r="199" spans="1:4">
      <c r="A199" t="s">
        <v>1597</v>
      </c>
      <c r="C199">
        <v>231.7</v>
      </c>
      <c r="D199">
        <v>25</v>
      </c>
    </row>
    <row r="200" spans="1:4">
      <c r="A200" t="s">
        <v>1602</v>
      </c>
      <c r="C200">
        <v>6383.36</v>
      </c>
      <c r="D200">
        <v>28</v>
      </c>
    </row>
    <row r="201" spans="1:4">
      <c r="A201" t="s">
        <v>1680</v>
      </c>
      <c r="C201">
        <v>360</v>
      </c>
      <c r="D201">
        <v>29</v>
      </c>
    </row>
    <row r="202" spans="1:4">
      <c r="A202" t="s">
        <v>1681</v>
      </c>
      <c r="C202">
        <v>159</v>
      </c>
      <c r="D202">
        <v>29</v>
      </c>
    </row>
    <row r="203" spans="1:4">
      <c r="A203" t="s">
        <v>1606</v>
      </c>
      <c r="C203">
        <v>140.55000000000001</v>
      </c>
      <c r="D203">
        <v>26</v>
      </c>
    </row>
    <row r="204" spans="1:4">
      <c r="A204" t="s">
        <v>1608</v>
      </c>
      <c r="C204">
        <v>639</v>
      </c>
      <c r="D204">
        <v>26</v>
      </c>
    </row>
    <row r="205" spans="1:4">
      <c r="A205" t="s">
        <v>1610</v>
      </c>
      <c r="C205">
        <v>5500</v>
      </c>
      <c r="D205">
        <v>29</v>
      </c>
    </row>
    <row r="206" spans="1:4">
      <c r="A206" t="s">
        <v>1611</v>
      </c>
      <c r="C206">
        <v>2400</v>
      </c>
      <c r="D206">
        <v>29</v>
      </c>
    </row>
    <row r="207" spans="1:4">
      <c r="A207" t="s">
        <v>1616</v>
      </c>
      <c r="C207">
        <v>5394.08</v>
      </c>
      <c r="D207">
        <v>32</v>
      </c>
    </row>
    <row r="208" spans="1:4">
      <c r="A208" t="s">
        <v>1617</v>
      </c>
      <c r="C208">
        <v>85</v>
      </c>
      <c r="D208">
        <v>33</v>
      </c>
    </row>
    <row r="209" spans="1:4">
      <c r="A209" t="s">
        <v>1618</v>
      </c>
      <c r="C209">
        <v>1520.54</v>
      </c>
      <c r="D209">
        <v>40</v>
      </c>
    </row>
    <row r="210" spans="1:4">
      <c r="A210" t="s">
        <v>1619</v>
      </c>
      <c r="C210">
        <v>278.90999999999997</v>
      </c>
      <c r="D210">
        <v>41</v>
      </c>
    </row>
    <row r="211" spans="1:4">
      <c r="A211" t="s">
        <v>1620</v>
      </c>
      <c r="C211">
        <v>1520.56</v>
      </c>
      <c r="D211">
        <v>40</v>
      </c>
    </row>
    <row r="212" spans="1:4">
      <c r="A212" t="s">
        <v>1621</v>
      </c>
      <c r="C212">
        <v>-46552.04</v>
      </c>
      <c r="D212">
        <v>11</v>
      </c>
    </row>
    <row r="213" spans="1:4">
      <c r="A213" t="s">
        <v>1622</v>
      </c>
      <c r="C213">
        <v>46552.04</v>
      </c>
      <c r="D213">
        <v>45</v>
      </c>
    </row>
    <row r="214" spans="1:4">
      <c r="A214">
        <v>2020</v>
      </c>
      <c r="B214">
        <v>-1</v>
      </c>
      <c r="C214">
        <v>32497.529999999981</v>
      </c>
      <c r="D214" t="s">
        <v>1507</v>
      </c>
    </row>
    <row r="215" spans="1:4">
      <c r="A215">
        <v>1</v>
      </c>
      <c r="B215">
        <v>-1</v>
      </c>
      <c r="C215">
        <v>-6973.760000000002</v>
      </c>
      <c r="D215" t="s">
        <v>72</v>
      </c>
    </row>
    <row r="216" spans="1:4">
      <c r="A216" t="s">
        <v>1584</v>
      </c>
      <c r="B216">
        <v>-147042</v>
      </c>
      <c r="D216">
        <v>8</v>
      </c>
    </row>
    <row r="217" spans="1:4">
      <c r="A217" t="s">
        <v>1585</v>
      </c>
      <c r="C217">
        <v>-73521</v>
      </c>
      <c r="D217">
        <v>8</v>
      </c>
    </row>
    <row r="218" spans="1:4">
      <c r="A218" t="s">
        <v>1586</v>
      </c>
      <c r="B218">
        <v>80188</v>
      </c>
      <c r="D218">
        <v>17</v>
      </c>
    </row>
    <row r="219" spans="1:4">
      <c r="A219" t="s">
        <v>1587</v>
      </c>
      <c r="C219">
        <v>14720.749999999996</v>
      </c>
      <c r="D219">
        <v>17</v>
      </c>
    </row>
    <row r="220" spans="1:4">
      <c r="A220" t="s">
        <v>1588</v>
      </c>
      <c r="B220">
        <v>882</v>
      </c>
      <c r="D220">
        <v>20</v>
      </c>
    </row>
    <row r="221" spans="1:4">
      <c r="A221" t="s">
        <v>1589</v>
      </c>
      <c r="C221">
        <v>161.93</v>
      </c>
      <c r="D221">
        <v>20</v>
      </c>
    </row>
    <row r="222" spans="1:4">
      <c r="A222" t="s">
        <v>1673</v>
      </c>
      <c r="B222">
        <v>7652</v>
      </c>
      <c r="D222">
        <v>24</v>
      </c>
    </row>
    <row r="223" spans="1:4">
      <c r="A223" t="s">
        <v>1590</v>
      </c>
      <c r="B223">
        <v>40181</v>
      </c>
      <c r="D223">
        <v>23</v>
      </c>
    </row>
    <row r="224" spans="1:4">
      <c r="A224" t="s">
        <v>1593</v>
      </c>
      <c r="C224">
        <v>1.8</v>
      </c>
      <c r="D224">
        <v>28</v>
      </c>
    </row>
    <row r="225" spans="1:4">
      <c r="A225" t="s">
        <v>1596</v>
      </c>
      <c r="C225">
        <v>195.99</v>
      </c>
      <c r="D225">
        <v>25</v>
      </c>
    </row>
    <row r="226" spans="1:4">
      <c r="A226" t="s">
        <v>1597</v>
      </c>
      <c r="C226">
        <v>2415</v>
      </c>
      <c r="D226">
        <v>25</v>
      </c>
    </row>
    <row r="227" spans="1:4">
      <c r="A227" t="s">
        <v>1678</v>
      </c>
      <c r="C227">
        <v>199.99</v>
      </c>
      <c r="D227">
        <v>25</v>
      </c>
    </row>
    <row r="228" spans="1:4">
      <c r="A228" t="s">
        <v>1680</v>
      </c>
      <c r="C228">
        <v>150</v>
      </c>
      <c r="D228">
        <v>29</v>
      </c>
    </row>
    <row r="229" spans="1:4">
      <c r="A229" t="s">
        <v>1681</v>
      </c>
      <c r="C229">
        <v>1085</v>
      </c>
      <c r="D229">
        <v>29</v>
      </c>
    </row>
    <row r="230" spans="1:4">
      <c r="A230" t="s">
        <v>1682</v>
      </c>
      <c r="C230">
        <v>4991</v>
      </c>
      <c r="D230">
        <v>29</v>
      </c>
    </row>
    <row r="231" spans="1:4">
      <c r="A231" t="s">
        <v>1609</v>
      </c>
      <c r="C231">
        <v>594.99</v>
      </c>
      <c r="D231">
        <v>29</v>
      </c>
    </row>
    <row r="232" spans="1:4">
      <c r="A232" t="s">
        <v>1611</v>
      </c>
      <c r="C232">
        <v>1200</v>
      </c>
      <c r="D232">
        <v>29</v>
      </c>
    </row>
    <row r="233" spans="1:4">
      <c r="A233" t="s">
        <v>1615</v>
      </c>
      <c r="B233">
        <v>7652</v>
      </c>
      <c r="D233">
        <v>32</v>
      </c>
    </row>
    <row r="234" spans="1:4">
      <c r="A234" t="s">
        <v>1686</v>
      </c>
      <c r="C234">
        <v>1477.3</v>
      </c>
      <c r="D234">
        <v>37</v>
      </c>
    </row>
    <row r="235" spans="1:4">
      <c r="A235" t="s">
        <v>1618</v>
      </c>
      <c r="B235">
        <v>9640</v>
      </c>
      <c r="C235">
        <v>959.94999999999993</v>
      </c>
      <c r="D235">
        <v>40</v>
      </c>
    </row>
    <row r="236" spans="1:4">
      <c r="A236" t="s">
        <v>1619</v>
      </c>
      <c r="B236">
        <v>846</v>
      </c>
      <c r="C236">
        <v>168.60000000000002</v>
      </c>
      <c r="D236">
        <v>41</v>
      </c>
    </row>
    <row r="237" spans="1:4">
      <c r="A237" t="s">
        <v>1620</v>
      </c>
      <c r="C237">
        <v>959.94</v>
      </c>
      <c r="D237">
        <v>40</v>
      </c>
    </row>
    <row r="238" spans="1:4">
      <c r="A238" t="s">
        <v>1622</v>
      </c>
      <c r="C238">
        <v>37265</v>
      </c>
      <c r="D238">
        <v>45</v>
      </c>
    </row>
    <row r="239" spans="1:4">
      <c r="A239">
        <v>2</v>
      </c>
      <c r="C239">
        <v>30011.26</v>
      </c>
      <c r="D239" t="s">
        <v>72</v>
      </c>
    </row>
    <row r="240" spans="1:4">
      <c r="A240" t="s">
        <v>1587</v>
      </c>
      <c r="C240">
        <v>16973.379999999997</v>
      </c>
      <c r="D240">
        <v>17</v>
      </c>
    </row>
    <row r="241" spans="1:4">
      <c r="A241" t="s">
        <v>1589</v>
      </c>
      <c r="C241">
        <v>186.71</v>
      </c>
      <c r="D241">
        <v>20</v>
      </c>
    </row>
    <row r="242" spans="1:4">
      <c r="A242" t="s">
        <v>1596</v>
      </c>
      <c r="C242">
        <v>195.99</v>
      </c>
      <c r="D242">
        <v>25</v>
      </c>
    </row>
    <row r="243" spans="1:4">
      <c r="A243" t="s">
        <v>1679</v>
      </c>
      <c r="C243">
        <v>6500</v>
      </c>
      <c r="D243">
        <v>27</v>
      </c>
    </row>
    <row r="244" spans="1:4">
      <c r="A244" t="s">
        <v>1600</v>
      </c>
      <c r="C244">
        <v>152</v>
      </c>
      <c r="D244">
        <v>27</v>
      </c>
    </row>
    <row r="245" spans="1:4">
      <c r="A245" t="s">
        <v>1609</v>
      </c>
      <c r="C245">
        <v>123.93</v>
      </c>
      <c r="D245">
        <v>29</v>
      </c>
    </row>
    <row r="246" spans="1:4">
      <c r="A246" t="s">
        <v>1611</v>
      </c>
      <c r="C246">
        <v>1800</v>
      </c>
      <c r="D246">
        <v>29</v>
      </c>
    </row>
    <row r="247" spans="1:4">
      <c r="A247" t="s">
        <v>1686</v>
      </c>
      <c r="C247">
        <v>1938.77</v>
      </c>
      <c r="D247">
        <v>37</v>
      </c>
    </row>
    <row r="248" spans="1:4">
      <c r="A248" t="s">
        <v>1618</v>
      </c>
      <c r="C248">
        <v>983.84</v>
      </c>
      <c r="D248">
        <v>40</v>
      </c>
    </row>
    <row r="249" spans="1:4">
      <c r="A249" t="s">
        <v>1619</v>
      </c>
      <c r="C249">
        <v>172.8</v>
      </c>
      <c r="D249">
        <v>41</v>
      </c>
    </row>
    <row r="250" spans="1:4">
      <c r="A250" t="s">
        <v>1620</v>
      </c>
      <c r="C250">
        <v>983.83999999999992</v>
      </c>
      <c r="D250">
        <v>40</v>
      </c>
    </row>
    <row r="251" spans="1:4">
      <c r="A251">
        <v>3</v>
      </c>
      <c r="C251">
        <v>-49261.490000000005</v>
      </c>
      <c r="D251" t="s">
        <v>72</v>
      </c>
    </row>
    <row r="252" spans="1:4">
      <c r="A252" t="s">
        <v>1585</v>
      </c>
      <c r="C252">
        <v>-73521</v>
      </c>
      <c r="D252">
        <v>8</v>
      </c>
    </row>
    <row r="253" spans="1:4">
      <c r="A253" t="s">
        <v>1587</v>
      </c>
      <c r="C253">
        <v>15456.66</v>
      </c>
      <c r="D253">
        <v>17</v>
      </c>
    </row>
    <row r="254" spans="1:4">
      <c r="A254" t="s">
        <v>1589</v>
      </c>
      <c r="C254">
        <v>170.03</v>
      </c>
      <c r="D254">
        <v>20</v>
      </c>
    </row>
    <row r="255" spans="1:4">
      <c r="A255" t="s">
        <v>1593</v>
      </c>
      <c r="C255">
        <v>19.600000000000001</v>
      </c>
      <c r="D255">
        <v>28</v>
      </c>
    </row>
    <row r="256" spans="1:4">
      <c r="A256" t="s">
        <v>1596</v>
      </c>
      <c r="C256">
        <v>195.99</v>
      </c>
      <c r="D256">
        <v>25</v>
      </c>
    </row>
    <row r="257" spans="1:4">
      <c r="A257" t="s">
        <v>1676</v>
      </c>
      <c r="C257">
        <v>7.99</v>
      </c>
      <c r="D257">
        <v>25</v>
      </c>
    </row>
    <row r="258" spans="1:4">
      <c r="A258" t="s">
        <v>1598</v>
      </c>
      <c r="C258">
        <v>803.74</v>
      </c>
      <c r="D258">
        <v>25</v>
      </c>
    </row>
    <row r="259" spans="1:4">
      <c r="A259" t="s">
        <v>1678</v>
      </c>
      <c r="C259">
        <v>165.96</v>
      </c>
      <c r="D259">
        <v>25</v>
      </c>
    </row>
    <row r="260" spans="1:4">
      <c r="A260" t="s">
        <v>1603</v>
      </c>
      <c r="C260">
        <v>144</v>
      </c>
      <c r="D260">
        <v>25</v>
      </c>
    </row>
    <row r="261" spans="1:4">
      <c r="A261" t="s">
        <v>1606</v>
      </c>
      <c r="C261">
        <v>146</v>
      </c>
      <c r="D261">
        <v>26</v>
      </c>
    </row>
    <row r="262" spans="1:4">
      <c r="A262" t="s">
        <v>1610</v>
      </c>
      <c r="C262">
        <v>16.95</v>
      </c>
      <c r="D262">
        <v>29</v>
      </c>
    </row>
    <row r="263" spans="1:4">
      <c r="A263" t="s">
        <v>1611</v>
      </c>
      <c r="C263">
        <v>1800</v>
      </c>
      <c r="D263">
        <v>29</v>
      </c>
    </row>
    <row r="264" spans="1:4">
      <c r="A264" t="s">
        <v>1613</v>
      </c>
      <c r="C264">
        <v>1680</v>
      </c>
      <c r="D264">
        <v>29</v>
      </c>
    </row>
    <row r="265" spans="1:4">
      <c r="A265" t="s">
        <v>1686</v>
      </c>
      <c r="C265">
        <v>1922.3400000000001</v>
      </c>
      <c r="D265">
        <v>37</v>
      </c>
    </row>
    <row r="266" spans="1:4">
      <c r="A266" t="s">
        <v>1618</v>
      </c>
      <c r="C266">
        <v>795.29</v>
      </c>
      <c r="D266">
        <v>40</v>
      </c>
    </row>
    <row r="267" spans="1:4">
      <c r="A267" t="s">
        <v>1619</v>
      </c>
      <c r="C267">
        <v>139.68</v>
      </c>
      <c r="D267">
        <v>41</v>
      </c>
    </row>
    <row r="268" spans="1:4">
      <c r="A268" t="s">
        <v>1620</v>
      </c>
      <c r="C268">
        <v>795.28</v>
      </c>
      <c r="D268">
        <v>40</v>
      </c>
    </row>
    <row r="269" spans="1:4">
      <c r="A269">
        <v>4</v>
      </c>
      <c r="C269">
        <v>58721.520000000011</v>
      </c>
      <c r="D269" t="s">
        <v>72</v>
      </c>
    </row>
    <row r="270" spans="1:4">
      <c r="A270" t="s">
        <v>1587</v>
      </c>
      <c r="C270">
        <v>30453.550000000003</v>
      </c>
      <c r="D270">
        <v>17</v>
      </c>
    </row>
    <row r="271" spans="1:4">
      <c r="A271" t="s">
        <v>1589</v>
      </c>
      <c r="C271">
        <v>334.98</v>
      </c>
      <c r="D271">
        <v>20</v>
      </c>
    </row>
    <row r="272" spans="1:4">
      <c r="A272" t="s">
        <v>1596</v>
      </c>
      <c r="C272">
        <v>195.99</v>
      </c>
      <c r="D272">
        <v>25</v>
      </c>
    </row>
    <row r="273" spans="1:4">
      <c r="A273" t="s">
        <v>1597</v>
      </c>
      <c r="C273">
        <v>4607</v>
      </c>
      <c r="D273">
        <v>25</v>
      </c>
    </row>
    <row r="274" spans="1:4">
      <c r="A274" t="s">
        <v>1598</v>
      </c>
      <c r="C274">
        <v>1541.89</v>
      </c>
      <c r="D274">
        <v>25</v>
      </c>
    </row>
    <row r="275" spans="1:4">
      <c r="A275" t="s">
        <v>1679</v>
      </c>
      <c r="C275">
        <v>-6500</v>
      </c>
      <c r="D275">
        <v>27</v>
      </c>
    </row>
    <row r="276" spans="1:4">
      <c r="A276" t="s">
        <v>1663</v>
      </c>
      <c r="C276">
        <v>6500</v>
      </c>
      <c r="D276">
        <v>27</v>
      </c>
    </row>
    <row r="277" spans="1:4">
      <c r="A277" t="s">
        <v>1604</v>
      </c>
      <c r="C277">
        <v>12229.130000000001</v>
      </c>
      <c r="D277">
        <v>29</v>
      </c>
    </row>
    <row r="278" spans="1:4">
      <c r="A278" t="s">
        <v>1611</v>
      </c>
      <c r="C278">
        <v>2400</v>
      </c>
      <c r="D278">
        <v>29</v>
      </c>
    </row>
    <row r="279" spans="1:4">
      <c r="A279" t="s">
        <v>1616</v>
      </c>
      <c r="C279">
        <v>371.19</v>
      </c>
      <c r="D279">
        <v>32</v>
      </c>
    </row>
    <row r="280" spans="1:4">
      <c r="A280" t="s">
        <v>1686</v>
      </c>
      <c r="C280">
        <v>2399.62</v>
      </c>
      <c r="D280">
        <v>37</v>
      </c>
    </row>
    <row r="281" spans="1:4">
      <c r="A281" t="s">
        <v>1618</v>
      </c>
      <c r="C281">
        <v>1925.02</v>
      </c>
      <c r="D281">
        <v>40</v>
      </c>
    </row>
    <row r="282" spans="1:4">
      <c r="A282" t="s">
        <v>1619</v>
      </c>
      <c r="C282">
        <v>338.11</v>
      </c>
      <c r="D282">
        <v>41</v>
      </c>
    </row>
    <row r="283" spans="1:4">
      <c r="A283" t="s">
        <v>1620</v>
      </c>
      <c r="C283">
        <v>1925.04</v>
      </c>
      <c r="D283">
        <v>40</v>
      </c>
    </row>
    <row r="284" spans="1:4">
      <c r="A284" t="s">
        <v>1627</v>
      </c>
      <c r="B284">
        <v>-2</v>
      </c>
      <c r="C284">
        <v>-80355.592000000135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246FF-FDA5-4725-AB3C-AF4B3D997CBE}">
  <sheetPr codeName="AcctCodes">
    <tabColor theme="7" tint="0.79998168889431442"/>
  </sheetPr>
  <dimension ref="A1:F1075"/>
  <sheetViews>
    <sheetView showGridLines="0" workbookViewId="0"/>
  </sheetViews>
  <sheetFormatPr defaultRowHeight="14.4"/>
  <cols>
    <col min="3" max="3" width="29.33203125" bestFit="1" customWidth="1"/>
    <col min="4" max="4" width="49.33203125" bestFit="1" customWidth="1"/>
  </cols>
  <sheetData>
    <row r="1" spans="1:6" ht="15.6">
      <c r="A1" t="s">
        <v>1502</v>
      </c>
      <c r="B1" s="161" t="s">
        <v>1503</v>
      </c>
      <c r="C1" s="161" t="s">
        <v>187</v>
      </c>
      <c r="D1" s="161" t="s">
        <v>188</v>
      </c>
      <c r="E1" s="161" t="s">
        <v>189</v>
      </c>
      <c r="F1" s="161" t="s">
        <v>190</v>
      </c>
    </row>
    <row r="2" spans="1:6">
      <c r="A2">
        <v>0</v>
      </c>
      <c r="B2" s="162">
        <v>8</v>
      </c>
      <c r="C2" s="163" t="s">
        <v>191</v>
      </c>
      <c r="D2" t="s">
        <v>192</v>
      </c>
      <c r="E2" s="225">
        <v>220000</v>
      </c>
      <c r="F2" s="225">
        <v>224999</v>
      </c>
    </row>
    <row r="3" spans="1:6">
      <c r="A3">
        <f>A2+1</f>
        <v>1</v>
      </c>
      <c r="B3" s="162">
        <v>8</v>
      </c>
      <c r="C3" s="163" t="s">
        <v>191</v>
      </c>
      <c r="D3" t="s">
        <v>193</v>
      </c>
      <c r="E3" s="164">
        <v>225000</v>
      </c>
      <c r="F3" s="164">
        <v>229996</v>
      </c>
    </row>
    <row r="4" spans="1:6">
      <c r="A4">
        <f t="shared" ref="A4:A67" si="0">A3+1</f>
        <v>2</v>
      </c>
      <c r="B4" s="162">
        <v>8</v>
      </c>
      <c r="C4" s="163" t="s">
        <v>191</v>
      </c>
      <c r="D4" t="s">
        <v>194</v>
      </c>
      <c r="E4" s="164">
        <v>229997</v>
      </c>
      <c r="F4" s="164">
        <v>229997</v>
      </c>
    </row>
    <row r="5" spans="1:6">
      <c r="A5">
        <f t="shared" si="0"/>
        <v>3</v>
      </c>
      <c r="B5" s="162">
        <v>8</v>
      </c>
      <c r="C5" s="163" t="s">
        <v>191</v>
      </c>
      <c r="D5" t="s">
        <v>195</v>
      </c>
      <c r="E5" s="164">
        <v>229998</v>
      </c>
      <c r="F5" s="164">
        <v>229998</v>
      </c>
    </row>
    <row r="6" spans="1:6">
      <c r="A6">
        <f t="shared" si="0"/>
        <v>4</v>
      </c>
      <c r="B6" s="162">
        <v>8</v>
      </c>
      <c r="C6" s="163" t="s">
        <v>191</v>
      </c>
      <c r="D6" t="s">
        <v>196</v>
      </c>
      <c r="E6" s="164">
        <v>229999</v>
      </c>
      <c r="F6" s="164">
        <v>229999</v>
      </c>
    </row>
    <row r="7" spans="1:6">
      <c r="A7">
        <f t="shared" si="0"/>
        <v>5</v>
      </c>
      <c r="B7" s="162">
        <v>9</v>
      </c>
      <c r="C7" s="163" t="s">
        <v>197</v>
      </c>
      <c r="D7" t="s">
        <v>198</v>
      </c>
      <c r="E7" s="164">
        <v>200000</v>
      </c>
      <c r="F7" s="164">
        <v>200000</v>
      </c>
    </row>
    <row r="8" spans="1:6">
      <c r="A8">
        <f t="shared" si="0"/>
        <v>6</v>
      </c>
      <c r="B8" s="162">
        <v>9</v>
      </c>
      <c r="C8" s="163" t="s">
        <v>197</v>
      </c>
      <c r="D8" t="s">
        <v>199</v>
      </c>
      <c r="E8" s="164">
        <v>200100</v>
      </c>
      <c r="F8" s="164">
        <v>200999</v>
      </c>
    </row>
    <row r="9" spans="1:6">
      <c r="A9">
        <f t="shared" si="0"/>
        <v>7</v>
      </c>
      <c r="B9" s="162">
        <v>9</v>
      </c>
      <c r="C9" s="163" t="s">
        <v>197</v>
      </c>
      <c r="D9" t="s">
        <v>200</v>
      </c>
      <c r="E9" s="164">
        <v>201000</v>
      </c>
      <c r="F9" s="164">
        <v>201997</v>
      </c>
    </row>
    <row r="10" spans="1:6">
      <c r="A10">
        <f t="shared" si="0"/>
        <v>8</v>
      </c>
      <c r="B10" s="162">
        <v>9</v>
      </c>
      <c r="C10" s="163" t="s">
        <v>197</v>
      </c>
      <c r="D10" t="s">
        <v>201</v>
      </c>
      <c r="E10" s="164">
        <v>202000</v>
      </c>
      <c r="F10" s="164">
        <v>202000</v>
      </c>
    </row>
    <row r="11" spans="1:6">
      <c r="A11">
        <f t="shared" si="0"/>
        <v>9</v>
      </c>
      <c r="B11" s="162">
        <v>9</v>
      </c>
      <c r="C11" s="163" t="s">
        <v>197</v>
      </c>
      <c r="D11" t="s">
        <v>202</v>
      </c>
      <c r="E11" s="164">
        <v>202001</v>
      </c>
      <c r="F11" s="164">
        <v>202001</v>
      </c>
    </row>
    <row r="12" spans="1:6">
      <c r="A12">
        <f t="shared" si="0"/>
        <v>10</v>
      </c>
      <c r="B12" s="162">
        <v>9</v>
      </c>
      <c r="C12" s="163" t="s">
        <v>197</v>
      </c>
      <c r="D12" t="s">
        <v>203</v>
      </c>
      <c r="E12" s="164">
        <v>202002</v>
      </c>
      <c r="F12" s="164">
        <v>202002</v>
      </c>
    </row>
    <row r="13" spans="1:6">
      <c r="A13">
        <f t="shared" si="0"/>
        <v>11</v>
      </c>
      <c r="B13" s="162">
        <v>9</v>
      </c>
      <c r="C13" s="163" t="s">
        <v>197</v>
      </c>
      <c r="D13" t="s">
        <v>204</v>
      </c>
      <c r="E13" s="164">
        <v>202003</v>
      </c>
      <c r="F13" s="164">
        <v>202003</v>
      </c>
    </row>
    <row r="14" spans="1:6">
      <c r="A14">
        <f t="shared" si="0"/>
        <v>12</v>
      </c>
      <c r="B14" s="162">
        <v>9</v>
      </c>
      <c r="C14" s="163" t="s">
        <v>197</v>
      </c>
      <c r="D14" t="s">
        <v>205</v>
      </c>
      <c r="E14" s="164">
        <v>202004</v>
      </c>
      <c r="F14" s="164">
        <v>202004</v>
      </c>
    </row>
    <row r="15" spans="1:6">
      <c r="A15">
        <f t="shared" si="0"/>
        <v>13</v>
      </c>
      <c r="B15" s="162">
        <v>9</v>
      </c>
      <c r="C15" s="163" t="s">
        <v>197</v>
      </c>
      <c r="D15" t="s">
        <v>206</v>
      </c>
      <c r="E15" s="164">
        <v>202005</v>
      </c>
      <c r="F15" s="164">
        <v>202005</v>
      </c>
    </row>
    <row r="16" spans="1:6">
      <c r="A16">
        <f t="shared" si="0"/>
        <v>14</v>
      </c>
      <c r="B16" s="162">
        <v>9</v>
      </c>
      <c r="C16" s="163" t="s">
        <v>197</v>
      </c>
      <c r="D16" t="s">
        <v>207</v>
      </c>
      <c r="E16" s="164">
        <v>202006</v>
      </c>
      <c r="F16" s="164">
        <v>202006</v>
      </c>
    </row>
    <row r="17" spans="1:6">
      <c r="A17">
        <f t="shared" si="0"/>
        <v>15</v>
      </c>
      <c r="B17" s="162">
        <v>9</v>
      </c>
      <c r="C17" s="163" t="s">
        <v>197</v>
      </c>
      <c r="D17" t="s">
        <v>208</v>
      </c>
      <c r="E17" s="164">
        <v>230000</v>
      </c>
      <c r="F17" s="164">
        <v>237999</v>
      </c>
    </row>
    <row r="18" spans="1:6">
      <c r="A18">
        <f t="shared" si="0"/>
        <v>16</v>
      </c>
      <c r="B18" s="162">
        <v>9</v>
      </c>
      <c r="C18" s="163" t="s">
        <v>197</v>
      </c>
      <c r="D18" t="s">
        <v>209</v>
      </c>
      <c r="E18" s="164">
        <v>250000</v>
      </c>
      <c r="F18" s="164">
        <v>250099</v>
      </c>
    </row>
    <row r="19" spans="1:6">
      <c r="A19">
        <f t="shared" si="0"/>
        <v>17</v>
      </c>
      <c r="B19" s="162">
        <v>9</v>
      </c>
      <c r="C19" s="163" t="s">
        <v>197</v>
      </c>
      <c r="D19" t="s">
        <v>210</v>
      </c>
      <c r="E19" s="164">
        <v>250100</v>
      </c>
      <c r="F19" s="164">
        <v>254999</v>
      </c>
    </row>
    <row r="20" spans="1:6">
      <c r="A20">
        <f t="shared" si="0"/>
        <v>18</v>
      </c>
      <c r="B20" s="162">
        <v>9</v>
      </c>
      <c r="C20" s="163" t="s">
        <v>197</v>
      </c>
      <c r="D20" t="s">
        <v>211</v>
      </c>
      <c r="E20" s="164">
        <v>255000</v>
      </c>
      <c r="F20" s="164">
        <v>259997</v>
      </c>
    </row>
    <row r="21" spans="1:6">
      <c r="A21">
        <f t="shared" si="0"/>
        <v>19</v>
      </c>
      <c r="B21" s="162">
        <v>9</v>
      </c>
      <c r="C21" s="163" t="s">
        <v>197</v>
      </c>
      <c r="D21" t="s">
        <v>212</v>
      </c>
      <c r="E21" s="164">
        <v>280000</v>
      </c>
      <c r="F21" s="164">
        <v>280099</v>
      </c>
    </row>
    <row r="22" spans="1:6">
      <c r="A22">
        <f t="shared" si="0"/>
        <v>20</v>
      </c>
      <c r="B22" s="162">
        <v>9</v>
      </c>
      <c r="C22" s="163" t="s">
        <v>197</v>
      </c>
      <c r="D22" t="s">
        <v>213</v>
      </c>
      <c r="E22" s="164">
        <v>280100</v>
      </c>
      <c r="F22" s="164">
        <v>284999</v>
      </c>
    </row>
    <row r="23" spans="1:6">
      <c r="A23">
        <f t="shared" si="0"/>
        <v>21</v>
      </c>
      <c r="B23" s="162">
        <v>9</v>
      </c>
      <c r="C23" s="163" t="s">
        <v>197</v>
      </c>
      <c r="D23" t="s">
        <v>214</v>
      </c>
      <c r="E23" s="164">
        <v>285000</v>
      </c>
      <c r="F23" s="164">
        <v>289997</v>
      </c>
    </row>
    <row r="24" spans="1:6">
      <c r="A24">
        <f t="shared" si="0"/>
        <v>22</v>
      </c>
      <c r="B24" s="162">
        <v>9</v>
      </c>
      <c r="C24" s="163" t="s">
        <v>197</v>
      </c>
      <c r="D24" t="s">
        <v>215</v>
      </c>
      <c r="E24" s="164">
        <v>289998</v>
      </c>
      <c r="F24" s="164">
        <v>289998</v>
      </c>
    </row>
    <row r="25" spans="1:6">
      <c r="A25">
        <f t="shared" si="0"/>
        <v>23</v>
      </c>
      <c r="B25" s="162">
        <v>9</v>
      </c>
      <c r="C25" s="163" t="s">
        <v>197</v>
      </c>
      <c r="D25" t="s">
        <v>216</v>
      </c>
      <c r="E25" s="164">
        <v>289999</v>
      </c>
      <c r="F25" s="164">
        <v>289999</v>
      </c>
    </row>
    <row r="26" spans="1:6">
      <c r="A26">
        <f t="shared" si="0"/>
        <v>24</v>
      </c>
      <c r="B26" s="162">
        <v>9</v>
      </c>
      <c r="C26" s="163" t="s">
        <v>197</v>
      </c>
      <c r="D26" t="s">
        <v>217</v>
      </c>
      <c r="E26" s="164">
        <v>310000</v>
      </c>
      <c r="F26" s="164">
        <v>310099</v>
      </c>
    </row>
    <row r="27" spans="1:6">
      <c r="A27">
        <f t="shared" si="0"/>
        <v>25</v>
      </c>
      <c r="B27" s="162">
        <v>9</v>
      </c>
      <c r="C27" s="163" t="s">
        <v>197</v>
      </c>
      <c r="D27" t="s">
        <v>218</v>
      </c>
      <c r="E27" s="164">
        <v>310100</v>
      </c>
      <c r="F27" s="164">
        <v>310999</v>
      </c>
    </row>
    <row r="28" spans="1:6">
      <c r="A28">
        <f t="shared" si="0"/>
        <v>26</v>
      </c>
      <c r="B28" s="162">
        <v>9</v>
      </c>
      <c r="C28" s="163" t="s">
        <v>197</v>
      </c>
      <c r="D28" t="s">
        <v>219</v>
      </c>
      <c r="E28" s="164">
        <v>311000</v>
      </c>
      <c r="F28" s="164">
        <v>311999</v>
      </c>
    </row>
    <row r="29" spans="1:6">
      <c r="A29">
        <f t="shared" si="0"/>
        <v>27</v>
      </c>
      <c r="B29" s="162">
        <v>9</v>
      </c>
      <c r="C29" s="163" t="s">
        <v>197</v>
      </c>
      <c r="D29" t="s">
        <v>220</v>
      </c>
      <c r="E29" s="164">
        <v>315000</v>
      </c>
      <c r="F29" s="164">
        <v>315099</v>
      </c>
    </row>
    <row r="30" spans="1:6">
      <c r="A30">
        <f t="shared" si="0"/>
        <v>28</v>
      </c>
      <c r="B30" s="162">
        <v>9</v>
      </c>
      <c r="C30" s="163" t="s">
        <v>197</v>
      </c>
      <c r="D30" t="s">
        <v>221</v>
      </c>
      <c r="E30" s="164">
        <v>315100</v>
      </c>
      <c r="F30" s="164">
        <v>315199</v>
      </c>
    </row>
    <row r="31" spans="1:6">
      <c r="A31">
        <f t="shared" si="0"/>
        <v>29</v>
      </c>
      <c r="B31" s="162">
        <v>9</v>
      </c>
      <c r="C31" s="163" t="s">
        <v>197</v>
      </c>
      <c r="D31" t="s">
        <v>222</v>
      </c>
      <c r="E31" s="164">
        <v>315200</v>
      </c>
      <c r="F31" s="164">
        <v>315299</v>
      </c>
    </row>
    <row r="32" spans="1:6">
      <c r="A32">
        <f t="shared" si="0"/>
        <v>30</v>
      </c>
      <c r="B32" s="162">
        <v>9</v>
      </c>
      <c r="C32" s="163" t="s">
        <v>197</v>
      </c>
      <c r="D32" t="s">
        <v>223</v>
      </c>
      <c r="E32" s="164">
        <v>315300</v>
      </c>
      <c r="F32" s="164">
        <v>315399</v>
      </c>
    </row>
    <row r="33" spans="1:6">
      <c r="A33">
        <f t="shared" si="0"/>
        <v>31</v>
      </c>
      <c r="B33" s="162">
        <v>9</v>
      </c>
      <c r="C33" s="163" t="s">
        <v>197</v>
      </c>
      <c r="D33" t="s">
        <v>224</v>
      </c>
      <c r="E33" s="164">
        <v>315400</v>
      </c>
      <c r="F33" s="164">
        <v>315499</v>
      </c>
    </row>
    <row r="34" spans="1:6">
      <c r="A34">
        <f t="shared" si="0"/>
        <v>32</v>
      </c>
      <c r="B34" s="162">
        <v>9</v>
      </c>
      <c r="C34" s="163" t="s">
        <v>197</v>
      </c>
      <c r="D34" t="s">
        <v>225</v>
      </c>
      <c r="E34" s="164">
        <v>315500</v>
      </c>
      <c r="F34" s="164">
        <v>315599</v>
      </c>
    </row>
    <row r="35" spans="1:6">
      <c r="A35">
        <f t="shared" si="0"/>
        <v>33</v>
      </c>
      <c r="B35" s="162">
        <v>9</v>
      </c>
      <c r="C35" s="163" t="s">
        <v>197</v>
      </c>
      <c r="D35" t="s">
        <v>226</v>
      </c>
      <c r="E35" s="164">
        <v>315600</v>
      </c>
      <c r="F35" s="164">
        <v>315699</v>
      </c>
    </row>
    <row r="36" spans="1:6">
      <c r="A36">
        <f t="shared" si="0"/>
        <v>34</v>
      </c>
      <c r="B36" s="162">
        <v>9</v>
      </c>
      <c r="C36" s="163" t="s">
        <v>197</v>
      </c>
      <c r="D36" t="s">
        <v>227</v>
      </c>
      <c r="E36" s="164">
        <v>315700</v>
      </c>
      <c r="F36" s="164">
        <v>315799</v>
      </c>
    </row>
    <row r="37" spans="1:6">
      <c r="A37">
        <f t="shared" si="0"/>
        <v>35</v>
      </c>
      <c r="B37" s="162">
        <v>9</v>
      </c>
      <c r="C37" s="163" t="s">
        <v>197</v>
      </c>
      <c r="D37" t="s">
        <v>228</v>
      </c>
      <c r="E37" s="164">
        <v>320000</v>
      </c>
      <c r="F37" s="164">
        <v>320099</v>
      </c>
    </row>
    <row r="38" spans="1:6">
      <c r="A38">
        <f t="shared" si="0"/>
        <v>36</v>
      </c>
      <c r="B38" s="162">
        <v>9</v>
      </c>
      <c r="C38" s="163" t="s">
        <v>197</v>
      </c>
      <c r="D38" t="s">
        <v>229</v>
      </c>
      <c r="E38" s="164">
        <v>320100</v>
      </c>
      <c r="F38" s="164">
        <v>320999</v>
      </c>
    </row>
    <row r="39" spans="1:6">
      <c r="A39">
        <f t="shared" si="0"/>
        <v>37</v>
      </c>
      <c r="B39" s="162">
        <v>9</v>
      </c>
      <c r="C39" s="163" t="s">
        <v>197</v>
      </c>
      <c r="D39" t="s">
        <v>230</v>
      </c>
      <c r="E39" s="164">
        <v>321000</v>
      </c>
      <c r="F39" s="164">
        <v>321997</v>
      </c>
    </row>
    <row r="40" spans="1:6">
      <c r="A40">
        <f t="shared" si="0"/>
        <v>38</v>
      </c>
      <c r="B40" s="162">
        <v>9</v>
      </c>
      <c r="C40" s="163" t="s">
        <v>197</v>
      </c>
      <c r="D40" t="s">
        <v>231</v>
      </c>
      <c r="E40" s="164">
        <v>325000</v>
      </c>
      <c r="F40" s="164">
        <v>325099</v>
      </c>
    </row>
    <row r="41" spans="1:6">
      <c r="A41">
        <f t="shared" si="0"/>
        <v>39</v>
      </c>
      <c r="B41" s="162">
        <v>9</v>
      </c>
      <c r="C41" s="163" t="s">
        <v>197</v>
      </c>
      <c r="D41" t="s">
        <v>232</v>
      </c>
      <c r="E41" s="164">
        <v>325100</v>
      </c>
      <c r="F41" s="164">
        <v>332999</v>
      </c>
    </row>
    <row r="42" spans="1:6">
      <c r="A42">
        <f t="shared" si="0"/>
        <v>40</v>
      </c>
      <c r="B42" s="162">
        <v>9</v>
      </c>
      <c r="C42" s="163" t="s">
        <v>197</v>
      </c>
      <c r="D42" t="s">
        <v>233</v>
      </c>
      <c r="E42" s="164">
        <v>333000</v>
      </c>
      <c r="F42" s="164">
        <v>334996</v>
      </c>
    </row>
    <row r="43" spans="1:6">
      <c r="A43">
        <f t="shared" si="0"/>
        <v>41</v>
      </c>
      <c r="B43" s="162">
        <v>9</v>
      </c>
      <c r="C43" s="163" t="s">
        <v>197</v>
      </c>
      <c r="D43" t="s">
        <v>234</v>
      </c>
      <c r="E43" s="164">
        <v>334997</v>
      </c>
      <c r="F43" s="164">
        <v>334997</v>
      </c>
    </row>
    <row r="44" spans="1:6">
      <c r="A44">
        <f t="shared" si="0"/>
        <v>42</v>
      </c>
      <c r="B44" s="162">
        <v>9</v>
      </c>
      <c r="C44" s="163" t="s">
        <v>197</v>
      </c>
      <c r="D44" t="s">
        <v>235</v>
      </c>
      <c r="E44" s="164">
        <v>355000</v>
      </c>
      <c r="F44" s="164">
        <v>355099</v>
      </c>
    </row>
    <row r="45" spans="1:6">
      <c r="A45">
        <f t="shared" si="0"/>
        <v>43</v>
      </c>
      <c r="B45" s="162">
        <v>9</v>
      </c>
      <c r="C45" s="163" t="s">
        <v>197</v>
      </c>
      <c r="D45" t="s">
        <v>236</v>
      </c>
      <c r="E45" s="164">
        <v>355100</v>
      </c>
      <c r="F45" s="164">
        <v>355199</v>
      </c>
    </row>
    <row r="46" spans="1:6">
      <c r="A46">
        <f t="shared" si="0"/>
        <v>44</v>
      </c>
      <c r="B46" s="162">
        <v>9</v>
      </c>
      <c r="C46" s="163" t="s">
        <v>197</v>
      </c>
      <c r="D46" t="s">
        <v>237</v>
      </c>
      <c r="E46" s="164">
        <v>355200</v>
      </c>
      <c r="F46" s="164">
        <v>355299</v>
      </c>
    </row>
    <row r="47" spans="1:6">
      <c r="A47">
        <f t="shared" si="0"/>
        <v>45</v>
      </c>
      <c r="B47" s="162">
        <v>9</v>
      </c>
      <c r="C47" s="163" t="s">
        <v>197</v>
      </c>
      <c r="D47" t="s">
        <v>238</v>
      </c>
      <c r="E47" s="164">
        <v>355300</v>
      </c>
      <c r="F47" s="164">
        <v>355399</v>
      </c>
    </row>
    <row r="48" spans="1:6">
      <c r="A48">
        <f t="shared" si="0"/>
        <v>46</v>
      </c>
      <c r="B48" s="162">
        <v>9</v>
      </c>
      <c r="C48" s="163" t="s">
        <v>197</v>
      </c>
      <c r="D48" t="s">
        <v>239</v>
      </c>
      <c r="E48" s="164">
        <v>355400</v>
      </c>
      <c r="F48" s="164">
        <v>355499</v>
      </c>
    </row>
    <row r="49" spans="1:6">
      <c r="A49">
        <f t="shared" si="0"/>
        <v>47</v>
      </c>
      <c r="B49" s="162">
        <v>9</v>
      </c>
      <c r="C49" s="163" t="s">
        <v>197</v>
      </c>
      <c r="D49" t="s">
        <v>240</v>
      </c>
      <c r="E49" s="164">
        <v>355500</v>
      </c>
      <c r="F49" s="164">
        <v>355599</v>
      </c>
    </row>
    <row r="50" spans="1:6">
      <c r="A50">
        <f t="shared" si="0"/>
        <v>48</v>
      </c>
      <c r="B50" s="162">
        <v>9</v>
      </c>
      <c r="C50" s="163" t="s">
        <v>197</v>
      </c>
      <c r="D50" t="s">
        <v>241</v>
      </c>
      <c r="E50" s="164">
        <v>355700</v>
      </c>
      <c r="F50" s="164">
        <v>355799</v>
      </c>
    </row>
    <row r="51" spans="1:6">
      <c r="A51">
        <f t="shared" si="0"/>
        <v>49</v>
      </c>
      <c r="B51" s="162">
        <v>9</v>
      </c>
      <c r="C51" s="163" t="s">
        <v>197</v>
      </c>
      <c r="D51" t="s">
        <v>242</v>
      </c>
      <c r="E51" s="164">
        <v>380000</v>
      </c>
      <c r="F51" s="164">
        <v>380099</v>
      </c>
    </row>
    <row r="52" spans="1:6">
      <c r="A52">
        <f t="shared" si="0"/>
        <v>50</v>
      </c>
      <c r="B52" s="162">
        <v>9</v>
      </c>
      <c r="C52" s="163" t="s">
        <v>197</v>
      </c>
      <c r="D52" t="s">
        <v>243</v>
      </c>
      <c r="E52" s="164">
        <v>380100</v>
      </c>
      <c r="F52" s="164">
        <v>384999</v>
      </c>
    </row>
    <row r="53" spans="1:6">
      <c r="A53">
        <f t="shared" si="0"/>
        <v>51</v>
      </c>
      <c r="B53" s="162">
        <v>9</v>
      </c>
      <c r="C53" s="163" t="s">
        <v>197</v>
      </c>
      <c r="D53" t="s">
        <v>244</v>
      </c>
      <c r="E53" s="164">
        <v>385000</v>
      </c>
      <c r="F53" s="164">
        <v>389999</v>
      </c>
    </row>
    <row r="54" spans="1:6">
      <c r="A54">
        <f t="shared" si="0"/>
        <v>52</v>
      </c>
      <c r="B54" s="162">
        <v>9</v>
      </c>
      <c r="C54" s="163" t="s">
        <v>197</v>
      </c>
      <c r="D54" t="s">
        <v>245</v>
      </c>
      <c r="E54" s="164">
        <v>390000</v>
      </c>
      <c r="F54" s="164">
        <v>390000</v>
      </c>
    </row>
    <row r="55" spans="1:6">
      <c r="A55">
        <f t="shared" si="0"/>
        <v>53</v>
      </c>
      <c r="B55" s="162">
        <v>9</v>
      </c>
      <c r="C55" s="163" t="s">
        <v>197</v>
      </c>
      <c r="D55" t="s">
        <v>246</v>
      </c>
      <c r="E55" s="164">
        <v>390001</v>
      </c>
      <c r="F55" s="164">
        <v>390001</v>
      </c>
    </row>
    <row r="56" spans="1:6">
      <c r="A56">
        <f t="shared" si="0"/>
        <v>54</v>
      </c>
      <c r="B56" s="162">
        <v>9</v>
      </c>
      <c r="C56" s="163" t="s">
        <v>197</v>
      </c>
      <c r="D56" t="s">
        <v>247</v>
      </c>
      <c r="E56" s="164">
        <v>390002</v>
      </c>
      <c r="F56" s="164">
        <v>390002</v>
      </c>
    </row>
    <row r="57" spans="1:6">
      <c r="A57">
        <f t="shared" si="0"/>
        <v>55</v>
      </c>
      <c r="B57" s="162">
        <v>9</v>
      </c>
      <c r="C57" s="163" t="s">
        <v>197</v>
      </c>
      <c r="D57" t="s">
        <v>248</v>
      </c>
      <c r="E57" s="164">
        <v>390003</v>
      </c>
      <c r="F57" s="164">
        <v>390003</v>
      </c>
    </row>
    <row r="58" spans="1:6">
      <c r="A58">
        <f t="shared" si="0"/>
        <v>56</v>
      </c>
      <c r="B58" s="162">
        <v>9</v>
      </c>
      <c r="C58" s="163" t="s">
        <v>197</v>
      </c>
      <c r="D58" t="s">
        <v>249</v>
      </c>
      <c r="E58" s="164">
        <v>390004</v>
      </c>
      <c r="F58" s="164">
        <v>390004</v>
      </c>
    </row>
    <row r="59" spans="1:6">
      <c r="A59">
        <f t="shared" si="0"/>
        <v>57</v>
      </c>
      <c r="B59" s="162">
        <v>9</v>
      </c>
      <c r="C59" s="163" t="s">
        <v>197</v>
      </c>
      <c r="D59" t="s">
        <v>250</v>
      </c>
      <c r="E59" s="164">
        <v>390005</v>
      </c>
      <c r="F59" s="164">
        <v>390005</v>
      </c>
    </row>
    <row r="60" spans="1:6">
      <c r="A60">
        <f t="shared" si="0"/>
        <v>58</v>
      </c>
      <c r="B60" s="162">
        <v>9</v>
      </c>
      <c r="C60" s="163" t="s">
        <v>197</v>
      </c>
      <c r="D60" t="s">
        <v>251</v>
      </c>
      <c r="E60" s="164">
        <v>390006</v>
      </c>
      <c r="F60" s="164">
        <v>390006</v>
      </c>
    </row>
    <row r="61" spans="1:6">
      <c r="A61">
        <f t="shared" si="0"/>
        <v>59</v>
      </c>
      <c r="B61" s="162">
        <v>9</v>
      </c>
      <c r="C61" s="163" t="s">
        <v>197</v>
      </c>
      <c r="D61" t="s">
        <v>252</v>
      </c>
      <c r="E61" s="164">
        <v>390007</v>
      </c>
      <c r="F61" s="164">
        <v>390007</v>
      </c>
    </row>
    <row r="62" spans="1:6">
      <c r="A62">
        <f t="shared" si="0"/>
        <v>60</v>
      </c>
      <c r="B62" s="162">
        <v>9</v>
      </c>
      <c r="C62" s="163" t="s">
        <v>197</v>
      </c>
      <c r="D62" t="s">
        <v>253</v>
      </c>
      <c r="E62" s="164">
        <v>390008</v>
      </c>
      <c r="F62" s="164">
        <v>390008</v>
      </c>
    </row>
    <row r="63" spans="1:6">
      <c r="A63">
        <f t="shared" si="0"/>
        <v>61</v>
      </c>
      <c r="B63" s="162">
        <v>9</v>
      </c>
      <c r="C63" s="163" t="s">
        <v>197</v>
      </c>
      <c r="D63" t="s">
        <v>254</v>
      </c>
      <c r="E63" s="164">
        <v>390009</v>
      </c>
      <c r="F63" s="164">
        <v>390009</v>
      </c>
    </row>
    <row r="64" spans="1:6">
      <c r="A64">
        <f t="shared" si="0"/>
        <v>62</v>
      </c>
      <c r="B64" s="162">
        <v>9</v>
      </c>
      <c r="C64" s="163" t="s">
        <v>197</v>
      </c>
      <c r="D64" t="s">
        <v>255</v>
      </c>
      <c r="E64" s="164">
        <v>390010</v>
      </c>
      <c r="F64" s="164">
        <v>390010</v>
      </c>
    </row>
    <row r="65" spans="1:6">
      <c r="A65">
        <f t="shared" si="0"/>
        <v>63</v>
      </c>
      <c r="B65" s="162">
        <v>9</v>
      </c>
      <c r="C65" s="163" t="s">
        <v>197</v>
      </c>
      <c r="D65" t="s">
        <v>256</v>
      </c>
      <c r="E65" s="164">
        <v>390011</v>
      </c>
      <c r="F65" s="164">
        <v>390011</v>
      </c>
    </row>
    <row r="66" spans="1:6">
      <c r="A66">
        <f t="shared" si="0"/>
        <v>64</v>
      </c>
      <c r="B66" s="162">
        <v>9</v>
      </c>
      <c r="C66" s="163" t="s">
        <v>197</v>
      </c>
      <c r="D66" t="s">
        <v>257</v>
      </c>
      <c r="E66" s="164">
        <v>390012</v>
      </c>
      <c r="F66" s="164">
        <v>390012</v>
      </c>
    </row>
    <row r="67" spans="1:6">
      <c r="A67">
        <f t="shared" si="0"/>
        <v>65</v>
      </c>
      <c r="B67" s="162">
        <v>9</v>
      </c>
      <c r="C67" s="163" t="s">
        <v>197</v>
      </c>
      <c r="D67" t="s">
        <v>258</v>
      </c>
      <c r="E67" s="164">
        <v>390013</v>
      </c>
      <c r="F67" s="164">
        <v>390013</v>
      </c>
    </row>
    <row r="68" spans="1:6">
      <c r="A68">
        <f t="shared" ref="A68:A131" si="1">A67+1</f>
        <v>66</v>
      </c>
      <c r="B68" s="162">
        <v>9</v>
      </c>
      <c r="C68" s="163" t="s">
        <v>197</v>
      </c>
      <c r="D68" t="s">
        <v>259</v>
      </c>
      <c r="E68" s="164">
        <v>390014</v>
      </c>
      <c r="F68" s="164">
        <v>390014</v>
      </c>
    </row>
    <row r="69" spans="1:6">
      <c r="A69">
        <f t="shared" si="1"/>
        <v>67</v>
      </c>
      <c r="B69" s="162">
        <v>9</v>
      </c>
      <c r="C69" s="163" t="s">
        <v>197</v>
      </c>
      <c r="D69" t="s">
        <v>260</v>
      </c>
      <c r="E69" s="164">
        <v>390015</v>
      </c>
      <c r="F69" s="164">
        <v>390015</v>
      </c>
    </row>
    <row r="70" spans="1:6">
      <c r="A70">
        <f t="shared" si="1"/>
        <v>68</v>
      </c>
      <c r="B70" s="162">
        <v>9</v>
      </c>
      <c r="C70" s="163" t="s">
        <v>197</v>
      </c>
      <c r="D70" t="s">
        <v>261</v>
      </c>
      <c r="E70" s="164">
        <v>390016</v>
      </c>
      <c r="F70" s="164">
        <v>390016</v>
      </c>
    </row>
    <row r="71" spans="1:6">
      <c r="A71">
        <f t="shared" si="1"/>
        <v>69</v>
      </c>
      <c r="B71" s="162">
        <v>9</v>
      </c>
      <c r="C71" s="163" t="s">
        <v>197</v>
      </c>
      <c r="D71" t="s">
        <v>262</v>
      </c>
      <c r="E71" s="164">
        <v>390017</v>
      </c>
      <c r="F71" s="164">
        <v>390017</v>
      </c>
    </row>
    <row r="72" spans="1:6">
      <c r="A72">
        <f t="shared" si="1"/>
        <v>70</v>
      </c>
      <c r="B72" s="162">
        <v>9</v>
      </c>
      <c r="C72" s="163" t="s">
        <v>197</v>
      </c>
      <c r="D72" t="s">
        <v>263</v>
      </c>
      <c r="E72" s="164">
        <v>390018</v>
      </c>
      <c r="F72" s="164">
        <v>390018</v>
      </c>
    </row>
    <row r="73" spans="1:6">
      <c r="A73">
        <f t="shared" si="1"/>
        <v>71</v>
      </c>
      <c r="B73" s="162">
        <v>9</v>
      </c>
      <c r="C73" s="163" t="s">
        <v>197</v>
      </c>
      <c r="D73" t="s">
        <v>264</v>
      </c>
      <c r="E73" s="164">
        <v>390019</v>
      </c>
      <c r="F73" s="164">
        <v>390019</v>
      </c>
    </row>
    <row r="74" spans="1:6">
      <c r="A74">
        <f t="shared" si="1"/>
        <v>72</v>
      </c>
      <c r="B74" s="162">
        <v>9</v>
      </c>
      <c r="C74" s="163" t="s">
        <v>197</v>
      </c>
      <c r="D74" t="s">
        <v>265</v>
      </c>
      <c r="E74" s="164">
        <v>390020</v>
      </c>
      <c r="F74" s="164">
        <v>390020</v>
      </c>
    </row>
    <row r="75" spans="1:6">
      <c r="A75">
        <f t="shared" si="1"/>
        <v>73</v>
      </c>
      <c r="B75" s="162">
        <v>9</v>
      </c>
      <c r="C75" s="163" t="s">
        <v>197</v>
      </c>
      <c r="D75" t="s">
        <v>266</v>
      </c>
      <c r="E75" s="164">
        <v>390021</v>
      </c>
      <c r="F75" s="164">
        <v>390021</v>
      </c>
    </row>
    <row r="76" spans="1:6">
      <c r="A76">
        <f t="shared" si="1"/>
        <v>74</v>
      </c>
      <c r="B76" s="162">
        <v>9</v>
      </c>
      <c r="C76" s="163" t="s">
        <v>197</v>
      </c>
      <c r="D76" t="s">
        <v>267</v>
      </c>
      <c r="E76" s="164">
        <v>390022</v>
      </c>
      <c r="F76" s="164">
        <v>390022</v>
      </c>
    </row>
    <row r="77" spans="1:6">
      <c r="A77">
        <f t="shared" si="1"/>
        <v>75</v>
      </c>
      <c r="B77" s="162">
        <v>9</v>
      </c>
      <c r="C77" s="163" t="s">
        <v>197</v>
      </c>
      <c r="D77" t="s">
        <v>268</v>
      </c>
      <c r="E77" s="164">
        <v>390023</v>
      </c>
      <c r="F77" s="164">
        <v>390023</v>
      </c>
    </row>
    <row r="78" spans="1:6">
      <c r="A78">
        <f t="shared" si="1"/>
        <v>76</v>
      </c>
      <c r="B78" s="162">
        <v>9</v>
      </c>
      <c r="C78" s="163" t="s">
        <v>197</v>
      </c>
      <c r="D78" t="s">
        <v>269</v>
      </c>
      <c r="E78" s="164">
        <v>390024</v>
      </c>
      <c r="F78" s="164">
        <v>390024</v>
      </c>
    </row>
    <row r="79" spans="1:6">
      <c r="A79">
        <f t="shared" si="1"/>
        <v>77</v>
      </c>
      <c r="B79" s="162">
        <v>9</v>
      </c>
      <c r="C79" s="163" t="s">
        <v>197</v>
      </c>
      <c r="D79" t="s">
        <v>270</v>
      </c>
      <c r="E79" s="164">
        <v>390025</v>
      </c>
      <c r="F79" s="164">
        <v>390025</v>
      </c>
    </row>
    <row r="80" spans="1:6">
      <c r="A80">
        <f t="shared" si="1"/>
        <v>78</v>
      </c>
      <c r="B80" s="162">
        <v>9</v>
      </c>
      <c r="C80" s="163" t="s">
        <v>197</v>
      </c>
      <c r="D80" t="s">
        <v>271</v>
      </c>
      <c r="E80" s="164">
        <v>390026</v>
      </c>
      <c r="F80" s="164">
        <v>390026</v>
      </c>
    </row>
    <row r="81" spans="1:6">
      <c r="A81">
        <f t="shared" si="1"/>
        <v>79</v>
      </c>
      <c r="B81" s="162">
        <v>9</v>
      </c>
      <c r="C81" s="163" t="s">
        <v>197</v>
      </c>
      <c r="D81" t="s">
        <v>272</v>
      </c>
      <c r="E81" s="164">
        <v>390027</v>
      </c>
      <c r="F81" s="164">
        <v>390027</v>
      </c>
    </row>
    <row r="82" spans="1:6">
      <c r="A82">
        <f t="shared" si="1"/>
        <v>80</v>
      </c>
      <c r="B82" s="162">
        <v>9</v>
      </c>
      <c r="C82" s="163" t="s">
        <v>197</v>
      </c>
      <c r="D82" t="s">
        <v>273</v>
      </c>
      <c r="E82" s="164">
        <v>390029</v>
      </c>
      <c r="F82" s="164">
        <v>390029</v>
      </c>
    </row>
    <row r="83" spans="1:6">
      <c r="A83">
        <f t="shared" si="1"/>
        <v>81</v>
      </c>
      <c r="B83" s="162">
        <v>9</v>
      </c>
      <c r="C83" s="163" t="s">
        <v>197</v>
      </c>
      <c r="D83" t="s">
        <v>274</v>
      </c>
      <c r="E83" s="164">
        <v>390030</v>
      </c>
      <c r="F83" s="164">
        <v>390030</v>
      </c>
    </row>
    <row r="84" spans="1:6">
      <c r="A84">
        <f t="shared" si="1"/>
        <v>82</v>
      </c>
      <c r="B84" s="162">
        <v>9</v>
      </c>
      <c r="C84" s="163" t="s">
        <v>197</v>
      </c>
      <c r="D84" t="s">
        <v>275</v>
      </c>
      <c r="E84" s="164">
        <v>390031</v>
      </c>
      <c r="F84" s="164">
        <v>390031</v>
      </c>
    </row>
    <row r="85" spans="1:6">
      <c r="A85">
        <f t="shared" si="1"/>
        <v>83</v>
      </c>
      <c r="B85" s="162">
        <v>9</v>
      </c>
      <c r="C85" s="163" t="s">
        <v>197</v>
      </c>
      <c r="D85" t="s">
        <v>276</v>
      </c>
      <c r="E85" s="164">
        <v>390032</v>
      </c>
      <c r="F85" s="164">
        <v>390032</v>
      </c>
    </row>
    <row r="86" spans="1:6">
      <c r="A86">
        <f t="shared" si="1"/>
        <v>84</v>
      </c>
      <c r="B86" s="162">
        <v>9</v>
      </c>
      <c r="C86" s="163" t="s">
        <v>197</v>
      </c>
      <c r="D86" t="s">
        <v>277</v>
      </c>
      <c r="E86" s="164">
        <v>390049</v>
      </c>
      <c r="F86" s="164">
        <v>390049</v>
      </c>
    </row>
    <row r="87" spans="1:6">
      <c r="A87">
        <f t="shared" si="1"/>
        <v>85</v>
      </c>
      <c r="B87" s="162">
        <v>9</v>
      </c>
      <c r="C87" s="163" t="s">
        <v>197</v>
      </c>
      <c r="D87" t="s">
        <v>278</v>
      </c>
      <c r="E87" s="164">
        <v>390050</v>
      </c>
      <c r="F87" s="164">
        <v>390050</v>
      </c>
    </row>
    <row r="88" spans="1:6">
      <c r="A88">
        <f t="shared" si="1"/>
        <v>86</v>
      </c>
      <c r="B88" s="162">
        <v>9</v>
      </c>
      <c r="C88" s="163" t="s">
        <v>197</v>
      </c>
      <c r="D88" t="s">
        <v>279</v>
      </c>
      <c r="E88" s="164">
        <v>390051</v>
      </c>
      <c r="F88" s="164">
        <v>390051</v>
      </c>
    </row>
    <row r="89" spans="1:6">
      <c r="A89">
        <f t="shared" si="1"/>
        <v>87</v>
      </c>
      <c r="B89" s="162">
        <v>9</v>
      </c>
      <c r="C89" s="163" t="s">
        <v>197</v>
      </c>
      <c r="D89" t="s">
        <v>280</v>
      </c>
      <c r="E89" s="164">
        <v>390052</v>
      </c>
      <c r="F89" s="164">
        <v>390052</v>
      </c>
    </row>
    <row r="90" spans="1:6">
      <c r="A90">
        <f t="shared" si="1"/>
        <v>88</v>
      </c>
      <c r="B90" s="162">
        <v>9</v>
      </c>
      <c r="C90" s="163" t="s">
        <v>197</v>
      </c>
      <c r="D90" t="s">
        <v>281</v>
      </c>
      <c r="E90" s="164">
        <v>390053</v>
      </c>
      <c r="F90" s="164">
        <v>390053</v>
      </c>
    </row>
    <row r="91" spans="1:6">
      <c r="A91">
        <f t="shared" si="1"/>
        <v>89</v>
      </c>
      <c r="B91" s="162">
        <v>9</v>
      </c>
      <c r="C91" s="163" t="s">
        <v>197</v>
      </c>
      <c r="D91" t="s">
        <v>282</v>
      </c>
      <c r="E91" s="164">
        <v>390054</v>
      </c>
      <c r="F91" s="164">
        <v>390054</v>
      </c>
    </row>
    <row r="92" spans="1:6">
      <c r="A92">
        <f t="shared" si="1"/>
        <v>90</v>
      </c>
      <c r="B92" s="162">
        <v>9</v>
      </c>
      <c r="C92" s="163" t="s">
        <v>197</v>
      </c>
      <c r="D92" t="s">
        <v>283</v>
      </c>
      <c r="E92" s="164">
        <v>390055</v>
      </c>
      <c r="F92" s="164">
        <v>390055</v>
      </c>
    </row>
    <row r="93" spans="1:6">
      <c r="A93">
        <f t="shared" si="1"/>
        <v>91</v>
      </c>
      <c r="B93" s="162">
        <v>9</v>
      </c>
      <c r="C93" s="163" t="s">
        <v>197</v>
      </c>
      <c r="D93" t="s">
        <v>284</v>
      </c>
      <c r="E93" s="164">
        <v>390056</v>
      </c>
      <c r="F93" s="164">
        <v>390056</v>
      </c>
    </row>
    <row r="94" spans="1:6">
      <c r="A94">
        <f t="shared" si="1"/>
        <v>92</v>
      </c>
      <c r="B94" s="162">
        <v>9</v>
      </c>
      <c r="C94" s="163" t="s">
        <v>197</v>
      </c>
      <c r="D94" t="s">
        <v>285</v>
      </c>
      <c r="E94" s="164">
        <v>390057</v>
      </c>
      <c r="F94" s="164">
        <v>390057</v>
      </c>
    </row>
    <row r="95" spans="1:6">
      <c r="A95">
        <f t="shared" si="1"/>
        <v>93</v>
      </c>
      <c r="B95" s="162">
        <v>9</v>
      </c>
      <c r="C95" s="163" t="s">
        <v>197</v>
      </c>
      <c r="D95" t="s">
        <v>286</v>
      </c>
      <c r="E95" s="164">
        <v>390058</v>
      </c>
      <c r="F95" s="164">
        <v>390058</v>
      </c>
    </row>
    <row r="96" spans="1:6">
      <c r="A96">
        <f t="shared" si="1"/>
        <v>94</v>
      </c>
      <c r="B96" s="162">
        <v>9</v>
      </c>
      <c r="C96" s="163" t="s">
        <v>197</v>
      </c>
      <c r="D96" t="s">
        <v>287</v>
      </c>
      <c r="E96" s="164">
        <v>390059</v>
      </c>
      <c r="F96" s="164">
        <v>390059</v>
      </c>
    </row>
    <row r="97" spans="1:6">
      <c r="A97">
        <f t="shared" si="1"/>
        <v>95</v>
      </c>
      <c r="B97" s="162">
        <v>9</v>
      </c>
      <c r="C97" s="163" t="s">
        <v>197</v>
      </c>
      <c r="D97" t="s">
        <v>288</v>
      </c>
      <c r="E97" s="164">
        <v>390060</v>
      </c>
      <c r="F97" s="164">
        <v>390060</v>
      </c>
    </row>
    <row r="98" spans="1:6">
      <c r="A98">
        <f t="shared" si="1"/>
        <v>96</v>
      </c>
      <c r="B98" s="162">
        <v>9</v>
      </c>
      <c r="C98" s="163" t="s">
        <v>197</v>
      </c>
      <c r="D98" t="s">
        <v>289</v>
      </c>
      <c r="E98" s="164">
        <v>390061</v>
      </c>
      <c r="F98" s="164">
        <v>390061</v>
      </c>
    </row>
    <row r="99" spans="1:6">
      <c r="A99">
        <f t="shared" si="1"/>
        <v>97</v>
      </c>
      <c r="B99" s="162">
        <v>9</v>
      </c>
      <c r="C99" s="163" t="s">
        <v>197</v>
      </c>
      <c r="D99" t="s">
        <v>290</v>
      </c>
      <c r="E99" s="164">
        <v>390062</v>
      </c>
      <c r="F99" s="164">
        <v>390062</v>
      </c>
    </row>
    <row r="100" spans="1:6">
      <c r="A100">
        <f t="shared" si="1"/>
        <v>98</v>
      </c>
      <c r="B100" s="162">
        <v>9</v>
      </c>
      <c r="C100" s="163" t="s">
        <v>197</v>
      </c>
      <c r="D100" t="s">
        <v>291</v>
      </c>
      <c r="E100" s="164">
        <v>390063</v>
      </c>
      <c r="F100" s="164">
        <v>390063</v>
      </c>
    </row>
    <row r="101" spans="1:6">
      <c r="A101">
        <f t="shared" si="1"/>
        <v>99</v>
      </c>
      <c r="B101" s="162">
        <v>9</v>
      </c>
      <c r="C101" s="163" t="s">
        <v>197</v>
      </c>
      <c r="D101" t="s">
        <v>292</v>
      </c>
      <c r="E101" s="164">
        <v>390064</v>
      </c>
      <c r="F101" s="164">
        <v>390064</v>
      </c>
    </row>
    <row r="102" spans="1:6">
      <c r="A102">
        <f t="shared" si="1"/>
        <v>100</v>
      </c>
      <c r="B102" s="162">
        <v>9</v>
      </c>
      <c r="C102" s="163" t="s">
        <v>197</v>
      </c>
      <c r="D102" t="s">
        <v>293</v>
      </c>
      <c r="E102" s="164">
        <v>390065</v>
      </c>
      <c r="F102" s="164">
        <v>390065</v>
      </c>
    </row>
    <row r="103" spans="1:6">
      <c r="A103">
        <f t="shared" si="1"/>
        <v>101</v>
      </c>
      <c r="B103" s="162">
        <v>9</v>
      </c>
      <c r="C103" s="163" t="s">
        <v>197</v>
      </c>
      <c r="D103" t="s">
        <v>294</v>
      </c>
      <c r="E103" s="164">
        <v>390066</v>
      </c>
      <c r="F103" s="164">
        <v>390066</v>
      </c>
    </row>
    <row r="104" spans="1:6">
      <c r="A104">
        <f t="shared" si="1"/>
        <v>102</v>
      </c>
      <c r="B104" s="162">
        <v>9</v>
      </c>
      <c r="C104" s="163" t="s">
        <v>197</v>
      </c>
      <c r="D104" t="s">
        <v>295</v>
      </c>
      <c r="E104" s="164">
        <v>390067</v>
      </c>
      <c r="F104" s="164">
        <v>390067</v>
      </c>
    </row>
    <row r="105" spans="1:6">
      <c r="A105">
        <f t="shared" si="1"/>
        <v>103</v>
      </c>
      <c r="B105" s="162">
        <v>9</v>
      </c>
      <c r="C105" s="163" t="s">
        <v>197</v>
      </c>
      <c r="D105" t="s">
        <v>296</v>
      </c>
      <c r="E105" s="164">
        <v>390069</v>
      </c>
      <c r="F105" s="164">
        <v>390069</v>
      </c>
    </row>
    <row r="106" spans="1:6">
      <c r="A106">
        <f t="shared" si="1"/>
        <v>104</v>
      </c>
      <c r="B106" s="162">
        <v>9</v>
      </c>
      <c r="C106" s="163" t="s">
        <v>197</v>
      </c>
      <c r="D106" t="s">
        <v>297</v>
      </c>
      <c r="E106" s="164">
        <v>390070</v>
      </c>
      <c r="F106" s="164">
        <v>390070</v>
      </c>
    </row>
    <row r="107" spans="1:6">
      <c r="A107">
        <f t="shared" si="1"/>
        <v>105</v>
      </c>
      <c r="B107" s="162">
        <v>9</v>
      </c>
      <c r="C107" s="163" t="s">
        <v>197</v>
      </c>
      <c r="D107" t="s">
        <v>298</v>
      </c>
      <c r="E107" s="164">
        <v>390071</v>
      </c>
      <c r="F107" s="164">
        <v>390071</v>
      </c>
    </row>
    <row r="108" spans="1:6">
      <c r="A108">
        <f t="shared" si="1"/>
        <v>106</v>
      </c>
      <c r="B108" s="162">
        <v>9</v>
      </c>
      <c r="C108" s="163" t="s">
        <v>197</v>
      </c>
      <c r="D108" t="s">
        <v>299</v>
      </c>
      <c r="E108" s="164">
        <v>390072</v>
      </c>
      <c r="F108" s="164">
        <v>390072</v>
      </c>
    </row>
    <row r="109" spans="1:6">
      <c r="A109">
        <f t="shared" si="1"/>
        <v>107</v>
      </c>
      <c r="B109" s="162">
        <v>9</v>
      </c>
      <c r="C109" s="163" t="s">
        <v>197</v>
      </c>
      <c r="D109" t="s">
        <v>300</v>
      </c>
      <c r="E109" s="164">
        <v>390073</v>
      </c>
      <c r="F109" s="164">
        <v>390073</v>
      </c>
    </row>
    <row r="110" spans="1:6">
      <c r="A110">
        <f t="shared" si="1"/>
        <v>108</v>
      </c>
      <c r="B110" s="162">
        <v>9</v>
      </c>
      <c r="C110" s="163" t="s">
        <v>197</v>
      </c>
      <c r="D110" t="s">
        <v>301</v>
      </c>
      <c r="E110" s="164">
        <v>390074</v>
      </c>
      <c r="F110" s="164">
        <v>390074</v>
      </c>
    </row>
    <row r="111" spans="1:6">
      <c r="A111">
        <f t="shared" si="1"/>
        <v>109</v>
      </c>
      <c r="B111" s="162">
        <v>9</v>
      </c>
      <c r="C111" s="163" t="s">
        <v>197</v>
      </c>
      <c r="D111" t="s">
        <v>302</v>
      </c>
      <c r="E111" s="164">
        <v>390075</v>
      </c>
      <c r="F111" s="164">
        <v>390075</v>
      </c>
    </row>
    <row r="112" spans="1:6">
      <c r="A112">
        <f t="shared" si="1"/>
        <v>110</v>
      </c>
      <c r="B112" s="162">
        <v>9</v>
      </c>
      <c r="C112" s="163" t="s">
        <v>197</v>
      </c>
      <c r="D112" t="s">
        <v>303</v>
      </c>
      <c r="E112" s="164">
        <v>390076</v>
      </c>
      <c r="F112" s="164">
        <v>390076</v>
      </c>
    </row>
    <row r="113" spans="1:6">
      <c r="A113">
        <f t="shared" si="1"/>
        <v>111</v>
      </c>
      <c r="B113" s="162">
        <v>9</v>
      </c>
      <c r="C113" s="163" t="s">
        <v>197</v>
      </c>
      <c r="D113" t="s">
        <v>304</v>
      </c>
      <c r="E113" s="164">
        <v>390077</v>
      </c>
      <c r="F113" s="164">
        <v>390077</v>
      </c>
    </row>
    <row r="114" spans="1:6">
      <c r="A114">
        <f t="shared" si="1"/>
        <v>112</v>
      </c>
      <c r="B114" s="162">
        <v>9</v>
      </c>
      <c r="C114" s="163" t="s">
        <v>197</v>
      </c>
      <c r="D114" t="s">
        <v>305</v>
      </c>
      <c r="E114" s="164">
        <v>390078</v>
      </c>
      <c r="F114" s="164">
        <v>390078</v>
      </c>
    </row>
    <row r="115" spans="1:6">
      <c r="A115">
        <f t="shared" si="1"/>
        <v>113</v>
      </c>
      <c r="B115" s="162">
        <v>9</v>
      </c>
      <c r="C115" s="163" t="s">
        <v>197</v>
      </c>
      <c r="D115" t="s">
        <v>306</v>
      </c>
      <c r="E115" s="164">
        <v>390079</v>
      </c>
      <c r="F115" s="164">
        <v>390079</v>
      </c>
    </row>
    <row r="116" spans="1:6">
      <c r="A116">
        <f t="shared" si="1"/>
        <v>114</v>
      </c>
      <c r="B116" s="162">
        <v>9</v>
      </c>
      <c r="C116" s="163" t="s">
        <v>197</v>
      </c>
      <c r="D116" t="s">
        <v>307</v>
      </c>
      <c r="E116" s="164">
        <v>390080</v>
      </c>
      <c r="F116" s="164">
        <v>390080</v>
      </c>
    </row>
    <row r="117" spans="1:6">
      <c r="A117">
        <f t="shared" si="1"/>
        <v>115</v>
      </c>
      <c r="B117" s="162">
        <v>9</v>
      </c>
      <c r="C117" s="163" t="s">
        <v>197</v>
      </c>
      <c r="D117" t="s">
        <v>308</v>
      </c>
      <c r="E117" s="164">
        <v>390081</v>
      </c>
      <c r="F117" s="164">
        <v>390081</v>
      </c>
    </row>
    <row r="118" spans="1:6">
      <c r="A118">
        <f t="shared" si="1"/>
        <v>116</v>
      </c>
      <c r="B118" s="162">
        <v>9</v>
      </c>
      <c r="C118" s="163" t="s">
        <v>197</v>
      </c>
      <c r="D118" t="s">
        <v>309</v>
      </c>
      <c r="E118" s="164">
        <v>390083</v>
      </c>
      <c r="F118" s="164">
        <v>390083</v>
      </c>
    </row>
    <row r="119" spans="1:6">
      <c r="A119">
        <f t="shared" si="1"/>
        <v>117</v>
      </c>
      <c r="B119" s="162">
        <v>9</v>
      </c>
      <c r="C119" s="163" t="s">
        <v>197</v>
      </c>
      <c r="D119" t="s">
        <v>310</v>
      </c>
      <c r="E119" s="164">
        <v>390084</v>
      </c>
      <c r="F119" s="164">
        <v>390084</v>
      </c>
    </row>
    <row r="120" spans="1:6">
      <c r="A120">
        <f t="shared" si="1"/>
        <v>118</v>
      </c>
      <c r="B120" s="162">
        <v>9</v>
      </c>
      <c r="C120" s="163" t="s">
        <v>197</v>
      </c>
      <c r="D120" t="s">
        <v>311</v>
      </c>
      <c r="E120" s="164">
        <v>390085</v>
      </c>
      <c r="F120" s="164">
        <v>390085</v>
      </c>
    </row>
    <row r="121" spans="1:6">
      <c r="A121">
        <f t="shared" si="1"/>
        <v>119</v>
      </c>
      <c r="B121" s="162">
        <v>9</v>
      </c>
      <c r="C121" s="163" t="s">
        <v>197</v>
      </c>
      <c r="D121" t="s">
        <v>312</v>
      </c>
      <c r="E121" s="164">
        <v>390086</v>
      </c>
      <c r="F121" s="164">
        <v>390086</v>
      </c>
    </row>
    <row r="122" spans="1:6">
      <c r="A122">
        <f t="shared" si="1"/>
        <v>120</v>
      </c>
      <c r="B122" s="162">
        <v>9</v>
      </c>
      <c r="C122" s="163" t="s">
        <v>197</v>
      </c>
      <c r="D122" t="s">
        <v>313</v>
      </c>
      <c r="E122" s="164">
        <v>390087</v>
      </c>
      <c r="F122" s="164">
        <v>390087</v>
      </c>
    </row>
    <row r="123" spans="1:6">
      <c r="A123">
        <f t="shared" si="1"/>
        <v>121</v>
      </c>
      <c r="B123" s="162">
        <v>9</v>
      </c>
      <c r="C123" s="163" t="s">
        <v>197</v>
      </c>
      <c r="D123" t="s">
        <v>314</v>
      </c>
      <c r="E123" s="164">
        <v>390088</v>
      </c>
      <c r="F123" s="164">
        <v>390088</v>
      </c>
    </row>
    <row r="124" spans="1:6">
      <c r="A124">
        <f t="shared" si="1"/>
        <v>122</v>
      </c>
      <c r="B124" s="162">
        <v>9</v>
      </c>
      <c r="C124" s="163" t="s">
        <v>197</v>
      </c>
      <c r="D124" t="s">
        <v>315</v>
      </c>
      <c r="E124" s="164">
        <v>390089</v>
      </c>
      <c r="F124" s="164">
        <v>390089</v>
      </c>
    </row>
    <row r="125" spans="1:6">
      <c r="A125">
        <f t="shared" si="1"/>
        <v>123</v>
      </c>
      <c r="B125" s="162">
        <v>9</v>
      </c>
      <c r="C125" s="163" t="s">
        <v>197</v>
      </c>
      <c r="D125" t="s">
        <v>316</v>
      </c>
      <c r="E125" s="164">
        <v>390090</v>
      </c>
      <c r="F125" s="164">
        <v>390090</v>
      </c>
    </row>
    <row r="126" spans="1:6">
      <c r="A126">
        <f t="shared" si="1"/>
        <v>124</v>
      </c>
      <c r="B126" s="162">
        <v>9</v>
      </c>
      <c r="C126" s="163" t="s">
        <v>197</v>
      </c>
      <c r="D126" t="s">
        <v>317</v>
      </c>
      <c r="E126" s="164">
        <v>390091</v>
      </c>
      <c r="F126" s="164">
        <v>390091</v>
      </c>
    </row>
    <row r="127" spans="1:6">
      <c r="A127">
        <f t="shared" si="1"/>
        <v>125</v>
      </c>
      <c r="B127" s="162">
        <v>9</v>
      </c>
      <c r="C127" s="163" t="s">
        <v>197</v>
      </c>
      <c r="D127" t="s">
        <v>318</v>
      </c>
      <c r="E127" s="164">
        <v>390092</v>
      </c>
      <c r="F127" s="164">
        <v>390092</v>
      </c>
    </row>
    <row r="128" spans="1:6">
      <c r="A128">
        <f t="shared" si="1"/>
        <v>126</v>
      </c>
      <c r="B128" s="162">
        <v>9</v>
      </c>
      <c r="C128" s="163" t="s">
        <v>197</v>
      </c>
      <c r="D128" t="s">
        <v>319</v>
      </c>
      <c r="E128" s="164">
        <v>390093</v>
      </c>
      <c r="F128" s="164">
        <v>390093</v>
      </c>
    </row>
    <row r="129" spans="1:6">
      <c r="A129">
        <f t="shared" si="1"/>
        <v>127</v>
      </c>
      <c r="B129" s="162">
        <v>9</v>
      </c>
      <c r="C129" s="163" t="s">
        <v>197</v>
      </c>
      <c r="D129" t="s">
        <v>320</v>
      </c>
      <c r="E129" s="164">
        <v>390094</v>
      </c>
      <c r="F129" s="164">
        <v>390094</v>
      </c>
    </row>
    <row r="130" spans="1:6">
      <c r="A130">
        <f t="shared" si="1"/>
        <v>128</v>
      </c>
      <c r="B130" s="162">
        <v>9</v>
      </c>
      <c r="C130" s="163" t="s">
        <v>197</v>
      </c>
      <c r="D130" t="s">
        <v>321</v>
      </c>
      <c r="E130" s="164">
        <v>390095</v>
      </c>
      <c r="F130" s="164">
        <v>390095</v>
      </c>
    </row>
    <row r="131" spans="1:6">
      <c r="A131">
        <f t="shared" si="1"/>
        <v>129</v>
      </c>
      <c r="B131" s="162">
        <v>9</v>
      </c>
      <c r="C131" s="163" t="s">
        <v>197</v>
      </c>
      <c r="D131" t="s">
        <v>322</v>
      </c>
      <c r="E131" s="164">
        <v>390096</v>
      </c>
      <c r="F131" s="164">
        <v>390096</v>
      </c>
    </row>
    <row r="132" spans="1:6">
      <c r="A132">
        <f t="shared" ref="A132:A195" si="2">A131+1</f>
        <v>130</v>
      </c>
      <c r="B132" s="162">
        <v>9</v>
      </c>
      <c r="C132" s="163" t="s">
        <v>197</v>
      </c>
      <c r="D132" t="s">
        <v>323</v>
      </c>
      <c r="E132" s="164">
        <v>390098</v>
      </c>
      <c r="F132" s="164">
        <v>390098</v>
      </c>
    </row>
    <row r="133" spans="1:6">
      <c r="A133">
        <f t="shared" si="2"/>
        <v>131</v>
      </c>
      <c r="B133" s="162">
        <v>9</v>
      </c>
      <c r="C133" s="163" t="s">
        <v>197</v>
      </c>
      <c r="D133" t="s">
        <v>324</v>
      </c>
      <c r="E133" s="164">
        <v>390100</v>
      </c>
      <c r="F133" s="164">
        <v>390100</v>
      </c>
    </row>
    <row r="134" spans="1:6">
      <c r="A134">
        <f t="shared" si="2"/>
        <v>132</v>
      </c>
      <c r="B134" s="162">
        <v>9</v>
      </c>
      <c r="C134" s="163" t="s">
        <v>197</v>
      </c>
      <c r="D134" t="s">
        <v>325</v>
      </c>
      <c r="E134" s="164">
        <v>390101</v>
      </c>
      <c r="F134" s="164">
        <v>390101</v>
      </c>
    </row>
    <row r="135" spans="1:6">
      <c r="A135">
        <f t="shared" si="2"/>
        <v>133</v>
      </c>
      <c r="B135" s="162">
        <v>9</v>
      </c>
      <c r="C135" s="163" t="s">
        <v>197</v>
      </c>
      <c r="D135" t="s">
        <v>326</v>
      </c>
      <c r="E135" s="164">
        <v>390102</v>
      </c>
      <c r="F135" s="164">
        <v>390102</v>
      </c>
    </row>
    <row r="136" spans="1:6">
      <c r="A136">
        <f t="shared" si="2"/>
        <v>134</v>
      </c>
      <c r="B136" s="162">
        <v>9</v>
      </c>
      <c r="C136" s="163" t="s">
        <v>197</v>
      </c>
      <c r="D136" t="s">
        <v>327</v>
      </c>
      <c r="E136" s="164">
        <v>390103</v>
      </c>
      <c r="F136" s="164">
        <v>390103</v>
      </c>
    </row>
    <row r="137" spans="1:6">
      <c r="A137">
        <f t="shared" si="2"/>
        <v>135</v>
      </c>
      <c r="B137" s="162">
        <v>9</v>
      </c>
      <c r="C137" s="163" t="s">
        <v>197</v>
      </c>
      <c r="D137" t="s">
        <v>328</v>
      </c>
      <c r="E137" s="164">
        <v>390104</v>
      </c>
      <c r="F137" s="164">
        <v>390104</v>
      </c>
    </row>
    <row r="138" spans="1:6">
      <c r="A138">
        <f t="shared" si="2"/>
        <v>136</v>
      </c>
      <c r="B138" s="162">
        <v>9</v>
      </c>
      <c r="C138" s="163" t="s">
        <v>197</v>
      </c>
      <c r="D138" t="s">
        <v>329</v>
      </c>
      <c r="E138" s="164">
        <v>390105</v>
      </c>
      <c r="F138" s="164">
        <v>390105</v>
      </c>
    </row>
    <row r="139" spans="1:6">
      <c r="A139">
        <f t="shared" si="2"/>
        <v>137</v>
      </c>
      <c r="B139" s="162">
        <v>9</v>
      </c>
      <c r="C139" s="163" t="s">
        <v>197</v>
      </c>
      <c r="D139" t="s">
        <v>330</v>
      </c>
      <c r="E139" s="164">
        <v>390106</v>
      </c>
      <c r="F139" s="164">
        <v>390106</v>
      </c>
    </row>
    <row r="140" spans="1:6">
      <c r="A140">
        <f t="shared" si="2"/>
        <v>138</v>
      </c>
      <c r="B140" s="162">
        <v>9</v>
      </c>
      <c r="C140" s="163" t="s">
        <v>197</v>
      </c>
      <c r="D140" t="s">
        <v>331</v>
      </c>
      <c r="E140" s="164">
        <v>390107</v>
      </c>
      <c r="F140" s="164">
        <v>390107</v>
      </c>
    </row>
    <row r="141" spans="1:6">
      <c r="A141">
        <f t="shared" si="2"/>
        <v>139</v>
      </c>
      <c r="B141" s="162">
        <v>9</v>
      </c>
      <c r="C141" s="163" t="s">
        <v>197</v>
      </c>
      <c r="D141" t="s">
        <v>332</v>
      </c>
      <c r="E141" s="164">
        <v>390108</v>
      </c>
      <c r="F141" s="164">
        <v>390108</v>
      </c>
    </row>
    <row r="142" spans="1:6">
      <c r="A142">
        <f t="shared" si="2"/>
        <v>140</v>
      </c>
      <c r="B142" s="162">
        <v>9</v>
      </c>
      <c r="C142" s="163" t="s">
        <v>197</v>
      </c>
      <c r="D142" t="s">
        <v>333</v>
      </c>
      <c r="E142" s="164">
        <v>390109</v>
      </c>
      <c r="F142" s="164">
        <v>390109</v>
      </c>
    </row>
    <row r="143" spans="1:6">
      <c r="A143">
        <f t="shared" si="2"/>
        <v>141</v>
      </c>
      <c r="B143" s="162">
        <v>9</v>
      </c>
      <c r="C143" s="163" t="s">
        <v>197</v>
      </c>
      <c r="D143" t="s">
        <v>334</v>
      </c>
      <c r="E143" s="164">
        <v>390110</v>
      </c>
      <c r="F143" s="164">
        <v>390110</v>
      </c>
    </row>
    <row r="144" spans="1:6">
      <c r="A144">
        <f t="shared" si="2"/>
        <v>142</v>
      </c>
      <c r="B144" s="162">
        <v>9</v>
      </c>
      <c r="C144" s="163" t="s">
        <v>197</v>
      </c>
      <c r="D144" t="s">
        <v>335</v>
      </c>
      <c r="E144" s="164">
        <v>390111</v>
      </c>
      <c r="F144" s="164">
        <v>390111</v>
      </c>
    </row>
    <row r="145" spans="1:6">
      <c r="A145">
        <f t="shared" si="2"/>
        <v>143</v>
      </c>
      <c r="B145" s="162">
        <v>9</v>
      </c>
      <c r="C145" s="163" t="s">
        <v>197</v>
      </c>
      <c r="D145" t="s">
        <v>336</v>
      </c>
      <c r="E145" s="164">
        <v>390112</v>
      </c>
      <c r="F145" s="164">
        <v>390112</v>
      </c>
    </row>
    <row r="146" spans="1:6">
      <c r="A146">
        <f t="shared" si="2"/>
        <v>144</v>
      </c>
      <c r="B146" s="162">
        <v>9</v>
      </c>
      <c r="C146" s="163" t="s">
        <v>197</v>
      </c>
      <c r="D146" t="s">
        <v>337</v>
      </c>
      <c r="E146" s="164">
        <v>390113</v>
      </c>
      <c r="F146" s="164">
        <v>390113</v>
      </c>
    </row>
    <row r="147" spans="1:6">
      <c r="A147">
        <f t="shared" si="2"/>
        <v>145</v>
      </c>
      <c r="B147" s="162">
        <v>9</v>
      </c>
      <c r="C147" s="163" t="s">
        <v>197</v>
      </c>
      <c r="D147" t="s">
        <v>338</v>
      </c>
      <c r="E147" s="164">
        <v>390114</v>
      </c>
      <c r="F147" s="164">
        <v>390114</v>
      </c>
    </row>
    <row r="148" spans="1:6">
      <c r="A148">
        <f t="shared" si="2"/>
        <v>146</v>
      </c>
      <c r="B148" s="162">
        <v>9</v>
      </c>
      <c r="C148" s="163" t="s">
        <v>197</v>
      </c>
      <c r="D148" t="s">
        <v>339</v>
      </c>
      <c r="E148" s="164">
        <v>390115</v>
      </c>
      <c r="F148" s="164">
        <v>390115</v>
      </c>
    </row>
    <row r="149" spans="1:6">
      <c r="A149">
        <f t="shared" si="2"/>
        <v>147</v>
      </c>
      <c r="B149" s="162">
        <v>9</v>
      </c>
      <c r="C149" s="163" t="s">
        <v>197</v>
      </c>
      <c r="D149" t="s">
        <v>340</v>
      </c>
      <c r="E149" s="164">
        <v>390116</v>
      </c>
      <c r="F149" s="164">
        <v>390116</v>
      </c>
    </row>
    <row r="150" spans="1:6">
      <c r="A150">
        <f t="shared" si="2"/>
        <v>148</v>
      </c>
      <c r="B150" s="162">
        <v>9</v>
      </c>
      <c r="C150" s="163" t="s">
        <v>197</v>
      </c>
      <c r="D150" t="s">
        <v>341</v>
      </c>
      <c r="E150" s="164">
        <v>390117</v>
      </c>
      <c r="F150" s="164">
        <v>390117</v>
      </c>
    </row>
    <row r="151" spans="1:6">
      <c r="A151">
        <f t="shared" si="2"/>
        <v>149</v>
      </c>
      <c r="B151" s="162">
        <v>9</v>
      </c>
      <c r="C151" s="163" t="s">
        <v>197</v>
      </c>
      <c r="D151" t="s">
        <v>342</v>
      </c>
      <c r="E151" s="164">
        <v>390118</v>
      </c>
      <c r="F151" s="164">
        <v>390118</v>
      </c>
    </row>
    <row r="152" spans="1:6">
      <c r="A152">
        <f t="shared" si="2"/>
        <v>150</v>
      </c>
      <c r="B152" s="162">
        <v>9</v>
      </c>
      <c r="C152" s="163" t="s">
        <v>197</v>
      </c>
      <c r="D152" t="s">
        <v>343</v>
      </c>
      <c r="E152" s="164">
        <v>390119</v>
      </c>
      <c r="F152" s="164">
        <v>390119</v>
      </c>
    </row>
    <row r="153" spans="1:6">
      <c r="A153">
        <f t="shared" si="2"/>
        <v>151</v>
      </c>
      <c r="B153" s="162">
        <v>9</v>
      </c>
      <c r="C153" s="163" t="s">
        <v>197</v>
      </c>
      <c r="D153" t="s">
        <v>344</v>
      </c>
      <c r="E153" s="164">
        <v>390120</v>
      </c>
      <c r="F153" s="164">
        <v>390120</v>
      </c>
    </row>
    <row r="154" spans="1:6">
      <c r="A154">
        <f t="shared" si="2"/>
        <v>152</v>
      </c>
      <c r="B154" s="162">
        <v>9</v>
      </c>
      <c r="C154" s="163" t="s">
        <v>197</v>
      </c>
      <c r="D154" t="s">
        <v>345</v>
      </c>
      <c r="E154" s="164">
        <v>390121</v>
      </c>
      <c r="F154" s="164">
        <v>390121</v>
      </c>
    </row>
    <row r="155" spans="1:6">
      <c r="A155">
        <f t="shared" si="2"/>
        <v>153</v>
      </c>
      <c r="B155" s="162">
        <v>9</v>
      </c>
      <c r="C155" s="163" t="s">
        <v>197</v>
      </c>
      <c r="D155" t="s">
        <v>346</v>
      </c>
      <c r="E155" s="164">
        <v>390122</v>
      </c>
      <c r="F155" s="164">
        <v>390122</v>
      </c>
    </row>
    <row r="156" spans="1:6">
      <c r="A156">
        <f t="shared" si="2"/>
        <v>154</v>
      </c>
      <c r="B156" s="162">
        <v>9</v>
      </c>
      <c r="C156" s="163" t="s">
        <v>197</v>
      </c>
      <c r="D156" t="s">
        <v>347</v>
      </c>
      <c r="E156" s="164">
        <v>390123</v>
      </c>
      <c r="F156" s="164">
        <v>390123</v>
      </c>
    </row>
    <row r="157" spans="1:6">
      <c r="A157">
        <f t="shared" si="2"/>
        <v>155</v>
      </c>
      <c r="B157" s="162">
        <v>9</v>
      </c>
      <c r="C157" s="163" t="s">
        <v>197</v>
      </c>
      <c r="D157" t="s">
        <v>348</v>
      </c>
      <c r="E157" s="164">
        <v>390124</v>
      </c>
      <c r="F157" s="164">
        <v>390124</v>
      </c>
    </row>
    <row r="158" spans="1:6">
      <c r="A158">
        <f t="shared" si="2"/>
        <v>156</v>
      </c>
      <c r="B158" s="162">
        <v>9</v>
      </c>
      <c r="C158" s="163" t="s">
        <v>197</v>
      </c>
      <c r="D158" t="s">
        <v>349</v>
      </c>
      <c r="E158" s="164">
        <v>390125</v>
      </c>
      <c r="F158" s="164">
        <v>390125</v>
      </c>
    </row>
    <row r="159" spans="1:6">
      <c r="A159">
        <f t="shared" si="2"/>
        <v>157</v>
      </c>
      <c r="B159" s="162">
        <v>9</v>
      </c>
      <c r="C159" s="163" t="s">
        <v>197</v>
      </c>
      <c r="D159" t="s">
        <v>350</v>
      </c>
      <c r="E159" s="164">
        <v>390126</v>
      </c>
      <c r="F159" s="164">
        <v>390126</v>
      </c>
    </row>
    <row r="160" spans="1:6">
      <c r="A160">
        <f t="shared" si="2"/>
        <v>158</v>
      </c>
      <c r="B160" s="162">
        <v>10</v>
      </c>
      <c r="C160" s="163" t="s">
        <v>132</v>
      </c>
      <c r="D160" t="s">
        <v>351</v>
      </c>
      <c r="E160" s="164">
        <v>235000</v>
      </c>
      <c r="F160" s="164">
        <v>235099</v>
      </c>
    </row>
    <row r="161" spans="1:6">
      <c r="A161">
        <f t="shared" si="2"/>
        <v>159</v>
      </c>
      <c r="B161" s="162">
        <v>10</v>
      </c>
      <c r="C161" s="163" t="s">
        <v>132</v>
      </c>
      <c r="D161" t="s">
        <v>352</v>
      </c>
      <c r="E161" s="164">
        <v>235100</v>
      </c>
      <c r="F161" s="164">
        <v>235399</v>
      </c>
    </row>
    <row r="162" spans="1:6">
      <c r="A162">
        <f t="shared" si="2"/>
        <v>160</v>
      </c>
      <c r="B162" s="162">
        <v>10</v>
      </c>
      <c r="C162" s="163" t="s">
        <v>132</v>
      </c>
      <c r="D162" t="s">
        <v>353</v>
      </c>
      <c r="E162" s="164">
        <v>235400</v>
      </c>
      <c r="F162" s="164">
        <v>236499</v>
      </c>
    </row>
    <row r="163" spans="1:6">
      <c r="A163">
        <f t="shared" si="2"/>
        <v>161</v>
      </c>
      <c r="B163" s="162">
        <v>10</v>
      </c>
      <c r="C163" s="163" t="s">
        <v>132</v>
      </c>
      <c r="D163" t="s">
        <v>354</v>
      </c>
      <c r="E163" s="164">
        <v>236500</v>
      </c>
      <c r="F163" s="164">
        <v>236999</v>
      </c>
    </row>
    <row r="164" spans="1:6">
      <c r="A164">
        <f t="shared" si="2"/>
        <v>162</v>
      </c>
      <c r="B164" s="162">
        <v>10</v>
      </c>
      <c r="C164" s="163" t="s">
        <v>132</v>
      </c>
      <c r="D164" t="s">
        <v>355</v>
      </c>
      <c r="E164" s="164">
        <v>237000</v>
      </c>
      <c r="F164" s="164">
        <v>237499</v>
      </c>
    </row>
    <row r="165" spans="1:6">
      <c r="A165">
        <f t="shared" si="2"/>
        <v>163</v>
      </c>
      <c r="B165" s="162">
        <v>10</v>
      </c>
      <c r="C165" s="163" t="s">
        <v>132</v>
      </c>
      <c r="D165" t="s">
        <v>356</v>
      </c>
      <c r="E165" s="164">
        <v>240000</v>
      </c>
      <c r="F165" s="164">
        <v>240997</v>
      </c>
    </row>
    <row r="166" spans="1:6">
      <c r="A166">
        <f t="shared" si="2"/>
        <v>164</v>
      </c>
      <c r="B166" s="162">
        <v>10</v>
      </c>
      <c r="C166" s="163" t="s">
        <v>132</v>
      </c>
      <c r="D166" t="s">
        <v>357</v>
      </c>
      <c r="E166" s="164">
        <v>390028</v>
      </c>
      <c r="F166" s="164">
        <v>390028</v>
      </c>
    </row>
    <row r="167" spans="1:6">
      <c r="A167">
        <f t="shared" si="2"/>
        <v>165</v>
      </c>
      <c r="B167" s="162">
        <v>10</v>
      </c>
      <c r="C167" s="163" t="s">
        <v>132</v>
      </c>
      <c r="D167" t="s">
        <v>358</v>
      </c>
      <c r="E167" s="164">
        <v>390097</v>
      </c>
      <c r="F167" s="164">
        <v>390097</v>
      </c>
    </row>
    <row r="168" spans="1:6">
      <c r="A168">
        <f t="shared" si="2"/>
        <v>166</v>
      </c>
      <c r="B168" s="162">
        <v>10</v>
      </c>
      <c r="C168" s="163" t="s">
        <v>132</v>
      </c>
      <c r="D168" t="s">
        <v>359</v>
      </c>
      <c r="E168" s="164">
        <v>971101</v>
      </c>
      <c r="F168" s="164">
        <v>971101</v>
      </c>
    </row>
    <row r="169" spans="1:6">
      <c r="A169">
        <f t="shared" si="2"/>
        <v>167</v>
      </c>
      <c r="B169" s="162">
        <v>11</v>
      </c>
      <c r="C169" s="163" t="s">
        <v>133</v>
      </c>
      <c r="D169" t="s">
        <v>360</v>
      </c>
      <c r="E169" s="164">
        <v>995000</v>
      </c>
      <c r="F169" s="164">
        <v>996999</v>
      </c>
    </row>
    <row r="170" spans="1:6">
      <c r="A170">
        <f t="shared" si="2"/>
        <v>168</v>
      </c>
      <c r="B170" s="162">
        <v>15</v>
      </c>
      <c r="C170" s="163" t="s">
        <v>136</v>
      </c>
      <c r="D170" t="s">
        <v>361</v>
      </c>
      <c r="E170" s="164">
        <v>400000</v>
      </c>
      <c r="F170" s="164">
        <v>400189</v>
      </c>
    </row>
    <row r="171" spans="1:6">
      <c r="A171">
        <f t="shared" si="2"/>
        <v>169</v>
      </c>
      <c r="B171" s="162">
        <v>15</v>
      </c>
      <c r="C171" s="163" t="s">
        <v>136</v>
      </c>
      <c r="D171" t="s">
        <v>362</v>
      </c>
      <c r="E171" s="164">
        <v>400190</v>
      </c>
      <c r="F171" s="164">
        <v>400289</v>
      </c>
    </row>
    <row r="172" spans="1:6">
      <c r="A172">
        <f t="shared" si="2"/>
        <v>170</v>
      </c>
      <c r="B172" s="162">
        <v>15</v>
      </c>
      <c r="C172" s="163" t="s">
        <v>136</v>
      </c>
      <c r="D172" t="s">
        <v>363</v>
      </c>
      <c r="E172" s="164">
        <v>400290</v>
      </c>
      <c r="F172" s="164">
        <v>400389</v>
      </c>
    </row>
    <row r="173" spans="1:6">
      <c r="A173">
        <f t="shared" si="2"/>
        <v>171</v>
      </c>
      <c r="B173" s="162">
        <v>15</v>
      </c>
      <c r="C173" s="163" t="s">
        <v>136</v>
      </c>
      <c r="D173" t="s">
        <v>364</v>
      </c>
      <c r="E173" s="164">
        <v>400390</v>
      </c>
      <c r="F173" s="164">
        <v>400549</v>
      </c>
    </row>
    <row r="174" spans="1:6">
      <c r="A174">
        <f t="shared" si="2"/>
        <v>172</v>
      </c>
      <c r="B174" s="162">
        <v>15</v>
      </c>
      <c r="C174" s="163" t="s">
        <v>136</v>
      </c>
      <c r="D174" t="s">
        <v>365</v>
      </c>
      <c r="E174" s="164">
        <v>400550</v>
      </c>
      <c r="F174" s="164">
        <v>400689</v>
      </c>
    </row>
    <row r="175" spans="1:6">
      <c r="A175">
        <f t="shared" si="2"/>
        <v>173</v>
      </c>
      <c r="B175" s="162">
        <v>15</v>
      </c>
      <c r="C175" s="163" t="s">
        <v>136</v>
      </c>
      <c r="D175" t="s">
        <v>366</v>
      </c>
      <c r="E175" s="164">
        <v>400690</v>
      </c>
      <c r="F175" s="164">
        <v>400789</v>
      </c>
    </row>
    <row r="176" spans="1:6">
      <c r="A176">
        <f t="shared" si="2"/>
        <v>174</v>
      </c>
      <c r="B176" s="162">
        <v>15</v>
      </c>
      <c r="C176" s="163" t="s">
        <v>136</v>
      </c>
      <c r="D176" t="s">
        <v>367</v>
      </c>
      <c r="E176" s="164">
        <v>400790</v>
      </c>
      <c r="F176" s="164">
        <v>400889</v>
      </c>
    </row>
    <row r="177" spans="1:6">
      <c r="A177">
        <f t="shared" si="2"/>
        <v>175</v>
      </c>
      <c r="B177" s="162">
        <v>15</v>
      </c>
      <c r="C177" s="163" t="s">
        <v>136</v>
      </c>
      <c r="D177" t="s">
        <v>368</v>
      </c>
      <c r="E177" s="164">
        <v>400890</v>
      </c>
      <c r="F177" s="164">
        <v>400999</v>
      </c>
    </row>
    <row r="178" spans="1:6">
      <c r="A178">
        <f t="shared" si="2"/>
        <v>176</v>
      </c>
      <c r="B178" s="162">
        <v>15</v>
      </c>
      <c r="C178" s="163" t="s">
        <v>136</v>
      </c>
      <c r="D178" t="s">
        <v>369</v>
      </c>
      <c r="E178" s="164">
        <v>401000</v>
      </c>
      <c r="F178" s="164">
        <v>401099</v>
      </c>
    </row>
    <row r="179" spans="1:6">
      <c r="A179">
        <f t="shared" si="2"/>
        <v>177</v>
      </c>
      <c r="B179" s="162">
        <v>15</v>
      </c>
      <c r="C179" s="163" t="s">
        <v>136</v>
      </c>
      <c r="D179" t="s">
        <v>370</v>
      </c>
      <c r="E179" s="164">
        <v>401100</v>
      </c>
      <c r="F179" s="164">
        <v>401199</v>
      </c>
    </row>
    <row r="180" spans="1:6">
      <c r="A180">
        <f t="shared" si="2"/>
        <v>178</v>
      </c>
      <c r="B180" s="162">
        <v>15</v>
      </c>
      <c r="C180" s="163" t="s">
        <v>136</v>
      </c>
      <c r="D180" t="s">
        <v>371</v>
      </c>
      <c r="E180" s="164">
        <v>401200</v>
      </c>
      <c r="F180" s="164">
        <v>401449</v>
      </c>
    </row>
    <row r="181" spans="1:6">
      <c r="A181">
        <f t="shared" si="2"/>
        <v>179</v>
      </c>
      <c r="B181" s="162">
        <v>15</v>
      </c>
      <c r="C181" s="163" t="s">
        <v>136</v>
      </c>
      <c r="D181" t="s">
        <v>372</v>
      </c>
      <c r="E181" s="164">
        <v>401450</v>
      </c>
      <c r="F181" s="164">
        <v>401649</v>
      </c>
    </row>
    <row r="182" spans="1:6">
      <c r="A182">
        <f t="shared" si="2"/>
        <v>180</v>
      </c>
      <c r="B182" s="162">
        <v>15</v>
      </c>
      <c r="C182" s="163" t="s">
        <v>136</v>
      </c>
      <c r="D182" t="s">
        <v>373</v>
      </c>
      <c r="E182" s="164">
        <v>401650</v>
      </c>
      <c r="F182" s="164">
        <v>401749</v>
      </c>
    </row>
    <row r="183" spans="1:6">
      <c r="A183">
        <f t="shared" si="2"/>
        <v>181</v>
      </c>
      <c r="B183" s="162">
        <v>15</v>
      </c>
      <c r="C183" s="163" t="s">
        <v>136</v>
      </c>
      <c r="D183" t="s">
        <v>374</v>
      </c>
      <c r="E183" s="164">
        <v>401750</v>
      </c>
      <c r="F183" s="164">
        <v>401849</v>
      </c>
    </row>
    <row r="184" spans="1:6">
      <c r="A184">
        <f t="shared" si="2"/>
        <v>182</v>
      </c>
      <c r="B184" s="162">
        <v>15</v>
      </c>
      <c r="C184" s="163" t="s">
        <v>136</v>
      </c>
      <c r="D184" t="s">
        <v>375</v>
      </c>
      <c r="E184" s="164">
        <v>401850</v>
      </c>
      <c r="F184" s="164">
        <v>402099</v>
      </c>
    </row>
    <row r="185" spans="1:6">
      <c r="A185">
        <f t="shared" si="2"/>
        <v>183</v>
      </c>
      <c r="B185" s="162">
        <v>15</v>
      </c>
      <c r="C185" s="163" t="s">
        <v>136</v>
      </c>
      <c r="D185" t="s">
        <v>376</v>
      </c>
      <c r="E185" s="164">
        <v>402200</v>
      </c>
      <c r="F185" s="164">
        <v>402249</v>
      </c>
    </row>
    <row r="186" spans="1:6">
      <c r="A186">
        <f t="shared" si="2"/>
        <v>184</v>
      </c>
      <c r="B186" s="162">
        <v>15</v>
      </c>
      <c r="C186" s="163" t="s">
        <v>136</v>
      </c>
      <c r="D186" t="s">
        <v>377</v>
      </c>
      <c r="E186" s="164">
        <v>402250</v>
      </c>
      <c r="F186" s="164">
        <v>402299</v>
      </c>
    </row>
    <row r="187" spans="1:6">
      <c r="A187">
        <f t="shared" si="2"/>
        <v>185</v>
      </c>
      <c r="B187" s="162">
        <v>15</v>
      </c>
      <c r="C187" s="163" t="s">
        <v>136</v>
      </c>
      <c r="D187" t="s">
        <v>378</v>
      </c>
      <c r="E187" s="164">
        <v>402300</v>
      </c>
      <c r="F187" s="164">
        <v>402349</v>
      </c>
    </row>
    <row r="188" spans="1:6">
      <c r="A188">
        <f t="shared" si="2"/>
        <v>186</v>
      </c>
      <c r="B188" s="162">
        <v>15</v>
      </c>
      <c r="C188" s="163" t="s">
        <v>136</v>
      </c>
      <c r="D188" t="s">
        <v>379</v>
      </c>
      <c r="E188" s="164">
        <v>402350</v>
      </c>
      <c r="F188" s="164">
        <v>402399</v>
      </c>
    </row>
    <row r="189" spans="1:6">
      <c r="A189">
        <f t="shared" si="2"/>
        <v>187</v>
      </c>
      <c r="B189" s="162">
        <v>15</v>
      </c>
      <c r="C189" s="163" t="s">
        <v>136</v>
      </c>
      <c r="D189" t="s">
        <v>380</v>
      </c>
      <c r="E189" s="164">
        <v>402400</v>
      </c>
      <c r="F189" s="164">
        <v>402499</v>
      </c>
    </row>
    <row r="190" spans="1:6">
      <c r="A190">
        <f t="shared" si="2"/>
        <v>188</v>
      </c>
      <c r="B190" s="162">
        <v>15</v>
      </c>
      <c r="C190" s="163" t="s">
        <v>136</v>
      </c>
      <c r="D190" t="s">
        <v>381</v>
      </c>
      <c r="E190" s="164">
        <v>402500</v>
      </c>
      <c r="F190" s="164">
        <v>403099</v>
      </c>
    </row>
    <row r="191" spans="1:6">
      <c r="A191">
        <f t="shared" si="2"/>
        <v>189</v>
      </c>
      <c r="B191" s="162">
        <v>15</v>
      </c>
      <c r="C191" s="163" t="s">
        <v>136</v>
      </c>
      <c r="D191" t="s">
        <v>382</v>
      </c>
      <c r="E191" s="164">
        <v>403100</v>
      </c>
      <c r="F191" s="164">
        <v>404999</v>
      </c>
    </row>
    <row r="192" spans="1:6">
      <c r="A192">
        <f t="shared" si="2"/>
        <v>190</v>
      </c>
      <c r="B192" s="162">
        <v>16</v>
      </c>
      <c r="C192" s="163" t="s">
        <v>137</v>
      </c>
      <c r="D192" t="s">
        <v>383</v>
      </c>
      <c r="E192" s="164">
        <v>405000</v>
      </c>
      <c r="F192" s="164">
        <v>405149</v>
      </c>
    </row>
    <row r="193" spans="1:6">
      <c r="A193">
        <f t="shared" si="2"/>
        <v>191</v>
      </c>
      <c r="B193" s="162">
        <v>16</v>
      </c>
      <c r="C193" s="163" t="s">
        <v>137</v>
      </c>
      <c r="D193" t="s">
        <v>384</v>
      </c>
      <c r="E193" s="164">
        <v>405150</v>
      </c>
      <c r="F193" s="164">
        <v>405249</v>
      </c>
    </row>
    <row r="194" spans="1:6">
      <c r="A194">
        <f t="shared" si="2"/>
        <v>192</v>
      </c>
      <c r="B194" s="162">
        <v>16</v>
      </c>
      <c r="C194" s="163" t="s">
        <v>137</v>
      </c>
      <c r="D194" t="s">
        <v>385</v>
      </c>
      <c r="E194" s="164">
        <v>405250</v>
      </c>
      <c r="F194" s="164">
        <v>405349</v>
      </c>
    </row>
    <row r="195" spans="1:6">
      <c r="A195">
        <f t="shared" si="2"/>
        <v>193</v>
      </c>
      <c r="B195" s="162">
        <v>16</v>
      </c>
      <c r="C195" s="163" t="s">
        <v>137</v>
      </c>
      <c r="D195" t="s">
        <v>386</v>
      </c>
      <c r="E195" s="164">
        <v>405350</v>
      </c>
      <c r="F195" s="164">
        <v>405449</v>
      </c>
    </row>
    <row r="196" spans="1:6">
      <c r="A196">
        <f t="shared" ref="A196:A259" si="3">A195+1</f>
        <v>194</v>
      </c>
      <c r="B196" s="162">
        <v>16</v>
      </c>
      <c r="C196" s="163" t="s">
        <v>137</v>
      </c>
      <c r="D196" t="s">
        <v>387</v>
      </c>
      <c r="E196" s="164">
        <v>405450</v>
      </c>
      <c r="F196" s="164">
        <v>405999</v>
      </c>
    </row>
    <row r="197" spans="1:6">
      <c r="A197">
        <f t="shared" si="3"/>
        <v>195</v>
      </c>
      <c r="B197" s="162">
        <v>16</v>
      </c>
      <c r="C197" s="163" t="s">
        <v>137</v>
      </c>
      <c r="D197" t="s">
        <v>388</v>
      </c>
      <c r="E197" s="164">
        <v>406000</v>
      </c>
      <c r="F197" s="164">
        <v>407499</v>
      </c>
    </row>
    <row r="198" spans="1:6">
      <c r="A198">
        <f t="shared" si="3"/>
        <v>196</v>
      </c>
      <c r="B198" s="162">
        <v>17</v>
      </c>
      <c r="C198" s="163" t="s">
        <v>138</v>
      </c>
      <c r="D198" t="s">
        <v>389</v>
      </c>
      <c r="E198" s="164">
        <v>407500</v>
      </c>
      <c r="F198" s="164">
        <v>407699</v>
      </c>
    </row>
    <row r="199" spans="1:6">
      <c r="A199">
        <f t="shared" si="3"/>
        <v>197</v>
      </c>
      <c r="B199" s="162">
        <v>17</v>
      </c>
      <c r="C199" s="163" t="s">
        <v>138</v>
      </c>
      <c r="D199" t="s">
        <v>390</v>
      </c>
      <c r="E199" s="164">
        <v>407700</v>
      </c>
      <c r="F199" s="164">
        <v>407799</v>
      </c>
    </row>
    <row r="200" spans="1:6">
      <c r="A200">
        <f t="shared" si="3"/>
        <v>198</v>
      </c>
      <c r="B200" s="162">
        <v>17</v>
      </c>
      <c r="C200" s="163" t="s">
        <v>138</v>
      </c>
      <c r="D200" t="s">
        <v>391</v>
      </c>
      <c r="E200" s="164">
        <v>407800</v>
      </c>
      <c r="F200" s="164">
        <v>407899</v>
      </c>
    </row>
    <row r="201" spans="1:6">
      <c r="A201">
        <f t="shared" si="3"/>
        <v>199</v>
      </c>
      <c r="B201" s="162">
        <v>17</v>
      </c>
      <c r="C201" s="163" t="s">
        <v>138</v>
      </c>
      <c r="D201" t="s">
        <v>392</v>
      </c>
      <c r="E201" s="164">
        <v>407900</v>
      </c>
      <c r="F201" s="164">
        <v>407999</v>
      </c>
    </row>
    <row r="202" spans="1:6">
      <c r="A202">
        <f t="shared" si="3"/>
        <v>200</v>
      </c>
      <c r="B202" s="162">
        <v>17</v>
      </c>
      <c r="C202" s="163" t="s">
        <v>138</v>
      </c>
      <c r="D202" t="s">
        <v>393</v>
      </c>
      <c r="E202" s="164">
        <v>408100</v>
      </c>
      <c r="F202" s="164">
        <v>408199</v>
      </c>
    </row>
    <row r="203" spans="1:6">
      <c r="A203">
        <f t="shared" si="3"/>
        <v>201</v>
      </c>
      <c r="B203" s="162">
        <v>17</v>
      </c>
      <c r="C203" s="163" t="s">
        <v>138</v>
      </c>
      <c r="D203" t="s">
        <v>394</v>
      </c>
      <c r="E203" s="164">
        <v>408200</v>
      </c>
      <c r="F203" s="164">
        <v>408299</v>
      </c>
    </row>
    <row r="204" spans="1:6">
      <c r="A204">
        <f t="shared" si="3"/>
        <v>202</v>
      </c>
      <c r="B204" s="162">
        <v>17</v>
      </c>
      <c r="C204" s="163" t="s">
        <v>138</v>
      </c>
      <c r="D204" t="s">
        <v>395</v>
      </c>
      <c r="E204" s="164">
        <v>410000</v>
      </c>
      <c r="F204" s="164">
        <v>418399</v>
      </c>
    </row>
    <row r="205" spans="1:6">
      <c r="A205">
        <f t="shared" si="3"/>
        <v>203</v>
      </c>
      <c r="B205" s="162">
        <v>18</v>
      </c>
      <c r="C205" s="163" t="s">
        <v>139</v>
      </c>
      <c r="D205" t="s">
        <v>396</v>
      </c>
      <c r="E205" s="164">
        <v>418400</v>
      </c>
      <c r="F205" s="164">
        <v>418499</v>
      </c>
    </row>
    <row r="206" spans="1:6">
      <c r="A206">
        <f t="shared" si="3"/>
        <v>204</v>
      </c>
      <c r="B206" s="162">
        <v>18</v>
      </c>
      <c r="C206" s="163" t="s">
        <v>139</v>
      </c>
      <c r="D206" t="s">
        <v>397</v>
      </c>
      <c r="E206" s="164">
        <v>418500</v>
      </c>
      <c r="F206" s="164">
        <v>418599</v>
      </c>
    </row>
    <row r="207" spans="1:6">
      <c r="A207">
        <f t="shared" si="3"/>
        <v>205</v>
      </c>
      <c r="B207" s="162">
        <v>18</v>
      </c>
      <c r="C207" s="163" t="s">
        <v>139</v>
      </c>
      <c r="D207" t="s">
        <v>398</v>
      </c>
      <c r="E207" s="164">
        <v>418600</v>
      </c>
      <c r="F207" s="164">
        <v>418699</v>
      </c>
    </row>
    <row r="208" spans="1:6">
      <c r="A208">
        <f t="shared" si="3"/>
        <v>206</v>
      </c>
      <c r="B208" s="162">
        <v>18</v>
      </c>
      <c r="C208" s="163" t="s">
        <v>139</v>
      </c>
      <c r="D208" t="s">
        <v>399</v>
      </c>
      <c r="E208" s="164">
        <v>418700</v>
      </c>
      <c r="F208" s="164">
        <v>418799</v>
      </c>
    </row>
    <row r="209" spans="1:6">
      <c r="A209">
        <f t="shared" si="3"/>
        <v>207</v>
      </c>
      <c r="B209" s="162">
        <v>18</v>
      </c>
      <c r="C209" s="163" t="s">
        <v>139</v>
      </c>
      <c r="D209" t="s">
        <v>400</v>
      </c>
      <c r="E209" s="164">
        <v>418800</v>
      </c>
      <c r="F209" s="164">
        <v>418899</v>
      </c>
    </row>
    <row r="210" spans="1:6">
      <c r="A210">
        <f t="shared" si="3"/>
        <v>208</v>
      </c>
      <c r="B210" s="162">
        <v>18</v>
      </c>
      <c r="C210" s="163" t="s">
        <v>139</v>
      </c>
      <c r="D210" t="s">
        <v>401</v>
      </c>
      <c r="E210" s="164">
        <v>418900</v>
      </c>
      <c r="F210" s="164">
        <v>418999</v>
      </c>
    </row>
    <row r="211" spans="1:6">
      <c r="A211">
        <f t="shared" si="3"/>
        <v>209</v>
      </c>
      <c r="B211" s="162">
        <v>18</v>
      </c>
      <c r="C211" s="163" t="s">
        <v>139</v>
      </c>
      <c r="D211" t="s">
        <v>402</v>
      </c>
      <c r="E211" s="164">
        <v>419000</v>
      </c>
      <c r="F211" s="164">
        <v>419089</v>
      </c>
    </row>
    <row r="212" spans="1:6">
      <c r="A212">
        <f t="shared" si="3"/>
        <v>210</v>
      </c>
      <c r="B212" s="162">
        <v>18</v>
      </c>
      <c r="C212" s="163" t="s">
        <v>139</v>
      </c>
      <c r="D212" t="s">
        <v>403</v>
      </c>
      <c r="E212" s="164">
        <v>419090</v>
      </c>
      <c r="F212" s="164">
        <v>419899</v>
      </c>
    </row>
    <row r="213" spans="1:6">
      <c r="A213">
        <f t="shared" si="3"/>
        <v>211</v>
      </c>
      <c r="B213" s="162">
        <v>18</v>
      </c>
      <c r="C213" s="163" t="s">
        <v>139</v>
      </c>
      <c r="D213" t="s">
        <v>404</v>
      </c>
      <c r="E213" s="164">
        <v>419900</v>
      </c>
      <c r="F213" s="164">
        <v>420499</v>
      </c>
    </row>
    <row r="214" spans="1:6">
      <c r="A214">
        <f t="shared" si="3"/>
        <v>212</v>
      </c>
      <c r="B214" s="162">
        <v>18</v>
      </c>
      <c r="C214" s="163" t="s">
        <v>139</v>
      </c>
      <c r="D214" t="s">
        <v>405</v>
      </c>
      <c r="E214" s="164">
        <v>420500</v>
      </c>
      <c r="F214" s="164">
        <v>420999</v>
      </c>
    </row>
    <row r="215" spans="1:6">
      <c r="A215">
        <f t="shared" si="3"/>
        <v>213</v>
      </c>
      <c r="B215" s="162">
        <v>18</v>
      </c>
      <c r="C215" s="163" t="s">
        <v>139</v>
      </c>
      <c r="D215" t="s">
        <v>406</v>
      </c>
      <c r="E215" s="164">
        <v>421000</v>
      </c>
      <c r="F215" s="164">
        <v>421199</v>
      </c>
    </row>
    <row r="216" spans="1:6">
      <c r="A216">
        <f t="shared" si="3"/>
        <v>214</v>
      </c>
      <c r="B216" s="162">
        <v>18</v>
      </c>
      <c r="C216" s="163" t="s">
        <v>139</v>
      </c>
      <c r="D216" t="s">
        <v>407</v>
      </c>
      <c r="E216" s="164">
        <v>421200</v>
      </c>
      <c r="F216" s="164">
        <v>421399</v>
      </c>
    </row>
    <row r="217" spans="1:6">
      <c r="A217">
        <f t="shared" si="3"/>
        <v>215</v>
      </c>
      <c r="B217" s="162">
        <v>18</v>
      </c>
      <c r="C217" s="163" t="s">
        <v>139</v>
      </c>
      <c r="D217" t="s">
        <v>408</v>
      </c>
      <c r="E217" s="164">
        <v>421400</v>
      </c>
      <c r="F217" s="164">
        <v>421599</v>
      </c>
    </row>
    <row r="218" spans="1:6">
      <c r="A218">
        <f t="shared" si="3"/>
        <v>216</v>
      </c>
      <c r="B218" s="162">
        <v>18</v>
      </c>
      <c r="C218" s="163" t="s">
        <v>139</v>
      </c>
      <c r="D218" t="s">
        <v>409</v>
      </c>
      <c r="E218" s="164">
        <v>421600</v>
      </c>
      <c r="F218" s="164">
        <v>421799</v>
      </c>
    </row>
    <row r="219" spans="1:6">
      <c r="A219">
        <f t="shared" si="3"/>
        <v>217</v>
      </c>
      <c r="B219" s="162">
        <v>18</v>
      </c>
      <c r="C219" s="163" t="s">
        <v>139</v>
      </c>
      <c r="D219" t="s">
        <v>410</v>
      </c>
      <c r="E219" s="164">
        <v>421800</v>
      </c>
      <c r="F219" s="164">
        <v>421999</v>
      </c>
    </row>
    <row r="220" spans="1:6">
      <c r="A220">
        <f t="shared" si="3"/>
        <v>218</v>
      </c>
      <c r="B220" s="162">
        <v>18</v>
      </c>
      <c r="C220" s="163" t="s">
        <v>139</v>
      </c>
      <c r="D220" t="s">
        <v>411</v>
      </c>
      <c r="E220" s="164">
        <v>422000</v>
      </c>
      <c r="F220" s="164">
        <v>422099</v>
      </c>
    </row>
    <row r="221" spans="1:6">
      <c r="A221">
        <f t="shared" si="3"/>
        <v>219</v>
      </c>
      <c r="B221" s="162">
        <v>18</v>
      </c>
      <c r="C221" s="163" t="s">
        <v>139</v>
      </c>
      <c r="D221" t="s">
        <v>412</v>
      </c>
      <c r="E221" s="164">
        <v>422100</v>
      </c>
      <c r="F221" s="164">
        <v>422204</v>
      </c>
    </row>
    <row r="222" spans="1:6">
      <c r="A222">
        <f t="shared" si="3"/>
        <v>220</v>
      </c>
      <c r="B222" s="162">
        <v>18</v>
      </c>
      <c r="C222" s="163" t="s">
        <v>139</v>
      </c>
      <c r="D222" t="s">
        <v>413</v>
      </c>
      <c r="E222" s="164">
        <v>422210</v>
      </c>
      <c r="F222" s="164">
        <v>422259</v>
      </c>
    </row>
    <row r="223" spans="1:6">
      <c r="A223">
        <f t="shared" si="3"/>
        <v>221</v>
      </c>
      <c r="B223" s="162">
        <v>18</v>
      </c>
      <c r="C223" s="163" t="s">
        <v>139</v>
      </c>
      <c r="D223" t="s">
        <v>414</v>
      </c>
      <c r="E223" s="164">
        <v>422260</v>
      </c>
      <c r="F223" s="164">
        <v>422299</v>
      </c>
    </row>
    <row r="224" spans="1:6">
      <c r="A224">
        <f t="shared" si="3"/>
        <v>222</v>
      </c>
      <c r="B224" s="162">
        <v>18</v>
      </c>
      <c r="C224" s="163" t="s">
        <v>139</v>
      </c>
      <c r="D224" t="s">
        <v>415</v>
      </c>
      <c r="E224" s="164">
        <v>422300</v>
      </c>
      <c r="F224" s="164">
        <v>422359</v>
      </c>
    </row>
    <row r="225" spans="1:6">
      <c r="A225">
        <f t="shared" si="3"/>
        <v>223</v>
      </c>
      <c r="B225" s="162">
        <v>18</v>
      </c>
      <c r="C225" s="163" t="s">
        <v>139</v>
      </c>
      <c r="D225" t="s">
        <v>416</v>
      </c>
      <c r="E225" s="164">
        <v>422360</v>
      </c>
      <c r="F225" s="164">
        <v>422399</v>
      </c>
    </row>
    <row r="226" spans="1:6">
      <c r="A226">
        <f t="shared" si="3"/>
        <v>224</v>
      </c>
      <c r="B226" s="162">
        <v>18</v>
      </c>
      <c r="C226" s="163" t="s">
        <v>139</v>
      </c>
      <c r="D226" t="s">
        <v>417</v>
      </c>
      <c r="E226" s="164">
        <v>422400</v>
      </c>
      <c r="F226" s="164">
        <v>422409</v>
      </c>
    </row>
    <row r="227" spans="1:6">
      <c r="A227">
        <f t="shared" si="3"/>
        <v>225</v>
      </c>
      <c r="B227" s="162">
        <v>18</v>
      </c>
      <c r="C227" s="163" t="s">
        <v>139</v>
      </c>
      <c r="D227" t="s">
        <v>418</v>
      </c>
      <c r="E227" s="164">
        <v>422410</v>
      </c>
      <c r="F227" s="164">
        <v>422439</v>
      </c>
    </row>
    <row r="228" spans="1:6">
      <c r="A228">
        <f t="shared" si="3"/>
        <v>226</v>
      </c>
      <c r="B228" s="162">
        <v>18</v>
      </c>
      <c r="C228" s="163" t="s">
        <v>139</v>
      </c>
      <c r="D228" t="s">
        <v>419</v>
      </c>
      <c r="E228" s="164">
        <v>422440</v>
      </c>
      <c r="F228" s="164">
        <v>422499</v>
      </c>
    </row>
    <row r="229" spans="1:6">
      <c r="A229">
        <f t="shared" si="3"/>
        <v>227</v>
      </c>
      <c r="B229" s="162">
        <v>18</v>
      </c>
      <c r="C229" s="163" t="s">
        <v>139</v>
      </c>
      <c r="D229" t="s">
        <v>420</v>
      </c>
      <c r="E229" s="164">
        <v>422500</v>
      </c>
      <c r="F229" s="164">
        <v>422799</v>
      </c>
    </row>
    <row r="230" spans="1:6">
      <c r="A230">
        <f t="shared" si="3"/>
        <v>228</v>
      </c>
      <c r="B230" s="162">
        <v>18</v>
      </c>
      <c r="C230" s="163" t="s">
        <v>139</v>
      </c>
      <c r="D230" t="s">
        <v>421</v>
      </c>
      <c r="E230" s="164">
        <v>422800</v>
      </c>
      <c r="F230" s="164">
        <v>422899</v>
      </c>
    </row>
    <row r="231" spans="1:6">
      <c r="A231">
        <f t="shared" si="3"/>
        <v>229</v>
      </c>
      <c r="B231" s="162">
        <v>18</v>
      </c>
      <c r="C231" s="163" t="s">
        <v>139</v>
      </c>
      <c r="D231" t="s">
        <v>422</v>
      </c>
      <c r="E231" s="164">
        <v>422900</v>
      </c>
      <c r="F231" s="164">
        <v>424999</v>
      </c>
    </row>
    <row r="232" spans="1:6">
      <c r="A232">
        <f t="shared" si="3"/>
        <v>230</v>
      </c>
      <c r="B232" s="162">
        <v>19</v>
      </c>
      <c r="C232" s="163" t="s">
        <v>140</v>
      </c>
      <c r="D232" t="s">
        <v>423</v>
      </c>
      <c r="E232" s="164">
        <v>425000</v>
      </c>
      <c r="F232" s="164">
        <v>425099</v>
      </c>
    </row>
    <row r="233" spans="1:6">
      <c r="A233">
        <f t="shared" si="3"/>
        <v>231</v>
      </c>
      <c r="B233" s="162">
        <v>19</v>
      </c>
      <c r="C233" s="163" t="s">
        <v>140</v>
      </c>
      <c r="D233" t="s">
        <v>424</v>
      </c>
      <c r="E233" s="164">
        <v>425100</v>
      </c>
      <c r="F233" s="164">
        <v>425199</v>
      </c>
    </row>
    <row r="234" spans="1:6">
      <c r="A234">
        <f t="shared" si="3"/>
        <v>232</v>
      </c>
      <c r="B234" s="162">
        <v>19</v>
      </c>
      <c r="C234" s="163" t="s">
        <v>140</v>
      </c>
      <c r="D234" t="s">
        <v>425</v>
      </c>
      <c r="E234" s="164">
        <v>425200</v>
      </c>
      <c r="F234" s="164">
        <v>425299</v>
      </c>
    </row>
    <row r="235" spans="1:6">
      <c r="A235">
        <f t="shared" si="3"/>
        <v>233</v>
      </c>
      <c r="B235" s="162">
        <v>19</v>
      </c>
      <c r="C235" s="163" t="s">
        <v>140</v>
      </c>
      <c r="D235" t="s">
        <v>426</v>
      </c>
      <c r="E235" s="164">
        <v>425300</v>
      </c>
      <c r="F235" s="164">
        <v>425399</v>
      </c>
    </row>
    <row r="236" spans="1:6">
      <c r="A236">
        <f t="shared" si="3"/>
        <v>234</v>
      </c>
      <c r="B236" s="162">
        <v>19</v>
      </c>
      <c r="C236" s="163" t="s">
        <v>140</v>
      </c>
      <c r="D236" t="s">
        <v>427</v>
      </c>
      <c r="E236" s="164">
        <v>425400</v>
      </c>
      <c r="F236" s="164">
        <v>426399</v>
      </c>
    </row>
    <row r="237" spans="1:6">
      <c r="A237">
        <f t="shared" si="3"/>
        <v>235</v>
      </c>
      <c r="B237" s="162">
        <v>19</v>
      </c>
      <c r="C237" s="163" t="s">
        <v>140</v>
      </c>
      <c r="D237" t="s">
        <v>428</v>
      </c>
      <c r="E237" s="164">
        <v>426400</v>
      </c>
      <c r="F237" s="164">
        <v>427499</v>
      </c>
    </row>
    <row r="238" spans="1:6">
      <c r="A238">
        <f t="shared" si="3"/>
        <v>236</v>
      </c>
      <c r="B238" s="162">
        <v>20</v>
      </c>
      <c r="C238" s="163" t="s">
        <v>141</v>
      </c>
      <c r="D238" t="s">
        <v>429</v>
      </c>
      <c r="E238" s="164">
        <v>427500</v>
      </c>
      <c r="F238" s="164">
        <v>428259</v>
      </c>
    </row>
    <row r="239" spans="1:6">
      <c r="A239">
        <f t="shared" si="3"/>
        <v>237</v>
      </c>
      <c r="B239" s="162">
        <v>20</v>
      </c>
      <c r="C239" s="163" t="s">
        <v>141</v>
      </c>
      <c r="D239" t="s">
        <v>430</v>
      </c>
      <c r="E239" s="164">
        <v>428260</v>
      </c>
      <c r="F239" s="164">
        <v>428289</v>
      </c>
    </row>
    <row r="240" spans="1:6">
      <c r="A240">
        <f t="shared" si="3"/>
        <v>238</v>
      </c>
      <c r="B240" s="162">
        <v>20</v>
      </c>
      <c r="C240" s="163" t="s">
        <v>141</v>
      </c>
      <c r="D240" t="s">
        <v>431</v>
      </c>
      <c r="E240" s="164">
        <v>428290</v>
      </c>
      <c r="F240" s="164">
        <v>429199</v>
      </c>
    </row>
    <row r="241" spans="1:6">
      <c r="A241">
        <f t="shared" si="3"/>
        <v>239</v>
      </c>
      <c r="B241" s="162">
        <v>20</v>
      </c>
      <c r="C241" s="163" t="s">
        <v>141</v>
      </c>
      <c r="D241" t="s">
        <v>432</v>
      </c>
      <c r="E241" s="164">
        <v>429200</v>
      </c>
      <c r="F241" s="164">
        <v>429999</v>
      </c>
    </row>
    <row r="242" spans="1:6">
      <c r="A242">
        <f t="shared" si="3"/>
        <v>240</v>
      </c>
      <c r="B242" s="162">
        <v>20</v>
      </c>
      <c r="C242" s="163" t="s">
        <v>141</v>
      </c>
      <c r="D242" t="s">
        <v>433</v>
      </c>
      <c r="E242" s="164">
        <v>430000</v>
      </c>
      <c r="F242" s="164">
        <v>430199</v>
      </c>
    </row>
    <row r="243" spans="1:6">
      <c r="A243">
        <f t="shared" si="3"/>
        <v>241</v>
      </c>
      <c r="B243" s="162">
        <v>20</v>
      </c>
      <c r="C243" s="163" t="s">
        <v>141</v>
      </c>
      <c r="D243" t="s">
        <v>434</v>
      </c>
      <c r="E243" s="164">
        <v>430200</v>
      </c>
      <c r="F243" s="164">
        <v>430899</v>
      </c>
    </row>
    <row r="244" spans="1:6">
      <c r="A244">
        <f t="shared" si="3"/>
        <v>242</v>
      </c>
      <c r="B244" s="162">
        <v>20</v>
      </c>
      <c r="C244" s="163" t="s">
        <v>141</v>
      </c>
      <c r="D244" t="s">
        <v>435</v>
      </c>
      <c r="E244" s="164">
        <v>430900</v>
      </c>
      <c r="F244" s="164">
        <v>430999</v>
      </c>
    </row>
    <row r="245" spans="1:6">
      <c r="A245">
        <f t="shared" si="3"/>
        <v>243</v>
      </c>
      <c r="B245" s="162">
        <v>20</v>
      </c>
      <c r="C245" s="163" t="s">
        <v>141</v>
      </c>
      <c r="D245" t="s">
        <v>436</v>
      </c>
      <c r="E245" s="164">
        <v>431000</v>
      </c>
      <c r="F245" s="164">
        <v>431000</v>
      </c>
    </row>
    <row r="246" spans="1:6">
      <c r="A246">
        <f t="shared" si="3"/>
        <v>244</v>
      </c>
      <c r="B246" s="162">
        <v>20</v>
      </c>
      <c r="C246" s="163" t="s">
        <v>141</v>
      </c>
      <c r="D246" t="s">
        <v>437</v>
      </c>
      <c r="E246" s="164">
        <v>431001</v>
      </c>
      <c r="F246" s="164">
        <v>439999</v>
      </c>
    </row>
    <row r="247" spans="1:6">
      <c r="A247">
        <f t="shared" si="3"/>
        <v>245</v>
      </c>
      <c r="B247" s="162">
        <v>23</v>
      </c>
      <c r="C247" s="163" t="s">
        <v>144</v>
      </c>
      <c r="D247" t="s">
        <v>438</v>
      </c>
      <c r="E247" s="164">
        <v>460000</v>
      </c>
      <c r="F247" s="164">
        <v>479999</v>
      </c>
    </row>
    <row r="248" spans="1:6">
      <c r="A248">
        <f t="shared" si="3"/>
        <v>246</v>
      </c>
      <c r="B248" s="162">
        <v>24</v>
      </c>
      <c r="C248" s="163" t="s">
        <v>145</v>
      </c>
      <c r="D248" t="s">
        <v>439</v>
      </c>
      <c r="E248" s="164">
        <v>440100</v>
      </c>
      <c r="F248" s="164">
        <v>450199</v>
      </c>
    </row>
    <row r="249" spans="1:6">
      <c r="A249">
        <f t="shared" si="3"/>
        <v>247</v>
      </c>
      <c r="B249" s="162">
        <v>24</v>
      </c>
      <c r="C249" s="163" t="s">
        <v>145</v>
      </c>
      <c r="D249" t="s">
        <v>440</v>
      </c>
      <c r="E249" s="164">
        <v>450200</v>
      </c>
      <c r="F249" s="164">
        <v>450299</v>
      </c>
    </row>
    <row r="250" spans="1:6">
      <c r="A250">
        <f t="shared" si="3"/>
        <v>248</v>
      </c>
      <c r="B250" s="162">
        <v>24</v>
      </c>
      <c r="C250" s="163" t="s">
        <v>145</v>
      </c>
      <c r="D250" t="s">
        <v>441</v>
      </c>
      <c r="E250" s="164">
        <v>450300</v>
      </c>
      <c r="F250" s="164">
        <v>450399</v>
      </c>
    </row>
    <row r="251" spans="1:6">
      <c r="A251">
        <f t="shared" si="3"/>
        <v>249</v>
      </c>
      <c r="B251" s="162">
        <v>24</v>
      </c>
      <c r="C251" s="163" t="s">
        <v>145</v>
      </c>
      <c r="D251" t="s">
        <v>442</v>
      </c>
      <c r="E251" s="164">
        <v>450400</v>
      </c>
      <c r="F251" s="164">
        <v>450499</v>
      </c>
    </row>
    <row r="252" spans="1:6">
      <c r="A252">
        <f t="shared" si="3"/>
        <v>250</v>
      </c>
      <c r="B252" s="162">
        <v>24</v>
      </c>
      <c r="C252" s="163" t="s">
        <v>145</v>
      </c>
      <c r="D252" t="s">
        <v>443</v>
      </c>
      <c r="E252" s="164">
        <v>450500</v>
      </c>
      <c r="F252" s="164">
        <v>450599</v>
      </c>
    </row>
    <row r="253" spans="1:6">
      <c r="A253">
        <f t="shared" si="3"/>
        <v>251</v>
      </c>
      <c r="B253" s="162">
        <v>24</v>
      </c>
      <c r="C253" s="163" t="s">
        <v>145</v>
      </c>
      <c r="D253" t="s">
        <v>444</v>
      </c>
      <c r="E253" s="164">
        <v>450600</v>
      </c>
      <c r="F253" s="164">
        <v>459999</v>
      </c>
    </row>
    <row r="254" spans="1:6">
      <c r="A254">
        <f t="shared" si="3"/>
        <v>252</v>
      </c>
      <c r="B254" s="162">
        <v>25</v>
      </c>
      <c r="C254" s="163" t="s">
        <v>146</v>
      </c>
      <c r="D254" t="s">
        <v>445</v>
      </c>
      <c r="E254" s="164">
        <v>480000</v>
      </c>
      <c r="F254" s="164">
        <v>482499</v>
      </c>
    </row>
    <row r="255" spans="1:6">
      <c r="A255">
        <f t="shared" si="3"/>
        <v>253</v>
      </c>
      <c r="B255" s="162">
        <v>25</v>
      </c>
      <c r="C255" s="163" t="s">
        <v>146</v>
      </c>
      <c r="D255" t="s">
        <v>446</v>
      </c>
      <c r="E255" s="164">
        <v>482500</v>
      </c>
      <c r="F255" s="164">
        <v>484999</v>
      </c>
    </row>
    <row r="256" spans="1:6">
      <c r="A256">
        <f t="shared" si="3"/>
        <v>254</v>
      </c>
      <c r="B256" s="162">
        <v>25</v>
      </c>
      <c r="C256" s="163" t="s">
        <v>146</v>
      </c>
      <c r="D256" t="s">
        <v>447</v>
      </c>
      <c r="E256" s="164">
        <v>485000</v>
      </c>
      <c r="F256" s="164">
        <v>487499</v>
      </c>
    </row>
    <row r="257" spans="1:6">
      <c r="A257">
        <f t="shared" si="3"/>
        <v>255</v>
      </c>
      <c r="B257" s="162">
        <v>25</v>
      </c>
      <c r="C257" s="163" t="s">
        <v>146</v>
      </c>
      <c r="D257" t="s">
        <v>448</v>
      </c>
      <c r="E257" s="164">
        <v>500000</v>
      </c>
      <c r="F257" s="164">
        <v>502499</v>
      </c>
    </row>
    <row r="258" spans="1:6">
      <c r="A258">
        <f t="shared" si="3"/>
        <v>256</v>
      </c>
      <c r="B258" s="162">
        <v>25</v>
      </c>
      <c r="C258" s="163" t="s">
        <v>146</v>
      </c>
      <c r="D258" t="s">
        <v>449</v>
      </c>
      <c r="E258" s="164">
        <v>512500</v>
      </c>
      <c r="F258" s="164">
        <v>514999</v>
      </c>
    </row>
    <row r="259" spans="1:6">
      <c r="A259">
        <f t="shared" si="3"/>
        <v>257</v>
      </c>
      <c r="B259" s="162">
        <v>25</v>
      </c>
      <c r="C259" s="163" t="s">
        <v>146</v>
      </c>
      <c r="D259" t="s">
        <v>450</v>
      </c>
      <c r="E259" s="164">
        <v>517500</v>
      </c>
      <c r="F259" s="164">
        <v>519999</v>
      </c>
    </row>
    <row r="260" spans="1:6">
      <c r="A260">
        <f t="shared" ref="A260:A323" si="4">A259+1</f>
        <v>258</v>
      </c>
      <c r="B260" s="162">
        <v>25</v>
      </c>
      <c r="C260" s="163" t="s">
        <v>146</v>
      </c>
      <c r="D260" t="s">
        <v>451</v>
      </c>
      <c r="E260" s="164">
        <v>527500</v>
      </c>
      <c r="F260" s="164">
        <v>529999</v>
      </c>
    </row>
    <row r="261" spans="1:6">
      <c r="A261">
        <f t="shared" si="4"/>
        <v>259</v>
      </c>
      <c r="B261" s="162">
        <v>25</v>
      </c>
      <c r="C261" s="163" t="s">
        <v>146</v>
      </c>
      <c r="D261" t="s">
        <v>452</v>
      </c>
      <c r="E261" s="164">
        <v>530000</v>
      </c>
      <c r="F261" s="164">
        <v>532499</v>
      </c>
    </row>
    <row r="262" spans="1:6">
      <c r="A262">
        <f t="shared" si="4"/>
        <v>260</v>
      </c>
      <c r="B262" s="162">
        <v>25</v>
      </c>
      <c r="C262" s="163" t="s">
        <v>146</v>
      </c>
      <c r="D262" t="s">
        <v>453</v>
      </c>
      <c r="E262" s="164">
        <v>540000</v>
      </c>
      <c r="F262" s="164">
        <v>542499</v>
      </c>
    </row>
    <row r="263" spans="1:6">
      <c r="A263">
        <f t="shared" si="4"/>
        <v>261</v>
      </c>
      <c r="B263" s="162">
        <v>25</v>
      </c>
      <c r="C263" s="163" t="s">
        <v>146</v>
      </c>
      <c r="D263" t="s">
        <v>454</v>
      </c>
      <c r="E263" s="164">
        <v>790000</v>
      </c>
      <c r="F263" s="164">
        <v>790099</v>
      </c>
    </row>
    <row r="264" spans="1:6">
      <c r="A264">
        <f t="shared" si="4"/>
        <v>262</v>
      </c>
      <c r="B264" s="162">
        <v>25</v>
      </c>
      <c r="C264" s="163" t="s">
        <v>146</v>
      </c>
      <c r="D264" t="s">
        <v>455</v>
      </c>
      <c r="E264" s="164">
        <v>790100</v>
      </c>
      <c r="F264" s="164">
        <v>790109</v>
      </c>
    </row>
    <row r="265" spans="1:6">
      <c r="A265">
        <f t="shared" si="4"/>
        <v>263</v>
      </c>
      <c r="B265" s="162">
        <v>25</v>
      </c>
      <c r="C265" s="163" t="s">
        <v>146</v>
      </c>
      <c r="D265" t="s">
        <v>456</v>
      </c>
      <c r="E265" s="164">
        <v>790110</v>
      </c>
      <c r="F265" s="164">
        <v>790275</v>
      </c>
    </row>
    <row r="266" spans="1:6">
      <c r="A266">
        <f t="shared" si="4"/>
        <v>264</v>
      </c>
      <c r="B266" s="162">
        <v>26</v>
      </c>
      <c r="C266" s="163" t="s">
        <v>147</v>
      </c>
      <c r="D266" t="s">
        <v>457</v>
      </c>
      <c r="E266" s="164">
        <v>522500</v>
      </c>
      <c r="F266" s="164">
        <v>524999</v>
      </c>
    </row>
    <row r="267" spans="1:6">
      <c r="A267">
        <f t="shared" si="4"/>
        <v>265</v>
      </c>
      <c r="B267" s="162">
        <v>26</v>
      </c>
      <c r="C267" s="163" t="s">
        <v>147</v>
      </c>
      <c r="D267" t="s">
        <v>458</v>
      </c>
      <c r="E267" s="164">
        <v>550000</v>
      </c>
      <c r="F267" s="164">
        <v>552499</v>
      </c>
    </row>
    <row r="268" spans="1:6">
      <c r="A268">
        <f t="shared" si="4"/>
        <v>266</v>
      </c>
      <c r="B268" s="162">
        <v>27</v>
      </c>
      <c r="C268" s="163" t="s">
        <v>148</v>
      </c>
      <c r="D268" t="s">
        <v>459</v>
      </c>
      <c r="E268" s="164">
        <v>502500</v>
      </c>
      <c r="F268" s="164">
        <v>504999</v>
      </c>
    </row>
    <row r="269" spans="1:6">
      <c r="A269">
        <f t="shared" si="4"/>
        <v>267</v>
      </c>
      <c r="B269" s="162">
        <v>28</v>
      </c>
      <c r="C269" s="163" t="s">
        <v>149</v>
      </c>
      <c r="D269" t="s">
        <v>460</v>
      </c>
      <c r="E269" s="164">
        <v>487500</v>
      </c>
      <c r="F269" s="164">
        <v>489999</v>
      </c>
    </row>
    <row r="270" spans="1:6">
      <c r="A270">
        <f t="shared" si="4"/>
        <v>268</v>
      </c>
      <c r="B270" s="162">
        <v>28</v>
      </c>
      <c r="C270" s="163" t="s">
        <v>149</v>
      </c>
      <c r="D270" t="s">
        <v>461</v>
      </c>
      <c r="E270" s="164">
        <v>490000</v>
      </c>
      <c r="F270" s="164">
        <v>492499</v>
      </c>
    </row>
    <row r="271" spans="1:6">
      <c r="A271">
        <f t="shared" si="4"/>
        <v>269</v>
      </c>
      <c r="B271" s="162">
        <v>28</v>
      </c>
      <c r="C271" s="163" t="s">
        <v>149</v>
      </c>
      <c r="D271" t="s">
        <v>462</v>
      </c>
      <c r="E271" s="164">
        <v>507500</v>
      </c>
      <c r="F271" s="164">
        <v>509999</v>
      </c>
    </row>
    <row r="272" spans="1:6">
      <c r="A272">
        <f t="shared" si="4"/>
        <v>270</v>
      </c>
      <c r="B272" s="162">
        <v>29</v>
      </c>
      <c r="C272" s="163" t="s">
        <v>150</v>
      </c>
      <c r="D272" t="s">
        <v>463</v>
      </c>
      <c r="E272" s="164">
        <v>492500</v>
      </c>
      <c r="F272" s="164">
        <v>494999</v>
      </c>
    </row>
    <row r="273" spans="1:6">
      <c r="A273">
        <f t="shared" si="4"/>
        <v>271</v>
      </c>
      <c r="B273" s="162">
        <v>29</v>
      </c>
      <c r="C273" s="163" t="s">
        <v>150</v>
      </c>
      <c r="D273" t="s">
        <v>464</v>
      </c>
      <c r="E273" s="164">
        <v>495000</v>
      </c>
      <c r="F273" s="164">
        <v>497499</v>
      </c>
    </row>
    <row r="274" spans="1:6">
      <c r="A274">
        <f t="shared" si="4"/>
        <v>272</v>
      </c>
      <c r="B274" s="162">
        <v>29</v>
      </c>
      <c r="C274" s="163" t="s">
        <v>150</v>
      </c>
      <c r="D274" t="s">
        <v>465</v>
      </c>
      <c r="E274" s="164">
        <v>497500</v>
      </c>
      <c r="F274" s="164">
        <v>499999</v>
      </c>
    </row>
    <row r="275" spans="1:6">
      <c r="A275">
        <f t="shared" si="4"/>
        <v>273</v>
      </c>
      <c r="B275" s="162">
        <v>29</v>
      </c>
      <c r="C275" s="163" t="s">
        <v>150</v>
      </c>
      <c r="D275" t="s">
        <v>466</v>
      </c>
      <c r="E275" s="164">
        <v>510000</v>
      </c>
      <c r="F275" s="164">
        <v>512499</v>
      </c>
    </row>
    <row r="276" spans="1:6">
      <c r="A276">
        <f t="shared" si="4"/>
        <v>274</v>
      </c>
      <c r="B276" s="162">
        <v>29</v>
      </c>
      <c r="C276" s="163" t="s">
        <v>150</v>
      </c>
      <c r="D276" t="s">
        <v>467</v>
      </c>
      <c r="E276" s="164">
        <v>515000</v>
      </c>
      <c r="F276" s="164">
        <v>517499</v>
      </c>
    </row>
    <row r="277" spans="1:6">
      <c r="A277">
        <f t="shared" si="4"/>
        <v>275</v>
      </c>
      <c r="B277" s="162">
        <v>29</v>
      </c>
      <c r="C277" s="163" t="s">
        <v>150</v>
      </c>
      <c r="D277" t="s">
        <v>468</v>
      </c>
      <c r="E277" s="164">
        <v>520000</v>
      </c>
      <c r="F277" s="164">
        <v>522499</v>
      </c>
    </row>
    <row r="278" spans="1:6">
      <c r="A278">
        <f t="shared" si="4"/>
        <v>276</v>
      </c>
      <c r="B278" s="162">
        <v>29</v>
      </c>
      <c r="C278" s="163" t="s">
        <v>150</v>
      </c>
      <c r="D278" t="s">
        <v>469</v>
      </c>
      <c r="E278" s="164">
        <v>532500</v>
      </c>
      <c r="F278" s="164">
        <v>534999</v>
      </c>
    </row>
    <row r="279" spans="1:6">
      <c r="A279">
        <f t="shared" si="4"/>
        <v>277</v>
      </c>
      <c r="B279" s="162">
        <v>29</v>
      </c>
      <c r="C279" s="163" t="s">
        <v>150</v>
      </c>
      <c r="D279" t="s">
        <v>470</v>
      </c>
      <c r="E279" s="164">
        <v>535000</v>
      </c>
      <c r="F279" s="164">
        <v>537499</v>
      </c>
    </row>
    <row r="280" spans="1:6">
      <c r="A280">
        <f t="shared" si="4"/>
        <v>278</v>
      </c>
      <c r="B280" s="162">
        <v>29</v>
      </c>
      <c r="C280" s="163" t="s">
        <v>150</v>
      </c>
      <c r="D280" t="s">
        <v>471</v>
      </c>
      <c r="E280" s="164">
        <v>537500</v>
      </c>
      <c r="F280" s="164">
        <v>539999</v>
      </c>
    </row>
    <row r="281" spans="1:6">
      <c r="A281">
        <f t="shared" si="4"/>
        <v>279</v>
      </c>
      <c r="B281" s="162">
        <v>29</v>
      </c>
      <c r="C281" s="163" t="s">
        <v>150</v>
      </c>
      <c r="D281" t="s">
        <v>472</v>
      </c>
      <c r="E281" s="164">
        <v>547500</v>
      </c>
      <c r="F281" s="164">
        <v>549999</v>
      </c>
    </row>
    <row r="282" spans="1:6">
      <c r="A282">
        <f t="shared" si="4"/>
        <v>280</v>
      </c>
      <c r="B282" s="162">
        <v>29</v>
      </c>
      <c r="C282" s="163" t="s">
        <v>150</v>
      </c>
      <c r="D282" t="s">
        <v>473</v>
      </c>
      <c r="E282" s="164">
        <v>552500</v>
      </c>
      <c r="F282" s="164">
        <v>557499</v>
      </c>
    </row>
    <row r="283" spans="1:6">
      <c r="A283">
        <f t="shared" si="4"/>
        <v>281</v>
      </c>
      <c r="B283" s="162">
        <v>29</v>
      </c>
      <c r="C283" s="163" t="s">
        <v>150</v>
      </c>
      <c r="D283" t="s">
        <v>474</v>
      </c>
      <c r="E283" s="164">
        <v>557500</v>
      </c>
      <c r="F283" s="164">
        <v>699999</v>
      </c>
    </row>
    <row r="284" spans="1:6">
      <c r="A284">
        <f t="shared" si="4"/>
        <v>282</v>
      </c>
      <c r="B284" s="162">
        <v>29</v>
      </c>
      <c r="C284" s="163" t="s">
        <v>150</v>
      </c>
      <c r="D284" t="s">
        <v>475</v>
      </c>
      <c r="E284" s="164">
        <v>950700</v>
      </c>
      <c r="F284" s="164">
        <v>950799</v>
      </c>
    </row>
    <row r="285" spans="1:6">
      <c r="A285">
        <f t="shared" si="4"/>
        <v>283</v>
      </c>
      <c r="B285" s="162">
        <v>32</v>
      </c>
      <c r="C285" s="163" t="s">
        <v>153</v>
      </c>
      <c r="D285" t="s">
        <v>476</v>
      </c>
      <c r="E285" s="164">
        <v>700000</v>
      </c>
      <c r="F285" s="164">
        <v>700099</v>
      </c>
    </row>
    <row r="286" spans="1:6">
      <c r="A286">
        <f t="shared" si="4"/>
        <v>284</v>
      </c>
      <c r="B286" s="162">
        <v>32</v>
      </c>
      <c r="C286" s="163" t="s">
        <v>153</v>
      </c>
      <c r="D286" t="s">
        <v>477</v>
      </c>
      <c r="E286" s="164">
        <v>700100</v>
      </c>
      <c r="F286" s="164">
        <v>701999</v>
      </c>
    </row>
    <row r="287" spans="1:6">
      <c r="A287">
        <f t="shared" si="4"/>
        <v>285</v>
      </c>
      <c r="B287" s="162">
        <v>33</v>
      </c>
      <c r="C287" s="163" t="s">
        <v>154</v>
      </c>
      <c r="D287" t="s">
        <v>478</v>
      </c>
      <c r="E287" s="164">
        <v>702000</v>
      </c>
      <c r="F287" s="164">
        <v>703999</v>
      </c>
    </row>
    <row r="288" spans="1:6">
      <c r="A288">
        <f t="shared" si="4"/>
        <v>286</v>
      </c>
      <c r="B288" s="162">
        <v>36</v>
      </c>
      <c r="C288" s="163" t="s">
        <v>157</v>
      </c>
      <c r="D288" t="s">
        <v>479</v>
      </c>
      <c r="E288" s="164">
        <v>545000</v>
      </c>
      <c r="F288" s="164">
        <v>545499</v>
      </c>
    </row>
    <row r="289" spans="1:6">
      <c r="A289">
        <f t="shared" si="4"/>
        <v>287</v>
      </c>
      <c r="B289" s="162">
        <v>37</v>
      </c>
      <c r="C289" s="163" t="s">
        <v>158</v>
      </c>
      <c r="D289" t="s">
        <v>480</v>
      </c>
      <c r="E289" s="164">
        <v>750000</v>
      </c>
      <c r="F289" s="164">
        <v>750099</v>
      </c>
    </row>
    <row r="290" spans="1:6">
      <c r="A290">
        <f t="shared" si="4"/>
        <v>288</v>
      </c>
      <c r="B290" s="162">
        <v>37</v>
      </c>
      <c r="C290" s="163" t="s">
        <v>158</v>
      </c>
      <c r="D290" t="s">
        <v>481</v>
      </c>
      <c r="E290" s="164">
        <v>750100</v>
      </c>
      <c r="F290" s="164">
        <v>750199</v>
      </c>
    </row>
    <row r="291" spans="1:6">
      <c r="A291">
        <f t="shared" si="4"/>
        <v>289</v>
      </c>
      <c r="B291" s="162">
        <v>37</v>
      </c>
      <c r="C291" s="163" t="s">
        <v>158</v>
      </c>
      <c r="D291" t="s">
        <v>482</v>
      </c>
      <c r="E291" s="164">
        <v>750200</v>
      </c>
      <c r="F291" s="164">
        <v>750299</v>
      </c>
    </row>
    <row r="292" spans="1:6">
      <c r="A292">
        <f t="shared" si="4"/>
        <v>290</v>
      </c>
      <c r="B292" s="162">
        <v>37</v>
      </c>
      <c r="C292" s="163" t="s">
        <v>158</v>
      </c>
      <c r="D292" t="s">
        <v>483</v>
      </c>
      <c r="E292" s="164">
        <v>750300</v>
      </c>
      <c r="F292" s="164">
        <v>750399</v>
      </c>
    </row>
    <row r="293" spans="1:6">
      <c r="A293">
        <f t="shared" si="4"/>
        <v>291</v>
      </c>
      <c r="B293" s="162">
        <v>37</v>
      </c>
      <c r="C293" s="163" t="s">
        <v>158</v>
      </c>
      <c r="D293" t="s">
        <v>484</v>
      </c>
      <c r="E293" s="164">
        <v>750400</v>
      </c>
      <c r="F293" s="164">
        <v>750499</v>
      </c>
    </row>
    <row r="294" spans="1:6">
      <c r="A294">
        <f t="shared" si="4"/>
        <v>292</v>
      </c>
      <c r="B294" s="162">
        <v>37</v>
      </c>
      <c r="C294" s="163" t="s">
        <v>158</v>
      </c>
      <c r="D294" t="s">
        <v>485</v>
      </c>
      <c r="E294" s="164">
        <v>750500</v>
      </c>
      <c r="F294" s="164">
        <v>750599</v>
      </c>
    </row>
    <row r="295" spans="1:6">
      <c r="A295">
        <f t="shared" si="4"/>
        <v>293</v>
      </c>
      <c r="B295" s="162">
        <v>37</v>
      </c>
      <c r="C295" s="163" t="s">
        <v>158</v>
      </c>
      <c r="D295" t="s">
        <v>486</v>
      </c>
      <c r="E295" s="164">
        <v>750600</v>
      </c>
      <c r="F295" s="164">
        <v>750699</v>
      </c>
    </row>
    <row r="296" spans="1:6">
      <c r="A296">
        <f t="shared" si="4"/>
        <v>294</v>
      </c>
      <c r="B296" s="162">
        <v>37</v>
      </c>
      <c r="C296" s="163" t="s">
        <v>158</v>
      </c>
      <c r="D296" t="s">
        <v>487</v>
      </c>
      <c r="E296" s="164">
        <v>750700</v>
      </c>
      <c r="F296" s="164">
        <v>750799</v>
      </c>
    </row>
    <row r="297" spans="1:6">
      <c r="A297">
        <f t="shared" si="4"/>
        <v>295</v>
      </c>
      <c r="B297" s="162">
        <v>37</v>
      </c>
      <c r="C297" s="163" t="s">
        <v>158</v>
      </c>
      <c r="D297" t="s">
        <v>488</v>
      </c>
      <c r="E297" s="164">
        <v>750800</v>
      </c>
      <c r="F297" s="164">
        <v>750899</v>
      </c>
    </row>
    <row r="298" spans="1:6">
      <c r="A298">
        <f t="shared" si="4"/>
        <v>296</v>
      </c>
      <c r="B298" s="162">
        <v>37</v>
      </c>
      <c r="C298" s="163" t="s">
        <v>158</v>
      </c>
      <c r="D298" t="s">
        <v>489</v>
      </c>
      <c r="E298" s="164">
        <v>750900</v>
      </c>
      <c r="F298" s="164">
        <v>750999</v>
      </c>
    </row>
    <row r="299" spans="1:6">
      <c r="A299">
        <f t="shared" si="4"/>
        <v>297</v>
      </c>
      <c r="B299" s="162">
        <v>37</v>
      </c>
      <c r="C299" s="163" t="s">
        <v>158</v>
      </c>
      <c r="D299" t="s">
        <v>490</v>
      </c>
      <c r="E299" s="164">
        <v>751000</v>
      </c>
      <c r="F299" s="164">
        <v>751099</v>
      </c>
    </row>
    <row r="300" spans="1:6">
      <c r="A300">
        <f t="shared" si="4"/>
        <v>298</v>
      </c>
      <c r="B300" s="162">
        <v>37</v>
      </c>
      <c r="C300" s="163" t="s">
        <v>158</v>
      </c>
      <c r="D300" t="s">
        <v>491</v>
      </c>
      <c r="E300" s="164">
        <v>751100</v>
      </c>
      <c r="F300" s="164">
        <v>751199</v>
      </c>
    </row>
    <row r="301" spans="1:6">
      <c r="A301">
        <f t="shared" si="4"/>
        <v>299</v>
      </c>
      <c r="B301" s="162">
        <v>37</v>
      </c>
      <c r="C301" s="163" t="s">
        <v>158</v>
      </c>
      <c r="D301" t="s">
        <v>492</v>
      </c>
      <c r="E301" s="164">
        <v>752492</v>
      </c>
      <c r="F301" s="164">
        <v>752492</v>
      </c>
    </row>
    <row r="302" spans="1:6">
      <c r="A302">
        <f t="shared" si="4"/>
        <v>300</v>
      </c>
      <c r="B302" s="162">
        <v>37</v>
      </c>
      <c r="C302" s="163" t="s">
        <v>158</v>
      </c>
      <c r="D302" t="s">
        <v>493</v>
      </c>
      <c r="E302" s="164">
        <v>752493</v>
      </c>
      <c r="F302" s="164">
        <v>752493</v>
      </c>
    </row>
    <row r="303" spans="1:6">
      <c r="A303">
        <f t="shared" si="4"/>
        <v>301</v>
      </c>
      <c r="B303" s="162">
        <v>37</v>
      </c>
      <c r="C303" s="163" t="s">
        <v>158</v>
      </c>
      <c r="D303" t="s">
        <v>494</v>
      </c>
      <c r="E303" s="164">
        <v>752494</v>
      </c>
      <c r="F303" s="164">
        <v>752494</v>
      </c>
    </row>
    <row r="304" spans="1:6">
      <c r="A304">
        <f t="shared" si="4"/>
        <v>302</v>
      </c>
      <c r="B304" s="162">
        <v>37</v>
      </c>
      <c r="C304" s="163" t="s">
        <v>158</v>
      </c>
      <c r="D304" t="s">
        <v>495</v>
      </c>
      <c r="E304" s="164">
        <v>752495</v>
      </c>
      <c r="F304" s="164">
        <v>752495</v>
      </c>
    </row>
    <row r="305" spans="1:6">
      <c r="A305">
        <f t="shared" si="4"/>
        <v>303</v>
      </c>
      <c r="B305" s="162">
        <v>37</v>
      </c>
      <c r="C305" s="163" t="s">
        <v>158</v>
      </c>
      <c r="D305" t="s">
        <v>496</v>
      </c>
      <c r="E305" s="164">
        <v>752496</v>
      </c>
      <c r="F305" s="164">
        <v>752496</v>
      </c>
    </row>
    <row r="306" spans="1:6">
      <c r="A306">
        <f t="shared" si="4"/>
        <v>304</v>
      </c>
      <c r="B306" s="162">
        <v>38</v>
      </c>
      <c r="C306" s="163" t="s">
        <v>33</v>
      </c>
      <c r="D306" t="s">
        <v>497</v>
      </c>
      <c r="E306" s="164">
        <v>762500</v>
      </c>
      <c r="F306" s="164">
        <v>792500</v>
      </c>
    </row>
    <row r="307" spans="1:6">
      <c r="A307">
        <f t="shared" si="4"/>
        <v>305</v>
      </c>
      <c r="B307" s="162">
        <v>38</v>
      </c>
      <c r="C307" s="163" t="s">
        <v>33</v>
      </c>
      <c r="D307" t="s">
        <v>498</v>
      </c>
      <c r="E307" s="164">
        <v>792501</v>
      </c>
      <c r="F307" s="164">
        <v>792501</v>
      </c>
    </row>
    <row r="308" spans="1:6">
      <c r="A308">
        <f t="shared" si="4"/>
        <v>306</v>
      </c>
      <c r="B308" s="162">
        <v>38</v>
      </c>
      <c r="C308" s="163" t="s">
        <v>33</v>
      </c>
      <c r="D308" t="s">
        <v>499</v>
      </c>
      <c r="E308" s="164">
        <v>810000</v>
      </c>
      <c r="F308" s="164">
        <v>810099</v>
      </c>
    </row>
    <row r="309" spans="1:6">
      <c r="A309">
        <f t="shared" si="4"/>
        <v>307</v>
      </c>
      <c r="B309" s="162">
        <v>38</v>
      </c>
      <c r="C309" s="163" t="s">
        <v>33</v>
      </c>
      <c r="D309" t="s">
        <v>500</v>
      </c>
      <c r="E309" s="164">
        <v>810100</v>
      </c>
      <c r="F309" s="164">
        <v>810199</v>
      </c>
    </row>
    <row r="310" spans="1:6">
      <c r="A310">
        <f t="shared" si="4"/>
        <v>308</v>
      </c>
      <c r="B310" s="162">
        <v>38</v>
      </c>
      <c r="C310" s="163" t="s">
        <v>33</v>
      </c>
      <c r="D310" t="s">
        <v>501</v>
      </c>
      <c r="E310" s="164">
        <v>810200</v>
      </c>
      <c r="F310" s="164">
        <v>810299</v>
      </c>
    </row>
    <row r="311" spans="1:6">
      <c r="A311">
        <f t="shared" si="4"/>
        <v>309</v>
      </c>
      <c r="B311" s="162">
        <v>38</v>
      </c>
      <c r="C311" s="163" t="s">
        <v>33</v>
      </c>
      <c r="D311" t="s">
        <v>502</v>
      </c>
      <c r="E311" s="164">
        <v>810300</v>
      </c>
      <c r="F311" s="164">
        <v>810349</v>
      </c>
    </row>
    <row r="312" spans="1:6">
      <c r="A312">
        <f t="shared" si="4"/>
        <v>310</v>
      </c>
      <c r="B312" s="162">
        <v>38</v>
      </c>
      <c r="C312" s="163" t="s">
        <v>33</v>
      </c>
      <c r="D312" t="s">
        <v>503</v>
      </c>
      <c r="E312" s="164">
        <v>810350</v>
      </c>
      <c r="F312" s="164">
        <v>810399</v>
      </c>
    </row>
    <row r="313" spans="1:6">
      <c r="A313">
        <f t="shared" si="4"/>
        <v>311</v>
      </c>
      <c r="B313" s="162">
        <v>38</v>
      </c>
      <c r="C313" s="163" t="s">
        <v>33</v>
      </c>
      <c r="D313" t="s">
        <v>504</v>
      </c>
      <c r="E313" s="164">
        <v>810400</v>
      </c>
      <c r="F313" s="164">
        <v>810499</v>
      </c>
    </row>
    <row r="314" spans="1:6">
      <c r="A314">
        <f t="shared" si="4"/>
        <v>312</v>
      </c>
      <c r="B314" s="162">
        <v>38</v>
      </c>
      <c r="C314" s="163" t="s">
        <v>33</v>
      </c>
      <c r="D314" t="s">
        <v>505</v>
      </c>
      <c r="E314" s="164">
        <v>810500</v>
      </c>
      <c r="F314" s="164">
        <v>810599</v>
      </c>
    </row>
    <row r="315" spans="1:6">
      <c r="A315">
        <f t="shared" si="4"/>
        <v>313</v>
      </c>
      <c r="B315" s="162">
        <v>38</v>
      </c>
      <c r="C315" s="163" t="s">
        <v>33</v>
      </c>
      <c r="D315" t="s">
        <v>506</v>
      </c>
      <c r="E315" s="164">
        <v>810600</v>
      </c>
      <c r="F315" s="164">
        <v>810699</v>
      </c>
    </row>
    <row r="316" spans="1:6">
      <c r="A316">
        <f t="shared" si="4"/>
        <v>314</v>
      </c>
      <c r="B316" s="162">
        <v>38</v>
      </c>
      <c r="C316" s="163" t="s">
        <v>33</v>
      </c>
      <c r="D316" t="s">
        <v>507</v>
      </c>
      <c r="E316" s="164">
        <v>810700</v>
      </c>
      <c r="F316" s="164">
        <v>810799</v>
      </c>
    </row>
    <row r="317" spans="1:6">
      <c r="A317">
        <f t="shared" si="4"/>
        <v>315</v>
      </c>
      <c r="B317" s="162">
        <v>38</v>
      </c>
      <c r="C317" s="163" t="s">
        <v>33</v>
      </c>
      <c r="D317" t="s">
        <v>508</v>
      </c>
      <c r="E317" s="164">
        <v>810800</v>
      </c>
      <c r="F317" s="164">
        <v>810899</v>
      </c>
    </row>
    <row r="318" spans="1:6">
      <c r="A318">
        <f t="shared" si="4"/>
        <v>316</v>
      </c>
      <c r="B318" s="162">
        <v>38</v>
      </c>
      <c r="C318" s="163" t="s">
        <v>33</v>
      </c>
      <c r="D318" t="s">
        <v>509</v>
      </c>
      <c r="E318" s="164">
        <v>810900</v>
      </c>
      <c r="F318" s="164">
        <v>810999</v>
      </c>
    </row>
    <row r="319" spans="1:6">
      <c r="A319">
        <f t="shared" si="4"/>
        <v>317</v>
      </c>
      <c r="B319" s="162">
        <v>38</v>
      </c>
      <c r="C319" s="163" t="s">
        <v>33</v>
      </c>
      <c r="D319" t="s">
        <v>510</v>
      </c>
      <c r="E319" s="164">
        <v>811000</v>
      </c>
      <c r="F319" s="164">
        <v>811099</v>
      </c>
    </row>
    <row r="320" spans="1:6">
      <c r="A320">
        <f t="shared" si="4"/>
        <v>318</v>
      </c>
      <c r="B320" s="162">
        <v>38</v>
      </c>
      <c r="C320" s="163" t="s">
        <v>33</v>
      </c>
      <c r="D320" t="s">
        <v>511</v>
      </c>
      <c r="E320" s="164">
        <v>811100</v>
      </c>
      <c r="F320" s="164">
        <v>811199</v>
      </c>
    </row>
    <row r="321" spans="1:6">
      <c r="A321">
        <f t="shared" si="4"/>
        <v>319</v>
      </c>
      <c r="B321" s="162">
        <v>38</v>
      </c>
      <c r="C321" s="163" t="s">
        <v>33</v>
      </c>
      <c r="D321" t="s">
        <v>512</v>
      </c>
      <c r="E321" s="164">
        <v>811200</v>
      </c>
      <c r="F321" s="164">
        <v>811299</v>
      </c>
    </row>
    <row r="322" spans="1:6">
      <c r="A322">
        <f t="shared" si="4"/>
        <v>320</v>
      </c>
      <c r="B322" s="162">
        <v>38</v>
      </c>
      <c r="C322" s="163" t="s">
        <v>33</v>
      </c>
      <c r="D322" t="s">
        <v>513</v>
      </c>
      <c r="E322" s="164">
        <v>811300</v>
      </c>
      <c r="F322" s="164">
        <v>811399</v>
      </c>
    </row>
    <row r="323" spans="1:6">
      <c r="A323">
        <f t="shared" si="4"/>
        <v>321</v>
      </c>
      <c r="B323" s="162">
        <v>38</v>
      </c>
      <c r="C323" s="163" t="s">
        <v>33</v>
      </c>
      <c r="D323" t="s">
        <v>514</v>
      </c>
      <c r="E323" s="164">
        <v>970100</v>
      </c>
      <c r="F323" s="164">
        <v>970199</v>
      </c>
    </row>
    <row r="324" spans="1:6">
      <c r="A324">
        <f t="shared" ref="A324:A351" si="5">A323+1</f>
        <v>322</v>
      </c>
      <c r="B324" s="162">
        <v>38</v>
      </c>
      <c r="C324" s="163" t="s">
        <v>33</v>
      </c>
      <c r="D324" t="s">
        <v>515</v>
      </c>
      <c r="E324" s="164">
        <v>970200</v>
      </c>
      <c r="F324" s="164">
        <v>970299</v>
      </c>
    </row>
    <row r="325" spans="1:6">
      <c r="A325">
        <f t="shared" si="5"/>
        <v>323</v>
      </c>
      <c r="B325" s="162">
        <v>39</v>
      </c>
      <c r="C325" s="163" t="s">
        <v>159</v>
      </c>
      <c r="D325" t="s">
        <v>516</v>
      </c>
      <c r="E325" s="164">
        <v>950000</v>
      </c>
      <c r="F325" s="164">
        <v>950099</v>
      </c>
    </row>
    <row r="326" spans="1:6">
      <c r="A326">
        <f t="shared" si="5"/>
        <v>324</v>
      </c>
      <c r="B326" s="162">
        <v>39</v>
      </c>
      <c r="C326" s="163" t="s">
        <v>159</v>
      </c>
      <c r="D326" t="s">
        <v>517</v>
      </c>
      <c r="E326" s="164">
        <v>950100</v>
      </c>
      <c r="F326" s="164">
        <v>950199</v>
      </c>
    </row>
    <row r="327" spans="1:6">
      <c r="A327">
        <f t="shared" si="5"/>
        <v>325</v>
      </c>
      <c r="B327" s="162">
        <v>39</v>
      </c>
      <c r="C327" s="163" t="s">
        <v>159</v>
      </c>
      <c r="D327" t="s">
        <v>518</v>
      </c>
      <c r="E327" s="164">
        <v>950200</v>
      </c>
      <c r="F327" s="164">
        <v>950299</v>
      </c>
    </row>
    <row r="328" spans="1:6">
      <c r="A328">
        <f t="shared" si="5"/>
        <v>326</v>
      </c>
      <c r="B328" s="162">
        <v>39</v>
      </c>
      <c r="C328" s="163" t="s">
        <v>159</v>
      </c>
      <c r="D328" t="s">
        <v>519</v>
      </c>
      <c r="E328" s="164">
        <v>950300</v>
      </c>
      <c r="F328" s="164">
        <v>950399</v>
      </c>
    </row>
    <row r="329" spans="1:6">
      <c r="A329">
        <f t="shared" si="5"/>
        <v>327</v>
      </c>
      <c r="B329" s="162">
        <v>39</v>
      </c>
      <c r="C329" s="163" t="s">
        <v>159</v>
      </c>
      <c r="D329" t="s">
        <v>520</v>
      </c>
      <c r="E329" s="164">
        <v>950400</v>
      </c>
      <c r="F329" s="164">
        <v>950499</v>
      </c>
    </row>
    <row r="330" spans="1:6">
      <c r="A330">
        <f t="shared" si="5"/>
        <v>328</v>
      </c>
      <c r="B330" s="162">
        <v>39</v>
      </c>
      <c r="C330" s="163" t="s">
        <v>159</v>
      </c>
      <c r="D330" t="s">
        <v>521</v>
      </c>
      <c r="E330" s="164">
        <v>950500</v>
      </c>
      <c r="F330" s="164">
        <v>950599</v>
      </c>
    </row>
    <row r="331" spans="1:6">
      <c r="A331">
        <f t="shared" si="5"/>
        <v>329</v>
      </c>
      <c r="B331" s="162">
        <v>39</v>
      </c>
      <c r="C331" s="163" t="s">
        <v>159</v>
      </c>
      <c r="D331" t="s">
        <v>522</v>
      </c>
      <c r="E331" s="164">
        <v>950600</v>
      </c>
      <c r="F331" s="164">
        <v>950699</v>
      </c>
    </row>
    <row r="332" spans="1:6">
      <c r="A332">
        <f t="shared" si="5"/>
        <v>330</v>
      </c>
      <c r="B332" s="162">
        <v>40</v>
      </c>
      <c r="C332" s="163" t="s">
        <v>160</v>
      </c>
      <c r="D332" t="s">
        <v>523</v>
      </c>
      <c r="E332" s="164">
        <v>790276</v>
      </c>
      <c r="F332" s="164">
        <v>790399</v>
      </c>
    </row>
    <row r="333" spans="1:6">
      <c r="A333">
        <f t="shared" si="5"/>
        <v>331</v>
      </c>
      <c r="B333" s="162">
        <v>40</v>
      </c>
      <c r="C333" s="163" t="s">
        <v>160</v>
      </c>
      <c r="D333" t="s">
        <v>524</v>
      </c>
      <c r="E333" s="164">
        <v>960000</v>
      </c>
      <c r="F333" s="164">
        <v>960199</v>
      </c>
    </row>
    <row r="334" spans="1:6">
      <c r="A334">
        <f t="shared" si="5"/>
        <v>332</v>
      </c>
      <c r="B334" s="162">
        <v>40</v>
      </c>
      <c r="C334" s="163" t="s">
        <v>160</v>
      </c>
      <c r="D334" t="s">
        <v>525</v>
      </c>
      <c r="E334" s="164">
        <v>960400</v>
      </c>
      <c r="F334" s="164">
        <v>960499</v>
      </c>
    </row>
    <row r="335" spans="1:6">
      <c r="A335">
        <f t="shared" si="5"/>
        <v>333</v>
      </c>
      <c r="B335" s="162">
        <v>41</v>
      </c>
      <c r="C335" s="163" t="s">
        <v>161</v>
      </c>
      <c r="D335" t="s">
        <v>526</v>
      </c>
      <c r="E335" s="164">
        <v>960200</v>
      </c>
      <c r="F335" s="164">
        <v>960299</v>
      </c>
    </row>
    <row r="336" spans="1:6">
      <c r="A336">
        <f t="shared" si="5"/>
        <v>334</v>
      </c>
      <c r="B336" s="162">
        <v>45</v>
      </c>
      <c r="C336" s="163" t="s">
        <v>165</v>
      </c>
      <c r="D336" t="s">
        <v>527</v>
      </c>
      <c r="E336" s="164">
        <v>997000</v>
      </c>
      <c r="F336" s="164">
        <v>999997</v>
      </c>
    </row>
    <row r="337" spans="1:6">
      <c r="A337">
        <f t="shared" si="5"/>
        <v>335</v>
      </c>
      <c r="B337" s="162">
        <v>46</v>
      </c>
      <c r="C337" s="163" t="s">
        <v>166</v>
      </c>
      <c r="D337" t="s">
        <v>528</v>
      </c>
      <c r="E337" s="164">
        <v>542500</v>
      </c>
      <c r="F337" s="164">
        <v>544999</v>
      </c>
    </row>
    <row r="338" spans="1:6">
      <c r="A338">
        <f t="shared" si="5"/>
        <v>336</v>
      </c>
      <c r="B338" s="162">
        <v>46</v>
      </c>
      <c r="C338" s="163" t="s">
        <v>166</v>
      </c>
      <c r="D338" t="s">
        <v>529</v>
      </c>
      <c r="E338" s="164">
        <v>811400</v>
      </c>
      <c r="F338" s="164">
        <v>812399</v>
      </c>
    </row>
    <row r="339" spans="1:6">
      <c r="A339">
        <f t="shared" si="5"/>
        <v>337</v>
      </c>
      <c r="B339" s="162">
        <v>46</v>
      </c>
      <c r="C339" s="163" t="s">
        <v>166</v>
      </c>
      <c r="D339" t="s">
        <v>530</v>
      </c>
      <c r="E339" s="164">
        <v>970000</v>
      </c>
      <c r="F339" s="164">
        <v>970099</v>
      </c>
    </row>
    <row r="340" spans="1:6">
      <c r="A340">
        <f t="shared" si="5"/>
        <v>338</v>
      </c>
      <c r="B340" s="162">
        <v>46</v>
      </c>
      <c r="C340" s="163" t="s">
        <v>166</v>
      </c>
      <c r="D340" t="s">
        <v>531</v>
      </c>
      <c r="E340" s="164">
        <v>970300</v>
      </c>
      <c r="F340" s="164">
        <v>970399</v>
      </c>
    </row>
    <row r="341" spans="1:6">
      <c r="A341">
        <f t="shared" si="5"/>
        <v>339</v>
      </c>
      <c r="B341" s="162">
        <v>46</v>
      </c>
      <c r="C341" s="163" t="s">
        <v>166</v>
      </c>
      <c r="D341" t="s">
        <v>532</v>
      </c>
      <c r="E341" s="164">
        <v>970400</v>
      </c>
      <c r="F341" s="164">
        <v>970499</v>
      </c>
    </row>
    <row r="342" spans="1:6">
      <c r="A342">
        <f t="shared" si="5"/>
        <v>340</v>
      </c>
      <c r="B342" s="162">
        <v>46</v>
      </c>
      <c r="C342" s="163" t="s">
        <v>166</v>
      </c>
      <c r="D342" t="s">
        <v>533</v>
      </c>
      <c r="E342" s="164">
        <v>970500</v>
      </c>
      <c r="F342" s="164">
        <v>970599</v>
      </c>
    </row>
    <row r="343" spans="1:6">
      <c r="A343">
        <f t="shared" si="5"/>
        <v>341</v>
      </c>
      <c r="B343" s="162">
        <v>46</v>
      </c>
      <c r="C343" s="163" t="s">
        <v>166</v>
      </c>
      <c r="D343" t="s">
        <v>534</v>
      </c>
      <c r="E343" s="164">
        <v>970600</v>
      </c>
      <c r="F343" s="164">
        <v>970699</v>
      </c>
    </row>
    <row r="344" spans="1:6">
      <c r="A344">
        <f t="shared" si="5"/>
        <v>342</v>
      </c>
      <c r="B344" s="162">
        <v>46</v>
      </c>
      <c r="C344" s="163" t="s">
        <v>166</v>
      </c>
      <c r="D344" t="s">
        <v>535</v>
      </c>
      <c r="E344" s="164">
        <v>970700</v>
      </c>
      <c r="F344" s="164">
        <v>970799</v>
      </c>
    </row>
    <row r="345" spans="1:6">
      <c r="A345">
        <f t="shared" si="5"/>
        <v>343</v>
      </c>
      <c r="B345" s="162">
        <v>46</v>
      </c>
      <c r="C345" s="163" t="s">
        <v>166</v>
      </c>
      <c r="D345" t="s">
        <v>536</v>
      </c>
      <c r="E345" s="164">
        <v>970800</v>
      </c>
      <c r="F345" s="164">
        <v>970899</v>
      </c>
    </row>
    <row r="346" spans="1:6">
      <c r="A346">
        <f t="shared" si="5"/>
        <v>344</v>
      </c>
      <c r="B346" s="162">
        <v>46</v>
      </c>
      <c r="C346" s="163" t="s">
        <v>166</v>
      </c>
      <c r="D346" t="s">
        <v>537</v>
      </c>
      <c r="E346" s="164">
        <v>970900</v>
      </c>
      <c r="F346" s="164">
        <v>970999</v>
      </c>
    </row>
    <row r="347" spans="1:6">
      <c r="A347">
        <f t="shared" si="5"/>
        <v>345</v>
      </c>
      <c r="B347" s="162">
        <v>46</v>
      </c>
      <c r="C347" s="163" t="s">
        <v>166</v>
      </c>
      <c r="D347" t="s">
        <v>538</v>
      </c>
      <c r="E347" s="164">
        <v>971000</v>
      </c>
      <c r="F347" s="164">
        <v>971099</v>
      </c>
    </row>
    <row r="348" spans="1:6">
      <c r="A348">
        <f t="shared" si="5"/>
        <v>346</v>
      </c>
      <c r="B348" s="162">
        <v>46</v>
      </c>
      <c r="C348" s="163" t="s">
        <v>166</v>
      </c>
      <c r="D348" t="s">
        <v>539</v>
      </c>
      <c r="E348" s="164">
        <v>971100</v>
      </c>
      <c r="F348" s="164">
        <v>971199</v>
      </c>
    </row>
    <row r="349" spans="1:6">
      <c r="A349">
        <f t="shared" si="5"/>
        <v>347</v>
      </c>
      <c r="B349" s="162">
        <v>46</v>
      </c>
      <c r="C349" s="163" t="s">
        <v>166</v>
      </c>
      <c r="D349" t="s">
        <v>540</v>
      </c>
      <c r="E349" s="164">
        <v>971200</v>
      </c>
      <c r="F349" s="164">
        <v>971299</v>
      </c>
    </row>
    <row r="350" spans="1:6">
      <c r="A350">
        <f t="shared" si="5"/>
        <v>348</v>
      </c>
      <c r="B350" s="162">
        <v>46</v>
      </c>
      <c r="C350" s="163" t="s">
        <v>166</v>
      </c>
      <c r="D350" t="s">
        <v>541</v>
      </c>
      <c r="E350" s="164">
        <v>971300</v>
      </c>
      <c r="F350" s="164">
        <v>971399</v>
      </c>
    </row>
    <row r="351" spans="1:6">
      <c r="A351">
        <f t="shared" si="5"/>
        <v>349</v>
      </c>
      <c r="B351" s="162">
        <v>46</v>
      </c>
      <c r="C351" s="163" t="s">
        <v>166</v>
      </c>
      <c r="D351" t="s">
        <v>542</v>
      </c>
      <c r="E351" s="164">
        <v>972000</v>
      </c>
      <c r="F351" s="164">
        <v>994999</v>
      </c>
    </row>
    <row r="352" spans="1:6">
      <c r="A352" t="str">
        <f t="shared" ref="A352:A415" si="6">IF(B352="","",A351+1)</f>
        <v/>
      </c>
    </row>
    <row r="353" spans="1:1">
      <c r="A353" t="str">
        <f t="shared" si="6"/>
        <v/>
      </c>
    </row>
    <row r="354" spans="1:1">
      <c r="A354" t="str">
        <f t="shared" si="6"/>
        <v/>
      </c>
    </row>
    <row r="355" spans="1:1">
      <c r="A355" t="str">
        <f t="shared" si="6"/>
        <v/>
      </c>
    </row>
    <row r="356" spans="1:1">
      <c r="A356" t="str">
        <f t="shared" si="6"/>
        <v/>
      </c>
    </row>
    <row r="357" spans="1:1">
      <c r="A357" t="str">
        <f t="shared" si="6"/>
        <v/>
      </c>
    </row>
    <row r="358" spans="1:1">
      <c r="A358" t="str">
        <f t="shared" si="6"/>
        <v/>
      </c>
    </row>
    <row r="359" spans="1:1">
      <c r="A359" t="str">
        <f t="shared" si="6"/>
        <v/>
      </c>
    </row>
    <row r="360" spans="1:1">
      <c r="A360" t="str">
        <f t="shared" si="6"/>
        <v/>
      </c>
    </row>
    <row r="361" spans="1:1">
      <c r="A361" t="str">
        <f t="shared" si="6"/>
        <v/>
      </c>
    </row>
    <row r="362" spans="1:1">
      <c r="A362" t="str">
        <f t="shared" si="6"/>
        <v/>
      </c>
    </row>
    <row r="363" spans="1:1">
      <c r="A363" t="str">
        <f t="shared" si="6"/>
        <v/>
      </c>
    </row>
    <row r="364" spans="1:1">
      <c r="A364" t="str">
        <f t="shared" si="6"/>
        <v/>
      </c>
    </row>
    <row r="365" spans="1:1">
      <c r="A365" t="str">
        <f t="shared" si="6"/>
        <v/>
      </c>
    </row>
    <row r="366" spans="1:1">
      <c r="A366" t="str">
        <f t="shared" si="6"/>
        <v/>
      </c>
    </row>
    <row r="367" spans="1:1">
      <c r="A367" t="str">
        <f t="shared" si="6"/>
        <v/>
      </c>
    </row>
    <row r="368" spans="1:1">
      <c r="A368" t="str">
        <f t="shared" si="6"/>
        <v/>
      </c>
    </row>
    <row r="369" spans="1:1">
      <c r="A369" t="str">
        <f t="shared" si="6"/>
        <v/>
      </c>
    </row>
    <row r="370" spans="1:1">
      <c r="A370" t="str">
        <f t="shared" si="6"/>
        <v/>
      </c>
    </row>
    <row r="371" spans="1:1">
      <c r="A371" t="str">
        <f t="shared" si="6"/>
        <v/>
      </c>
    </row>
    <row r="372" spans="1:1">
      <c r="A372" t="str">
        <f t="shared" si="6"/>
        <v/>
      </c>
    </row>
    <row r="373" spans="1:1">
      <c r="A373" t="str">
        <f t="shared" si="6"/>
        <v/>
      </c>
    </row>
    <row r="374" spans="1:1">
      <c r="A374" t="str">
        <f t="shared" si="6"/>
        <v/>
      </c>
    </row>
    <row r="375" spans="1:1">
      <c r="A375" t="str">
        <f t="shared" si="6"/>
        <v/>
      </c>
    </row>
    <row r="376" spans="1:1">
      <c r="A376" t="str">
        <f t="shared" si="6"/>
        <v/>
      </c>
    </row>
    <row r="377" spans="1:1">
      <c r="A377" t="str">
        <f t="shared" si="6"/>
        <v/>
      </c>
    </row>
    <row r="378" spans="1:1">
      <c r="A378" t="str">
        <f t="shared" si="6"/>
        <v/>
      </c>
    </row>
    <row r="379" spans="1:1">
      <c r="A379" t="str">
        <f t="shared" si="6"/>
        <v/>
      </c>
    </row>
    <row r="380" spans="1:1">
      <c r="A380" t="str">
        <f t="shared" si="6"/>
        <v/>
      </c>
    </row>
    <row r="381" spans="1:1">
      <c r="A381" t="str">
        <f t="shared" si="6"/>
        <v/>
      </c>
    </row>
    <row r="382" spans="1:1">
      <c r="A382" t="str">
        <f t="shared" si="6"/>
        <v/>
      </c>
    </row>
    <row r="383" spans="1:1">
      <c r="A383" t="str">
        <f t="shared" si="6"/>
        <v/>
      </c>
    </row>
    <row r="384" spans="1:1">
      <c r="A384" t="str">
        <f t="shared" si="6"/>
        <v/>
      </c>
    </row>
    <row r="385" spans="1:1">
      <c r="A385" t="str">
        <f t="shared" si="6"/>
        <v/>
      </c>
    </row>
    <row r="386" spans="1:1">
      <c r="A386" t="str">
        <f t="shared" si="6"/>
        <v/>
      </c>
    </row>
    <row r="387" spans="1:1">
      <c r="A387" t="str">
        <f t="shared" si="6"/>
        <v/>
      </c>
    </row>
    <row r="388" spans="1:1">
      <c r="A388" t="str">
        <f t="shared" si="6"/>
        <v/>
      </c>
    </row>
    <row r="389" spans="1:1">
      <c r="A389" t="str">
        <f t="shared" si="6"/>
        <v/>
      </c>
    </row>
    <row r="390" spans="1:1">
      <c r="A390" t="str">
        <f t="shared" si="6"/>
        <v/>
      </c>
    </row>
    <row r="391" spans="1:1">
      <c r="A391" t="str">
        <f t="shared" si="6"/>
        <v/>
      </c>
    </row>
    <row r="392" spans="1:1">
      <c r="A392" t="str">
        <f t="shared" si="6"/>
        <v/>
      </c>
    </row>
    <row r="393" spans="1:1">
      <c r="A393" t="str">
        <f t="shared" si="6"/>
        <v/>
      </c>
    </row>
    <row r="394" spans="1:1">
      <c r="A394" t="str">
        <f t="shared" si="6"/>
        <v/>
      </c>
    </row>
    <row r="395" spans="1:1">
      <c r="A395" t="str">
        <f t="shared" si="6"/>
        <v/>
      </c>
    </row>
    <row r="396" spans="1:1">
      <c r="A396" t="str">
        <f t="shared" si="6"/>
        <v/>
      </c>
    </row>
    <row r="397" spans="1:1">
      <c r="A397" t="str">
        <f t="shared" si="6"/>
        <v/>
      </c>
    </row>
    <row r="398" spans="1:1">
      <c r="A398" t="str">
        <f t="shared" si="6"/>
        <v/>
      </c>
    </row>
    <row r="399" spans="1:1">
      <c r="A399" t="str">
        <f t="shared" si="6"/>
        <v/>
      </c>
    </row>
    <row r="400" spans="1:1">
      <c r="A400" t="str">
        <f t="shared" si="6"/>
        <v/>
      </c>
    </row>
    <row r="401" spans="1:1">
      <c r="A401" t="str">
        <f t="shared" si="6"/>
        <v/>
      </c>
    </row>
    <row r="402" spans="1:1">
      <c r="A402" t="str">
        <f t="shared" si="6"/>
        <v/>
      </c>
    </row>
    <row r="403" spans="1:1">
      <c r="A403" t="str">
        <f t="shared" si="6"/>
        <v/>
      </c>
    </row>
    <row r="404" spans="1:1">
      <c r="A404" t="str">
        <f t="shared" si="6"/>
        <v/>
      </c>
    </row>
    <row r="405" spans="1:1">
      <c r="A405" t="str">
        <f t="shared" si="6"/>
        <v/>
      </c>
    </row>
    <row r="406" spans="1:1">
      <c r="A406" t="str">
        <f t="shared" si="6"/>
        <v/>
      </c>
    </row>
    <row r="407" spans="1:1">
      <c r="A407" t="str">
        <f t="shared" si="6"/>
        <v/>
      </c>
    </row>
    <row r="408" spans="1:1">
      <c r="A408" t="str">
        <f t="shared" si="6"/>
        <v/>
      </c>
    </row>
    <row r="409" spans="1:1">
      <c r="A409" t="str">
        <f t="shared" si="6"/>
        <v/>
      </c>
    </row>
    <row r="410" spans="1:1">
      <c r="A410" t="str">
        <f t="shared" si="6"/>
        <v/>
      </c>
    </row>
    <row r="411" spans="1:1">
      <c r="A411" t="str">
        <f t="shared" si="6"/>
        <v/>
      </c>
    </row>
    <row r="412" spans="1:1">
      <c r="A412" t="str">
        <f t="shared" si="6"/>
        <v/>
      </c>
    </row>
    <row r="413" spans="1:1">
      <c r="A413" t="str">
        <f t="shared" si="6"/>
        <v/>
      </c>
    </row>
    <row r="414" spans="1:1">
      <c r="A414" t="str">
        <f t="shared" si="6"/>
        <v/>
      </c>
    </row>
    <row r="415" spans="1:1">
      <c r="A415" t="str">
        <f t="shared" si="6"/>
        <v/>
      </c>
    </row>
    <row r="416" spans="1:1">
      <c r="A416" t="str">
        <f t="shared" ref="A416:A479" si="7">IF(B416="","",A415+1)</f>
        <v/>
      </c>
    </row>
    <row r="417" spans="1:1">
      <c r="A417" t="str">
        <f t="shared" si="7"/>
        <v/>
      </c>
    </row>
    <row r="418" spans="1:1">
      <c r="A418" t="str">
        <f t="shared" si="7"/>
        <v/>
      </c>
    </row>
    <row r="419" spans="1:1">
      <c r="A419" t="str">
        <f t="shared" si="7"/>
        <v/>
      </c>
    </row>
    <row r="420" spans="1:1">
      <c r="A420" t="str">
        <f t="shared" si="7"/>
        <v/>
      </c>
    </row>
    <row r="421" spans="1:1">
      <c r="A421" t="str">
        <f t="shared" si="7"/>
        <v/>
      </c>
    </row>
    <row r="422" spans="1:1">
      <c r="A422" t="str">
        <f t="shared" si="7"/>
        <v/>
      </c>
    </row>
    <row r="423" spans="1:1">
      <c r="A423" t="str">
        <f t="shared" si="7"/>
        <v/>
      </c>
    </row>
    <row r="424" spans="1:1">
      <c r="A424" t="str">
        <f t="shared" si="7"/>
        <v/>
      </c>
    </row>
    <row r="425" spans="1:1">
      <c r="A425" t="str">
        <f t="shared" si="7"/>
        <v/>
      </c>
    </row>
    <row r="426" spans="1:1">
      <c r="A426" t="str">
        <f t="shared" si="7"/>
        <v/>
      </c>
    </row>
    <row r="427" spans="1:1">
      <c r="A427" t="str">
        <f t="shared" si="7"/>
        <v/>
      </c>
    </row>
    <row r="428" spans="1:1">
      <c r="A428" t="str">
        <f t="shared" si="7"/>
        <v/>
      </c>
    </row>
    <row r="429" spans="1:1">
      <c r="A429" t="str">
        <f t="shared" si="7"/>
        <v/>
      </c>
    </row>
    <row r="430" spans="1:1">
      <c r="A430" t="str">
        <f t="shared" si="7"/>
        <v/>
      </c>
    </row>
    <row r="431" spans="1:1">
      <c r="A431" t="str">
        <f t="shared" si="7"/>
        <v/>
      </c>
    </row>
    <row r="432" spans="1:1">
      <c r="A432" t="str">
        <f t="shared" si="7"/>
        <v/>
      </c>
    </row>
    <row r="433" spans="1:1">
      <c r="A433" t="str">
        <f t="shared" si="7"/>
        <v/>
      </c>
    </row>
    <row r="434" spans="1:1">
      <c r="A434" t="str">
        <f t="shared" si="7"/>
        <v/>
      </c>
    </row>
    <row r="435" spans="1:1">
      <c r="A435" t="str">
        <f t="shared" si="7"/>
        <v/>
      </c>
    </row>
    <row r="436" spans="1:1">
      <c r="A436" t="str">
        <f t="shared" si="7"/>
        <v/>
      </c>
    </row>
    <row r="437" spans="1:1">
      <c r="A437" t="str">
        <f t="shared" si="7"/>
        <v/>
      </c>
    </row>
    <row r="438" spans="1:1">
      <c r="A438" t="str">
        <f t="shared" si="7"/>
        <v/>
      </c>
    </row>
    <row r="439" spans="1:1">
      <c r="A439" t="str">
        <f t="shared" si="7"/>
        <v/>
      </c>
    </row>
    <row r="440" spans="1:1">
      <c r="A440" t="str">
        <f t="shared" si="7"/>
        <v/>
      </c>
    </row>
    <row r="441" spans="1:1">
      <c r="A441" t="str">
        <f t="shared" si="7"/>
        <v/>
      </c>
    </row>
    <row r="442" spans="1:1">
      <c r="A442" t="str">
        <f t="shared" si="7"/>
        <v/>
      </c>
    </row>
    <row r="443" spans="1:1">
      <c r="A443" t="str">
        <f t="shared" si="7"/>
        <v/>
      </c>
    </row>
    <row r="444" spans="1:1">
      <c r="A444" t="str">
        <f t="shared" si="7"/>
        <v/>
      </c>
    </row>
    <row r="445" spans="1:1">
      <c r="A445" t="str">
        <f t="shared" si="7"/>
        <v/>
      </c>
    </row>
    <row r="446" spans="1:1">
      <c r="A446" t="str">
        <f t="shared" si="7"/>
        <v/>
      </c>
    </row>
    <row r="447" spans="1:1">
      <c r="A447" t="str">
        <f t="shared" si="7"/>
        <v/>
      </c>
    </row>
    <row r="448" spans="1:1">
      <c r="A448" t="str">
        <f t="shared" si="7"/>
        <v/>
      </c>
    </row>
    <row r="449" spans="1:1">
      <c r="A449" t="str">
        <f t="shared" si="7"/>
        <v/>
      </c>
    </row>
    <row r="450" spans="1:1">
      <c r="A450" t="str">
        <f t="shared" si="7"/>
        <v/>
      </c>
    </row>
    <row r="451" spans="1:1">
      <c r="A451" t="str">
        <f t="shared" si="7"/>
        <v/>
      </c>
    </row>
    <row r="452" spans="1:1">
      <c r="A452" t="str">
        <f t="shared" si="7"/>
        <v/>
      </c>
    </row>
    <row r="453" spans="1:1">
      <c r="A453" t="str">
        <f t="shared" si="7"/>
        <v/>
      </c>
    </row>
    <row r="454" spans="1:1">
      <c r="A454" t="str">
        <f t="shared" si="7"/>
        <v/>
      </c>
    </row>
    <row r="455" spans="1:1">
      <c r="A455" t="str">
        <f t="shared" si="7"/>
        <v/>
      </c>
    </row>
    <row r="456" spans="1:1">
      <c r="A456" t="str">
        <f t="shared" si="7"/>
        <v/>
      </c>
    </row>
    <row r="457" spans="1:1">
      <c r="A457" t="str">
        <f t="shared" si="7"/>
        <v/>
      </c>
    </row>
    <row r="458" spans="1:1">
      <c r="A458" t="str">
        <f t="shared" si="7"/>
        <v/>
      </c>
    </row>
    <row r="459" spans="1:1">
      <c r="A459" t="str">
        <f t="shared" si="7"/>
        <v/>
      </c>
    </row>
    <row r="460" spans="1:1">
      <c r="A460" t="str">
        <f t="shared" si="7"/>
        <v/>
      </c>
    </row>
    <row r="461" spans="1:1">
      <c r="A461" t="str">
        <f t="shared" si="7"/>
        <v/>
      </c>
    </row>
    <row r="462" spans="1:1">
      <c r="A462" t="str">
        <f t="shared" si="7"/>
        <v/>
      </c>
    </row>
    <row r="463" spans="1:1">
      <c r="A463" t="str">
        <f t="shared" si="7"/>
        <v/>
      </c>
    </row>
    <row r="464" spans="1:1">
      <c r="A464" t="str">
        <f t="shared" si="7"/>
        <v/>
      </c>
    </row>
    <row r="465" spans="1:1">
      <c r="A465" t="str">
        <f t="shared" si="7"/>
        <v/>
      </c>
    </row>
    <row r="466" spans="1:1">
      <c r="A466" t="str">
        <f t="shared" si="7"/>
        <v/>
      </c>
    </row>
    <row r="467" spans="1:1">
      <c r="A467" t="str">
        <f t="shared" si="7"/>
        <v/>
      </c>
    </row>
    <row r="468" spans="1:1">
      <c r="A468" t="str">
        <f t="shared" si="7"/>
        <v/>
      </c>
    </row>
    <row r="469" spans="1:1">
      <c r="A469" t="str">
        <f t="shared" si="7"/>
        <v/>
      </c>
    </row>
    <row r="470" spans="1:1">
      <c r="A470" t="str">
        <f t="shared" si="7"/>
        <v/>
      </c>
    </row>
    <row r="471" spans="1:1">
      <c r="A471" t="str">
        <f t="shared" si="7"/>
        <v/>
      </c>
    </row>
    <row r="472" spans="1:1">
      <c r="A472" t="str">
        <f t="shared" si="7"/>
        <v/>
      </c>
    </row>
    <row r="473" spans="1:1">
      <c r="A473" t="str">
        <f t="shared" si="7"/>
        <v/>
      </c>
    </row>
    <row r="474" spans="1:1">
      <c r="A474" t="str">
        <f t="shared" si="7"/>
        <v/>
      </c>
    </row>
    <row r="475" spans="1:1">
      <c r="A475" t="str">
        <f t="shared" si="7"/>
        <v/>
      </c>
    </row>
    <row r="476" spans="1:1">
      <c r="A476" t="str">
        <f t="shared" si="7"/>
        <v/>
      </c>
    </row>
    <row r="477" spans="1:1">
      <c r="A477" t="str">
        <f t="shared" si="7"/>
        <v/>
      </c>
    </row>
    <row r="478" spans="1:1">
      <c r="A478" t="str">
        <f t="shared" si="7"/>
        <v/>
      </c>
    </row>
    <row r="479" spans="1:1">
      <c r="A479" t="str">
        <f t="shared" si="7"/>
        <v/>
      </c>
    </row>
    <row r="480" spans="1:1">
      <c r="A480" t="str">
        <f t="shared" ref="A480:A543" si="8">IF(B480="","",A479+1)</f>
        <v/>
      </c>
    </row>
    <row r="481" spans="1:1">
      <c r="A481" t="str">
        <f t="shared" si="8"/>
        <v/>
      </c>
    </row>
    <row r="482" spans="1:1">
      <c r="A482" t="str">
        <f t="shared" si="8"/>
        <v/>
      </c>
    </row>
    <row r="483" spans="1:1">
      <c r="A483" t="str">
        <f t="shared" si="8"/>
        <v/>
      </c>
    </row>
    <row r="484" spans="1:1">
      <c r="A484" t="str">
        <f t="shared" si="8"/>
        <v/>
      </c>
    </row>
    <row r="485" spans="1:1">
      <c r="A485" t="str">
        <f t="shared" si="8"/>
        <v/>
      </c>
    </row>
    <row r="486" spans="1:1">
      <c r="A486" t="str">
        <f t="shared" si="8"/>
        <v/>
      </c>
    </row>
    <row r="487" spans="1:1">
      <c r="A487" t="str">
        <f t="shared" si="8"/>
        <v/>
      </c>
    </row>
    <row r="488" spans="1:1">
      <c r="A488" t="str">
        <f t="shared" si="8"/>
        <v/>
      </c>
    </row>
    <row r="489" spans="1:1">
      <c r="A489" t="str">
        <f t="shared" si="8"/>
        <v/>
      </c>
    </row>
    <row r="490" spans="1:1">
      <c r="A490" t="str">
        <f t="shared" si="8"/>
        <v/>
      </c>
    </row>
    <row r="491" spans="1:1">
      <c r="A491" t="str">
        <f t="shared" si="8"/>
        <v/>
      </c>
    </row>
    <row r="492" spans="1:1">
      <c r="A492" t="str">
        <f t="shared" si="8"/>
        <v/>
      </c>
    </row>
    <row r="493" spans="1:1">
      <c r="A493" t="str">
        <f t="shared" si="8"/>
        <v/>
      </c>
    </row>
    <row r="494" spans="1:1">
      <c r="A494" t="str">
        <f t="shared" si="8"/>
        <v/>
      </c>
    </row>
    <row r="495" spans="1:1">
      <c r="A495" t="str">
        <f t="shared" si="8"/>
        <v/>
      </c>
    </row>
    <row r="496" spans="1:1">
      <c r="A496" t="str">
        <f t="shared" si="8"/>
        <v/>
      </c>
    </row>
    <row r="497" spans="1:1">
      <c r="A497" t="str">
        <f t="shared" si="8"/>
        <v/>
      </c>
    </row>
    <row r="498" spans="1:1">
      <c r="A498" t="str">
        <f t="shared" si="8"/>
        <v/>
      </c>
    </row>
    <row r="499" spans="1:1">
      <c r="A499" t="str">
        <f t="shared" si="8"/>
        <v/>
      </c>
    </row>
    <row r="500" spans="1:1">
      <c r="A500" t="str">
        <f t="shared" si="8"/>
        <v/>
      </c>
    </row>
    <row r="501" spans="1:1">
      <c r="A501" t="str">
        <f t="shared" si="8"/>
        <v/>
      </c>
    </row>
    <row r="502" spans="1:1">
      <c r="A502" t="str">
        <f t="shared" si="8"/>
        <v/>
      </c>
    </row>
    <row r="503" spans="1:1">
      <c r="A503" t="str">
        <f t="shared" si="8"/>
        <v/>
      </c>
    </row>
    <row r="504" spans="1:1">
      <c r="A504" t="str">
        <f t="shared" si="8"/>
        <v/>
      </c>
    </row>
    <row r="505" spans="1:1">
      <c r="A505" t="str">
        <f t="shared" si="8"/>
        <v/>
      </c>
    </row>
    <row r="506" spans="1:1">
      <c r="A506" t="str">
        <f t="shared" si="8"/>
        <v/>
      </c>
    </row>
    <row r="507" spans="1:1">
      <c r="A507" t="str">
        <f t="shared" si="8"/>
        <v/>
      </c>
    </row>
    <row r="508" spans="1:1">
      <c r="A508" t="str">
        <f t="shared" si="8"/>
        <v/>
      </c>
    </row>
    <row r="509" spans="1:1">
      <c r="A509" t="str">
        <f t="shared" si="8"/>
        <v/>
      </c>
    </row>
    <row r="510" spans="1:1">
      <c r="A510" t="str">
        <f t="shared" si="8"/>
        <v/>
      </c>
    </row>
    <row r="511" spans="1:1">
      <c r="A511" t="str">
        <f t="shared" si="8"/>
        <v/>
      </c>
    </row>
    <row r="512" spans="1:1">
      <c r="A512" t="str">
        <f t="shared" si="8"/>
        <v/>
      </c>
    </row>
    <row r="513" spans="1:1">
      <c r="A513" t="str">
        <f t="shared" si="8"/>
        <v/>
      </c>
    </row>
    <row r="514" spans="1:1">
      <c r="A514" t="str">
        <f t="shared" si="8"/>
        <v/>
      </c>
    </row>
    <row r="515" spans="1:1">
      <c r="A515" t="str">
        <f t="shared" si="8"/>
        <v/>
      </c>
    </row>
    <row r="516" spans="1:1">
      <c r="A516" t="str">
        <f t="shared" si="8"/>
        <v/>
      </c>
    </row>
    <row r="517" spans="1:1">
      <c r="A517" t="str">
        <f t="shared" si="8"/>
        <v/>
      </c>
    </row>
    <row r="518" spans="1:1">
      <c r="A518" t="str">
        <f t="shared" si="8"/>
        <v/>
      </c>
    </row>
    <row r="519" spans="1:1">
      <c r="A519" t="str">
        <f t="shared" si="8"/>
        <v/>
      </c>
    </row>
    <row r="520" spans="1:1">
      <c r="A520" t="str">
        <f t="shared" si="8"/>
        <v/>
      </c>
    </row>
    <row r="521" spans="1:1">
      <c r="A521" t="str">
        <f t="shared" si="8"/>
        <v/>
      </c>
    </row>
    <row r="522" spans="1:1">
      <c r="A522" t="str">
        <f t="shared" si="8"/>
        <v/>
      </c>
    </row>
    <row r="523" spans="1:1">
      <c r="A523" t="str">
        <f t="shared" si="8"/>
        <v/>
      </c>
    </row>
    <row r="524" spans="1:1">
      <c r="A524" t="str">
        <f t="shared" si="8"/>
        <v/>
      </c>
    </row>
    <row r="525" spans="1:1">
      <c r="A525" t="str">
        <f t="shared" si="8"/>
        <v/>
      </c>
    </row>
    <row r="526" spans="1:1">
      <c r="A526" t="str">
        <f t="shared" si="8"/>
        <v/>
      </c>
    </row>
    <row r="527" spans="1:1">
      <c r="A527" t="str">
        <f t="shared" si="8"/>
        <v/>
      </c>
    </row>
    <row r="528" spans="1:1">
      <c r="A528" t="str">
        <f t="shared" si="8"/>
        <v/>
      </c>
    </row>
    <row r="529" spans="1:1">
      <c r="A529" t="str">
        <f t="shared" si="8"/>
        <v/>
      </c>
    </row>
    <row r="530" spans="1:1">
      <c r="A530" t="str">
        <f t="shared" si="8"/>
        <v/>
      </c>
    </row>
    <row r="531" spans="1:1">
      <c r="A531" t="str">
        <f t="shared" si="8"/>
        <v/>
      </c>
    </row>
    <row r="532" spans="1:1">
      <c r="A532" t="str">
        <f t="shared" si="8"/>
        <v/>
      </c>
    </row>
    <row r="533" spans="1:1">
      <c r="A533" t="str">
        <f t="shared" si="8"/>
        <v/>
      </c>
    </row>
    <row r="534" spans="1:1">
      <c r="A534" t="str">
        <f t="shared" si="8"/>
        <v/>
      </c>
    </row>
    <row r="535" spans="1:1">
      <c r="A535" t="str">
        <f t="shared" si="8"/>
        <v/>
      </c>
    </row>
    <row r="536" spans="1:1">
      <c r="A536" t="str">
        <f t="shared" si="8"/>
        <v/>
      </c>
    </row>
    <row r="537" spans="1:1">
      <c r="A537" t="str">
        <f t="shared" si="8"/>
        <v/>
      </c>
    </row>
    <row r="538" spans="1:1">
      <c r="A538" t="str">
        <f t="shared" si="8"/>
        <v/>
      </c>
    </row>
    <row r="539" spans="1:1">
      <c r="A539" t="str">
        <f t="shared" si="8"/>
        <v/>
      </c>
    </row>
    <row r="540" spans="1:1">
      <c r="A540" t="str">
        <f t="shared" si="8"/>
        <v/>
      </c>
    </row>
    <row r="541" spans="1:1">
      <c r="A541" t="str">
        <f t="shared" si="8"/>
        <v/>
      </c>
    </row>
    <row r="542" spans="1:1">
      <c r="A542" t="str">
        <f t="shared" si="8"/>
        <v/>
      </c>
    </row>
    <row r="543" spans="1:1">
      <c r="A543" t="str">
        <f t="shared" si="8"/>
        <v/>
      </c>
    </row>
    <row r="544" spans="1:1">
      <c r="A544" t="str">
        <f t="shared" ref="A544:A607" si="9">IF(B544="","",A543+1)</f>
        <v/>
      </c>
    </row>
    <row r="545" spans="1:1">
      <c r="A545" t="str">
        <f t="shared" si="9"/>
        <v/>
      </c>
    </row>
    <row r="546" spans="1:1">
      <c r="A546" t="str">
        <f t="shared" si="9"/>
        <v/>
      </c>
    </row>
    <row r="547" spans="1:1">
      <c r="A547" t="str">
        <f t="shared" si="9"/>
        <v/>
      </c>
    </row>
    <row r="548" spans="1:1">
      <c r="A548" t="str">
        <f t="shared" si="9"/>
        <v/>
      </c>
    </row>
    <row r="549" spans="1:1">
      <c r="A549" t="str">
        <f t="shared" si="9"/>
        <v/>
      </c>
    </row>
    <row r="550" spans="1:1">
      <c r="A550" t="str">
        <f t="shared" si="9"/>
        <v/>
      </c>
    </row>
    <row r="551" spans="1:1">
      <c r="A551" t="str">
        <f t="shared" si="9"/>
        <v/>
      </c>
    </row>
    <row r="552" spans="1:1">
      <c r="A552" t="str">
        <f t="shared" si="9"/>
        <v/>
      </c>
    </row>
    <row r="553" spans="1:1">
      <c r="A553" t="str">
        <f t="shared" si="9"/>
        <v/>
      </c>
    </row>
    <row r="554" spans="1:1">
      <c r="A554" t="str">
        <f t="shared" si="9"/>
        <v/>
      </c>
    </row>
    <row r="555" spans="1:1">
      <c r="A555" t="str">
        <f t="shared" si="9"/>
        <v/>
      </c>
    </row>
    <row r="556" spans="1:1">
      <c r="A556" t="str">
        <f t="shared" si="9"/>
        <v/>
      </c>
    </row>
    <row r="557" spans="1:1">
      <c r="A557" t="str">
        <f t="shared" si="9"/>
        <v/>
      </c>
    </row>
    <row r="558" spans="1:1">
      <c r="A558" t="str">
        <f t="shared" si="9"/>
        <v/>
      </c>
    </row>
    <row r="559" spans="1:1">
      <c r="A559" t="str">
        <f t="shared" si="9"/>
        <v/>
      </c>
    </row>
    <row r="560" spans="1:1">
      <c r="A560" t="str">
        <f t="shared" si="9"/>
        <v/>
      </c>
    </row>
    <row r="561" spans="1:1">
      <c r="A561" t="str">
        <f t="shared" si="9"/>
        <v/>
      </c>
    </row>
    <row r="562" spans="1:1">
      <c r="A562" t="str">
        <f t="shared" si="9"/>
        <v/>
      </c>
    </row>
    <row r="563" spans="1:1">
      <c r="A563" t="str">
        <f t="shared" si="9"/>
        <v/>
      </c>
    </row>
    <row r="564" spans="1:1">
      <c r="A564" t="str">
        <f t="shared" si="9"/>
        <v/>
      </c>
    </row>
    <row r="565" spans="1:1">
      <c r="A565" t="str">
        <f t="shared" si="9"/>
        <v/>
      </c>
    </row>
    <row r="566" spans="1:1">
      <c r="A566" t="str">
        <f t="shared" si="9"/>
        <v/>
      </c>
    </row>
    <row r="567" spans="1:1">
      <c r="A567" t="str">
        <f t="shared" si="9"/>
        <v/>
      </c>
    </row>
    <row r="568" spans="1:1">
      <c r="A568" t="str">
        <f t="shared" si="9"/>
        <v/>
      </c>
    </row>
    <row r="569" spans="1:1">
      <c r="A569" t="str">
        <f t="shared" si="9"/>
        <v/>
      </c>
    </row>
    <row r="570" spans="1:1">
      <c r="A570" t="str">
        <f t="shared" si="9"/>
        <v/>
      </c>
    </row>
    <row r="571" spans="1:1">
      <c r="A571" t="str">
        <f t="shared" si="9"/>
        <v/>
      </c>
    </row>
    <row r="572" spans="1:1">
      <c r="A572" t="str">
        <f t="shared" si="9"/>
        <v/>
      </c>
    </row>
    <row r="573" spans="1:1">
      <c r="A573" t="str">
        <f t="shared" si="9"/>
        <v/>
      </c>
    </row>
    <row r="574" spans="1:1">
      <c r="A574" t="str">
        <f t="shared" si="9"/>
        <v/>
      </c>
    </row>
    <row r="575" spans="1:1">
      <c r="A575" t="str">
        <f t="shared" si="9"/>
        <v/>
      </c>
    </row>
    <row r="576" spans="1:1">
      <c r="A576" t="str">
        <f t="shared" si="9"/>
        <v/>
      </c>
    </row>
    <row r="577" spans="1:1">
      <c r="A577" t="str">
        <f t="shared" si="9"/>
        <v/>
      </c>
    </row>
    <row r="578" spans="1:1">
      <c r="A578" t="str">
        <f t="shared" si="9"/>
        <v/>
      </c>
    </row>
    <row r="579" spans="1:1">
      <c r="A579" t="str">
        <f t="shared" si="9"/>
        <v/>
      </c>
    </row>
    <row r="580" spans="1:1">
      <c r="A580" t="str">
        <f t="shared" si="9"/>
        <v/>
      </c>
    </row>
    <row r="581" spans="1:1">
      <c r="A581" t="str">
        <f t="shared" si="9"/>
        <v/>
      </c>
    </row>
    <row r="582" spans="1:1">
      <c r="A582" t="str">
        <f t="shared" si="9"/>
        <v/>
      </c>
    </row>
    <row r="583" spans="1:1">
      <c r="A583" t="str">
        <f t="shared" si="9"/>
        <v/>
      </c>
    </row>
    <row r="584" spans="1:1">
      <c r="A584" t="str">
        <f t="shared" si="9"/>
        <v/>
      </c>
    </row>
    <row r="585" spans="1:1">
      <c r="A585" t="str">
        <f t="shared" si="9"/>
        <v/>
      </c>
    </row>
    <row r="586" spans="1:1">
      <c r="A586" t="str">
        <f t="shared" si="9"/>
        <v/>
      </c>
    </row>
    <row r="587" spans="1:1">
      <c r="A587" t="str">
        <f t="shared" si="9"/>
        <v/>
      </c>
    </row>
    <row r="588" spans="1:1">
      <c r="A588" t="str">
        <f t="shared" si="9"/>
        <v/>
      </c>
    </row>
    <row r="589" spans="1:1">
      <c r="A589" t="str">
        <f t="shared" si="9"/>
        <v/>
      </c>
    </row>
    <row r="590" spans="1:1">
      <c r="A590" t="str">
        <f t="shared" si="9"/>
        <v/>
      </c>
    </row>
    <row r="591" spans="1:1">
      <c r="A591" t="str">
        <f t="shared" si="9"/>
        <v/>
      </c>
    </row>
    <row r="592" spans="1:1">
      <c r="A592" t="str">
        <f t="shared" si="9"/>
        <v/>
      </c>
    </row>
    <row r="593" spans="1:1">
      <c r="A593" t="str">
        <f t="shared" si="9"/>
        <v/>
      </c>
    </row>
    <row r="594" spans="1:1">
      <c r="A594" t="str">
        <f t="shared" si="9"/>
        <v/>
      </c>
    </row>
    <row r="595" spans="1:1">
      <c r="A595" t="str">
        <f t="shared" si="9"/>
        <v/>
      </c>
    </row>
    <row r="596" spans="1:1">
      <c r="A596" t="str">
        <f t="shared" si="9"/>
        <v/>
      </c>
    </row>
    <row r="597" spans="1:1">
      <c r="A597" t="str">
        <f t="shared" si="9"/>
        <v/>
      </c>
    </row>
    <row r="598" spans="1:1">
      <c r="A598" t="str">
        <f t="shared" si="9"/>
        <v/>
      </c>
    </row>
    <row r="599" spans="1:1">
      <c r="A599" t="str">
        <f t="shared" si="9"/>
        <v/>
      </c>
    </row>
    <row r="600" spans="1:1">
      <c r="A600" t="str">
        <f t="shared" si="9"/>
        <v/>
      </c>
    </row>
    <row r="601" spans="1:1">
      <c r="A601" t="str">
        <f t="shared" si="9"/>
        <v/>
      </c>
    </row>
    <row r="602" spans="1:1">
      <c r="A602" t="str">
        <f t="shared" si="9"/>
        <v/>
      </c>
    </row>
    <row r="603" spans="1:1">
      <c r="A603" t="str">
        <f t="shared" si="9"/>
        <v/>
      </c>
    </row>
    <row r="604" spans="1:1">
      <c r="A604" t="str">
        <f t="shared" si="9"/>
        <v/>
      </c>
    </row>
    <row r="605" spans="1:1">
      <c r="A605" t="str">
        <f t="shared" si="9"/>
        <v/>
      </c>
    </row>
    <row r="606" spans="1:1">
      <c r="A606" t="str">
        <f t="shared" si="9"/>
        <v/>
      </c>
    </row>
    <row r="607" spans="1:1">
      <c r="A607" t="str">
        <f t="shared" si="9"/>
        <v/>
      </c>
    </row>
    <row r="608" spans="1:1">
      <c r="A608" t="str">
        <f t="shared" ref="A608:A671" si="10">IF(B608="","",A607+1)</f>
        <v/>
      </c>
    </row>
    <row r="609" spans="1:1">
      <c r="A609" t="str">
        <f t="shared" si="10"/>
        <v/>
      </c>
    </row>
    <row r="610" spans="1:1">
      <c r="A610" t="str">
        <f t="shared" si="10"/>
        <v/>
      </c>
    </row>
    <row r="611" spans="1:1">
      <c r="A611" t="str">
        <f t="shared" si="10"/>
        <v/>
      </c>
    </row>
    <row r="612" spans="1:1">
      <c r="A612" t="str">
        <f t="shared" si="10"/>
        <v/>
      </c>
    </row>
    <row r="613" spans="1:1">
      <c r="A613" t="str">
        <f t="shared" si="10"/>
        <v/>
      </c>
    </row>
    <row r="614" spans="1:1">
      <c r="A614" t="str">
        <f t="shared" si="10"/>
        <v/>
      </c>
    </row>
    <row r="615" spans="1:1">
      <c r="A615" t="str">
        <f t="shared" si="10"/>
        <v/>
      </c>
    </row>
    <row r="616" spans="1:1">
      <c r="A616" t="str">
        <f t="shared" si="10"/>
        <v/>
      </c>
    </row>
    <row r="617" spans="1:1">
      <c r="A617" t="str">
        <f t="shared" si="10"/>
        <v/>
      </c>
    </row>
    <row r="618" spans="1:1">
      <c r="A618" t="str">
        <f t="shared" si="10"/>
        <v/>
      </c>
    </row>
    <row r="619" spans="1:1">
      <c r="A619" t="str">
        <f t="shared" si="10"/>
        <v/>
      </c>
    </row>
    <row r="620" spans="1:1">
      <c r="A620" t="str">
        <f t="shared" si="10"/>
        <v/>
      </c>
    </row>
    <row r="621" spans="1:1">
      <c r="A621" t="str">
        <f t="shared" si="10"/>
        <v/>
      </c>
    </row>
    <row r="622" spans="1:1">
      <c r="A622" t="str">
        <f t="shared" si="10"/>
        <v/>
      </c>
    </row>
    <row r="623" spans="1:1">
      <c r="A623" t="str">
        <f t="shared" si="10"/>
        <v/>
      </c>
    </row>
    <row r="624" spans="1:1">
      <c r="A624" t="str">
        <f t="shared" si="10"/>
        <v/>
      </c>
    </row>
    <row r="625" spans="1:1">
      <c r="A625" t="str">
        <f t="shared" si="10"/>
        <v/>
      </c>
    </row>
    <row r="626" spans="1:1">
      <c r="A626" t="str">
        <f t="shared" si="10"/>
        <v/>
      </c>
    </row>
    <row r="627" spans="1:1">
      <c r="A627" t="str">
        <f t="shared" si="10"/>
        <v/>
      </c>
    </row>
    <row r="628" spans="1:1">
      <c r="A628" t="str">
        <f t="shared" si="10"/>
        <v/>
      </c>
    </row>
    <row r="629" spans="1:1">
      <c r="A629" t="str">
        <f t="shared" si="10"/>
        <v/>
      </c>
    </row>
    <row r="630" spans="1:1">
      <c r="A630" t="str">
        <f t="shared" si="10"/>
        <v/>
      </c>
    </row>
    <row r="631" spans="1:1">
      <c r="A631" t="str">
        <f t="shared" si="10"/>
        <v/>
      </c>
    </row>
    <row r="632" spans="1:1">
      <c r="A632" t="str">
        <f t="shared" si="10"/>
        <v/>
      </c>
    </row>
    <row r="633" spans="1:1">
      <c r="A633" t="str">
        <f t="shared" si="10"/>
        <v/>
      </c>
    </row>
    <row r="634" spans="1:1">
      <c r="A634" t="str">
        <f t="shared" si="10"/>
        <v/>
      </c>
    </row>
    <row r="635" spans="1:1">
      <c r="A635" t="str">
        <f t="shared" si="10"/>
        <v/>
      </c>
    </row>
    <row r="636" spans="1:1">
      <c r="A636" t="str">
        <f t="shared" si="10"/>
        <v/>
      </c>
    </row>
    <row r="637" spans="1:1">
      <c r="A637" t="str">
        <f t="shared" si="10"/>
        <v/>
      </c>
    </row>
    <row r="638" spans="1:1">
      <c r="A638" t="str">
        <f t="shared" si="10"/>
        <v/>
      </c>
    </row>
    <row r="639" spans="1:1">
      <c r="A639" t="str">
        <f t="shared" si="10"/>
        <v/>
      </c>
    </row>
    <row r="640" spans="1:1">
      <c r="A640" t="str">
        <f t="shared" si="10"/>
        <v/>
      </c>
    </row>
    <row r="641" spans="1:1">
      <c r="A641" t="str">
        <f t="shared" si="10"/>
        <v/>
      </c>
    </row>
    <row r="642" spans="1:1">
      <c r="A642" t="str">
        <f t="shared" si="10"/>
        <v/>
      </c>
    </row>
    <row r="643" spans="1:1">
      <c r="A643" t="str">
        <f t="shared" si="10"/>
        <v/>
      </c>
    </row>
    <row r="644" spans="1:1">
      <c r="A644" t="str">
        <f t="shared" si="10"/>
        <v/>
      </c>
    </row>
    <row r="645" spans="1:1">
      <c r="A645" t="str">
        <f t="shared" si="10"/>
        <v/>
      </c>
    </row>
    <row r="646" spans="1:1">
      <c r="A646" t="str">
        <f t="shared" si="10"/>
        <v/>
      </c>
    </row>
    <row r="647" spans="1:1">
      <c r="A647" t="str">
        <f t="shared" si="10"/>
        <v/>
      </c>
    </row>
    <row r="648" spans="1:1">
      <c r="A648" t="str">
        <f t="shared" si="10"/>
        <v/>
      </c>
    </row>
    <row r="649" spans="1:1">
      <c r="A649" t="str">
        <f t="shared" si="10"/>
        <v/>
      </c>
    </row>
    <row r="650" spans="1:1">
      <c r="A650" t="str">
        <f t="shared" si="10"/>
        <v/>
      </c>
    </row>
    <row r="651" spans="1:1">
      <c r="A651" t="str">
        <f t="shared" si="10"/>
        <v/>
      </c>
    </row>
    <row r="652" spans="1:1">
      <c r="A652" t="str">
        <f t="shared" si="10"/>
        <v/>
      </c>
    </row>
    <row r="653" spans="1:1">
      <c r="A653" t="str">
        <f t="shared" si="10"/>
        <v/>
      </c>
    </row>
    <row r="654" spans="1:1">
      <c r="A654" t="str">
        <f t="shared" si="10"/>
        <v/>
      </c>
    </row>
    <row r="655" spans="1:1">
      <c r="A655" t="str">
        <f t="shared" si="10"/>
        <v/>
      </c>
    </row>
    <row r="656" spans="1:1">
      <c r="A656" t="str">
        <f t="shared" si="10"/>
        <v/>
      </c>
    </row>
    <row r="657" spans="1:1">
      <c r="A657" t="str">
        <f t="shared" si="10"/>
        <v/>
      </c>
    </row>
    <row r="658" spans="1:1">
      <c r="A658" t="str">
        <f t="shared" si="10"/>
        <v/>
      </c>
    </row>
    <row r="659" spans="1:1">
      <c r="A659" t="str">
        <f t="shared" si="10"/>
        <v/>
      </c>
    </row>
    <row r="660" spans="1:1">
      <c r="A660" t="str">
        <f t="shared" si="10"/>
        <v/>
      </c>
    </row>
    <row r="661" spans="1:1">
      <c r="A661" t="str">
        <f t="shared" si="10"/>
        <v/>
      </c>
    </row>
    <row r="662" spans="1:1">
      <c r="A662" t="str">
        <f t="shared" si="10"/>
        <v/>
      </c>
    </row>
    <row r="663" spans="1:1">
      <c r="A663" t="str">
        <f t="shared" si="10"/>
        <v/>
      </c>
    </row>
    <row r="664" spans="1:1">
      <c r="A664" t="str">
        <f t="shared" si="10"/>
        <v/>
      </c>
    </row>
    <row r="665" spans="1:1">
      <c r="A665" t="str">
        <f t="shared" si="10"/>
        <v/>
      </c>
    </row>
    <row r="666" spans="1:1">
      <c r="A666" t="str">
        <f t="shared" si="10"/>
        <v/>
      </c>
    </row>
    <row r="667" spans="1:1">
      <c r="A667" t="str">
        <f t="shared" si="10"/>
        <v/>
      </c>
    </row>
    <row r="668" spans="1:1">
      <c r="A668" t="str">
        <f t="shared" si="10"/>
        <v/>
      </c>
    </row>
    <row r="669" spans="1:1">
      <c r="A669" t="str">
        <f t="shared" si="10"/>
        <v/>
      </c>
    </row>
    <row r="670" spans="1:1">
      <c r="A670" t="str">
        <f t="shared" si="10"/>
        <v/>
      </c>
    </row>
    <row r="671" spans="1:1">
      <c r="A671" t="str">
        <f t="shared" si="10"/>
        <v/>
      </c>
    </row>
    <row r="672" spans="1:1">
      <c r="A672" t="str">
        <f t="shared" ref="A672:A735" si="11">IF(B672="","",A671+1)</f>
        <v/>
      </c>
    </row>
    <row r="673" spans="1:1">
      <c r="A673" t="str">
        <f t="shared" si="11"/>
        <v/>
      </c>
    </row>
    <row r="674" spans="1:1">
      <c r="A674" t="str">
        <f t="shared" si="11"/>
        <v/>
      </c>
    </row>
    <row r="675" spans="1:1">
      <c r="A675" t="str">
        <f t="shared" si="11"/>
        <v/>
      </c>
    </row>
    <row r="676" spans="1:1">
      <c r="A676" t="str">
        <f t="shared" si="11"/>
        <v/>
      </c>
    </row>
    <row r="677" spans="1:1">
      <c r="A677" t="str">
        <f t="shared" si="11"/>
        <v/>
      </c>
    </row>
    <row r="678" spans="1:1">
      <c r="A678" t="str">
        <f t="shared" si="11"/>
        <v/>
      </c>
    </row>
    <row r="679" spans="1:1">
      <c r="A679" t="str">
        <f t="shared" si="11"/>
        <v/>
      </c>
    </row>
    <row r="680" spans="1:1">
      <c r="A680" t="str">
        <f t="shared" si="11"/>
        <v/>
      </c>
    </row>
    <row r="681" spans="1:1">
      <c r="A681" t="str">
        <f t="shared" si="11"/>
        <v/>
      </c>
    </row>
    <row r="682" spans="1:1">
      <c r="A682" t="str">
        <f t="shared" si="11"/>
        <v/>
      </c>
    </row>
    <row r="683" spans="1:1">
      <c r="A683" t="str">
        <f t="shared" si="11"/>
        <v/>
      </c>
    </row>
    <row r="684" spans="1:1">
      <c r="A684" t="str">
        <f t="shared" si="11"/>
        <v/>
      </c>
    </row>
    <row r="685" spans="1:1">
      <c r="A685" t="str">
        <f t="shared" si="11"/>
        <v/>
      </c>
    </row>
    <row r="686" spans="1:1">
      <c r="A686" t="str">
        <f t="shared" si="11"/>
        <v/>
      </c>
    </row>
    <row r="687" spans="1:1">
      <c r="A687" t="str">
        <f t="shared" si="11"/>
        <v/>
      </c>
    </row>
    <row r="688" spans="1:1">
      <c r="A688" t="str">
        <f t="shared" si="11"/>
        <v/>
      </c>
    </row>
    <row r="689" spans="1:1">
      <c r="A689" t="str">
        <f t="shared" si="11"/>
        <v/>
      </c>
    </row>
    <row r="690" spans="1:1">
      <c r="A690" t="str">
        <f t="shared" si="11"/>
        <v/>
      </c>
    </row>
    <row r="691" spans="1:1">
      <c r="A691" t="str">
        <f t="shared" si="11"/>
        <v/>
      </c>
    </row>
    <row r="692" spans="1:1">
      <c r="A692" t="str">
        <f t="shared" si="11"/>
        <v/>
      </c>
    </row>
    <row r="693" spans="1:1">
      <c r="A693" t="str">
        <f t="shared" si="11"/>
        <v/>
      </c>
    </row>
    <row r="694" spans="1:1">
      <c r="A694" t="str">
        <f t="shared" si="11"/>
        <v/>
      </c>
    </row>
    <row r="695" spans="1:1">
      <c r="A695" t="str">
        <f t="shared" si="11"/>
        <v/>
      </c>
    </row>
    <row r="696" spans="1:1">
      <c r="A696" t="str">
        <f t="shared" si="11"/>
        <v/>
      </c>
    </row>
    <row r="697" spans="1:1">
      <c r="A697" t="str">
        <f t="shared" si="11"/>
        <v/>
      </c>
    </row>
    <row r="698" spans="1:1">
      <c r="A698" t="str">
        <f t="shared" si="11"/>
        <v/>
      </c>
    </row>
    <row r="699" spans="1:1">
      <c r="A699" t="str">
        <f t="shared" si="11"/>
        <v/>
      </c>
    </row>
    <row r="700" spans="1:1">
      <c r="A700" t="str">
        <f t="shared" si="11"/>
        <v/>
      </c>
    </row>
    <row r="701" spans="1:1">
      <c r="A701" t="str">
        <f t="shared" si="11"/>
        <v/>
      </c>
    </row>
    <row r="702" spans="1:1">
      <c r="A702" t="str">
        <f t="shared" si="11"/>
        <v/>
      </c>
    </row>
    <row r="703" spans="1:1">
      <c r="A703" t="str">
        <f t="shared" si="11"/>
        <v/>
      </c>
    </row>
    <row r="704" spans="1:1">
      <c r="A704" t="str">
        <f t="shared" si="11"/>
        <v/>
      </c>
    </row>
    <row r="705" spans="1:1">
      <c r="A705" t="str">
        <f t="shared" si="11"/>
        <v/>
      </c>
    </row>
    <row r="706" spans="1:1">
      <c r="A706" t="str">
        <f t="shared" si="11"/>
        <v/>
      </c>
    </row>
    <row r="707" spans="1:1">
      <c r="A707" t="str">
        <f t="shared" si="11"/>
        <v/>
      </c>
    </row>
    <row r="708" spans="1:1">
      <c r="A708" t="str">
        <f t="shared" si="11"/>
        <v/>
      </c>
    </row>
    <row r="709" spans="1:1">
      <c r="A709" t="str">
        <f t="shared" si="11"/>
        <v/>
      </c>
    </row>
    <row r="710" spans="1:1">
      <c r="A710" t="str">
        <f t="shared" si="11"/>
        <v/>
      </c>
    </row>
    <row r="711" spans="1:1">
      <c r="A711" t="str">
        <f t="shared" si="11"/>
        <v/>
      </c>
    </row>
    <row r="712" spans="1:1">
      <c r="A712" t="str">
        <f t="shared" si="11"/>
        <v/>
      </c>
    </row>
    <row r="713" spans="1:1">
      <c r="A713" t="str">
        <f t="shared" si="11"/>
        <v/>
      </c>
    </row>
    <row r="714" spans="1:1">
      <c r="A714" t="str">
        <f t="shared" si="11"/>
        <v/>
      </c>
    </row>
    <row r="715" spans="1:1">
      <c r="A715" t="str">
        <f t="shared" si="11"/>
        <v/>
      </c>
    </row>
    <row r="716" spans="1:1">
      <c r="A716" t="str">
        <f t="shared" si="11"/>
        <v/>
      </c>
    </row>
    <row r="717" spans="1:1">
      <c r="A717" t="str">
        <f t="shared" si="11"/>
        <v/>
      </c>
    </row>
    <row r="718" spans="1:1">
      <c r="A718" t="str">
        <f t="shared" si="11"/>
        <v/>
      </c>
    </row>
    <row r="719" spans="1:1">
      <c r="A719" t="str">
        <f t="shared" si="11"/>
        <v/>
      </c>
    </row>
    <row r="720" spans="1:1">
      <c r="A720" t="str">
        <f t="shared" si="11"/>
        <v/>
      </c>
    </row>
    <row r="721" spans="1:1">
      <c r="A721" t="str">
        <f t="shared" si="11"/>
        <v/>
      </c>
    </row>
    <row r="722" spans="1:1">
      <c r="A722" t="str">
        <f t="shared" si="11"/>
        <v/>
      </c>
    </row>
    <row r="723" spans="1:1">
      <c r="A723" t="str">
        <f t="shared" si="11"/>
        <v/>
      </c>
    </row>
    <row r="724" spans="1:1">
      <c r="A724" t="str">
        <f t="shared" si="11"/>
        <v/>
      </c>
    </row>
    <row r="725" spans="1:1">
      <c r="A725" t="str">
        <f t="shared" si="11"/>
        <v/>
      </c>
    </row>
    <row r="726" spans="1:1">
      <c r="A726" t="str">
        <f t="shared" si="11"/>
        <v/>
      </c>
    </row>
    <row r="727" spans="1:1">
      <c r="A727" t="str">
        <f t="shared" si="11"/>
        <v/>
      </c>
    </row>
    <row r="728" spans="1:1">
      <c r="A728" t="str">
        <f t="shared" si="11"/>
        <v/>
      </c>
    </row>
    <row r="729" spans="1:1">
      <c r="A729" t="str">
        <f t="shared" si="11"/>
        <v/>
      </c>
    </row>
    <row r="730" spans="1:1">
      <c r="A730" t="str">
        <f t="shared" si="11"/>
        <v/>
      </c>
    </row>
    <row r="731" spans="1:1">
      <c r="A731" t="str">
        <f t="shared" si="11"/>
        <v/>
      </c>
    </row>
    <row r="732" spans="1:1">
      <c r="A732" t="str">
        <f t="shared" si="11"/>
        <v/>
      </c>
    </row>
    <row r="733" spans="1:1">
      <c r="A733" t="str">
        <f t="shared" si="11"/>
        <v/>
      </c>
    </row>
    <row r="734" spans="1:1">
      <c r="A734" t="str">
        <f t="shared" si="11"/>
        <v/>
      </c>
    </row>
    <row r="735" spans="1:1">
      <c r="A735" t="str">
        <f t="shared" si="11"/>
        <v/>
      </c>
    </row>
    <row r="736" spans="1:1">
      <c r="A736" t="str">
        <f t="shared" ref="A736:A799" si="12">IF(B736="","",A735+1)</f>
        <v/>
      </c>
    </row>
    <row r="737" spans="1:1">
      <c r="A737" t="str">
        <f t="shared" si="12"/>
        <v/>
      </c>
    </row>
    <row r="738" spans="1:1">
      <c r="A738" t="str">
        <f t="shared" si="12"/>
        <v/>
      </c>
    </row>
    <row r="739" spans="1:1">
      <c r="A739" t="str">
        <f t="shared" si="12"/>
        <v/>
      </c>
    </row>
    <row r="740" spans="1:1">
      <c r="A740" t="str">
        <f t="shared" si="12"/>
        <v/>
      </c>
    </row>
    <row r="741" spans="1:1">
      <c r="A741" t="str">
        <f t="shared" si="12"/>
        <v/>
      </c>
    </row>
    <row r="742" spans="1:1">
      <c r="A742" t="str">
        <f t="shared" si="12"/>
        <v/>
      </c>
    </row>
    <row r="743" spans="1:1">
      <c r="A743" t="str">
        <f t="shared" si="12"/>
        <v/>
      </c>
    </row>
    <row r="744" spans="1:1">
      <c r="A744" t="str">
        <f t="shared" si="12"/>
        <v/>
      </c>
    </row>
    <row r="745" spans="1:1">
      <c r="A745" t="str">
        <f t="shared" si="12"/>
        <v/>
      </c>
    </row>
    <row r="746" spans="1:1">
      <c r="A746" t="str">
        <f t="shared" si="12"/>
        <v/>
      </c>
    </row>
    <row r="747" spans="1:1">
      <c r="A747" t="str">
        <f t="shared" si="12"/>
        <v/>
      </c>
    </row>
    <row r="748" spans="1:1">
      <c r="A748" t="str">
        <f t="shared" si="12"/>
        <v/>
      </c>
    </row>
    <row r="749" spans="1:1">
      <c r="A749" t="str">
        <f t="shared" si="12"/>
        <v/>
      </c>
    </row>
    <row r="750" spans="1:1">
      <c r="A750" t="str">
        <f t="shared" si="12"/>
        <v/>
      </c>
    </row>
    <row r="751" spans="1:1">
      <c r="A751" t="str">
        <f t="shared" si="12"/>
        <v/>
      </c>
    </row>
    <row r="752" spans="1:1">
      <c r="A752" t="str">
        <f t="shared" si="12"/>
        <v/>
      </c>
    </row>
    <row r="753" spans="1:1">
      <c r="A753" t="str">
        <f t="shared" si="12"/>
        <v/>
      </c>
    </row>
    <row r="754" spans="1:1">
      <c r="A754" t="str">
        <f t="shared" si="12"/>
        <v/>
      </c>
    </row>
    <row r="755" spans="1:1">
      <c r="A755" t="str">
        <f t="shared" si="12"/>
        <v/>
      </c>
    </row>
    <row r="756" spans="1:1">
      <c r="A756" t="str">
        <f t="shared" si="12"/>
        <v/>
      </c>
    </row>
    <row r="757" spans="1:1">
      <c r="A757" t="str">
        <f t="shared" si="12"/>
        <v/>
      </c>
    </row>
    <row r="758" spans="1:1">
      <c r="A758" t="str">
        <f t="shared" si="12"/>
        <v/>
      </c>
    </row>
    <row r="759" spans="1:1">
      <c r="A759" t="str">
        <f t="shared" si="12"/>
        <v/>
      </c>
    </row>
    <row r="760" spans="1:1">
      <c r="A760" t="str">
        <f t="shared" si="12"/>
        <v/>
      </c>
    </row>
    <row r="761" spans="1:1">
      <c r="A761" t="str">
        <f t="shared" si="12"/>
        <v/>
      </c>
    </row>
    <row r="762" spans="1:1">
      <c r="A762" t="str">
        <f t="shared" si="12"/>
        <v/>
      </c>
    </row>
    <row r="763" spans="1:1">
      <c r="A763" t="str">
        <f t="shared" si="12"/>
        <v/>
      </c>
    </row>
    <row r="764" spans="1:1">
      <c r="A764" t="str">
        <f t="shared" si="12"/>
        <v/>
      </c>
    </row>
    <row r="765" spans="1:1">
      <c r="A765" t="str">
        <f t="shared" si="12"/>
        <v/>
      </c>
    </row>
    <row r="766" spans="1:1">
      <c r="A766" t="str">
        <f t="shared" si="12"/>
        <v/>
      </c>
    </row>
    <row r="767" spans="1:1">
      <c r="A767" t="str">
        <f t="shared" si="12"/>
        <v/>
      </c>
    </row>
    <row r="768" spans="1:1">
      <c r="A768" t="str">
        <f t="shared" si="12"/>
        <v/>
      </c>
    </row>
    <row r="769" spans="1:1">
      <c r="A769" t="str">
        <f t="shared" si="12"/>
        <v/>
      </c>
    </row>
    <row r="770" spans="1:1">
      <c r="A770" t="str">
        <f t="shared" si="12"/>
        <v/>
      </c>
    </row>
    <row r="771" spans="1:1">
      <c r="A771" t="str">
        <f t="shared" si="12"/>
        <v/>
      </c>
    </row>
    <row r="772" spans="1:1">
      <c r="A772" t="str">
        <f t="shared" si="12"/>
        <v/>
      </c>
    </row>
    <row r="773" spans="1:1">
      <c r="A773" t="str">
        <f t="shared" si="12"/>
        <v/>
      </c>
    </row>
    <row r="774" spans="1:1">
      <c r="A774" t="str">
        <f t="shared" si="12"/>
        <v/>
      </c>
    </row>
    <row r="775" spans="1:1">
      <c r="A775" t="str">
        <f t="shared" si="12"/>
        <v/>
      </c>
    </row>
    <row r="776" spans="1:1">
      <c r="A776" t="str">
        <f t="shared" si="12"/>
        <v/>
      </c>
    </row>
    <row r="777" spans="1:1">
      <c r="A777" t="str">
        <f t="shared" si="12"/>
        <v/>
      </c>
    </row>
    <row r="778" spans="1:1">
      <c r="A778" t="str">
        <f t="shared" si="12"/>
        <v/>
      </c>
    </row>
    <row r="779" spans="1:1">
      <c r="A779" t="str">
        <f t="shared" si="12"/>
        <v/>
      </c>
    </row>
    <row r="780" spans="1:1">
      <c r="A780" t="str">
        <f t="shared" si="12"/>
        <v/>
      </c>
    </row>
    <row r="781" spans="1:1">
      <c r="A781" t="str">
        <f t="shared" si="12"/>
        <v/>
      </c>
    </row>
    <row r="782" spans="1:1">
      <c r="A782" t="str">
        <f t="shared" si="12"/>
        <v/>
      </c>
    </row>
    <row r="783" spans="1:1">
      <c r="A783" t="str">
        <f t="shared" si="12"/>
        <v/>
      </c>
    </row>
    <row r="784" spans="1:1">
      <c r="A784" t="str">
        <f t="shared" si="12"/>
        <v/>
      </c>
    </row>
    <row r="785" spans="1:1">
      <c r="A785" t="str">
        <f t="shared" si="12"/>
        <v/>
      </c>
    </row>
    <row r="786" spans="1:1">
      <c r="A786" t="str">
        <f t="shared" si="12"/>
        <v/>
      </c>
    </row>
    <row r="787" spans="1:1">
      <c r="A787" t="str">
        <f t="shared" si="12"/>
        <v/>
      </c>
    </row>
    <row r="788" spans="1:1">
      <c r="A788" t="str">
        <f t="shared" si="12"/>
        <v/>
      </c>
    </row>
    <row r="789" spans="1:1">
      <c r="A789" t="str">
        <f t="shared" si="12"/>
        <v/>
      </c>
    </row>
    <row r="790" spans="1:1">
      <c r="A790" t="str">
        <f t="shared" si="12"/>
        <v/>
      </c>
    </row>
    <row r="791" spans="1:1">
      <c r="A791" t="str">
        <f t="shared" si="12"/>
        <v/>
      </c>
    </row>
    <row r="792" spans="1:1">
      <c r="A792" t="str">
        <f t="shared" si="12"/>
        <v/>
      </c>
    </row>
    <row r="793" spans="1:1">
      <c r="A793" t="str">
        <f t="shared" si="12"/>
        <v/>
      </c>
    </row>
    <row r="794" spans="1:1">
      <c r="A794" t="str">
        <f t="shared" si="12"/>
        <v/>
      </c>
    </row>
    <row r="795" spans="1:1">
      <c r="A795" t="str">
        <f t="shared" si="12"/>
        <v/>
      </c>
    </row>
    <row r="796" spans="1:1">
      <c r="A796" t="str">
        <f t="shared" si="12"/>
        <v/>
      </c>
    </row>
    <row r="797" spans="1:1">
      <c r="A797" t="str">
        <f t="shared" si="12"/>
        <v/>
      </c>
    </row>
    <row r="798" spans="1:1">
      <c r="A798" t="str">
        <f t="shared" si="12"/>
        <v/>
      </c>
    </row>
    <row r="799" spans="1:1">
      <c r="A799" t="str">
        <f t="shared" si="12"/>
        <v/>
      </c>
    </row>
    <row r="800" spans="1:1">
      <c r="A800" t="str">
        <f t="shared" ref="A800:A863" si="13">IF(B800="","",A799+1)</f>
        <v/>
      </c>
    </row>
    <row r="801" spans="1:1">
      <c r="A801" t="str">
        <f t="shared" si="13"/>
        <v/>
      </c>
    </row>
    <row r="802" spans="1:1">
      <c r="A802" t="str">
        <f t="shared" si="13"/>
        <v/>
      </c>
    </row>
    <row r="803" spans="1:1">
      <c r="A803" t="str">
        <f t="shared" si="13"/>
        <v/>
      </c>
    </row>
    <row r="804" spans="1:1">
      <c r="A804" t="str">
        <f t="shared" si="13"/>
        <v/>
      </c>
    </row>
    <row r="805" spans="1:1">
      <c r="A805" t="str">
        <f t="shared" si="13"/>
        <v/>
      </c>
    </row>
    <row r="806" spans="1:1">
      <c r="A806" t="str">
        <f t="shared" si="13"/>
        <v/>
      </c>
    </row>
    <row r="807" spans="1:1">
      <c r="A807" t="str">
        <f t="shared" si="13"/>
        <v/>
      </c>
    </row>
    <row r="808" spans="1:1">
      <c r="A808" t="str">
        <f t="shared" si="13"/>
        <v/>
      </c>
    </row>
    <row r="809" spans="1:1">
      <c r="A809" t="str">
        <f t="shared" si="13"/>
        <v/>
      </c>
    </row>
    <row r="810" spans="1:1">
      <c r="A810" t="str">
        <f t="shared" si="13"/>
        <v/>
      </c>
    </row>
    <row r="811" spans="1:1">
      <c r="A811" t="str">
        <f t="shared" si="13"/>
        <v/>
      </c>
    </row>
    <row r="812" spans="1:1">
      <c r="A812" t="str">
        <f t="shared" si="13"/>
        <v/>
      </c>
    </row>
    <row r="813" spans="1:1">
      <c r="A813" t="str">
        <f t="shared" si="13"/>
        <v/>
      </c>
    </row>
    <row r="814" spans="1:1">
      <c r="A814" t="str">
        <f t="shared" si="13"/>
        <v/>
      </c>
    </row>
    <row r="815" spans="1:1">
      <c r="A815" t="str">
        <f t="shared" si="13"/>
        <v/>
      </c>
    </row>
    <row r="816" spans="1:1">
      <c r="A816" t="str">
        <f t="shared" si="13"/>
        <v/>
      </c>
    </row>
    <row r="817" spans="1:1">
      <c r="A817" t="str">
        <f t="shared" si="13"/>
        <v/>
      </c>
    </row>
    <row r="818" spans="1:1">
      <c r="A818" t="str">
        <f t="shared" si="13"/>
        <v/>
      </c>
    </row>
    <row r="819" spans="1:1">
      <c r="A819" t="str">
        <f t="shared" si="13"/>
        <v/>
      </c>
    </row>
    <row r="820" spans="1:1">
      <c r="A820" t="str">
        <f t="shared" si="13"/>
        <v/>
      </c>
    </row>
    <row r="821" spans="1:1">
      <c r="A821" t="str">
        <f t="shared" si="13"/>
        <v/>
      </c>
    </row>
    <row r="822" spans="1:1">
      <c r="A822" t="str">
        <f t="shared" si="13"/>
        <v/>
      </c>
    </row>
    <row r="823" spans="1:1">
      <c r="A823" t="str">
        <f t="shared" si="13"/>
        <v/>
      </c>
    </row>
    <row r="824" spans="1:1">
      <c r="A824" t="str">
        <f t="shared" si="13"/>
        <v/>
      </c>
    </row>
    <row r="825" spans="1:1">
      <c r="A825" t="str">
        <f t="shared" si="13"/>
        <v/>
      </c>
    </row>
    <row r="826" spans="1:1">
      <c r="A826" t="str">
        <f t="shared" si="13"/>
        <v/>
      </c>
    </row>
    <row r="827" spans="1:1">
      <c r="A827" t="str">
        <f t="shared" si="13"/>
        <v/>
      </c>
    </row>
    <row r="828" spans="1:1">
      <c r="A828" t="str">
        <f t="shared" si="13"/>
        <v/>
      </c>
    </row>
    <row r="829" spans="1:1">
      <c r="A829" t="str">
        <f t="shared" si="13"/>
        <v/>
      </c>
    </row>
    <row r="830" spans="1:1">
      <c r="A830" t="str">
        <f t="shared" si="13"/>
        <v/>
      </c>
    </row>
    <row r="831" spans="1:1">
      <c r="A831" t="str">
        <f t="shared" si="13"/>
        <v/>
      </c>
    </row>
    <row r="832" spans="1:1">
      <c r="A832" t="str">
        <f t="shared" si="13"/>
        <v/>
      </c>
    </row>
    <row r="833" spans="1:1">
      <c r="A833" t="str">
        <f t="shared" si="13"/>
        <v/>
      </c>
    </row>
    <row r="834" spans="1:1">
      <c r="A834" t="str">
        <f t="shared" si="13"/>
        <v/>
      </c>
    </row>
    <row r="835" spans="1:1">
      <c r="A835" t="str">
        <f t="shared" si="13"/>
        <v/>
      </c>
    </row>
    <row r="836" spans="1:1">
      <c r="A836" t="str">
        <f t="shared" si="13"/>
        <v/>
      </c>
    </row>
    <row r="837" spans="1:1">
      <c r="A837" t="str">
        <f t="shared" si="13"/>
        <v/>
      </c>
    </row>
    <row r="838" spans="1:1">
      <c r="A838" t="str">
        <f t="shared" si="13"/>
        <v/>
      </c>
    </row>
    <row r="839" spans="1:1">
      <c r="A839" t="str">
        <f t="shared" si="13"/>
        <v/>
      </c>
    </row>
    <row r="840" spans="1:1">
      <c r="A840" t="str">
        <f t="shared" si="13"/>
        <v/>
      </c>
    </row>
    <row r="841" spans="1:1">
      <c r="A841" t="str">
        <f t="shared" si="13"/>
        <v/>
      </c>
    </row>
    <row r="842" spans="1:1">
      <c r="A842" t="str">
        <f t="shared" si="13"/>
        <v/>
      </c>
    </row>
    <row r="843" spans="1:1">
      <c r="A843" t="str">
        <f t="shared" si="13"/>
        <v/>
      </c>
    </row>
    <row r="844" spans="1:1">
      <c r="A844" t="str">
        <f t="shared" si="13"/>
        <v/>
      </c>
    </row>
    <row r="845" spans="1:1">
      <c r="A845" t="str">
        <f t="shared" si="13"/>
        <v/>
      </c>
    </row>
    <row r="846" spans="1:1">
      <c r="A846" t="str">
        <f t="shared" si="13"/>
        <v/>
      </c>
    </row>
    <row r="847" spans="1:1">
      <c r="A847" t="str">
        <f t="shared" si="13"/>
        <v/>
      </c>
    </row>
    <row r="848" spans="1:1">
      <c r="A848" t="str">
        <f t="shared" si="13"/>
        <v/>
      </c>
    </row>
    <row r="849" spans="1:1">
      <c r="A849" t="str">
        <f t="shared" si="13"/>
        <v/>
      </c>
    </row>
    <row r="850" spans="1:1">
      <c r="A850" t="str">
        <f t="shared" si="13"/>
        <v/>
      </c>
    </row>
    <row r="851" spans="1:1">
      <c r="A851" t="str">
        <f t="shared" si="13"/>
        <v/>
      </c>
    </row>
    <row r="852" spans="1:1">
      <c r="A852" t="str">
        <f t="shared" si="13"/>
        <v/>
      </c>
    </row>
    <row r="853" spans="1:1">
      <c r="A853" t="str">
        <f t="shared" si="13"/>
        <v/>
      </c>
    </row>
    <row r="854" spans="1:1">
      <c r="A854" t="str">
        <f t="shared" si="13"/>
        <v/>
      </c>
    </row>
    <row r="855" spans="1:1">
      <c r="A855" t="str">
        <f t="shared" si="13"/>
        <v/>
      </c>
    </row>
    <row r="856" spans="1:1">
      <c r="A856" t="str">
        <f t="shared" si="13"/>
        <v/>
      </c>
    </row>
    <row r="857" spans="1:1">
      <c r="A857" t="str">
        <f t="shared" si="13"/>
        <v/>
      </c>
    </row>
    <row r="858" spans="1:1">
      <c r="A858" t="str">
        <f t="shared" si="13"/>
        <v/>
      </c>
    </row>
    <row r="859" spans="1:1">
      <c r="A859" t="str">
        <f t="shared" si="13"/>
        <v/>
      </c>
    </row>
    <row r="860" spans="1:1">
      <c r="A860" t="str">
        <f t="shared" si="13"/>
        <v/>
      </c>
    </row>
    <row r="861" spans="1:1">
      <c r="A861" t="str">
        <f t="shared" si="13"/>
        <v/>
      </c>
    </row>
    <row r="862" spans="1:1">
      <c r="A862" t="str">
        <f t="shared" si="13"/>
        <v/>
      </c>
    </row>
    <row r="863" spans="1:1">
      <c r="A863" t="str">
        <f t="shared" si="13"/>
        <v/>
      </c>
    </row>
    <row r="864" spans="1:1">
      <c r="A864" t="str">
        <f t="shared" ref="A864:A927" si="14">IF(B864="","",A863+1)</f>
        <v/>
      </c>
    </row>
    <row r="865" spans="1:1">
      <c r="A865" t="str">
        <f t="shared" si="14"/>
        <v/>
      </c>
    </row>
    <row r="866" spans="1:1">
      <c r="A866" t="str">
        <f t="shared" si="14"/>
        <v/>
      </c>
    </row>
    <row r="867" spans="1:1">
      <c r="A867" t="str">
        <f t="shared" si="14"/>
        <v/>
      </c>
    </row>
    <row r="868" spans="1:1">
      <c r="A868" t="str">
        <f t="shared" si="14"/>
        <v/>
      </c>
    </row>
    <row r="869" spans="1:1">
      <c r="A869" t="str">
        <f t="shared" si="14"/>
        <v/>
      </c>
    </row>
    <row r="870" spans="1:1">
      <c r="A870" t="str">
        <f t="shared" si="14"/>
        <v/>
      </c>
    </row>
    <row r="871" spans="1:1">
      <c r="A871" t="str">
        <f t="shared" si="14"/>
        <v/>
      </c>
    </row>
    <row r="872" spans="1:1">
      <c r="A872" t="str">
        <f t="shared" si="14"/>
        <v/>
      </c>
    </row>
    <row r="873" spans="1:1">
      <c r="A873" t="str">
        <f t="shared" si="14"/>
        <v/>
      </c>
    </row>
    <row r="874" spans="1:1">
      <c r="A874" t="str">
        <f t="shared" si="14"/>
        <v/>
      </c>
    </row>
    <row r="875" spans="1:1">
      <c r="A875" t="str">
        <f t="shared" si="14"/>
        <v/>
      </c>
    </row>
    <row r="876" spans="1:1">
      <c r="A876" t="str">
        <f t="shared" si="14"/>
        <v/>
      </c>
    </row>
    <row r="877" spans="1:1">
      <c r="A877" t="str">
        <f t="shared" si="14"/>
        <v/>
      </c>
    </row>
    <row r="878" spans="1:1">
      <c r="A878" t="str">
        <f t="shared" si="14"/>
        <v/>
      </c>
    </row>
    <row r="879" spans="1:1">
      <c r="A879" t="str">
        <f t="shared" si="14"/>
        <v/>
      </c>
    </row>
    <row r="880" spans="1:1">
      <c r="A880" t="str">
        <f t="shared" si="14"/>
        <v/>
      </c>
    </row>
    <row r="881" spans="1:1">
      <c r="A881" t="str">
        <f t="shared" si="14"/>
        <v/>
      </c>
    </row>
    <row r="882" spans="1:1">
      <c r="A882" t="str">
        <f t="shared" si="14"/>
        <v/>
      </c>
    </row>
    <row r="883" spans="1:1">
      <c r="A883" t="str">
        <f t="shared" si="14"/>
        <v/>
      </c>
    </row>
    <row r="884" spans="1:1">
      <c r="A884" t="str">
        <f t="shared" si="14"/>
        <v/>
      </c>
    </row>
    <row r="885" spans="1:1">
      <c r="A885" t="str">
        <f t="shared" si="14"/>
        <v/>
      </c>
    </row>
    <row r="886" spans="1:1">
      <c r="A886" t="str">
        <f t="shared" si="14"/>
        <v/>
      </c>
    </row>
    <row r="887" spans="1:1">
      <c r="A887" t="str">
        <f t="shared" si="14"/>
        <v/>
      </c>
    </row>
    <row r="888" spans="1:1">
      <c r="A888" t="str">
        <f t="shared" si="14"/>
        <v/>
      </c>
    </row>
    <row r="889" spans="1:1">
      <c r="A889" t="str">
        <f t="shared" si="14"/>
        <v/>
      </c>
    </row>
    <row r="890" spans="1:1">
      <c r="A890" t="str">
        <f t="shared" si="14"/>
        <v/>
      </c>
    </row>
    <row r="891" spans="1:1">
      <c r="A891" t="str">
        <f t="shared" si="14"/>
        <v/>
      </c>
    </row>
    <row r="892" spans="1:1">
      <c r="A892" t="str">
        <f t="shared" si="14"/>
        <v/>
      </c>
    </row>
    <row r="893" spans="1:1">
      <c r="A893" t="str">
        <f t="shared" si="14"/>
        <v/>
      </c>
    </row>
    <row r="894" spans="1:1">
      <c r="A894" t="str">
        <f t="shared" si="14"/>
        <v/>
      </c>
    </row>
    <row r="895" spans="1:1">
      <c r="A895" t="str">
        <f t="shared" si="14"/>
        <v/>
      </c>
    </row>
    <row r="896" spans="1:1">
      <c r="A896" t="str">
        <f t="shared" si="14"/>
        <v/>
      </c>
    </row>
    <row r="897" spans="1:1">
      <c r="A897" t="str">
        <f t="shared" si="14"/>
        <v/>
      </c>
    </row>
    <row r="898" spans="1:1">
      <c r="A898" t="str">
        <f t="shared" si="14"/>
        <v/>
      </c>
    </row>
    <row r="899" spans="1:1">
      <c r="A899" t="str">
        <f t="shared" si="14"/>
        <v/>
      </c>
    </row>
    <row r="900" spans="1:1">
      <c r="A900" t="str">
        <f t="shared" si="14"/>
        <v/>
      </c>
    </row>
    <row r="901" spans="1:1">
      <c r="A901" t="str">
        <f t="shared" si="14"/>
        <v/>
      </c>
    </row>
    <row r="902" spans="1:1">
      <c r="A902" t="str">
        <f t="shared" si="14"/>
        <v/>
      </c>
    </row>
    <row r="903" spans="1:1">
      <c r="A903" t="str">
        <f t="shared" si="14"/>
        <v/>
      </c>
    </row>
    <row r="904" spans="1:1">
      <c r="A904" t="str">
        <f t="shared" si="14"/>
        <v/>
      </c>
    </row>
    <row r="905" spans="1:1">
      <c r="A905" t="str">
        <f t="shared" si="14"/>
        <v/>
      </c>
    </row>
    <row r="906" spans="1:1">
      <c r="A906" t="str">
        <f t="shared" si="14"/>
        <v/>
      </c>
    </row>
    <row r="907" spans="1:1">
      <c r="A907" t="str">
        <f t="shared" si="14"/>
        <v/>
      </c>
    </row>
    <row r="908" spans="1:1">
      <c r="A908" t="str">
        <f t="shared" si="14"/>
        <v/>
      </c>
    </row>
    <row r="909" spans="1:1">
      <c r="A909" t="str">
        <f t="shared" si="14"/>
        <v/>
      </c>
    </row>
    <row r="910" spans="1:1">
      <c r="A910" t="str">
        <f t="shared" si="14"/>
        <v/>
      </c>
    </row>
    <row r="911" spans="1:1">
      <c r="A911" t="str">
        <f t="shared" si="14"/>
        <v/>
      </c>
    </row>
    <row r="912" spans="1:1">
      <c r="A912" t="str">
        <f t="shared" si="14"/>
        <v/>
      </c>
    </row>
    <row r="913" spans="1:1">
      <c r="A913" t="str">
        <f t="shared" si="14"/>
        <v/>
      </c>
    </row>
    <row r="914" spans="1:1">
      <c r="A914" t="str">
        <f t="shared" si="14"/>
        <v/>
      </c>
    </row>
    <row r="915" spans="1:1">
      <c r="A915" t="str">
        <f t="shared" si="14"/>
        <v/>
      </c>
    </row>
    <row r="916" spans="1:1">
      <c r="A916" t="str">
        <f t="shared" si="14"/>
        <v/>
      </c>
    </row>
    <row r="917" spans="1:1">
      <c r="A917" t="str">
        <f t="shared" si="14"/>
        <v/>
      </c>
    </row>
    <row r="918" spans="1:1">
      <c r="A918" t="str">
        <f t="shared" si="14"/>
        <v/>
      </c>
    </row>
    <row r="919" spans="1:1">
      <c r="A919" t="str">
        <f t="shared" si="14"/>
        <v/>
      </c>
    </row>
    <row r="920" spans="1:1">
      <c r="A920" t="str">
        <f t="shared" si="14"/>
        <v/>
      </c>
    </row>
    <row r="921" spans="1:1">
      <c r="A921" t="str">
        <f t="shared" si="14"/>
        <v/>
      </c>
    </row>
    <row r="922" spans="1:1">
      <c r="A922" t="str">
        <f t="shared" si="14"/>
        <v/>
      </c>
    </row>
    <row r="923" spans="1:1">
      <c r="A923" t="str">
        <f t="shared" si="14"/>
        <v/>
      </c>
    </row>
    <row r="924" spans="1:1">
      <c r="A924" t="str">
        <f t="shared" si="14"/>
        <v/>
      </c>
    </row>
    <row r="925" spans="1:1">
      <c r="A925" t="str">
        <f t="shared" si="14"/>
        <v/>
      </c>
    </row>
    <row r="926" spans="1:1">
      <c r="A926" t="str">
        <f t="shared" si="14"/>
        <v/>
      </c>
    </row>
    <row r="927" spans="1:1">
      <c r="A927" t="str">
        <f t="shared" si="14"/>
        <v/>
      </c>
    </row>
    <row r="928" spans="1:1">
      <c r="A928" t="str">
        <f t="shared" ref="A928:A991" si="15">IF(B928="","",A927+1)</f>
        <v/>
      </c>
    </row>
    <row r="929" spans="1:1">
      <c r="A929" t="str">
        <f t="shared" si="15"/>
        <v/>
      </c>
    </row>
    <row r="930" spans="1:1">
      <c r="A930" t="str">
        <f t="shared" si="15"/>
        <v/>
      </c>
    </row>
    <row r="931" spans="1:1">
      <c r="A931" t="str">
        <f t="shared" si="15"/>
        <v/>
      </c>
    </row>
    <row r="932" spans="1:1">
      <c r="A932" t="str">
        <f t="shared" si="15"/>
        <v/>
      </c>
    </row>
    <row r="933" spans="1:1">
      <c r="A933" t="str">
        <f t="shared" si="15"/>
        <v/>
      </c>
    </row>
    <row r="934" spans="1:1">
      <c r="A934" t="str">
        <f t="shared" si="15"/>
        <v/>
      </c>
    </row>
    <row r="935" spans="1:1">
      <c r="A935" t="str">
        <f t="shared" si="15"/>
        <v/>
      </c>
    </row>
    <row r="936" spans="1:1">
      <c r="A936" t="str">
        <f t="shared" si="15"/>
        <v/>
      </c>
    </row>
    <row r="937" spans="1:1">
      <c r="A937" t="str">
        <f t="shared" si="15"/>
        <v/>
      </c>
    </row>
    <row r="938" spans="1:1">
      <c r="A938" t="str">
        <f t="shared" si="15"/>
        <v/>
      </c>
    </row>
    <row r="939" spans="1:1">
      <c r="A939" t="str">
        <f t="shared" si="15"/>
        <v/>
      </c>
    </row>
    <row r="940" spans="1:1">
      <c r="A940" t="str">
        <f t="shared" si="15"/>
        <v/>
      </c>
    </row>
    <row r="941" spans="1:1">
      <c r="A941" t="str">
        <f t="shared" si="15"/>
        <v/>
      </c>
    </row>
    <row r="942" spans="1:1">
      <c r="A942" t="str">
        <f t="shared" si="15"/>
        <v/>
      </c>
    </row>
    <row r="943" spans="1:1">
      <c r="A943" t="str">
        <f t="shared" si="15"/>
        <v/>
      </c>
    </row>
    <row r="944" spans="1:1">
      <c r="A944" t="str">
        <f t="shared" si="15"/>
        <v/>
      </c>
    </row>
    <row r="945" spans="1:1">
      <c r="A945" t="str">
        <f t="shared" si="15"/>
        <v/>
      </c>
    </row>
    <row r="946" spans="1:1">
      <c r="A946" t="str">
        <f t="shared" si="15"/>
        <v/>
      </c>
    </row>
    <row r="947" spans="1:1">
      <c r="A947" t="str">
        <f t="shared" si="15"/>
        <v/>
      </c>
    </row>
    <row r="948" spans="1:1">
      <c r="A948" t="str">
        <f t="shared" si="15"/>
        <v/>
      </c>
    </row>
    <row r="949" spans="1:1">
      <c r="A949" t="str">
        <f t="shared" si="15"/>
        <v/>
      </c>
    </row>
    <row r="950" spans="1:1">
      <c r="A950" t="str">
        <f t="shared" si="15"/>
        <v/>
      </c>
    </row>
    <row r="951" spans="1:1">
      <c r="A951" t="str">
        <f t="shared" si="15"/>
        <v/>
      </c>
    </row>
    <row r="952" spans="1:1">
      <c r="A952" t="str">
        <f t="shared" si="15"/>
        <v/>
      </c>
    </row>
    <row r="953" spans="1:1">
      <c r="A953" t="str">
        <f t="shared" si="15"/>
        <v/>
      </c>
    </row>
    <row r="954" spans="1:1">
      <c r="A954" t="str">
        <f t="shared" si="15"/>
        <v/>
      </c>
    </row>
    <row r="955" spans="1:1">
      <c r="A955" t="str">
        <f t="shared" si="15"/>
        <v/>
      </c>
    </row>
    <row r="956" spans="1:1">
      <c r="A956" t="str">
        <f t="shared" si="15"/>
        <v/>
      </c>
    </row>
    <row r="957" spans="1:1">
      <c r="A957" t="str">
        <f t="shared" si="15"/>
        <v/>
      </c>
    </row>
    <row r="958" spans="1:1">
      <c r="A958" t="str">
        <f t="shared" si="15"/>
        <v/>
      </c>
    </row>
    <row r="959" spans="1:1">
      <c r="A959" t="str">
        <f t="shared" si="15"/>
        <v/>
      </c>
    </row>
    <row r="960" spans="1:1">
      <c r="A960" t="str">
        <f t="shared" si="15"/>
        <v/>
      </c>
    </row>
    <row r="961" spans="1:1">
      <c r="A961" t="str">
        <f t="shared" si="15"/>
        <v/>
      </c>
    </row>
    <row r="962" spans="1:1">
      <c r="A962" t="str">
        <f t="shared" si="15"/>
        <v/>
      </c>
    </row>
    <row r="963" spans="1:1">
      <c r="A963" t="str">
        <f t="shared" si="15"/>
        <v/>
      </c>
    </row>
    <row r="964" spans="1:1">
      <c r="A964" t="str">
        <f t="shared" si="15"/>
        <v/>
      </c>
    </row>
    <row r="965" spans="1:1">
      <c r="A965" t="str">
        <f t="shared" si="15"/>
        <v/>
      </c>
    </row>
    <row r="966" spans="1:1">
      <c r="A966" t="str">
        <f t="shared" si="15"/>
        <v/>
      </c>
    </row>
    <row r="967" spans="1:1">
      <c r="A967" t="str">
        <f t="shared" si="15"/>
        <v/>
      </c>
    </row>
    <row r="968" spans="1:1">
      <c r="A968" t="str">
        <f t="shared" si="15"/>
        <v/>
      </c>
    </row>
    <row r="969" spans="1:1">
      <c r="A969" t="str">
        <f t="shared" si="15"/>
        <v/>
      </c>
    </row>
    <row r="970" spans="1:1">
      <c r="A970" t="str">
        <f t="shared" si="15"/>
        <v/>
      </c>
    </row>
    <row r="971" spans="1:1">
      <c r="A971" t="str">
        <f t="shared" si="15"/>
        <v/>
      </c>
    </row>
    <row r="972" spans="1:1">
      <c r="A972" t="str">
        <f t="shared" si="15"/>
        <v/>
      </c>
    </row>
    <row r="973" spans="1:1">
      <c r="A973" t="str">
        <f t="shared" si="15"/>
        <v/>
      </c>
    </row>
    <row r="974" spans="1:1">
      <c r="A974" t="str">
        <f t="shared" si="15"/>
        <v/>
      </c>
    </row>
    <row r="975" spans="1:1">
      <c r="A975" t="str">
        <f t="shared" si="15"/>
        <v/>
      </c>
    </row>
    <row r="976" spans="1:1">
      <c r="A976" t="str">
        <f t="shared" si="15"/>
        <v/>
      </c>
    </row>
    <row r="977" spans="1:1">
      <c r="A977" t="str">
        <f t="shared" si="15"/>
        <v/>
      </c>
    </row>
    <row r="978" spans="1:1">
      <c r="A978" t="str">
        <f t="shared" si="15"/>
        <v/>
      </c>
    </row>
    <row r="979" spans="1:1">
      <c r="A979" t="str">
        <f t="shared" si="15"/>
        <v/>
      </c>
    </row>
    <row r="980" spans="1:1">
      <c r="A980" t="str">
        <f t="shared" si="15"/>
        <v/>
      </c>
    </row>
    <row r="981" spans="1:1">
      <c r="A981" t="str">
        <f t="shared" si="15"/>
        <v/>
      </c>
    </row>
    <row r="982" spans="1:1">
      <c r="A982" t="str">
        <f t="shared" si="15"/>
        <v/>
      </c>
    </row>
    <row r="983" spans="1:1">
      <c r="A983" t="str">
        <f t="shared" si="15"/>
        <v/>
      </c>
    </row>
    <row r="984" spans="1:1">
      <c r="A984" t="str">
        <f t="shared" si="15"/>
        <v/>
      </c>
    </row>
    <row r="985" spans="1:1">
      <c r="A985" t="str">
        <f t="shared" si="15"/>
        <v/>
      </c>
    </row>
    <row r="986" spans="1:1">
      <c r="A986" t="str">
        <f t="shared" si="15"/>
        <v/>
      </c>
    </row>
    <row r="987" spans="1:1">
      <c r="A987" t="str">
        <f t="shared" si="15"/>
        <v/>
      </c>
    </row>
    <row r="988" spans="1:1">
      <c r="A988" t="str">
        <f t="shared" si="15"/>
        <v/>
      </c>
    </row>
    <row r="989" spans="1:1">
      <c r="A989" t="str">
        <f t="shared" si="15"/>
        <v/>
      </c>
    </row>
    <row r="990" spans="1:1">
      <c r="A990" t="str">
        <f t="shared" si="15"/>
        <v/>
      </c>
    </row>
    <row r="991" spans="1:1">
      <c r="A991" t="str">
        <f t="shared" si="15"/>
        <v/>
      </c>
    </row>
    <row r="992" spans="1:1">
      <c r="A992" t="str">
        <f t="shared" ref="A992:A1055" si="16">IF(B992="","",A991+1)</f>
        <v/>
      </c>
    </row>
    <row r="993" spans="1:1">
      <c r="A993" t="str">
        <f t="shared" si="16"/>
        <v/>
      </c>
    </row>
    <row r="994" spans="1:1">
      <c r="A994" t="str">
        <f t="shared" si="16"/>
        <v/>
      </c>
    </row>
    <row r="995" spans="1:1">
      <c r="A995" t="str">
        <f t="shared" si="16"/>
        <v/>
      </c>
    </row>
    <row r="996" spans="1:1">
      <c r="A996" t="str">
        <f t="shared" si="16"/>
        <v/>
      </c>
    </row>
    <row r="997" spans="1:1">
      <c r="A997" t="str">
        <f t="shared" si="16"/>
        <v/>
      </c>
    </row>
    <row r="998" spans="1:1">
      <c r="A998" t="str">
        <f t="shared" si="16"/>
        <v/>
      </c>
    </row>
    <row r="999" spans="1:1">
      <c r="A999" t="str">
        <f t="shared" si="16"/>
        <v/>
      </c>
    </row>
    <row r="1000" spans="1:1">
      <c r="A1000" t="str">
        <f t="shared" si="16"/>
        <v/>
      </c>
    </row>
    <row r="1001" spans="1:1">
      <c r="A1001" t="str">
        <f t="shared" si="16"/>
        <v/>
      </c>
    </row>
    <row r="1002" spans="1:1">
      <c r="A1002" t="str">
        <f t="shared" si="16"/>
        <v/>
      </c>
    </row>
    <row r="1003" spans="1:1">
      <c r="A1003" t="str">
        <f t="shared" si="16"/>
        <v/>
      </c>
    </row>
    <row r="1004" spans="1:1">
      <c r="A1004" t="str">
        <f t="shared" si="16"/>
        <v/>
      </c>
    </row>
    <row r="1005" spans="1:1">
      <c r="A1005" t="str">
        <f t="shared" si="16"/>
        <v/>
      </c>
    </row>
    <row r="1006" spans="1:1">
      <c r="A1006" t="str">
        <f t="shared" si="16"/>
        <v/>
      </c>
    </row>
    <row r="1007" spans="1:1">
      <c r="A1007" t="str">
        <f t="shared" si="16"/>
        <v/>
      </c>
    </row>
    <row r="1008" spans="1:1">
      <c r="A1008" t="str">
        <f t="shared" si="16"/>
        <v/>
      </c>
    </row>
    <row r="1009" spans="1:1">
      <c r="A1009" t="str">
        <f t="shared" si="16"/>
        <v/>
      </c>
    </row>
    <row r="1010" spans="1:1">
      <c r="A1010" t="str">
        <f t="shared" si="16"/>
        <v/>
      </c>
    </row>
    <row r="1011" spans="1:1">
      <c r="A1011" t="str">
        <f t="shared" si="16"/>
        <v/>
      </c>
    </row>
    <row r="1012" spans="1:1">
      <c r="A1012" t="str">
        <f t="shared" si="16"/>
        <v/>
      </c>
    </row>
    <row r="1013" spans="1:1">
      <c r="A1013" t="str">
        <f t="shared" si="16"/>
        <v/>
      </c>
    </row>
    <row r="1014" spans="1:1">
      <c r="A1014" t="str">
        <f t="shared" si="16"/>
        <v/>
      </c>
    </row>
    <row r="1015" spans="1:1">
      <c r="A1015" t="str">
        <f t="shared" si="16"/>
        <v/>
      </c>
    </row>
    <row r="1016" spans="1:1">
      <c r="A1016" t="str">
        <f t="shared" si="16"/>
        <v/>
      </c>
    </row>
    <row r="1017" spans="1:1">
      <c r="A1017" t="str">
        <f t="shared" si="16"/>
        <v/>
      </c>
    </row>
    <row r="1018" spans="1:1">
      <c r="A1018" t="str">
        <f t="shared" si="16"/>
        <v/>
      </c>
    </row>
    <row r="1019" spans="1:1">
      <c r="A1019" t="str">
        <f t="shared" si="16"/>
        <v/>
      </c>
    </row>
    <row r="1020" spans="1:1">
      <c r="A1020" t="str">
        <f t="shared" si="16"/>
        <v/>
      </c>
    </row>
    <row r="1021" spans="1:1">
      <c r="A1021" t="str">
        <f t="shared" si="16"/>
        <v/>
      </c>
    </row>
    <row r="1022" spans="1:1">
      <c r="A1022" t="str">
        <f t="shared" si="16"/>
        <v/>
      </c>
    </row>
    <row r="1023" spans="1:1">
      <c r="A1023" t="str">
        <f t="shared" si="16"/>
        <v/>
      </c>
    </row>
    <row r="1024" spans="1:1">
      <c r="A1024" t="str">
        <f t="shared" si="16"/>
        <v/>
      </c>
    </row>
    <row r="1025" spans="1:1">
      <c r="A1025" t="str">
        <f t="shared" si="16"/>
        <v/>
      </c>
    </row>
    <row r="1026" spans="1:1">
      <c r="A1026" t="str">
        <f t="shared" si="16"/>
        <v/>
      </c>
    </row>
    <row r="1027" spans="1:1">
      <c r="A1027" t="str">
        <f t="shared" si="16"/>
        <v/>
      </c>
    </row>
    <row r="1028" spans="1:1">
      <c r="A1028" t="str">
        <f t="shared" si="16"/>
        <v/>
      </c>
    </row>
    <row r="1029" spans="1:1">
      <c r="A1029" t="str">
        <f t="shared" si="16"/>
        <v/>
      </c>
    </row>
    <row r="1030" spans="1:1">
      <c r="A1030" t="str">
        <f t="shared" si="16"/>
        <v/>
      </c>
    </row>
    <row r="1031" spans="1:1">
      <c r="A1031" t="str">
        <f t="shared" si="16"/>
        <v/>
      </c>
    </row>
    <row r="1032" spans="1:1">
      <c r="A1032" t="str">
        <f t="shared" si="16"/>
        <v/>
      </c>
    </row>
    <row r="1033" spans="1:1">
      <c r="A1033" t="str">
        <f t="shared" si="16"/>
        <v/>
      </c>
    </row>
    <row r="1034" spans="1:1">
      <c r="A1034" t="str">
        <f t="shared" si="16"/>
        <v/>
      </c>
    </row>
    <row r="1035" spans="1:1">
      <c r="A1035" t="str">
        <f t="shared" si="16"/>
        <v/>
      </c>
    </row>
    <row r="1036" spans="1:1">
      <c r="A1036" t="str">
        <f t="shared" si="16"/>
        <v/>
      </c>
    </row>
    <row r="1037" spans="1:1">
      <c r="A1037" t="str">
        <f t="shared" si="16"/>
        <v/>
      </c>
    </row>
    <row r="1038" spans="1:1">
      <c r="A1038" t="str">
        <f t="shared" si="16"/>
        <v/>
      </c>
    </row>
    <row r="1039" spans="1:1">
      <c r="A1039" t="str">
        <f t="shared" si="16"/>
        <v/>
      </c>
    </row>
    <row r="1040" spans="1:1">
      <c r="A1040" t="str">
        <f t="shared" si="16"/>
        <v/>
      </c>
    </row>
    <row r="1041" spans="1:1">
      <c r="A1041" t="str">
        <f t="shared" si="16"/>
        <v/>
      </c>
    </row>
    <row r="1042" spans="1:1">
      <c r="A1042" t="str">
        <f t="shared" si="16"/>
        <v/>
      </c>
    </row>
    <row r="1043" spans="1:1">
      <c r="A1043" t="str">
        <f t="shared" si="16"/>
        <v/>
      </c>
    </row>
    <row r="1044" spans="1:1">
      <c r="A1044" t="str">
        <f t="shared" si="16"/>
        <v/>
      </c>
    </row>
    <row r="1045" spans="1:1">
      <c r="A1045" t="str">
        <f t="shared" si="16"/>
        <v/>
      </c>
    </row>
    <row r="1046" spans="1:1">
      <c r="A1046" t="str">
        <f t="shared" si="16"/>
        <v/>
      </c>
    </row>
    <row r="1047" spans="1:1">
      <c r="A1047" t="str">
        <f t="shared" si="16"/>
        <v/>
      </c>
    </row>
    <row r="1048" spans="1:1">
      <c r="A1048" t="str">
        <f t="shared" si="16"/>
        <v/>
      </c>
    </row>
    <row r="1049" spans="1:1">
      <c r="A1049" t="str">
        <f t="shared" si="16"/>
        <v/>
      </c>
    </row>
    <row r="1050" spans="1:1">
      <c r="A1050" t="str">
        <f t="shared" si="16"/>
        <v/>
      </c>
    </row>
    <row r="1051" spans="1:1">
      <c r="A1051" t="str">
        <f t="shared" si="16"/>
        <v/>
      </c>
    </row>
    <row r="1052" spans="1:1">
      <c r="A1052" t="str">
        <f t="shared" si="16"/>
        <v/>
      </c>
    </row>
    <row r="1053" spans="1:1">
      <c r="A1053" t="str">
        <f t="shared" si="16"/>
        <v/>
      </c>
    </row>
    <row r="1054" spans="1:1">
      <c r="A1054" t="str">
        <f t="shared" si="16"/>
        <v/>
      </c>
    </row>
    <row r="1055" spans="1:1">
      <c r="A1055" t="str">
        <f t="shared" si="16"/>
        <v/>
      </c>
    </row>
    <row r="1056" spans="1:1">
      <c r="A1056" t="str">
        <f t="shared" ref="A1056:A1074" si="17">IF(B1056="","",A1055+1)</f>
        <v/>
      </c>
    </row>
    <row r="1057" spans="1:1">
      <c r="A1057" t="str">
        <f t="shared" si="17"/>
        <v/>
      </c>
    </row>
    <row r="1058" spans="1:1">
      <c r="A1058" t="str">
        <f t="shared" si="17"/>
        <v/>
      </c>
    </row>
    <row r="1059" spans="1:1">
      <c r="A1059" t="str">
        <f t="shared" si="17"/>
        <v/>
      </c>
    </row>
    <row r="1060" spans="1:1">
      <c r="A1060" t="str">
        <f t="shared" si="17"/>
        <v/>
      </c>
    </row>
    <row r="1061" spans="1:1">
      <c r="A1061" t="str">
        <f t="shared" si="17"/>
        <v/>
      </c>
    </row>
    <row r="1062" spans="1:1">
      <c r="A1062" t="str">
        <f t="shared" si="17"/>
        <v/>
      </c>
    </row>
    <row r="1063" spans="1:1">
      <c r="A1063" t="str">
        <f t="shared" si="17"/>
        <v/>
      </c>
    </row>
    <row r="1064" spans="1:1">
      <c r="A1064" t="str">
        <f t="shared" si="17"/>
        <v/>
      </c>
    </row>
    <row r="1065" spans="1:1">
      <c r="A1065" t="str">
        <f t="shared" si="17"/>
        <v/>
      </c>
    </row>
    <row r="1066" spans="1:1">
      <c r="A1066" t="str">
        <f t="shared" si="17"/>
        <v/>
      </c>
    </row>
    <row r="1067" spans="1:1">
      <c r="A1067" t="str">
        <f t="shared" si="17"/>
        <v/>
      </c>
    </row>
    <row r="1068" spans="1:1">
      <c r="A1068" t="str">
        <f t="shared" si="17"/>
        <v/>
      </c>
    </row>
    <row r="1069" spans="1:1">
      <c r="A1069" t="str">
        <f t="shared" si="17"/>
        <v/>
      </c>
    </row>
    <row r="1070" spans="1:1">
      <c r="A1070" t="str">
        <f t="shared" si="17"/>
        <v/>
      </c>
    </row>
    <row r="1071" spans="1:1">
      <c r="A1071" t="str">
        <f t="shared" si="17"/>
        <v/>
      </c>
    </row>
    <row r="1072" spans="1:1">
      <c r="A1072" t="str">
        <f t="shared" si="17"/>
        <v/>
      </c>
    </row>
    <row r="1073" spans="1:1">
      <c r="A1073" t="str">
        <f t="shared" si="17"/>
        <v/>
      </c>
    </row>
    <row r="1074" spans="1:1">
      <c r="A1074" t="str">
        <f t="shared" si="17"/>
        <v/>
      </c>
    </row>
    <row r="1075" spans="1:1">
      <c r="A1075" t="str">
        <f>IF(B1075="","",A1074+1)</f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3D2CE-AA31-44CE-8CBA-A06A8862B8F9}">
  <sheetPr codeName="ConsolLists">
    <tabColor theme="7" tint="0.79998168889431442"/>
  </sheetPr>
  <dimension ref="A1:H1075"/>
  <sheetViews>
    <sheetView showGridLines="0" zoomScaleNormal="100" workbookViewId="0"/>
  </sheetViews>
  <sheetFormatPr defaultRowHeight="14.4"/>
  <cols>
    <col min="2" max="2" width="13.33203125" bestFit="1" customWidth="1"/>
    <col min="3" max="3" width="42.6640625" bestFit="1" customWidth="1"/>
    <col min="4" max="4" width="32.33203125" style="169" bestFit="1" customWidth="1"/>
    <col min="5" max="5" width="14.44140625" style="170" bestFit="1" customWidth="1"/>
  </cols>
  <sheetData>
    <row r="1" spans="1:8">
      <c r="A1" t="s">
        <v>1502</v>
      </c>
      <c r="B1" s="165" t="s">
        <v>181</v>
      </c>
      <c r="C1" s="165" t="s">
        <v>543</v>
      </c>
      <c r="D1" s="166" t="s">
        <v>544</v>
      </c>
      <c r="E1" s="167" t="s">
        <v>0</v>
      </c>
      <c r="H1" s="168"/>
    </row>
    <row r="2" spans="1:8" hidden="1">
      <c r="A2">
        <v>0</v>
      </c>
      <c r="B2" t="s">
        <v>545</v>
      </c>
      <c r="C2" t="s">
        <v>546</v>
      </c>
      <c r="D2" s="169" t="s">
        <v>547</v>
      </c>
      <c r="E2" s="154" t="s">
        <v>3</v>
      </c>
    </row>
    <row r="3" spans="1:8" hidden="1">
      <c r="A3">
        <f>A2+1</f>
        <v>1</v>
      </c>
      <c r="B3" t="s">
        <v>545</v>
      </c>
      <c r="C3" t="s">
        <v>548</v>
      </c>
      <c r="D3" s="169" t="s">
        <v>547</v>
      </c>
      <c r="E3" s="154" t="s">
        <v>3</v>
      </c>
    </row>
    <row r="4" spans="1:8" hidden="1">
      <c r="A4">
        <f t="shared" ref="A4:A67" si="0">A3+1</f>
        <v>2</v>
      </c>
      <c r="B4" t="s">
        <v>545</v>
      </c>
      <c r="C4" t="s">
        <v>549</v>
      </c>
      <c r="D4" s="169" t="s">
        <v>550</v>
      </c>
      <c r="E4" s="154" t="s">
        <v>3</v>
      </c>
    </row>
    <row r="5" spans="1:8" hidden="1">
      <c r="A5">
        <f t="shared" si="0"/>
        <v>3</v>
      </c>
      <c r="B5" t="s">
        <v>545</v>
      </c>
      <c r="C5" t="s">
        <v>551</v>
      </c>
      <c r="D5" s="169" t="s">
        <v>552</v>
      </c>
      <c r="E5" s="154" t="s">
        <v>3</v>
      </c>
    </row>
    <row r="6" spans="1:8" hidden="1">
      <c r="A6">
        <f t="shared" si="0"/>
        <v>4</v>
      </c>
      <c r="B6" t="s">
        <v>545</v>
      </c>
      <c r="C6" t="s">
        <v>553</v>
      </c>
      <c r="D6" s="169" t="s">
        <v>552</v>
      </c>
      <c r="E6" s="154" t="s">
        <v>3</v>
      </c>
    </row>
    <row r="7" spans="1:8" hidden="1">
      <c r="A7">
        <f t="shared" si="0"/>
        <v>5</v>
      </c>
      <c r="B7" t="s">
        <v>545</v>
      </c>
      <c r="C7" t="s">
        <v>554</v>
      </c>
      <c r="D7" s="169" t="s">
        <v>552</v>
      </c>
      <c r="E7" s="154" t="s">
        <v>3</v>
      </c>
    </row>
    <row r="8" spans="1:8" hidden="1">
      <c r="A8">
        <f t="shared" si="0"/>
        <v>6</v>
      </c>
      <c r="B8" t="s">
        <v>545</v>
      </c>
      <c r="C8" t="s">
        <v>555</v>
      </c>
      <c r="D8" s="169" t="s">
        <v>552</v>
      </c>
      <c r="E8" s="154" t="s">
        <v>3</v>
      </c>
    </row>
    <row r="9" spans="1:8" hidden="1">
      <c r="A9">
        <f t="shared" si="0"/>
        <v>7</v>
      </c>
      <c r="B9" t="s">
        <v>545</v>
      </c>
      <c r="C9" t="s">
        <v>556</v>
      </c>
      <c r="D9" s="169" t="s">
        <v>552</v>
      </c>
      <c r="E9" s="154" t="s">
        <v>3</v>
      </c>
    </row>
    <row r="10" spans="1:8" hidden="1">
      <c r="A10">
        <f t="shared" si="0"/>
        <v>8</v>
      </c>
      <c r="B10" t="s">
        <v>545</v>
      </c>
      <c r="C10" t="s">
        <v>557</v>
      </c>
      <c r="D10" s="169" t="s">
        <v>552</v>
      </c>
      <c r="E10" s="154" t="s">
        <v>3</v>
      </c>
    </row>
    <row r="11" spans="1:8" hidden="1">
      <c r="A11">
        <f t="shared" si="0"/>
        <v>9</v>
      </c>
      <c r="B11" t="s">
        <v>545</v>
      </c>
      <c r="C11" t="s">
        <v>558</v>
      </c>
      <c r="D11" s="169" t="s">
        <v>552</v>
      </c>
      <c r="E11" s="154" t="s">
        <v>3</v>
      </c>
    </row>
    <row r="12" spans="1:8" hidden="1">
      <c r="A12">
        <f t="shared" si="0"/>
        <v>10</v>
      </c>
      <c r="B12" t="s">
        <v>545</v>
      </c>
      <c r="C12" t="s">
        <v>559</v>
      </c>
      <c r="D12" s="169" t="s">
        <v>552</v>
      </c>
      <c r="E12" s="154" t="s">
        <v>3</v>
      </c>
    </row>
    <row r="13" spans="1:8" hidden="1">
      <c r="A13">
        <f t="shared" si="0"/>
        <v>11</v>
      </c>
      <c r="B13" t="s">
        <v>545</v>
      </c>
      <c r="C13" t="s">
        <v>560</v>
      </c>
      <c r="D13" s="169" t="s">
        <v>552</v>
      </c>
      <c r="E13" s="154" t="s">
        <v>3</v>
      </c>
    </row>
    <row r="14" spans="1:8" hidden="1">
      <c r="A14">
        <f t="shared" si="0"/>
        <v>12</v>
      </c>
      <c r="B14" t="s">
        <v>545</v>
      </c>
      <c r="C14" t="s">
        <v>561</v>
      </c>
      <c r="D14" s="169" t="s">
        <v>552</v>
      </c>
      <c r="E14" s="154" t="s">
        <v>3</v>
      </c>
    </row>
    <row r="15" spans="1:8" hidden="1">
      <c r="A15">
        <f t="shared" si="0"/>
        <v>13</v>
      </c>
      <c r="B15" t="s">
        <v>545</v>
      </c>
      <c r="C15" t="s">
        <v>562</v>
      </c>
      <c r="D15" s="169" t="s">
        <v>552</v>
      </c>
      <c r="E15" s="154" t="s">
        <v>3</v>
      </c>
    </row>
    <row r="16" spans="1:8" hidden="1">
      <c r="A16">
        <f t="shared" si="0"/>
        <v>14</v>
      </c>
      <c r="B16" t="s">
        <v>545</v>
      </c>
      <c r="C16" t="s">
        <v>563</v>
      </c>
      <c r="D16" s="169" t="s">
        <v>552</v>
      </c>
      <c r="E16" s="154" t="s">
        <v>3</v>
      </c>
    </row>
    <row r="17" spans="1:5" hidden="1">
      <c r="A17">
        <f t="shared" si="0"/>
        <v>15</v>
      </c>
      <c r="B17" t="s">
        <v>545</v>
      </c>
      <c r="C17" t="s">
        <v>564</v>
      </c>
      <c r="D17" s="169" t="s">
        <v>552</v>
      </c>
      <c r="E17" s="154" t="s">
        <v>3</v>
      </c>
    </row>
    <row r="18" spans="1:5" hidden="1">
      <c r="A18">
        <f t="shared" si="0"/>
        <v>16</v>
      </c>
      <c r="B18" t="s">
        <v>545</v>
      </c>
      <c r="C18" t="s">
        <v>565</v>
      </c>
      <c r="D18" s="169" t="s">
        <v>552</v>
      </c>
      <c r="E18" s="154" t="s">
        <v>3</v>
      </c>
    </row>
    <row r="19" spans="1:5" hidden="1">
      <c r="A19">
        <f t="shared" si="0"/>
        <v>17</v>
      </c>
      <c r="B19" t="s">
        <v>545</v>
      </c>
      <c r="C19" t="s">
        <v>566</v>
      </c>
      <c r="D19" s="169" t="s">
        <v>552</v>
      </c>
      <c r="E19" s="154" t="s">
        <v>3</v>
      </c>
    </row>
    <row r="20" spans="1:5" hidden="1">
      <c r="A20">
        <f t="shared" si="0"/>
        <v>18</v>
      </c>
      <c r="B20" t="s">
        <v>545</v>
      </c>
      <c r="C20" t="s">
        <v>567</v>
      </c>
      <c r="D20" s="169" t="s">
        <v>552</v>
      </c>
      <c r="E20" s="154" t="s">
        <v>3</v>
      </c>
    </row>
    <row r="21" spans="1:5" hidden="1">
      <c r="A21">
        <f t="shared" si="0"/>
        <v>19</v>
      </c>
      <c r="B21" t="s">
        <v>545</v>
      </c>
      <c r="C21" t="s">
        <v>568</v>
      </c>
      <c r="D21" s="169" t="s">
        <v>552</v>
      </c>
      <c r="E21" s="154" t="s">
        <v>3</v>
      </c>
    </row>
    <row r="22" spans="1:5" hidden="1">
      <c r="A22">
        <f t="shared" si="0"/>
        <v>20</v>
      </c>
      <c r="B22" t="s">
        <v>545</v>
      </c>
      <c r="C22" t="s">
        <v>569</v>
      </c>
      <c r="D22" s="169" t="s">
        <v>552</v>
      </c>
      <c r="E22" s="154" t="s">
        <v>3</v>
      </c>
    </row>
    <row r="23" spans="1:5" hidden="1">
      <c r="A23">
        <f t="shared" si="0"/>
        <v>21</v>
      </c>
      <c r="B23" t="s">
        <v>545</v>
      </c>
      <c r="C23" t="s">
        <v>570</v>
      </c>
      <c r="D23" s="169" t="s">
        <v>552</v>
      </c>
      <c r="E23" s="154" t="s">
        <v>3</v>
      </c>
    </row>
    <row r="24" spans="1:5" hidden="1">
      <c r="A24">
        <f t="shared" si="0"/>
        <v>22</v>
      </c>
      <c r="B24" t="s">
        <v>545</v>
      </c>
      <c r="C24" t="s">
        <v>571</v>
      </c>
      <c r="D24" s="169" t="s">
        <v>552</v>
      </c>
      <c r="E24" s="154" t="s">
        <v>3</v>
      </c>
    </row>
    <row r="25" spans="1:5" hidden="1">
      <c r="A25">
        <f t="shared" si="0"/>
        <v>23</v>
      </c>
      <c r="B25" t="s">
        <v>545</v>
      </c>
      <c r="C25" t="s">
        <v>572</v>
      </c>
      <c r="D25" s="169" t="s">
        <v>552</v>
      </c>
      <c r="E25" s="154" t="s">
        <v>3</v>
      </c>
    </row>
    <row r="26" spans="1:5" hidden="1">
      <c r="A26">
        <f t="shared" si="0"/>
        <v>24</v>
      </c>
      <c r="B26" t="s">
        <v>545</v>
      </c>
      <c r="C26" t="s">
        <v>573</v>
      </c>
      <c r="D26" s="169" t="s">
        <v>552</v>
      </c>
      <c r="E26" s="154" t="s">
        <v>3</v>
      </c>
    </row>
    <row r="27" spans="1:5" hidden="1">
      <c r="A27">
        <f t="shared" si="0"/>
        <v>25</v>
      </c>
      <c r="B27" t="s">
        <v>545</v>
      </c>
      <c r="C27" t="s">
        <v>574</v>
      </c>
      <c r="D27" s="169" t="s">
        <v>552</v>
      </c>
      <c r="E27" s="154" t="s">
        <v>3</v>
      </c>
    </row>
    <row r="28" spans="1:5" hidden="1">
      <c r="A28">
        <f t="shared" si="0"/>
        <v>26</v>
      </c>
      <c r="B28" t="s">
        <v>545</v>
      </c>
      <c r="C28" t="s">
        <v>575</v>
      </c>
      <c r="D28" s="169" t="s">
        <v>552</v>
      </c>
      <c r="E28" s="154" t="s">
        <v>3</v>
      </c>
    </row>
    <row r="29" spans="1:5" hidden="1">
      <c r="A29">
        <f t="shared" si="0"/>
        <v>27</v>
      </c>
      <c r="B29" t="s">
        <v>545</v>
      </c>
      <c r="C29" t="s">
        <v>576</v>
      </c>
      <c r="D29" s="169" t="s">
        <v>552</v>
      </c>
      <c r="E29" s="154" t="s">
        <v>3</v>
      </c>
    </row>
    <row r="30" spans="1:5" hidden="1">
      <c r="A30">
        <f t="shared" si="0"/>
        <v>28</v>
      </c>
      <c r="B30" t="s">
        <v>545</v>
      </c>
      <c r="C30" t="s">
        <v>577</v>
      </c>
      <c r="D30" s="169" t="s">
        <v>552</v>
      </c>
      <c r="E30" s="154" t="s">
        <v>3</v>
      </c>
    </row>
    <row r="31" spans="1:5" hidden="1">
      <c r="A31">
        <f t="shared" si="0"/>
        <v>29</v>
      </c>
      <c r="B31" t="s">
        <v>545</v>
      </c>
      <c r="C31" t="s">
        <v>578</v>
      </c>
      <c r="D31" s="169" t="s">
        <v>552</v>
      </c>
      <c r="E31" s="154" t="s">
        <v>3</v>
      </c>
    </row>
    <row r="32" spans="1:5" hidden="1">
      <c r="A32">
        <f t="shared" si="0"/>
        <v>30</v>
      </c>
      <c r="B32" t="s">
        <v>545</v>
      </c>
      <c r="C32" t="s">
        <v>579</v>
      </c>
      <c r="D32" s="169" t="s">
        <v>552</v>
      </c>
      <c r="E32" s="154" t="s">
        <v>3</v>
      </c>
    </row>
    <row r="33" spans="1:5" hidden="1">
      <c r="A33">
        <f t="shared" si="0"/>
        <v>31</v>
      </c>
      <c r="B33" t="s">
        <v>545</v>
      </c>
      <c r="C33" t="s">
        <v>580</v>
      </c>
      <c r="D33" s="169" t="s">
        <v>552</v>
      </c>
      <c r="E33" s="154" t="s">
        <v>3</v>
      </c>
    </row>
    <row r="34" spans="1:5" hidden="1">
      <c r="A34">
        <f t="shared" si="0"/>
        <v>32</v>
      </c>
      <c r="B34" t="s">
        <v>545</v>
      </c>
      <c r="C34" t="s">
        <v>581</v>
      </c>
      <c r="D34" s="169" t="s">
        <v>552</v>
      </c>
      <c r="E34" s="154" t="s">
        <v>3</v>
      </c>
    </row>
    <row r="35" spans="1:5" hidden="1">
      <c r="A35">
        <f t="shared" si="0"/>
        <v>33</v>
      </c>
      <c r="B35" t="s">
        <v>545</v>
      </c>
      <c r="C35" t="s">
        <v>582</v>
      </c>
      <c r="D35" s="169" t="s">
        <v>552</v>
      </c>
      <c r="E35" s="154" t="s">
        <v>3</v>
      </c>
    </row>
    <row r="36" spans="1:5" hidden="1">
      <c r="A36">
        <f t="shared" si="0"/>
        <v>34</v>
      </c>
      <c r="B36" t="s">
        <v>545</v>
      </c>
      <c r="C36" t="s">
        <v>583</v>
      </c>
      <c r="D36" s="169" t="s">
        <v>552</v>
      </c>
      <c r="E36" s="154" t="s">
        <v>3</v>
      </c>
    </row>
    <row r="37" spans="1:5" hidden="1">
      <c r="A37">
        <f t="shared" si="0"/>
        <v>35</v>
      </c>
      <c r="B37" t="s">
        <v>545</v>
      </c>
      <c r="C37" t="s">
        <v>584</v>
      </c>
      <c r="D37" s="169" t="s">
        <v>552</v>
      </c>
      <c r="E37" s="154" t="s">
        <v>3</v>
      </c>
    </row>
    <row r="38" spans="1:5" hidden="1">
      <c r="A38">
        <f t="shared" si="0"/>
        <v>36</v>
      </c>
      <c r="B38" t="s">
        <v>545</v>
      </c>
      <c r="C38" t="s">
        <v>585</v>
      </c>
      <c r="D38" s="169" t="s">
        <v>552</v>
      </c>
      <c r="E38" s="154" t="s">
        <v>3</v>
      </c>
    </row>
    <row r="39" spans="1:5" hidden="1">
      <c r="A39">
        <f t="shared" si="0"/>
        <v>37</v>
      </c>
      <c r="B39" t="s">
        <v>545</v>
      </c>
      <c r="C39" t="s">
        <v>586</v>
      </c>
      <c r="D39" s="169" t="s">
        <v>552</v>
      </c>
      <c r="E39" s="154" t="s">
        <v>3</v>
      </c>
    </row>
    <row r="40" spans="1:5" hidden="1">
      <c r="A40">
        <f t="shared" si="0"/>
        <v>38</v>
      </c>
      <c r="B40" t="s">
        <v>545</v>
      </c>
      <c r="C40" t="s">
        <v>587</v>
      </c>
      <c r="D40" s="169" t="s">
        <v>552</v>
      </c>
      <c r="E40" s="154" t="s">
        <v>3</v>
      </c>
    </row>
    <row r="41" spans="1:5" hidden="1">
      <c r="A41">
        <f t="shared" si="0"/>
        <v>39</v>
      </c>
      <c r="B41" t="s">
        <v>545</v>
      </c>
      <c r="C41" t="s">
        <v>588</v>
      </c>
      <c r="D41" s="169" t="s">
        <v>552</v>
      </c>
      <c r="E41" s="154" t="s">
        <v>3</v>
      </c>
    </row>
    <row r="42" spans="1:5" hidden="1">
      <c r="A42">
        <f t="shared" si="0"/>
        <v>40</v>
      </c>
      <c r="B42" t="s">
        <v>545</v>
      </c>
      <c r="C42" t="s">
        <v>589</v>
      </c>
      <c r="D42" s="169" t="s">
        <v>552</v>
      </c>
      <c r="E42" s="154" t="s">
        <v>3</v>
      </c>
    </row>
    <row r="43" spans="1:5" hidden="1">
      <c r="A43">
        <f t="shared" si="0"/>
        <v>41</v>
      </c>
      <c r="B43" t="s">
        <v>545</v>
      </c>
      <c r="C43" t="s">
        <v>590</v>
      </c>
      <c r="D43" s="169" t="s">
        <v>552</v>
      </c>
      <c r="E43" s="154" t="s">
        <v>3</v>
      </c>
    </row>
    <row r="44" spans="1:5" hidden="1">
      <c r="A44">
        <f t="shared" si="0"/>
        <v>42</v>
      </c>
      <c r="B44" t="s">
        <v>545</v>
      </c>
      <c r="C44" t="s">
        <v>591</v>
      </c>
      <c r="D44" s="169" t="s">
        <v>552</v>
      </c>
      <c r="E44" s="154" t="s">
        <v>3</v>
      </c>
    </row>
    <row r="45" spans="1:5" hidden="1">
      <c r="A45">
        <f t="shared" si="0"/>
        <v>43</v>
      </c>
      <c r="B45" t="s">
        <v>545</v>
      </c>
      <c r="C45" t="s">
        <v>592</v>
      </c>
      <c r="D45" s="169" t="s">
        <v>552</v>
      </c>
      <c r="E45" s="154" t="s">
        <v>3</v>
      </c>
    </row>
    <row r="46" spans="1:5" hidden="1">
      <c r="A46">
        <f t="shared" si="0"/>
        <v>44</v>
      </c>
      <c r="B46" t="s">
        <v>545</v>
      </c>
      <c r="C46" t="s">
        <v>593</v>
      </c>
      <c r="D46" s="169" t="s">
        <v>552</v>
      </c>
      <c r="E46" s="154" t="s">
        <v>3</v>
      </c>
    </row>
    <row r="47" spans="1:5" hidden="1">
      <c r="A47">
        <f t="shared" si="0"/>
        <v>45</v>
      </c>
      <c r="B47" t="s">
        <v>545</v>
      </c>
      <c r="C47" t="s">
        <v>594</v>
      </c>
      <c r="D47" s="169" t="s">
        <v>552</v>
      </c>
      <c r="E47" s="154" t="s">
        <v>3</v>
      </c>
    </row>
    <row r="48" spans="1:5" hidden="1">
      <c r="A48">
        <f t="shared" si="0"/>
        <v>46</v>
      </c>
      <c r="B48" t="s">
        <v>545</v>
      </c>
      <c r="C48" t="s">
        <v>595</v>
      </c>
      <c r="D48" s="169" t="s">
        <v>552</v>
      </c>
      <c r="E48" s="154" t="s">
        <v>3</v>
      </c>
    </row>
    <row r="49" spans="1:5" hidden="1">
      <c r="A49">
        <f t="shared" si="0"/>
        <v>47</v>
      </c>
      <c r="B49" t="s">
        <v>545</v>
      </c>
      <c r="C49" t="s">
        <v>596</v>
      </c>
      <c r="D49" s="169" t="s">
        <v>552</v>
      </c>
      <c r="E49" s="154" t="s">
        <v>3</v>
      </c>
    </row>
    <row r="50" spans="1:5" hidden="1">
      <c r="A50">
        <f t="shared" si="0"/>
        <v>48</v>
      </c>
      <c r="B50" t="s">
        <v>545</v>
      </c>
      <c r="C50" t="s">
        <v>597</v>
      </c>
      <c r="D50" s="169" t="s">
        <v>552</v>
      </c>
      <c r="E50" s="154" t="s">
        <v>3</v>
      </c>
    </row>
    <row r="51" spans="1:5" hidden="1">
      <c r="A51">
        <f t="shared" si="0"/>
        <v>49</v>
      </c>
      <c r="B51" t="s">
        <v>545</v>
      </c>
      <c r="C51" t="s">
        <v>598</v>
      </c>
      <c r="D51" s="169" t="s">
        <v>552</v>
      </c>
      <c r="E51" s="154" t="s">
        <v>3</v>
      </c>
    </row>
    <row r="52" spans="1:5" hidden="1">
      <c r="A52">
        <f t="shared" si="0"/>
        <v>50</v>
      </c>
      <c r="B52" t="s">
        <v>545</v>
      </c>
      <c r="C52" t="s">
        <v>599</v>
      </c>
      <c r="D52" s="169" t="s">
        <v>552</v>
      </c>
      <c r="E52" s="154" t="s">
        <v>3</v>
      </c>
    </row>
    <row r="53" spans="1:5" hidden="1">
      <c r="A53">
        <f t="shared" si="0"/>
        <v>51</v>
      </c>
      <c r="B53" t="s">
        <v>545</v>
      </c>
      <c r="C53" t="s">
        <v>600</v>
      </c>
      <c r="D53" s="169" t="s">
        <v>552</v>
      </c>
      <c r="E53" s="154" t="s">
        <v>3</v>
      </c>
    </row>
    <row r="54" spans="1:5" hidden="1">
      <c r="A54">
        <f t="shared" si="0"/>
        <v>52</v>
      </c>
      <c r="B54" t="s">
        <v>545</v>
      </c>
      <c r="C54" t="s">
        <v>601</v>
      </c>
      <c r="D54" s="169" t="s">
        <v>552</v>
      </c>
      <c r="E54" s="154" t="s">
        <v>3</v>
      </c>
    </row>
    <row r="55" spans="1:5" hidden="1">
      <c r="A55">
        <f t="shared" si="0"/>
        <v>53</v>
      </c>
      <c r="B55" t="s">
        <v>545</v>
      </c>
      <c r="C55" t="s">
        <v>602</v>
      </c>
      <c r="D55" s="169" t="s">
        <v>552</v>
      </c>
      <c r="E55" s="154" t="s">
        <v>3</v>
      </c>
    </row>
    <row r="56" spans="1:5" hidden="1">
      <c r="A56">
        <f t="shared" si="0"/>
        <v>54</v>
      </c>
      <c r="B56" t="s">
        <v>545</v>
      </c>
      <c r="C56" t="s">
        <v>603</v>
      </c>
      <c r="D56" s="169" t="s">
        <v>552</v>
      </c>
      <c r="E56" s="154" t="s">
        <v>3</v>
      </c>
    </row>
    <row r="57" spans="1:5" hidden="1">
      <c r="A57">
        <f t="shared" si="0"/>
        <v>55</v>
      </c>
      <c r="B57" t="s">
        <v>545</v>
      </c>
      <c r="C57" t="s">
        <v>604</v>
      </c>
      <c r="D57" s="169" t="s">
        <v>552</v>
      </c>
      <c r="E57" s="154" t="s">
        <v>3</v>
      </c>
    </row>
    <row r="58" spans="1:5" hidden="1">
      <c r="A58">
        <f t="shared" si="0"/>
        <v>56</v>
      </c>
      <c r="B58" t="s">
        <v>545</v>
      </c>
      <c r="C58" t="s">
        <v>605</v>
      </c>
      <c r="D58" s="169" t="s">
        <v>552</v>
      </c>
      <c r="E58" s="154" t="s">
        <v>3</v>
      </c>
    </row>
    <row r="59" spans="1:5" hidden="1">
      <c r="A59">
        <f t="shared" si="0"/>
        <v>57</v>
      </c>
      <c r="B59" t="s">
        <v>545</v>
      </c>
      <c r="C59" t="s">
        <v>606</v>
      </c>
      <c r="D59" s="169" t="s">
        <v>552</v>
      </c>
      <c r="E59" s="154" t="s">
        <v>3</v>
      </c>
    </row>
    <row r="60" spans="1:5" hidden="1">
      <c r="A60">
        <f t="shared" si="0"/>
        <v>58</v>
      </c>
      <c r="B60" t="s">
        <v>545</v>
      </c>
      <c r="C60" t="s">
        <v>607</v>
      </c>
      <c r="D60" s="169" t="s">
        <v>552</v>
      </c>
      <c r="E60" s="154" t="s">
        <v>3</v>
      </c>
    </row>
    <row r="61" spans="1:5" hidden="1">
      <c r="A61">
        <f t="shared" si="0"/>
        <v>59</v>
      </c>
      <c r="B61" t="s">
        <v>545</v>
      </c>
      <c r="C61" t="s">
        <v>608</v>
      </c>
      <c r="D61" s="169" t="s">
        <v>552</v>
      </c>
      <c r="E61" s="154" t="s">
        <v>3</v>
      </c>
    </row>
    <row r="62" spans="1:5" hidden="1">
      <c r="A62">
        <f t="shared" si="0"/>
        <v>60</v>
      </c>
      <c r="B62" t="s">
        <v>545</v>
      </c>
      <c r="C62" t="s">
        <v>609</v>
      </c>
      <c r="D62" s="169" t="s">
        <v>552</v>
      </c>
      <c r="E62" s="154" t="s">
        <v>3</v>
      </c>
    </row>
    <row r="63" spans="1:5" hidden="1">
      <c r="A63">
        <f t="shared" si="0"/>
        <v>61</v>
      </c>
      <c r="B63" t="s">
        <v>545</v>
      </c>
      <c r="C63" t="s">
        <v>610</v>
      </c>
      <c r="D63" s="169" t="s">
        <v>552</v>
      </c>
      <c r="E63" s="154" t="s">
        <v>3</v>
      </c>
    </row>
    <row r="64" spans="1:5" hidden="1">
      <c r="A64">
        <f t="shared" si="0"/>
        <v>62</v>
      </c>
      <c r="B64" t="s">
        <v>545</v>
      </c>
      <c r="C64" t="s">
        <v>611</v>
      </c>
      <c r="D64" s="169" t="s">
        <v>552</v>
      </c>
      <c r="E64" s="154" t="s">
        <v>3</v>
      </c>
    </row>
    <row r="65" spans="1:5" hidden="1">
      <c r="A65">
        <f t="shared" si="0"/>
        <v>63</v>
      </c>
      <c r="B65" t="s">
        <v>545</v>
      </c>
      <c r="C65" t="s">
        <v>612</v>
      </c>
      <c r="D65" s="169" t="s">
        <v>552</v>
      </c>
      <c r="E65" s="154" t="s">
        <v>3</v>
      </c>
    </row>
    <row r="66" spans="1:5" hidden="1">
      <c r="A66">
        <f t="shared" si="0"/>
        <v>64</v>
      </c>
      <c r="B66" t="s">
        <v>545</v>
      </c>
      <c r="C66" t="s">
        <v>613</v>
      </c>
      <c r="D66" s="169" t="s">
        <v>552</v>
      </c>
      <c r="E66" s="154" t="s">
        <v>3</v>
      </c>
    </row>
    <row r="67" spans="1:5" hidden="1">
      <c r="A67">
        <f t="shared" si="0"/>
        <v>65</v>
      </c>
      <c r="B67" t="s">
        <v>545</v>
      </c>
      <c r="C67" t="s">
        <v>614</v>
      </c>
      <c r="D67" s="169" t="s">
        <v>552</v>
      </c>
      <c r="E67" s="154" t="s">
        <v>3</v>
      </c>
    </row>
    <row r="68" spans="1:5" hidden="1">
      <c r="A68">
        <f t="shared" ref="A68:A131" si="1">A67+1</f>
        <v>66</v>
      </c>
      <c r="B68" t="s">
        <v>545</v>
      </c>
      <c r="C68" t="s">
        <v>615</v>
      </c>
      <c r="D68" s="169" t="s">
        <v>552</v>
      </c>
      <c r="E68" s="154" t="s">
        <v>3</v>
      </c>
    </row>
    <row r="69" spans="1:5" hidden="1">
      <c r="A69">
        <f t="shared" si="1"/>
        <v>67</v>
      </c>
      <c r="B69" t="s">
        <v>545</v>
      </c>
      <c r="C69" t="s">
        <v>616</v>
      </c>
      <c r="D69" s="169" t="s">
        <v>552</v>
      </c>
      <c r="E69" s="154" t="s">
        <v>3</v>
      </c>
    </row>
    <row r="70" spans="1:5" hidden="1">
      <c r="A70">
        <f t="shared" si="1"/>
        <v>68</v>
      </c>
      <c r="B70" t="s">
        <v>545</v>
      </c>
      <c r="C70" t="s">
        <v>617</v>
      </c>
      <c r="D70" s="169" t="s">
        <v>552</v>
      </c>
      <c r="E70" s="154" t="s">
        <v>3</v>
      </c>
    </row>
    <row r="71" spans="1:5" hidden="1">
      <c r="A71">
        <f t="shared" si="1"/>
        <v>69</v>
      </c>
      <c r="B71" t="s">
        <v>545</v>
      </c>
      <c r="C71" t="s">
        <v>618</v>
      </c>
      <c r="D71" s="169" t="s">
        <v>552</v>
      </c>
      <c r="E71" s="154" t="s">
        <v>3</v>
      </c>
    </row>
    <row r="72" spans="1:5" hidden="1">
      <c r="A72">
        <f t="shared" si="1"/>
        <v>70</v>
      </c>
      <c r="B72" t="s">
        <v>545</v>
      </c>
      <c r="C72" t="s">
        <v>619</v>
      </c>
      <c r="D72" s="169" t="s">
        <v>552</v>
      </c>
      <c r="E72" s="154" t="s">
        <v>3</v>
      </c>
    </row>
    <row r="73" spans="1:5" hidden="1">
      <c r="A73">
        <f t="shared" si="1"/>
        <v>71</v>
      </c>
      <c r="B73" t="s">
        <v>545</v>
      </c>
      <c r="C73" t="s">
        <v>620</v>
      </c>
      <c r="D73" s="169" t="s">
        <v>552</v>
      </c>
      <c r="E73" s="154" t="s">
        <v>3</v>
      </c>
    </row>
    <row r="74" spans="1:5" hidden="1">
      <c r="A74">
        <f t="shared" si="1"/>
        <v>72</v>
      </c>
      <c r="B74" t="s">
        <v>545</v>
      </c>
      <c r="C74" t="s">
        <v>621</v>
      </c>
      <c r="D74" s="169" t="s">
        <v>552</v>
      </c>
      <c r="E74" s="154" t="s">
        <v>3</v>
      </c>
    </row>
    <row r="75" spans="1:5" hidden="1">
      <c r="A75">
        <f t="shared" si="1"/>
        <v>73</v>
      </c>
      <c r="B75" t="s">
        <v>545</v>
      </c>
      <c r="C75" t="s">
        <v>622</v>
      </c>
      <c r="D75" s="169" t="s">
        <v>552</v>
      </c>
      <c r="E75" s="154" t="s">
        <v>3</v>
      </c>
    </row>
    <row r="76" spans="1:5" hidden="1">
      <c r="A76">
        <f t="shared" si="1"/>
        <v>74</v>
      </c>
      <c r="B76" t="s">
        <v>545</v>
      </c>
      <c r="C76" t="s">
        <v>623</v>
      </c>
      <c r="D76" s="169" t="s">
        <v>552</v>
      </c>
      <c r="E76" s="154" t="s">
        <v>3</v>
      </c>
    </row>
    <row r="77" spans="1:5" hidden="1">
      <c r="A77">
        <f t="shared" si="1"/>
        <v>75</v>
      </c>
      <c r="B77" t="s">
        <v>545</v>
      </c>
      <c r="C77" t="s">
        <v>624</v>
      </c>
      <c r="D77" s="169" t="s">
        <v>552</v>
      </c>
      <c r="E77" s="154" t="s">
        <v>3</v>
      </c>
    </row>
    <row r="78" spans="1:5" hidden="1">
      <c r="A78">
        <f t="shared" si="1"/>
        <v>76</v>
      </c>
      <c r="B78" t="s">
        <v>545</v>
      </c>
      <c r="C78" t="s">
        <v>625</v>
      </c>
      <c r="D78" s="169" t="s">
        <v>552</v>
      </c>
      <c r="E78" s="154" t="s">
        <v>3</v>
      </c>
    </row>
    <row r="79" spans="1:5" hidden="1">
      <c r="A79">
        <f t="shared" si="1"/>
        <v>77</v>
      </c>
      <c r="B79" t="s">
        <v>545</v>
      </c>
      <c r="C79" t="s">
        <v>626</v>
      </c>
      <c r="D79" s="169" t="s">
        <v>552</v>
      </c>
      <c r="E79" s="154" t="s">
        <v>3</v>
      </c>
    </row>
    <row r="80" spans="1:5" hidden="1">
      <c r="A80">
        <f t="shared" si="1"/>
        <v>78</v>
      </c>
      <c r="B80" t="s">
        <v>545</v>
      </c>
      <c r="C80" t="s">
        <v>627</v>
      </c>
      <c r="D80" s="169" t="s">
        <v>552</v>
      </c>
      <c r="E80" s="154" t="s">
        <v>3</v>
      </c>
    </row>
    <row r="81" spans="1:5" hidden="1">
      <c r="A81">
        <f t="shared" si="1"/>
        <v>79</v>
      </c>
      <c r="B81" t="s">
        <v>545</v>
      </c>
      <c r="C81" t="s">
        <v>628</v>
      </c>
      <c r="D81" s="169" t="s">
        <v>552</v>
      </c>
      <c r="E81" s="154" t="s">
        <v>3</v>
      </c>
    </row>
    <row r="82" spans="1:5" hidden="1">
      <c r="A82">
        <f t="shared" si="1"/>
        <v>80</v>
      </c>
      <c r="B82" t="s">
        <v>545</v>
      </c>
      <c r="C82" t="s">
        <v>629</v>
      </c>
      <c r="D82" s="169" t="s">
        <v>552</v>
      </c>
      <c r="E82" s="154" t="s">
        <v>3</v>
      </c>
    </row>
    <row r="83" spans="1:5" hidden="1">
      <c r="A83">
        <f t="shared" si="1"/>
        <v>81</v>
      </c>
      <c r="B83" t="s">
        <v>545</v>
      </c>
      <c r="C83" t="s">
        <v>630</v>
      </c>
      <c r="D83" s="169" t="s">
        <v>552</v>
      </c>
      <c r="E83" s="154" t="s">
        <v>3</v>
      </c>
    </row>
    <row r="84" spans="1:5" hidden="1">
      <c r="A84">
        <f t="shared" si="1"/>
        <v>82</v>
      </c>
      <c r="B84" t="s">
        <v>545</v>
      </c>
      <c r="C84" t="s">
        <v>631</v>
      </c>
      <c r="D84" s="169" t="s">
        <v>552</v>
      </c>
      <c r="E84" s="154" t="s">
        <v>3</v>
      </c>
    </row>
    <row r="85" spans="1:5" hidden="1">
      <c r="A85">
        <f t="shared" si="1"/>
        <v>83</v>
      </c>
      <c r="B85" t="s">
        <v>545</v>
      </c>
      <c r="C85" t="s">
        <v>632</v>
      </c>
      <c r="D85" s="169" t="s">
        <v>552</v>
      </c>
      <c r="E85" s="154" t="s">
        <v>3</v>
      </c>
    </row>
    <row r="86" spans="1:5" hidden="1">
      <c r="A86">
        <f t="shared" si="1"/>
        <v>84</v>
      </c>
      <c r="B86" t="s">
        <v>545</v>
      </c>
      <c r="C86" t="s">
        <v>633</v>
      </c>
      <c r="D86" s="169" t="s">
        <v>552</v>
      </c>
      <c r="E86" s="154" t="s">
        <v>3</v>
      </c>
    </row>
    <row r="87" spans="1:5" hidden="1">
      <c r="A87">
        <f t="shared" si="1"/>
        <v>85</v>
      </c>
      <c r="B87" t="s">
        <v>545</v>
      </c>
      <c r="C87" t="s">
        <v>634</v>
      </c>
      <c r="D87" s="169" t="s">
        <v>552</v>
      </c>
      <c r="E87" s="154" t="s">
        <v>3</v>
      </c>
    </row>
    <row r="88" spans="1:5" hidden="1">
      <c r="A88">
        <f t="shared" si="1"/>
        <v>86</v>
      </c>
      <c r="B88" t="s">
        <v>545</v>
      </c>
      <c r="C88" t="s">
        <v>635</v>
      </c>
      <c r="D88" s="169" t="s">
        <v>552</v>
      </c>
      <c r="E88" s="154" t="s">
        <v>3</v>
      </c>
    </row>
    <row r="89" spans="1:5" hidden="1">
      <c r="A89">
        <f t="shared" si="1"/>
        <v>87</v>
      </c>
      <c r="B89" t="s">
        <v>545</v>
      </c>
      <c r="C89" t="s">
        <v>636</v>
      </c>
      <c r="D89" s="169" t="s">
        <v>552</v>
      </c>
      <c r="E89" s="154" t="s">
        <v>3</v>
      </c>
    </row>
    <row r="90" spans="1:5" hidden="1">
      <c r="A90">
        <f t="shared" si="1"/>
        <v>88</v>
      </c>
      <c r="B90" t="s">
        <v>545</v>
      </c>
      <c r="C90" t="s">
        <v>637</v>
      </c>
      <c r="D90" s="169" t="s">
        <v>552</v>
      </c>
      <c r="E90" s="154" t="s">
        <v>3</v>
      </c>
    </row>
    <row r="91" spans="1:5" hidden="1">
      <c r="A91">
        <f t="shared" si="1"/>
        <v>89</v>
      </c>
      <c r="B91" t="s">
        <v>545</v>
      </c>
      <c r="C91" t="s">
        <v>638</v>
      </c>
      <c r="D91" s="169" t="s">
        <v>552</v>
      </c>
      <c r="E91" s="154" t="s">
        <v>3</v>
      </c>
    </row>
    <row r="92" spans="1:5" hidden="1">
      <c r="A92">
        <f t="shared" si="1"/>
        <v>90</v>
      </c>
      <c r="B92" t="s">
        <v>545</v>
      </c>
      <c r="C92" t="s">
        <v>639</v>
      </c>
      <c r="D92" s="169" t="s">
        <v>552</v>
      </c>
      <c r="E92" s="154" t="s">
        <v>3</v>
      </c>
    </row>
    <row r="93" spans="1:5" hidden="1">
      <c r="A93">
        <f t="shared" si="1"/>
        <v>91</v>
      </c>
      <c r="B93" t="s">
        <v>545</v>
      </c>
      <c r="C93" t="s">
        <v>640</v>
      </c>
      <c r="D93" s="169" t="s">
        <v>552</v>
      </c>
      <c r="E93" s="154" t="s">
        <v>3</v>
      </c>
    </row>
    <row r="94" spans="1:5" hidden="1">
      <c r="A94">
        <f t="shared" si="1"/>
        <v>92</v>
      </c>
      <c r="B94" t="s">
        <v>545</v>
      </c>
      <c r="C94" t="s">
        <v>641</v>
      </c>
      <c r="D94" s="169" t="s">
        <v>552</v>
      </c>
      <c r="E94" s="154" t="s">
        <v>3</v>
      </c>
    </row>
    <row r="95" spans="1:5" hidden="1">
      <c r="A95">
        <f t="shared" si="1"/>
        <v>93</v>
      </c>
      <c r="B95" t="s">
        <v>545</v>
      </c>
      <c r="C95" t="s">
        <v>642</v>
      </c>
      <c r="D95" s="169" t="s">
        <v>552</v>
      </c>
      <c r="E95" s="154" t="s">
        <v>3</v>
      </c>
    </row>
    <row r="96" spans="1:5" hidden="1">
      <c r="A96">
        <f t="shared" si="1"/>
        <v>94</v>
      </c>
      <c r="B96" t="s">
        <v>545</v>
      </c>
      <c r="C96" t="s">
        <v>643</v>
      </c>
      <c r="D96" s="169" t="s">
        <v>552</v>
      </c>
      <c r="E96" s="154" t="s">
        <v>3</v>
      </c>
    </row>
    <row r="97" spans="1:5" hidden="1">
      <c r="A97">
        <f t="shared" si="1"/>
        <v>95</v>
      </c>
      <c r="B97" t="s">
        <v>545</v>
      </c>
      <c r="C97" t="s">
        <v>644</v>
      </c>
      <c r="D97" s="169" t="s">
        <v>552</v>
      </c>
      <c r="E97" s="154" t="s">
        <v>3</v>
      </c>
    </row>
    <row r="98" spans="1:5" hidden="1">
      <c r="A98">
        <f t="shared" si="1"/>
        <v>96</v>
      </c>
      <c r="B98" t="s">
        <v>545</v>
      </c>
      <c r="C98" t="s">
        <v>645</v>
      </c>
      <c r="D98" s="169" t="s">
        <v>552</v>
      </c>
      <c r="E98" s="154" t="s">
        <v>3</v>
      </c>
    </row>
    <row r="99" spans="1:5" hidden="1">
      <c r="A99">
        <f t="shared" si="1"/>
        <v>97</v>
      </c>
      <c r="B99" t="s">
        <v>545</v>
      </c>
      <c r="C99" t="s">
        <v>646</v>
      </c>
      <c r="D99" s="169" t="s">
        <v>552</v>
      </c>
      <c r="E99" s="154" t="s">
        <v>3</v>
      </c>
    </row>
    <row r="100" spans="1:5" hidden="1">
      <c r="A100">
        <f t="shared" si="1"/>
        <v>98</v>
      </c>
      <c r="B100" t="s">
        <v>545</v>
      </c>
      <c r="C100" t="s">
        <v>647</v>
      </c>
      <c r="D100" s="169" t="s">
        <v>552</v>
      </c>
      <c r="E100" s="154" t="s">
        <v>3</v>
      </c>
    </row>
    <row r="101" spans="1:5" hidden="1">
      <c r="A101">
        <f t="shared" si="1"/>
        <v>99</v>
      </c>
      <c r="B101" t="s">
        <v>545</v>
      </c>
      <c r="C101" t="s">
        <v>648</v>
      </c>
      <c r="D101" s="169" t="s">
        <v>552</v>
      </c>
      <c r="E101" s="154" t="s">
        <v>3</v>
      </c>
    </row>
    <row r="102" spans="1:5" hidden="1">
      <c r="A102">
        <f t="shared" si="1"/>
        <v>100</v>
      </c>
      <c r="B102" t="s">
        <v>545</v>
      </c>
      <c r="C102" t="s">
        <v>649</v>
      </c>
      <c r="D102" s="169" t="s">
        <v>552</v>
      </c>
      <c r="E102" s="154" t="s">
        <v>3</v>
      </c>
    </row>
    <row r="103" spans="1:5" hidden="1">
      <c r="A103">
        <f t="shared" si="1"/>
        <v>101</v>
      </c>
      <c r="B103" t="s">
        <v>545</v>
      </c>
      <c r="C103" t="s">
        <v>650</v>
      </c>
      <c r="D103" s="169" t="s">
        <v>552</v>
      </c>
      <c r="E103" s="154" t="s">
        <v>3</v>
      </c>
    </row>
    <row r="104" spans="1:5" hidden="1">
      <c r="A104">
        <f t="shared" si="1"/>
        <v>102</v>
      </c>
      <c r="B104" t="s">
        <v>545</v>
      </c>
      <c r="C104" t="s">
        <v>651</v>
      </c>
      <c r="D104" s="169" t="s">
        <v>552</v>
      </c>
      <c r="E104" s="154" t="s">
        <v>3</v>
      </c>
    </row>
    <row r="105" spans="1:5" hidden="1">
      <c r="A105">
        <f t="shared" si="1"/>
        <v>103</v>
      </c>
      <c r="B105" t="s">
        <v>545</v>
      </c>
      <c r="C105" t="s">
        <v>652</v>
      </c>
      <c r="D105" s="169" t="s">
        <v>552</v>
      </c>
      <c r="E105" s="154" t="s">
        <v>3</v>
      </c>
    </row>
    <row r="106" spans="1:5" hidden="1">
      <c r="A106">
        <f t="shared" si="1"/>
        <v>104</v>
      </c>
      <c r="B106" t="s">
        <v>545</v>
      </c>
      <c r="C106" t="s">
        <v>653</v>
      </c>
      <c r="D106" s="169" t="s">
        <v>552</v>
      </c>
      <c r="E106" s="154" t="s">
        <v>3</v>
      </c>
    </row>
    <row r="107" spans="1:5" hidden="1">
      <c r="A107">
        <f t="shared" si="1"/>
        <v>105</v>
      </c>
      <c r="B107" t="s">
        <v>545</v>
      </c>
      <c r="C107" t="s">
        <v>654</v>
      </c>
      <c r="D107" s="169" t="s">
        <v>655</v>
      </c>
      <c r="E107" s="154" t="s">
        <v>3</v>
      </c>
    </row>
    <row r="108" spans="1:5" hidden="1">
      <c r="A108">
        <f t="shared" si="1"/>
        <v>106</v>
      </c>
      <c r="B108" t="s">
        <v>656</v>
      </c>
      <c r="C108" t="s">
        <v>657</v>
      </c>
      <c r="D108" s="169" t="s">
        <v>658</v>
      </c>
      <c r="E108" s="154" t="s">
        <v>3</v>
      </c>
    </row>
    <row r="109" spans="1:5" hidden="1">
      <c r="A109">
        <f t="shared" si="1"/>
        <v>107</v>
      </c>
      <c r="B109" t="s">
        <v>656</v>
      </c>
      <c r="C109" t="s">
        <v>659</v>
      </c>
      <c r="D109" s="169" t="s">
        <v>658</v>
      </c>
      <c r="E109" s="154" t="s">
        <v>3</v>
      </c>
    </row>
    <row r="110" spans="1:5" hidden="1">
      <c r="A110">
        <f t="shared" si="1"/>
        <v>108</v>
      </c>
      <c r="B110" t="s">
        <v>656</v>
      </c>
      <c r="C110" t="s">
        <v>660</v>
      </c>
      <c r="D110" s="169" t="s">
        <v>658</v>
      </c>
      <c r="E110" s="154" t="s">
        <v>3</v>
      </c>
    </row>
    <row r="111" spans="1:5" hidden="1">
      <c r="A111">
        <f t="shared" si="1"/>
        <v>109</v>
      </c>
      <c r="B111" t="s">
        <v>656</v>
      </c>
      <c r="C111" t="s">
        <v>661</v>
      </c>
      <c r="D111" s="169" t="s">
        <v>658</v>
      </c>
      <c r="E111" s="154" t="s">
        <v>3</v>
      </c>
    </row>
    <row r="112" spans="1:5" hidden="1">
      <c r="A112">
        <f t="shared" si="1"/>
        <v>110</v>
      </c>
      <c r="B112" t="s">
        <v>656</v>
      </c>
      <c r="C112" t="s">
        <v>662</v>
      </c>
      <c r="D112" s="169" t="s">
        <v>658</v>
      </c>
      <c r="E112" s="154" t="s">
        <v>3</v>
      </c>
    </row>
    <row r="113" spans="1:5" hidden="1">
      <c r="A113">
        <f t="shared" si="1"/>
        <v>111</v>
      </c>
      <c r="B113" t="s">
        <v>656</v>
      </c>
      <c r="C113" t="s">
        <v>663</v>
      </c>
      <c r="D113" s="169" t="s">
        <v>658</v>
      </c>
      <c r="E113" s="154" t="s">
        <v>3</v>
      </c>
    </row>
    <row r="114" spans="1:5" hidden="1">
      <c r="A114">
        <f t="shared" si="1"/>
        <v>112</v>
      </c>
      <c r="B114" t="s">
        <v>656</v>
      </c>
      <c r="C114" t="s">
        <v>664</v>
      </c>
      <c r="D114" s="169" t="s">
        <v>658</v>
      </c>
      <c r="E114" s="154" t="s">
        <v>3</v>
      </c>
    </row>
    <row r="115" spans="1:5" hidden="1">
      <c r="A115">
        <f t="shared" si="1"/>
        <v>113</v>
      </c>
      <c r="B115" t="s">
        <v>656</v>
      </c>
      <c r="C115" t="s">
        <v>665</v>
      </c>
      <c r="D115" s="169" t="s">
        <v>666</v>
      </c>
      <c r="E115" s="154" t="s">
        <v>3</v>
      </c>
    </row>
    <row r="116" spans="1:5" hidden="1">
      <c r="A116">
        <f t="shared" si="1"/>
        <v>114</v>
      </c>
      <c r="B116" t="s">
        <v>656</v>
      </c>
      <c r="C116" t="s">
        <v>667</v>
      </c>
      <c r="D116" s="169" t="s">
        <v>668</v>
      </c>
      <c r="E116" s="154" t="s">
        <v>3</v>
      </c>
    </row>
    <row r="117" spans="1:5" hidden="1">
      <c r="A117">
        <f t="shared" si="1"/>
        <v>115</v>
      </c>
      <c r="B117" t="s">
        <v>656</v>
      </c>
      <c r="C117" t="s">
        <v>669</v>
      </c>
      <c r="D117" s="169" t="s">
        <v>668</v>
      </c>
      <c r="E117" s="154" t="s">
        <v>3</v>
      </c>
    </row>
    <row r="118" spans="1:5" hidden="1">
      <c r="A118">
        <f t="shared" si="1"/>
        <v>116</v>
      </c>
      <c r="B118" t="s">
        <v>656</v>
      </c>
      <c r="C118" t="s">
        <v>670</v>
      </c>
      <c r="D118" s="169" t="s">
        <v>668</v>
      </c>
      <c r="E118" s="154" t="s">
        <v>3</v>
      </c>
    </row>
    <row r="119" spans="1:5" hidden="1">
      <c r="A119">
        <f t="shared" si="1"/>
        <v>117</v>
      </c>
      <c r="B119" t="s">
        <v>656</v>
      </c>
      <c r="C119" t="s">
        <v>671</v>
      </c>
      <c r="D119" s="169" t="s">
        <v>668</v>
      </c>
      <c r="E119" s="154" t="s">
        <v>3</v>
      </c>
    </row>
    <row r="120" spans="1:5" hidden="1">
      <c r="A120">
        <f t="shared" si="1"/>
        <v>118</v>
      </c>
      <c r="B120" t="s">
        <v>656</v>
      </c>
      <c r="C120" t="s">
        <v>672</v>
      </c>
      <c r="D120" s="169" t="s">
        <v>668</v>
      </c>
      <c r="E120" s="154" t="s">
        <v>3</v>
      </c>
    </row>
    <row r="121" spans="1:5" hidden="1">
      <c r="A121">
        <f t="shared" si="1"/>
        <v>119</v>
      </c>
      <c r="B121" t="s">
        <v>656</v>
      </c>
      <c r="C121" t="s">
        <v>673</v>
      </c>
      <c r="D121" s="169" t="s">
        <v>668</v>
      </c>
      <c r="E121" s="154" t="s">
        <v>3</v>
      </c>
    </row>
    <row r="122" spans="1:5" hidden="1">
      <c r="A122">
        <f t="shared" si="1"/>
        <v>120</v>
      </c>
      <c r="B122" t="s">
        <v>656</v>
      </c>
      <c r="C122" t="s">
        <v>674</v>
      </c>
      <c r="D122" s="169" t="s">
        <v>675</v>
      </c>
      <c r="E122" s="154" t="s">
        <v>3</v>
      </c>
    </row>
    <row r="123" spans="1:5" hidden="1">
      <c r="A123">
        <f t="shared" si="1"/>
        <v>121</v>
      </c>
      <c r="B123" t="s">
        <v>656</v>
      </c>
      <c r="C123" t="s">
        <v>676</v>
      </c>
      <c r="D123" s="169" t="s">
        <v>675</v>
      </c>
      <c r="E123" s="154" t="s">
        <v>3</v>
      </c>
    </row>
    <row r="124" spans="1:5" hidden="1">
      <c r="A124">
        <f t="shared" si="1"/>
        <v>122</v>
      </c>
      <c r="B124" t="s">
        <v>656</v>
      </c>
      <c r="C124" t="s">
        <v>677</v>
      </c>
      <c r="D124" s="169" t="s">
        <v>675</v>
      </c>
      <c r="E124" s="154" t="s">
        <v>3</v>
      </c>
    </row>
    <row r="125" spans="1:5" hidden="1">
      <c r="A125">
        <f t="shared" si="1"/>
        <v>123</v>
      </c>
      <c r="B125" t="s">
        <v>656</v>
      </c>
      <c r="C125" t="s">
        <v>678</v>
      </c>
      <c r="D125" s="169" t="s">
        <v>675</v>
      </c>
      <c r="E125" s="154" t="s">
        <v>3</v>
      </c>
    </row>
    <row r="126" spans="1:5" hidden="1">
      <c r="A126">
        <f t="shared" si="1"/>
        <v>124</v>
      </c>
      <c r="B126" t="s">
        <v>656</v>
      </c>
      <c r="C126" t="s">
        <v>679</v>
      </c>
      <c r="D126" s="169" t="s">
        <v>675</v>
      </c>
      <c r="E126" s="154" t="s">
        <v>3</v>
      </c>
    </row>
    <row r="127" spans="1:5" hidden="1">
      <c r="A127">
        <f t="shared" si="1"/>
        <v>125</v>
      </c>
      <c r="B127" t="s">
        <v>656</v>
      </c>
      <c r="C127" t="s">
        <v>680</v>
      </c>
      <c r="D127" s="169" t="s">
        <v>675</v>
      </c>
      <c r="E127" s="154" t="s">
        <v>3</v>
      </c>
    </row>
    <row r="128" spans="1:5" hidden="1">
      <c r="A128">
        <f t="shared" si="1"/>
        <v>126</v>
      </c>
      <c r="B128" t="s">
        <v>656</v>
      </c>
      <c r="C128" t="s">
        <v>681</v>
      </c>
      <c r="D128" s="169" t="s">
        <v>675</v>
      </c>
      <c r="E128" s="154" t="s">
        <v>3</v>
      </c>
    </row>
    <row r="129" spans="1:5" hidden="1">
      <c r="A129">
        <f t="shared" si="1"/>
        <v>127</v>
      </c>
      <c r="B129" t="s">
        <v>656</v>
      </c>
      <c r="C129" t="s">
        <v>682</v>
      </c>
      <c r="D129" s="169" t="s">
        <v>675</v>
      </c>
      <c r="E129" s="154" t="s">
        <v>3</v>
      </c>
    </row>
    <row r="130" spans="1:5" hidden="1">
      <c r="A130">
        <f t="shared" si="1"/>
        <v>128</v>
      </c>
      <c r="B130" t="s">
        <v>656</v>
      </c>
      <c r="C130" t="s">
        <v>683</v>
      </c>
      <c r="D130" s="169" t="s">
        <v>675</v>
      </c>
      <c r="E130" s="154" t="s">
        <v>3</v>
      </c>
    </row>
    <row r="131" spans="1:5" hidden="1">
      <c r="A131">
        <f t="shared" si="1"/>
        <v>129</v>
      </c>
      <c r="B131" t="s">
        <v>656</v>
      </c>
      <c r="C131" t="s">
        <v>684</v>
      </c>
      <c r="D131" s="169" t="s">
        <v>675</v>
      </c>
      <c r="E131" s="154" t="s">
        <v>3</v>
      </c>
    </row>
    <row r="132" spans="1:5" hidden="1">
      <c r="A132">
        <f t="shared" ref="A132:A195" si="2">A131+1</f>
        <v>130</v>
      </c>
      <c r="B132" t="s">
        <v>656</v>
      </c>
      <c r="C132" t="s">
        <v>685</v>
      </c>
      <c r="D132" s="169" t="s">
        <v>675</v>
      </c>
      <c r="E132" s="154" t="s">
        <v>3</v>
      </c>
    </row>
    <row r="133" spans="1:5" hidden="1">
      <c r="A133">
        <f t="shared" si="2"/>
        <v>131</v>
      </c>
      <c r="B133" t="s">
        <v>656</v>
      </c>
      <c r="C133" t="s">
        <v>686</v>
      </c>
      <c r="D133" s="169" t="s">
        <v>675</v>
      </c>
      <c r="E133" s="154" t="s">
        <v>3</v>
      </c>
    </row>
    <row r="134" spans="1:5" hidden="1">
      <c r="A134">
        <f t="shared" si="2"/>
        <v>132</v>
      </c>
      <c r="B134" t="s">
        <v>656</v>
      </c>
      <c r="C134" t="s">
        <v>687</v>
      </c>
      <c r="D134" s="169" t="s">
        <v>675</v>
      </c>
      <c r="E134" s="154" t="s">
        <v>3</v>
      </c>
    </row>
    <row r="135" spans="1:5" hidden="1">
      <c r="A135">
        <f t="shared" si="2"/>
        <v>133</v>
      </c>
      <c r="B135" t="s">
        <v>656</v>
      </c>
      <c r="C135" t="s">
        <v>688</v>
      </c>
      <c r="D135" s="169" t="s">
        <v>675</v>
      </c>
      <c r="E135" s="154" t="s">
        <v>3</v>
      </c>
    </row>
    <row r="136" spans="1:5" hidden="1">
      <c r="A136">
        <f t="shared" si="2"/>
        <v>134</v>
      </c>
      <c r="B136" t="s">
        <v>656</v>
      </c>
      <c r="C136" t="s">
        <v>689</v>
      </c>
      <c r="D136" s="169" t="s">
        <v>675</v>
      </c>
      <c r="E136" s="154" t="s">
        <v>3</v>
      </c>
    </row>
    <row r="137" spans="1:5" hidden="1">
      <c r="A137">
        <f t="shared" si="2"/>
        <v>135</v>
      </c>
      <c r="B137" t="s">
        <v>656</v>
      </c>
      <c r="C137" s="170" t="s">
        <v>690</v>
      </c>
      <c r="D137" s="169" t="s">
        <v>675</v>
      </c>
      <c r="E137" s="154" t="s">
        <v>3</v>
      </c>
    </row>
    <row r="138" spans="1:5" hidden="1">
      <c r="A138">
        <f t="shared" si="2"/>
        <v>136</v>
      </c>
      <c r="B138" t="s">
        <v>656</v>
      </c>
      <c r="C138" t="s">
        <v>691</v>
      </c>
      <c r="D138" s="169" t="s">
        <v>675</v>
      </c>
      <c r="E138" s="154" t="s">
        <v>3</v>
      </c>
    </row>
    <row r="139" spans="1:5" hidden="1">
      <c r="A139">
        <f t="shared" si="2"/>
        <v>137</v>
      </c>
      <c r="B139" t="s">
        <v>656</v>
      </c>
      <c r="C139" s="170" t="s">
        <v>692</v>
      </c>
      <c r="D139" s="169" t="s">
        <v>675</v>
      </c>
      <c r="E139" s="154" t="s">
        <v>3</v>
      </c>
    </row>
    <row r="140" spans="1:5" hidden="1">
      <c r="A140">
        <f t="shared" si="2"/>
        <v>138</v>
      </c>
      <c r="B140" t="s">
        <v>656</v>
      </c>
      <c r="C140" t="s">
        <v>693</v>
      </c>
      <c r="D140" s="169" t="s">
        <v>675</v>
      </c>
      <c r="E140" s="154" t="s">
        <v>3</v>
      </c>
    </row>
    <row r="141" spans="1:5" hidden="1">
      <c r="A141">
        <f t="shared" si="2"/>
        <v>139</v>
      </c>
      <c r="B141" t="s">
        <v>656</v>
      </c>
      <c r="C141" t="s">
        <v>694</v>
      </c>
      <c r="D141" s="169" t="s">
        <v>675</v>
      </c>
      <c r="E141" s="154" t="s">
        <v>3</v>
      </c>
    </row>
    <row r="142" spans="1:5" hidden="1">
      <c r="A142">
        <f t="shared" si="2"/>
        <v>140</v>
      </c>
      <c r="B142" t="s">
        <v>656</v>
      </c>
      <c r="C142" t="s">
        <v>695</v>
      </c>
      <c r="D142" s="169" t="s">
        <v>675</v>
      </c>
      <c r="E142" s="154" t="s">
        <v>3</v>
      </c>
    </row>
    <row r="143" spans="1:5" hidden="1">
      <c r="A143">
        <f t="shared" si="2"/>
        <v>141</v>
      </c>
      <c r="B143" t="s">
        <v>656</v>
      </c>
      <c r="C143" t="s">
        <v>696</v>
      </c>
      <c r="D143" s="169" t="s">
        <v>675</v>
      </c>
      <c r="E143" s="154" t="s">
        <v>3</v>
      </c>
    </row>
    <row r="144" spans="1:5" hidden="1">
      <c r="A144">
        <f t="shared" si="2"/>
        <v>142</v>
      </c>
      <c r="B144" t="s">
        <v>656</v>
      </c>
      <c r="C144" t="s">
        <v>697</v>
      </c>
      <c r="D144" s="169" t="s">
        <v>675</v>
      </c>
      <c r="E144" s="154" t="s">
        <v>3</v>
      </c>
    </row>
    <row r="145" spans="1:5" hidden="1">
      <c r="A145">
        <f t="shared" si="2"/>
        <v>143</v>
      </c>
      <c r="B145" t="s">
        <v>656</v>
      </c>
      <c r="C145" t="s">
        <v>698</v>
      </c>
      <c r="D145" s="169" t="s">
        <v>675</v>
      </c>
      <c r="E145" s="154" t="s">
        <v>3</v>
      </c>
    </row>
    <row r="146" spans="1:5" hidden="1">
      <c r="A146">
        <f t="shared" si="2"/>
        <v>144</v>
      </c>
      <c r="B146" t="s">
        <v>656</v>
      </c>
      <c r="C146" t="s">
        <v>699</v>
      </c>
      <c r="D146" s="169" t="s">
        <v>675</v>
      </c>
      <c r="E146" s="154" t="s">
        <v>3</v>
      </c>
    </row>
    <row r="147" spans="1:5" hidden="1">
      <c r="A147">
        <f t="shared" si="2"/>
        <v>145</v>
      </c>
      <c r="B147" t="s">
        <v>656</v>
      </c>
      <c r="C147" t="s">
        <v>700</v>
      </c>
      <c r="D147" s="169" t="s">
        <v>675</v>
      </c>
      <c r="E147" s="154" t="s">
        <v>3</v>
      </c>
    </row>
    <row r="148" spans="1:5" hidden="1">
      <c r="A148">
        <f t="shared" si="2"/>
        <v>146</v>
      </c>
      <c r="B148" t="s">
        <v>656</v>
      </c>
      <c r="C148" t="s">
        <v>701</v>
      </c>
      <c r="D148" s="169" t="s">
        <v>675</v>
      </c>
      <c r="E148" s="154" t="s">
        <v>3</v>
      </c>
    </row>
    <row r="149" spans="1:5" hidden="1">
      <c r="A149">
        <f t="shared" si="2"/>
        <v>147</v>
      </c>
      <c r="B149" t="s">
        <v>656</v>
      </c>
      <c r="C149" t="s">
        <v>702</v>
      </c>
      <c r="D149" s="169" t="s">
        <v>675</v>
      </c>
      <c r="E149" s="154" t="s">
        <v>3</v>
      </c>
    </row>
    <row r="150" spans="1:5" hidden="1">
      <c r="A150">
        <f t="shared" si="2"/>
        <v>148</v>
      </c>
      <c r="B150" t="s">
        <v>656</v>
      </c>
      <c r="C150" t="s">
        <v>703</v>
      </c>
      <c r="D150" s="169" t="s">
        <v>675</v>
      </c>
      <c r="E150" s="154" t="s">
        <v>3</v>
      </c>
    </row>
    <row r="151" spans="1:5" hidden="1">
      <c r="A151">
        <f t="shared" si="2"/>
        <v>149</v>
      </c>
      <c r="B151" t="s">
        <v>656</v>
      </c>
      <c r="C151" t="s">
        <v>704</v>
      </c>
      <c r="D151" s="169" t="s">
        <v>675</v>
      </c>
      <c r="E151" s="154" t="s">
        <v>3</v>
      </c>
    </row>
    <row r="152" spans="1:5" hidden="1">
      <c r="A152">
        <f t="shared" si="2"/>
        <v>150</v>
      </c>
      <c r="B152" t="s">
        <v>656</v>
      </c>
      <c r="C152" t="s">
        <v>705</v>
      </c>
      <c r="D152" s="169" t="s">
        <v>675</v>
      </c>
      <c r="E152" s="154" t="s">
        <v>3</v>
      </c>
    </row>
    <row r="153" spans="1:5" hidden="1">
      <c r="A153">
        <f t="shared" si="2"/>
        <v>151</v>
      </c>
      <c r="B153" t="s">
        <v>656</v>
      </c>
      <c r="C153" t="s">
        <v>706</v>
      </c>
      <c r="D153" s="169" t="s">
        <v>707</v>
      </c>
      <c r="E153" s="154" t="s">
        <v>3</v>
      </c>
    </row>
    <row r="154" spans="1:5" hidden="1">
      <c r="A154">
        <f t="shared" si="2"/>
        <v>152</v>
      </c>
      <c r="B154" t="s">
        <v>708</v>
      </c>
      <c r="C154" s="170" t="s">
        <v>709</v>
      </c>
      <c r="D154" s="169" t="s">
        <v>710</v>
      </c>
      <c r="E154" s="154" t="s">
        <v>3</v>
      </c>
    </row>
    <row r="155" spans="1:5" hidden="1">
      <c r="A155">
        <f t="shared" si="2"/>
        <v>153</v>
      </c>
      <c r="B155" t="s">
        <v>708</v>
      </c>
      <c r="C155" s="170" t="s">
        <v>1535</v>
      </c>
      <c r="D155" s="169" t="s">
        <v>711</v>
      </c>
      <c r="E155" s="154" t="s">
        <v>712</v>
      </c>
    </row>
    <row r="156" spans="1:5" hidden="1">
      <c r="A156">
        <f t="shared" si="2"/>
        <v>154</v>
      </c>
      <c r="B156" t="s">
        <v>708</v>
      </c>
      <c r="C156" s="170" t="s">
        <v>713</v>
      </c>
      <c r="D156" s="169" t="s">
        <v>714</v>
      </c>
      <c r="E156" s="154" t="s">
        <v>712</v>
      </c>
    </row>
    <row r="157" spans="1:5" hidden="1">
      <c r="A157">
        <f t="shared" si="2"/>
        <v>155</v>
      </c>
      <c r="B157" t="s">
        <v>708</v>
      </c>
      <c r="C157" s="170" t="s">
        <v>715</v>
      </c>
      <c r="D157" s="169" t="s">
        <v>716</v>
      </c>
      <c r="E157" s="154" t="s">
        <v>3</v>
      </c>
    </row>
    <row r="158" spans="1:5" hidden="1">
      <c r="A158">
        <f t="shared" si="2"/>
        <v>156</v>
      </c>
      <c r="B158" t="s">
        <v>708</v>
      </c>
      <c r="C158" s="170" t="s">
        <v>717</v>
      </c>
      <c r="D158" s="169" t="s">
        <v>718</v>
      </c>
      <c r="E158" s="154" t="s">
        <v>3</v>
      </c>
    </row>
    <row r="159" spans="1:5" hidden="1">
      <c r="A159">
        <f t="shared" si="2"/>
        <v>157</v>
      </c>
      <c r="B159" t="s">
        <v>708</v>
      </c>
      <c r="C159" s="170" t="s">
        <v>719</v>
      </c>
      <c r="D159" s="169" t="s">
        <v>720</v>
      </c>
      <c r="E159" s="154" t="s">
        <v>3</v>
      </c>
    </row>
    <row r="160" spans="1:5" hidden="1">
      <c r="A160">
        <f t="shared" si="2"/>
        <v>158</v>
      </c>
      <c r="B160" t="s">
        <v>708</v>
      </c>
      <c r="C160" s="170" t="s">
        <v>721</v>
      </c>
      <c r="D160" s="169" t="s">
        <v>722</v>
      </c>
      <c r="E160" s="154" t="s">
        <v>3</v>
      </c>
    </row>
    <row r="161" spans="1:5" hidden="1">
      <c r="A161">
        <f t="shared" si="2"/>
        <v>159</v>
      </c>
      <c r="B161" t="s">
        <v>708</v>
      </c>
      <c r="C161" s="170" t="s">
        <v>723</v>
      </c>
      <c r="D161" s="169" t="s">
        <v>724</v>
      </c>
      <c r="E161" s="154" t="s">
        <v>3</v>
      </c>
    </row>
    <row r="162" spans="1:5" hidden="1">
      <c r="A162">
        <f t="shared" si="2"/>
        <v>160</v>
      </c>
      <c r="B162" t="s">
        <v>708</v>
      </c>
      <c r="C162" s="170" t="s">
        <v>725</v>
      </c>
      <c r="D162" s="169" t="s">
        <v>726</v>
      </c>
      <c r="E162" s="154" t="s">
        <v>3</v>
      </c>
    </row>
    <row r="163" spans="1:5" hidden="1">
      <c r="A163">
        <f t="shared" si="2"/>
        <v>161</v>
      </c>
      <c r="B163" t="s">
        <v>708</v>
      </c>
      <c r="C163" s="170" t="s">
        <v>727</v>
      </c>
      <c r="D163" s="169" t="s">
        <v>728</v>
      </c>
      <c r="E163" s="154" t="s">
        <v>3</v>
      </c>
    </row>
    <row r="164" spans="1:5" hidden="1">
      <c r="A164">
        <f t="shared" si="2"/>
        <v>162</v>
      </c>
      <c r="B164" t="s">
        <v>708</v>
      </c>
      <c r="C164" s="170" t="s">
        <v>729</v>
      </c>
      <c r="D164" s="169" t="s">
        <v>730</v>
      </c>
      <c r="E164" s="154" t="s">
        <v>3</v>
      </c>
    </row>
    <row r="165" spans="1:5" hidden="1">
      <c r="A165">
        <f t="shared" si="2"/>
        <v>163</v>
      </c>
      <c r="B165" t="s">
        <v>708</v>
      </c>
      <c r="C165" s="170" t="s">
        <v>731</v>
      </c>
      <c r="D165" s="169" t="s">
        <v>732</v>
      </c>
      <c r="E165" s="154" t="s">
        <v>712</v>
      </c>
    </row>
    <row r="166" spans="1:5" hidden="1">
      <c r="A166">
        <f t="shared" si="2"/>
        <v>164</v>
      </c>
      <c r="B166" t="s">
        <v>708</v>
      </c>
      <c r="C166" s="170" t="s">
        <v>733</v>
      </c>
      <c r="D166" s="169" t="s">
        <v>734</v>
      </c>
      <c r="E166" s="154" t="s">
        <v>712</v>
      </c>
    </row>
    <row r="167" spans="1:5" hidden="1">
      <c r="A167">
        <f t="shared" si="2"/>
        <v>165</v>
      </c>
      <c r="B167" t="s">
        <v>708</v>
      </c>
      <c r="C167" s="170" t="s">
        <v>735</v>
      </c>
      <c r="D167" s="169" t="s">
        <v>736</v>
      </c>
      <c r="E167" s="154" t="s">
        <v>3</v>
      </c>
    </row>
    <row r="168" spans="1:5" hidden="1">
      <c r="A168">
        <f t="shared" si="2"/>
        <v>166</v>
      </c>
      <c r="B168" t="s">
        <v>708</v>
      </c>
      <c r="C168" s="170" t="s">
        <v>737</v>
      </c>
      <c r="D168" s="169" t="s">
        <v>738</v>
      </c>
      <c r="E168" s="154" t="s">
        <v>3</v>
      </c>
    </row>
    <row r="169" spans="1:5" hidden="1">
      <c r="A169">
        <f t="shared" si="2"/>
        <v>167</v>
      </c>
      <c r="B169" t="s">
        <v>708</v>
      </c>
      <c r="C169" s="170" t="s">
        <v>739</v>
      </c>
      <c r="D169" s="169" t="s">
        <v>740</v>
      </c>
      <c r="E169" s="154" t="s">
        <v>3</v>
      </c>
    </row>
    <row r="170" spans="1:5" hidden="1">
      <c r="A170">
        <f t="shared" si="2"/>
        <v>168</v>
      </c>
      <c r="B170" t="s">
        <v>708</v>
      </c>
      <c r="C170" s="170" t="s">
        <v>741</v>
      </c>
      <c r="D170" s="169" t="s">
        <v>742</v>
      </c>
      <c r="E170" s="154" t="s">
        <v>3</v>
      </c>
    </row>
    <row r="171" spans="1:5" hidden="1">
      <c r="A171">
        <f t="shared" si="2"/>
        <v>169</v>
      </c>
      <c r="B171" t="s">
        <v>708</v>
      </c>
      <c r="C171" s="170" t="s">
        <v>743</v>
      </c>
      <c r="D171" s="169" t="s">
        <v>744</v>
      </c>
      <c r="E171" s="154" t="s">
        <v>3</v>
      </c>
    </row>
    <row r="172" spans="1:5" hidden="1">
      <c r="A172">
        <f t="shared" si="2"/>
        <v>170</v>
      </c>
      <c r="B172" t="s">
        <v>708</v>
      </c>
      <c r="C172" s="170" t="s">
        <v>745</v>
      </c>
      <c r="D172" s="169" t="s">
        <v>746</v>
      </c>
      <c r="E172" s="154" t="s">
        <v>712</v>
      </c>
    </row>
    <row r="173" spans="1:5" hidden="1">
      <c r="A173">
        <f t="shared" si="2"/>
        <v>171</v>
      </c>
      <c r="B173" t="s">
        <v>708</v>
      </c>
      <c r="C173" s="170" t="s">
        <v>747</v>
      </c>
      <c r="D173" s="169" t="s">
        <v>748</v>
      </c>
      <c r="E173" s="154" t="s">
        <v>712</v>
      </c>
    </row>
    <row r="174" spans="1:5" hidden="1">
      <c r="A174">
        <f t="shared" si="2"/>
        <v>172</v>
      </c>
      <c r="B174" t="s">
        <v>708</v>
      </c>
      <c r="C174" s="170" t="s">
        <v>749</v>
      </c>
      <c r="D174" s="169" t="s">
        <v>750</v>
      </c>
      <c r="E174" s="154" t="s">
        <v>3</v>
      </c>
    </row>
    <row r="175" spans="1:5" hidden="1">
      <c r="A175">
        <f t="shared" si="2"/>
        <v>173</v>
      </c>
      <c r="B175" t="s">
        <v>751</v>
      </c>
      <c r="C175" s="170" t="s">
        <v>752</v>
      </c>
      <c r="D175" s="169" t="s">
        <v>751</v>
      </c>
      <c r="E175" s="154" t="s">
        <v>3</v>
      </c>
    </row>
    <row r="176" spans="1:5" hidden="1">
      <c r="A176">
        <f t="shared" si="2"/>
        <v>174</v>
      </c>
      <c r="B176" t="s">
        <v>753</v>
      </c>
      <c r="C176" s="170" t="s">
        <v>754</v>
      </c>
      <c r="D176" s="169" t="s">
        <v>755</v>
      </c>
      <c r="E176" s="154" t="s">
        <v>3</v>
      </c>
    </row>
    <row r="177" spans="1:5" hidden="1">
      <c r="A177">
        <f t="shared" si="2"/>
        <v>175</v>
      </c>
      <c r="B177" t="s">
        <v>753</v>
      </c>
      <c r="C177" s="170" t="s">
        <v>756</v>
      </c>
      <c r="D177" s="169" t="s">
        <v>757</v>
      </c>
      <c r="E177" s="154" t="s">
        <v>3</v>
      </c>
    </row>
    <row r="178" spans="1:5" hidden="1">
      <c r="A178">
        <f t="shared" si="2"/>
        <v>176</v>
      </c>
      <c r="B178" t="s">
        <v>753</v>
      </c>
      <c r="C178" s="170" t="s">
        <v>758</v>
      </c>
      <c r="D178" s="169" t="s">
        <v>759</v>
      </c>
      <c r="E178" s="154" t="s">
        <v>3</v>
      </c>
    </row>
    <row r="179" spans="1:5" hidden="1">
      <c r="A179">
        <f t="shared" si="2"/>
        <v>177</v>
      </c>
      <c r="B179" t="s">
        <v>753</v>
      </c>
      <c r="C179" s="170" t="s">
        <v>760</v>
      </c>
      <c r="D179" s="169" t="s">
        <v>759</v>
      </c>
      <c r="E179" s="154" t="s">
        <v>3</v>
      </c>
    </row>
    <row r="180" spans="1:5" hidden="1">
      <c r="A180">
        <f t="shared" si="2"/>
        <v>178</v>
      </c>
      <c r="B180" t="s">
        <v>753</v>
      </c>
      <c r="C180" s="170" t="s">
        <v>761</v>
      </c>
      <c r="D180" s="169" t="s">
        <v>762</v>
      </c>
      <c r="E180" s="154" t="s">
        <v>3</v>
      </c>
    </row>
    <row r="181" spans="1:5" hidden="1">
      <c r="A181">
        <f t="shared" si="2"/>
        <v>179</v>
      </c>
      <c r="B181" t="s">
        <v>753</v>
      </c>
      <c r="C181" s="170" t="s">
        <v>763</v>
      </c>
      <c r="D181" s="169" t="s">
        <v>764</v>
      </c>
      <c r="E181" s="154" t="s">
        <v>3</v>
      </c>
    </row>
    <row r="182" spans="1:5" hidden="1">
      <c r="A182">
        <f t="shared" si="2"/>
        <v>180</v>
      </c>
      <c r="B182" t="s">
        <v>753</v>
      </c>
      <c r="C182" s="170" t="s">
        <v>765</v>
      </c>
      <c r="D182" s="169" t="s">
        <v>766</v>
      </c>
      <c r="E182" s="154" t="s">
        <v>3</v>
      </c>
    </row>
    <row r="183" spans="1:5" hidden="1">
      <c r="A183">
        <f t="shared" si="2"/>
        <v>181</v>
      </c>
      <c r="B183" t="s">
        <v>753</v>
      </c>
      <c r="C183" s="170" t="s">
        <v>767</v>
      </c>
      <c r="D183" s="169" t="s">
        <v>768</v>
      </c>
      <c r="E183" s="154" t="s">
        <v>3</v>
      </c>
    </row>
    <row r="184" spans="1:5" hidden="1">
      <c r="A184">
        <f t="shared" si="2"/>
        <v>182</v>
      </c>
      <c r="B184" t="s">
        <v>753</v>
      </c>
      <c r="C184" s="170" t="s">
        <v>769</v>
      </c>
      <c r="D184" s="169" t="s">
        <v>770</v>
      </c>
      <c r="E184" s="154" t="s">
        <v>3</v>
      </c>
    </row>
    <row r="185" spans="1:5" hidden="1">
      <c r="A185">
        <f t="shared" si="2"/>
        <v>183</v>
      </c>
      <c r="B185" t="s">
        <v>753</v>
      </c>
      <c r="C185" s="170" t="s">
        <v>771</v>
      </c>
      <c r="D185" s="169" t="s">
        <v>770</v>
      </c>
      <c r="E185" s="154" t="s">
        <v>3</v>
      </c>
    </row>
    <row r="186" spans="1:5" hidden="1">
      <c r="A186">
        <f t="shared" si="2"/>
        <v>184</v>
      </c>
      <c r="B186" t="s">
        <v>753</v>
      </c>
      <c r="C186" s="170" t="s">
        <v>772</v>
      </c>
      <c r="D186" s="169" t="s">
        <v>770</v>
      </c>
      <c r="E186" s="154" t="s">
        <v>3</v>
      </c>
    </row>
    <row r="187" spans="1:5" hidden="1">
      <c r="A187">
        <f t="shared" si="2"/>
        <v>185</v>
      </c>
      <c r="B187" t="s">
        <v>753</v>
      </c>
      <c r="C187" s="170" t="s">
        <v>773</v>
      </c>
      <c r="D187" s="169" t="s">
        <v>774</v>
      </c>
      <c r="E187" s="154" t="s">
        <v>3</v>
      </c>
    </row>
    <row r="188" spans="1:5" hidden="1">
      <c r="A188">
        <f t="shared" si="2"/>
        <v>186</v>
      </c>
      <c r="B188" t="s">
        <v>753</v>
      </c>
      <c r="C188" s="170" t="s">
        <v>775</v>
      </c>
      <c r="D188" s="169" t="s">
        <v>776</v>
      </c>
      <c r="E188" s="154" t="s">
        <v>3</v>
      </c>
    </row>
    <row r="189" spans="1:5" hidden="1">
      <c r="A189">
        <f t="shared" si="2"/>
        <v>187</v>
      </c>
      <c r="B189" t="s">
        <v>753</v>
      </c>
      <c r="C189" s="170" t="s">
        <v>777</v>
      </c>
      <c r="D189" s="169" t="s">
        <v>778</v>
      </c>
      <c r="E189" s="154" t="s">
        <v>3</v>
      </c>
    </row>
    <row r="190" spans="1:5" hidden="1">
      <c r="A190">
        <f t="shared" si="2"/>
        <v>188</v>
      </c>
      <c r="B190" t="s">
        <v>753</v>
      </c>
      <c r="C190" s="170" t="s">
        <v>779</v>
      </c>
      <c r="D190" s="169" t="s">
        <v>780</v>
      </c>
      <c r="E190" s="154" t="s">
        <v>3</v>
      </c>
    </row>
    <row r="191" spans="1:5" hidden="1">
      <c r="A191">
        <f t="shared" si="2"/>
        <v>189</v>
      </c>
      <c r="B191" t="s">
        <v>753</v>
      </c>
      <c r="C191" s="170" t="s">
        <v>781</v>
      </c>
      <c r="D191" s="169" t="s">
        <v>782</v>
      </c>
      <c r="E191" s="154" t="s">
        <v>3</v>
      </c>
    </row>
    <row r="192" spans="1:5" hidden="1">
      <c r="A192">
        <f t="shared" si="2"/>
        <v>190</v>
      </c>
      <c r="B192" t="s">
        <v>753</v>
      </c>
      <c r="C192" s="170" t="s">
        <v>783</v>
      </c>
      <c r="D192" s="169" t="s">
        <v>784</v>
      </c>
      <c r="E192" s="154" t="s">
        <v>3</v>
      </c>
    </row>
    <row r="193" spans="1:5" hidden="1">
      <c r="A193">
        <f t="shared" si="2"/>
        <v>191</v>
      </c>
      <c r="B193" t="s">
        <v>753</v>
      </c>
      <c r="C193" s="170" t="s">
        <v>785</v>
      </c>
      <c r="D193" s="169" t="s">
        <v>786</v>
      </c>
      <c r="E193" s="154" t="s">
        <v>3</v>
      </c>
    </row>
    <row r="194" spans="1:5" hidden="1">
      <c r="A194">
        <f t="shared" si="2"/>
        <v>192</v>
      </c>
      <c r="B194" t="s">
        <v>753</v>
      </c>
      <c r="C194" s="170" t="s">
        <v>787</v>
      </c>
      <c r="D194" s="169" t="s">
        <v>788</v>
      </c>
      <c r="E194" s="154" t="s">
        <v>3</v>
      </c>
    </row>
    <row r="195" spans="1:5" hidden="1">
      <c r="A195">
        <f t="shared" si="2"/>
        <v>193</v>
      </c>
      <c r="B195" t="s">
        <v>753</v>
      </c>
      <c r="C195" s="170" t="s">
        <v>789</v>
      </c>
      <c r="D195" s="169" t="s">
        <v>790</v>
      </c>
      <c r="E195" s="154" t="s">
        <v>3</v>
      </c>
    </row>
    <row r="196" spans="1:5" hidden="1">
      <c r="A196">
        <f t="shared" ref="A196:A259" si="3">A195+1</f>
        <v>194</v>
      </c>
      <c r="B196" t="s">
        <v>753</v>
      </c>
      <c r="C196" s="170" t="s">
        <v>791</v>
      </c>
      <c r="D196" s="169" t="s">
        <v>792</v>
      </c>
      <c r="E196" s="154" t="s">
        <v>3</v>
      </c>
    </row>
    <row r="197" spans="1:5" hidden="1">
      <c r="A197">
        <f t="shared" si="3"/>
        <v>195</v>
      </c>
      <c r="B197" t="s">
        <v>753</v>
      </c>
      <c r="C197" s="170" t="s">
        <v>793</v>
      </c>
      <c r="D197" s="169" t="s">
        <v>794</v>
      </c>
      <c r="E197" s="154" t="s">
        <v>3</v>
      </c>
    </row>
    <row r="198" spans="1:5" hidden="1">
      <c r="A198">
        <f t="shared" si="3"/>
        <v>196</v>
      </c>
      <c r="B198" t="s">
        <v>753</v>
      </c>
      <c r="C198" s="170" t="s">
        <v>795</v>
      </c>
      <c r="D198" s="169" t="s">
        <v>796</v>
      </c>
      <c r="E198" s="154" t="s">
        <v>3</v>
      </c>
    </row>
    <row r="199" spans="1:5" hidden="1">
      <c r="A199">
        <f t="shared" si="3"/>
        <v>197</v>
      </c>
      <c r="B199" t="s">
        <v>753</v>
      </c>
      <c r="C199" s="170" t="s">
        <v>797</v>
      </c>
      <c r="D199" s="169" t="s">
        <v>796</v>
      </c>
      <c r="E199" s="154" t="s">
        <v>3</v>
      </c>
    </row>
    <row r="200" spans="1:5" hidden="1">
      <c r="A200">
        <f t="shared" si="3"/>
        <v>198</v>
      </c>
      <c r="B200" t="s">
        <v>753</v>
      </c>
      <c r="C200" s="170" t="s">
        <v>798</v>
      </c>
      <c r="D200" s="169" t="s">
        <v>799</v>
      </c>
      <c r="E200" s="154" t="s">
        <v>3</v>
      </c>
    </row>
    <row r="201" spans="1:5" hidden="1">
      <c r="A201">
        <f t="shared" si="3"/>
        <v>199</v>
      </c>
      <c r="B201" t="s">
        <v>753</v>
      </c>
      <c r="C201" s="170" t="s">
        <v>800</v>
      </c>
      <c r="D201" s="169" t="s">
        <v>801</v>
      </c>
      <c r="E201" s="154" t="s">
        <v>3</v>
      </c>
    </row>
    <row r="202" spans="1:5" hidden="1">
      <c r="A202">
        <f t="shared" si="3"/>
        <v>200</v>
      </c>
      <c r="B202" t="s">
        <v>753</v>
      </c>
      <c r="C202" s="170" t="s">
        <v>802</v>
      </c>
      <c r="D202" s="169" t="s">
        <v>803</v>
      </c>
      <c r="E202" s="154" t="s">
        <v>3</v>
      </c>
    </row>
    <row r="203" spans="1:5" hidden="1">
      <c r="A203">
        <f t="shared" si="3"/>
        <v>201</v>
      </c>
      <c r="B203" t="s">
        <v>753</v>
      </c>
      <c r="C203" s="170" t="s">
        <v>804</v>
      </c>
      <c r="D203" s="169" t="s">
        <v>805</v>
      </c>
      <c r="E203" s="154" t="s">
        <v>3</v>
      </c>
    </row>
    <row r="204" spans="1:5" hidden="1">
      <c r="A204">
        <f t="shared" si="3"/>
        <v>202</v>
      </c>
      <c r="B204" t="s">
        <v>753</v>
      </c>
      <c r="C204" s="170" t="s">
        <v>806</v>
      </c>
      <c r="D204" s="169" t="s">
        <v>807</v>
      </c>
      <c r="E204" s="154" t="s">
        <v>3</v>
      </c>
    </row>
    <row r="205" spans="1:5" hidden="1">
      <c r="A205">
        <f t="shared" si="3"/>
        <v>203</v>
      </c>
      <c r="B205" t="s">
        <v>753</v>
      </c>
      <c r="C205" s="170" t="s">
        <v>808</v>
      </c>
      <c r="D205" s="169" t="s">
        <v>809</v>
      </c>
      <c r="E205" s="154" t="s">
        <v>3</v>
      </c>
    </row>
    <row r="206" spans="1:5" hidden="1">
      <c r="A206">
        <f t="shared" si="3"/>
        <v>204</v>
      </c>
      <c r="B206" t="s">
        <v>753</v>
      </c>
      <c r="C206" s="170" t="s">
        <v>810</v>
      </c>
      <c r="D206" s="169" t="s">
        <v>811</v>
      </c>
      <c r="E206" s="154" t="s">
        <v>3</v>
      </c>
    </row>
    <row r="207" spans="1:5" hidden="1">
      <c r="A207">
        <f t="shared" si="3"/>
        <v>205</v>
      </c>
      <c r="B207" t="s">
        <v>753</v>
      </c>
      <c r="C207" s="170" t="s">
        <v>812</v>
      </c>
      <c r="D207" s="169" t="s">
        <v>813</v>
      </c>
      <c r="E207" s="154" t="s">
        <v>3</v>
      </c>
    </row>
    <row r="208" spans="1:5" hidden="1">
      <c r="A208">
        <f t="shared" si="3"/>
        <v>206</v>
      </c>
      <c r="B208" t="s">
        <v>753</v>
      </c>
      <c r="C208" s="170" t="s">
        <v>814</v>
      </c>
      <c r="D208" s="169" t="s">
        <v>815</v>
      </c>
      <c r="E208" s="154" t="s">
        <v>3</v>
      </c>
    </row>
    <row r="209" spans="1:5" hidden="1">
      <c r="A209">
        <f t="shared" si="3"/>
        <v>207</v>
      </c>
      <c r="B209" t="s">
        <v>753</v>
      </c>
      <c r="C209" s="170" t="s">
        <v>816</v>
      </c>
      <c r="D209" s="169" t="s">
        <v>817</v>
      </c>
      <c r="E209" s="154" t="s">
        <v>3</v>
      </c>
    </row>
    <row r="210" spans="1:5">
      <c r="A210">
        <f t="shared" si="3"/>
        <v>208</v>
      </c>
      <c r="B210" t="s">
        <v>818</v>
      </c>
      <c r="C210" t="s">
        <v>819</v>
      </c>
      <c r="D210" s="169" t="s">
        <v>820</v>
      </c>
      <c r="E210" s="154" t="s">
        <v>3</v>
      </c>
    </row>
    <row r="211" spans="1:5">
      <c r="A211">
        <f t="shared" si="3"/>
        <v>209</v>
      </c>
      <c r="B211" t="s">
        <v>818</v>
      </c>
      <c r="C211" t="s">
        <v>821</v>
      </c>
      <c r="D211" s="169" t="s">
        <v>820</v>
      </c>
      <c r="E211" s="154" t="s">
        <v>3</v>
      </c>
    </row>
    <row r="212" spans="1:5">
      <c r="A212">
        <f t="shared" si="3"/>
        <v>210</v>
      </c>
      <c r="B212" t="s">
        <v>818</v>
      </c>
      <c r="C212" t="s">
        <v>822</v>
      </c>
      <c r="D212" s="169" t="s">
        <v>820</v>
      </c>
      <c r="E212" s="154" t="s">
        <v>3</v>
      </c>
    </row>
    <row r="213" spans="1:5">
      <c r="A213">
        <f t="shared" si="3"/>
        <v>211</v>
      </c>
      <c r="B213" t="s">
        <v>818</v>
      </c>
      <c r="C213" s="170" t="s">
        <v>823</v>
      </c>
      <c r="D213" s="169" t="s">
        <v>820</v>
      </c>
      <c r="E213" s="154" t="s">
        <v>3</v>
      </c>
    </row>
    <row r="214" spans="1:5" hidden="1">
      <c r="A214">
        <f t="shared" si="3"/>
        <v>212</v>
      </c>
      <c r="B214" t="s">
        <v>824</v>
      </c>
      <c r="C214" s="170" t="s">
        <v>825</v>
      </c>
      <c r="D214" s="169" t="s">
        <v>824</v>
      </c>
      <c r="E214" s="154" t="s">
        <v>3</v>
      </c>
    </row>
    <row r="215" spans="1:5" hidden="1">
      <c r="A215">
        <f t="shared" si="3"/>
        <v>213</v>
      </c>
      <c r="B215" t="s">
        <v>824</v>
      </c>
      <c r="C215" t="s">
        <v>826</v>
      </c>
      <c r="D215" s="169" t="s">
        <v>824</v>
      </c>
      <c r="E215" s="154" t="s">
        <v>3</v>
      </c>
    </row>
    <row r="216" spans="1:5" hidden="1">
      <c r="A216">
        <f t="shared" si="3"/>
        <v>214</v>
      </c>
      <c r="B216" t="s">
        <v>824</v>
      </c>
      <c r="C216" s="170" t="s">
        <v>827</v>
      </c>
      <c r="D216" s="169" t="s">
        <v>824</v>
      </c>
      <c r="E216" s="154" t="s">
        <v>3</v>
      </c>
    </row>
    <row r="217" spans="1:5" hidden="1">
      <c r="A217">
        <f t="shared" si="3"/>
        <v>215</v>
      </c>
      <c r="B217" t="s">
        <v>824</v>
      </c>
      <c r="C217" t="s">
        <v>1536</v>
      </c>
      <c r="D217" s="169" t="s">
        <v>824</v>
      </c>
      <c r="E217" s="154" t="s">
        <v>3</v>
      </c>
    </row>
    <row r="218" spans="1:5" hidden="1">
      <c r="A218">
        <f t="shared" si="3"/>
        <v>216</v>
      </c>
      <c r="B218" t="s">
        <v>824</v>
      </c>
      <c r="C218" t="s">
        <v>828</v>
      </c>
      <c r="D218" s="169" t="s">
        <v>824</v>
      </c>
      <c r="E218" s="154" t="s">
        <v>3</v>
      </c>
    </row>
    <row r="219" spans="1:5" hidden="1">
      <c r="A219">
        <f t="shared" si="3"/>
        <v>217</v>
      </c>
      <c r="B219" t="s">
        <v>824</v>
      </c>
      <c r="C219" s="170" t="s">
        <v>829</v>
      </c>
      <c r="D219" s="169" t="s">
        <v>824</v>
      </c>
      <c r="E219" s="154" t="s">
        <v>3</v>
      </c>
    </row>
    <row r="220" spans="1:5" hidden="1">
      <c r="A220">
        <f t="shared" si="3"/>
        <v>218</v>
      </c>
      <c r="B220" t="s">
        <v>824</v>
      </c>
      <c r="C220" t="s">
        <v>830</v>
      </c>
      <c r="D220" s="169" t="s">
        <v>824</v>
      </c>
      <c r="E220" s="154" t="s">
        <v>3</v>
      </c>
    </row>
    <row r="221" spans="1:5" hidden="1">
      <c r="A221">
        <f t="shared" si="3"/>
        <v>219</v>
      </c>
      <c r="B221" t="s">
        <v>824</v>
      </c>
      <c r="C221" t="s">
        <v>831</v>
      </c>
      <c r="D221" s="169" t="s">
        <v>824</v>
      </c>
      <c r="E221" s="154" t="s">
        <v>3</v>
      </c>
    </row>
    <row r="222" spans="1:5" hidden="1">
      <c r="A222">
        <f t="shared" si="3"/>
        <v>220</v>
      </c>
      <c r="B222" t="s">
        <v>186</v>
      </c>
      <c r="C222" s="170" t="s">
        <v>65</v>
      </c>
      <c r="D222" s="169" t="s">
        <v>66</v>
      </c>
      <c r="E222" s="154" t="s">
        <v>3</v>
      </c>
    </row>
    <row r="223" spans="1:5" hidden="1">
      <c r="A223">
        <f t="shared" si="3"/>
        <v>221</v>
      </c>
      <c r="B223" t="s">
        <v>186</v>
      </c>
      <c r="C223" s="170" t="s">
        <v>82</v>
      </c>
      <c r="D223" s="169" t="s">
        <v>66</v>
      </c>
      <c r="E223" s="154" t="s">
        <v>3</v>
      </c>
    </row>
    <row r="224" spans="1:5" hidden="1">
      <c r="A224">
        <f t="shared" si="3"/>
        <v>222</v>
      </c>
      <c r="B224" t="s">
        <v>186</v>
      </c>
      <c r="C224" s="170" t="s">
        <v>83</v>
      </c>
      <c r="D224" s="169" t="s">
        <v>66</v>
      </c>
      <c r="E224" s="154" t="s">
        <v>3</v>
      </c>
    </row>
    <row r="225" spans="1:5" hidden="1">
      <c r="A225">
        <f t="shared" si="3"/>
        <v>223</v>
      </c>
      <c r="B225" t="s">
        <v>186</v>
      </c>
      <c r="C225" s="170" t="s">
        <v>84</v>
      </c>
      <c r="D225" s="169" t="s">
        <v>66</v>
      </c>
      <c r="E225" s="154" t="s">
        <v>3</v>
      </c>
    </row>
    <row r="226" spans="1:5" hidden="1">
      <c r="A226">
        <f t="shared" si="3"/>
        <v>224</v>
      </c>
      <c r="B226" t="s">
        <v>186</v>
      </c>
      <c r="C226" t="s">
        <v>85</v>
      </c>
      <c r="D226" s="169" t="s">
        <v>75</v>
      </c>
      <c r="E226" s="154" t="s">
        <v>3</v>
      </c>
    </row>
    <row r="227" spans="1:5" hidden="1">
      <c r="A227">
        <f t="shared" si="3"/>
        <v>225</v>
      </c>
      <c r="B227" t="s">
        <v>186</v>
      </c>
      <c r="C227" t="s">
        <v>86</v>
      </c>
      <c r="D227" s="169" t="s">
        <v>75</v>
      </c>
      <c r="E227" s="154" t="s">
        <v>3</v>
      </c>
    </row>
    <row r="228" spans="1:5" hidden="1">
      <c r="A228">
        <f t="shared" si="3"/>
        <v>226</v>
      </c>
      <c r="B228" t="s">
        <v>186</v>
      </c>
      <c r="C228" s="170" t="s">
        <v>18</v>
      </c>
      <c r="D228" s="169" t="s">
        <v>19</v>
      </c>
      <c r="E228" s="154" t="s">
        <v>3</v>
      </c>
    </row>
    <row r="229" spans="1:5" hidden="1">
      <c r="A229">
        <f t="shared" si="3"/>
        <v>227</v>
      </c>
      <c r="B229" t="s">
        <v>186</v>
      </c>
      <c r="C229" t="s">
        <v>832</v>
      </c>
      <c r="D229" s="169" t="s">
        <v>19</v>
      </c>
      <c r="E229" s="154" t="s">
        <v>3</v>
      </c>
    </row>
    <row r="230" spans="1:5" hidden="1">
      <c r="A230">
        <f t="shared" si="3"/>
        <v>228</v>
      </c>
      <c r="B230" t="s">
        <v>186</v>
      </c>
      <c r="C230" s="170" t="s">
        <v>32</v>
      </c>
      <c r="D230" s="169" t="s">
        <v>33</v>
      </c>
      <c r="E230" s="154" t="s">
        <v>3</v>
      </c>
    </row>
    <row r="231" spans="1:5" hidden="1">
      <c r="A231">
        <f t="shared" si="3"/>
        <v>229</v>
      </c>
      <c r="B231" t="s">
        <v>186</v>
      </c>
      <c r="C231" s="170" t="s">
        <v>36</v>
      </c>
      <c r="D231" s="169" t="s">
        <v>37</v>
      </c>
      <c r="E231" s="154" t="s">
        <v>3</v>
      </c>
    </row>
    <row r="232" spans="1:5" hidden="1">
      <c r="A232">
        <f t="shared" si="3"/>
        <v>230</v>
      </c>
      <c r="B232" t="s">
        <v>186</v>
      </c>
      <c r="C232" s="170" t="s">
        <v>1537</v>
      </c>
      <c r="D232" s="169" t="s">
        <v>76</v>
      </c>
      <c r="E232" s="154" t="s">
        <v>3</v>
      </c>
    </row>
    <row r="233" spans="1:5" hidden="1">
      <c r="A233">
        <f t="shared" si="3"/>
        <v>231</v>
      </c>
      <c r="B233" t="s">
        <v>186</v>
      </c>
      <c r="C233" s="207" t="s">
        <v>1581</v>
      </c>
      <c r="D233" s="169" t="s">
        <v>5</v>
      </c>
      <c r="E233" s="154" t="s">
        <v>3</v>
      </c>
    </row>
    <row r="234" spans="1:5" hidden="1">
      <c r="A234">
        <f t="shared" si="3"/>
        <v>232</v>
      </c>
      <c r="B234" t="s">
        <v>186</v>
      </c>
      <c r="C234" s="170" t="s">
        <v>4</v>
      </c>
      <c r="D234" s="169" t="s">
        <v>5</v>
      </c>
      <c r="E234" s="154" t="s">
        <v>3</v>
      </c>
    </row>
    <row r="235" spans="1:5" hidden="1">
      <c r="A235">
        <f t="shared" si="3"/>
        <v>233</v>
      </c>
      <c r="B235" t="s">
        <v>186</v>
      </c>
      <c r="C235" s="170" t="s">
        <v>87</v>
      </c>
      <c r="D235" s="169" t="s">
        <v>5</v>
      </c>
      <c r="E235" s="154" t="s">
        <v>3</v>
      </c>
    </row>
    <row r="236" spans="1:5" hidden="1">
      <c r="A236">
        <f t="shared" si="3"/>
        <v>234</v>
      </c>
      <c r="B236" t="s">
        <v>186</v>
      </c>
      <c r="C236" t="s">
        <v>10</v>
      </c>
      <c r="D236" s="169" t="s">
        <v>11</v>
      </c>
      <c r="E236" s="154" t="s">
        <v>3</v>
      </c>
    </row>
    <row r="237" spans="1:5" hidden="1">
      <c r="A237">
        <f t="shared" si="3"/>
        <v>235</v>
      </c>
      <c r="B237" t="s">
        <v>186</v>
      </c>
      <c r="C237" t="s">
        <v>16</v>
      </c>
      <c r="D237" s="169" t="s">
        <v>11</v>
      </c>
      <c r="E237" s="154" t="s">
        <v>3</v>
      </c>
    </row>
    <row r="238" spans="1:5" hidden="1">
      <c r="A238">
        <f t="shared" si="3"/>
        <v>236</v>
      </c>
      <c r="B238" t="s">
        <v>186</v>
      </c>
      <c r="C238" t="s">
        <v>88</v>
      </c>
      <c r="D238" s="169" t="s">
        <v>11</v>
      </c>
      <c r="E238" s="154" t="s">
        <v>3</v>
      </c>
    </row>
    <row r="239" spans="1:5" hidden="1">
      <c r="A239">
        <f t="shared" si="3"/>
        <v>237</v>
      </c>
      <c r="B239" t="s">
        <v>186</v>
      </c>
      <c r="C239" t="s">
        <v>833</v>
      </c>
      <c r="D239" s="169" t="s">
        <v>11</v>
      </c>
      <c r="E239" s="154" t="s">
        <v>3</v>
      </c>
    </row>
    <row r="240" spans="1:5" hidden="1">
      <c r="A240">
        <f t="shared" si="3"/>
        <v>238</v>
      </c>
      <c r="B240" t="s">
        <v>186</v>
      </c>
      <c r="C240" t="s">
        <v>13</v>
      </c>
      <c r="D240" s="169" t="s">
        <v>11</v>
      </c>
      <c r="E240" s="154" t="s">
        <v>3</v>
      </c>
    </row>
    <row r="241" spans="1:5" hidden="1">
      <c r="A241">
        <f t="shared" si="3"/>
        <v>239</v>
      </c>
      <c r="B241" t="s">
        <v>186</v>
      </c>
      <c r="C241" t="s">
        <v>20</v>
      </c>
      <c r="D241" s="169" t="s">
        <v>11</v>
      </c>
      <c r="E241" s="154" t="s">
        <v>3</v>
      </c>
    </row>
    <row r="242" spans="1:5" hidden="1">
      <c r="A242">
        <f t="shared" si="3"/>
        <v>240</v>
      </c>
      <c r="B242" t="s">
        <v>186</v>
      </c>
      <c r="C242" t="s">
        <v>27</v>
      </c>
      <c r="D242" s="169" t="s">
        <v>11</v>
      </c>
      <c r="E242" s="154" t="s">
        <v>3</v>
      </c>
    </row>
    <row r="243" spans="1:5" hidden="1">
      <c r="A243">
        <f t="shared" si="3"/>
        <v>241</v>
      </c>
      <c r="B243" t="s">
        <v>186</v>
      </c>
      <c r="C243" t="s">
        <v>23</v>
      </c>
      <c r="D243" s="169" t="s">
        <v>11</v>
      </c>
      <c r="E243" s="154" t="s">
        <v>3</v>
      </c>
    </row>
    <row r="244" spans="1:5" hidden="1">
      <c r="A244">
        <f t="shared" si="3"/>
        <v>242</v>
      </c>
      <c r="B244" t="s">
        <v>186</v>
      </c>
      <c r="C244" t="s">
        <v>12</v>
      </c>
      <c r="D244" s="169" t="s">
        <v>11</v>
      </c>
      <c r="E244" s="154" t="s">
        <v>3</v>
      </c>
    </row>
    <row r="245" spans="1:5" hidden="1">
      <c r="A245">
        <f t="shared" si="3"/>
        <v>243</v>
      </c>
      <c r="B245" t="s">
        <v>186</v>
      </c>
      <c r="C245" t="s">
        <v>52</v>
      </c>
      <c r="D245" s="169" t="s">
        <v>11</v>
      </c>
      <c r="E245" s="154" t="s">
        <v>3</v>
      </c>
    </row>
    <row r="246" spans="1:5" hidden="1">
      <c r="A246">
        <f t="shared" si="3"/>
        <v>244</v>
      </c>
      <c r="B246" t="s">
        <v>186</v>
      </c>
      <c r="C246" t="s">
        <v>834</v>
      </c>
      <c r="D246" s="169" t="s">
        <v>11</v>
      </c>
      <c r="E246" s="154" t="s">
        <v>3</v>
      </c>
    </row>
    <row r="247" spans="1:5" hidden="1">
      <c r="A247">
        <f t="shared" si="3"/>
        <v>245</v>
      </c>
      <c r="B247" t="s">
        <v>186</v>
      </c>
      <c r="C247" t="s">
        <v>89</v>
      </c>
      <c r="D247" s="169" t="s">
        <v>11</v>
      </c>
      <c r="E247" s="154" t="s">
        <v>3</v>
      </c>
    </row>
    <row r="248" spans="1:5" hidden="1">
      <c r="A248">
        <f t="shared" si="3"/>
        <v>246</v>
      </c>
      <c r="B248" t="s">
        <v>186</v>
      </c>
      <c r="C248" t="s">
        <v>1538</v>
      </c>
      <c r="D248" s="169" t="s">
        <v>11</v>
      </c>
      <c r="E248" s="154" t="s">
        <v>3</v>
      </c>
    </row>
    <row r="249" spans="1:5" hidden="1">
      <c r="A249">
        <f t="shared" si="3"/>
        <v>247</v>
      </c>
      <c r="B249" t="s">
        <v>186</v>
      </c>
      <c r="C249" t="s">
        <v>90</v>
      </c>
      <c r="D249" s="169" t="s">
        <v>11</v>
      </c>
      <c r="E249" s="154" t="s">
        <v>3</v>
      </c>
    </row>
    <row r="250" spans="1:5" hidden="1">
      <c r="A250">
        <f t="shared" si="3"/>
        <v>248</v>
      </c>
      <c r="B250" t="s">
        <v>186</v>
      </c>
      <c r="C250" t="s">
        <v>91</v>
      </c>
      <c r="D250" s="169" t="s">
        <v>11</v>
      </c>
      <c r="E250" s="154" t="s">
        <v>3</v>
      </c>
    </row>
    <row r="251" spans="1:5" hidden="1">
      <c r="A251">
        <f t="shared" si="3"/>
        <v>249</v>
      </c>
      <c r="B251" t="s">
        <v>186</v>
      </c>
      <c r="C251" t="s">
        <v>835</v>
      </c>
      <c r="D251" s="169" t="s">
        <v>11</v>
      </c>
      <c r="E251" s="154" t="s">
        <v>3</v>
      </c>
    </row>
    <row r="252" spans="1:5" hidden="1">
      <c r="A252">
        <f t="shared" si="3"/>
        <v>250</v>
      </c>
      <c r="B252" t="s">
        <v>186</v>
      </c>
      <c r="C252" t="s">
        <v>836</v>
      </c>
      <c r="D252" s="169" t="s">
        <v>11</v>
      </c>
      <c r="E252" s="154" t="s">
        <v>3</v>
      </c>
    </row>
    <row r="253" spans="1:5" hidden="1">
      <c r="A253">
        <f t="shared" si="3"/>
        <v>251</v>
      </c>
      <c r="B253" t="s">
        <v>186</v>
      </c>
      <c r="C253" t="s">
        <v>68</v>
      </c>
      <c r="D253" s="169" t="s">
        <v>69</v>
      </c>
      <c r="E253" s="154" t="s">
        <v>3</v>
      </c>
    </row>
    <row r="254" spans="1:5" hidden="1">
      <c r="A254">
        <f t="shared" si="3"/>
        <v>252</v>
      </c>
      <c r="B254" t="s">
        <v>186</v>
      </c>
      <c r="C254" s="207" t="s">
        <v>93</v>
      </c>
      <c r="D254" s="169" t="s">
        <v>78</v>
      </c>
      <c r="E254" s="154" t="s">
        <v>3</v>
      </c>
    </row>
    <row r="255" spans="1:5" hidden="1">
      <c r="A255">
        <f t="shared" si="3"/>
        <v>253</v>
      </c>
      <c r="B255" t="s">
        <v>186</v>
      </c>
      <c r="C255" s="170" t="s">
        <v>92</v>
      </c>
      <c r="D255" s="169" t="s">
        <v>77</v>
      </c>
      <c r="E255" s="154" t="s">
        <v>3</v>
      </c>
    </row>
    <row r="256" spans="1:5" hidden="1">
      <c r="A256">
        <f t="shared" si="3"/>
        <v>254</v>
      </c>
      <c r="B256" t="s">
        <v>186</v>
      </c>
      <c r="C256" s="170" t="s">
        <v>30</v>
      </c>
      <c r="D256" s="169" t="s">
        <v>31</v>
      </c>
      <c r="E256" s="154" t="s">
        <v>3</v>
      </c>
    </row>
    <row r="257" spans="1:5" hidden="1">
      <c r="A257">
        <f t="shared" si="3"/>
        <v>255</v>
      </c>
      <c r="B257" t="s">
        <v>186</v>
      </c>
      <c r="C257" s="170" t="s">
        <v>46</v>
      </c>
      <c r="D257" s="169" t="s">
        <v>47</v>
      </c>
      <c r="E257" s="154" t="s">
        <v>3</v>
      </c>
    </row>
    <row r="258" spans="1:5" hidden="1">
      <c r="A258">
        <f t="shared" si="3"/>
        <v>256</v>
      </c>
      <c r="B258" t="s">
        <v>186</v>
      </c>
      <c r="C258" s="170" t="s">
        <v>94</v>
      </c>
      <c r="D258" s="169" t="s">
        <v>47</v>
      </c>
      <c r="E258" s="154" t="s">
        <v>3</v>
      </c>
    </row>
    <row r="259" spans="1:5" hidden="1">
      <c r="A259">
        <f t="shared" si="3"/>
        <v>257</v>
      </c>
      <c r="B259" t="s">
        <v>186</v>
      </c>
      <c r="C259" s="170" t="s">
        <v>1539</v>
      </c>
      <c r="D259" s="169" t="s">
        <v>47</v>
      </c>
      <c r="E259" s="154" t="s">
        <v>3</v>
      </c>
    </row>
    <row r="260" spans="1:5" hidden="1">
      <c r="A260">
        <f t="shared" ref="A260:A323" si="4">A259+1</f>
        <v>258</v>
      </c>
      <c r="B260" t="s">
        <v>186</v>
      </c>
      <c r="C260" s="170" t="s">
        <v>48</v>
      </c>
      <c r="D260" s="169" t="s">
        <v>7</v>
      </c>
      <c r="E260" s="154" t="s">
        <v>3</v>
      </c>
    </row>
    <row r="261" spans="1:5" hidden="1">
      <c r="A261">
        <f t="shared" si="4"/>
        <v>259</v>
      </c>
      <c r="B261" t="s">
        <v>186</v>
      </c>
      <c r="C261" s="170" t="s">
        <v>6</v>
      </c>
      <c r="D261" s="169" t="s">
        <v>7</v>
      </c>
      <c r="E261" s="154" t="s">
        <v>3</v>
      </c>
    </row>
    <row r="262" spans="1:5" hidden="1">
      <c r="A262">
        <f t="shared" si="4"/>
        <v>260</v>
      </c>
      <c r="B262" t="s">
        <v>186</v>
      </c>
      <c r="C262" s="170" t="s">
        <v>44</v>
      </c>
      <c r="D262" s="169" t="s">
        <v>41</v>
      </c>
      <c r="E262" s="154" t="s">
        <v>3</v>
      </c>
    </row>
    <row r="263" spans="1:5" hidden="1">
      <c r="A263">
        <f t="shared" si="4"/>
        <v>261</v>
      </c>
      <c r="B263" t="s">
        <v>186</v>
      </c>
      <c r="C263" s="170" t="s">
        <v>40</v>
      </c>
      <c r="D263" s="169" t="s">
        <v>41</v>
      </c>
      <c r="E263" s="154" t="s">
        <v>3</v>
      </c>
    </row>
    <row r="264" spans="1:5" hidden="1">
      <c r="A264">
        <f t="shared" si="4"/>
        <v>262</v>
      </c>
      <c r="B264" t="s">
        <v>186</v>
      </c>
      <c r="C264" s="170" t="s">
        <v>1540</v>
      </c>
      <c r="D264" s="169" t="s">
        <v>41</v>
      </c>
      <c r="E264" s="154" t="s">
        <v>3</v>
      </c>
    </row>
    <row r="265" spans="1:5" hidden="1">
      <c r="A265">
        <f t="shared" si="4"/>
        <v>263</v>
      </c>
      <c r="B265" t="s">
        <v>186</v>
      </c>
      <c r="C265" s="170" t="s">
        <v>1541</v>
      </c>
      <c r="D265" s="169" t="s">
        <v>41</v>
      </c>
      <c r="E265" s="154" t="s">
        <v>3</v>
      </c>
    </row>
    <row r="266" spans="1:5" hidden="1">
      <c r="A266">
        <f t="shared" si="4"/>
        <v>264</v>
      </c>
      <c r="B266" t="s">
        <v>186</v>
      </c>
      <c r="C266" t="s">
        <v>17</v>
      </c>
      <c r="D266" s="169" t="s">
        <v>9</v>
      </c>
      <c r="E266" s="154" t="s">
        <v>3</v>
      </c>
    </row>
    <row r="267" spans="1:5" hidden="1">
      <c r="A267">
        <f t="shared" si="4"/>
        <v>265</v>
      </c>
      <c r="B267" t="s">
        <v>186</v>
      </c>
      <c r="C267" t="s">
        <v>26</v>
      </c>
      <c r="D267" s="169" t="s">
        <v>9</v>
      </c>
      <c r="E267" s="154" t="s">
        <v>3</v>
      </c>
    </row>
    <row r="268" spans="1:5" hidden="1">
      <c r="A268">
        <f t="shared" si="4"/>
        <v>266</v>
      </c>
      <c r="B268" t="s">
        <v>186</v>
      </c>
      <c r="C268" t="s">
        <v>8</v>
      </c>
      <c r="D268" s="169" t="s">
        <v>9</v>
      </c>
      <c r="E268" s="154" t="s">
        <v>3</v>
      </c>
    </row>
    <row r="269" spans="1:5" hidden="1">
      <c r="A269">
        <f t="shared" si="4"/>
        <v>267</v>
      </c>
      <c r="B269" t="s">
        <v>186</v>
      </c>
      <c r="C269" t="s">
        <v>837</v>
      </c>
      <c r="D269" s="169" t="s">
        <v>9</v>
      </c>
      <c r="E269" s="154" t="s">
        <v>3</v>
      </c>
    </row>
    <row r="270" spans="1:5" hidden="1">
      <c r="A270">
        <f t="shared" si="4"/>
        <v>268</v>
      </c>
      <c r="B270" t="s">
        <v>186</v>
      </c>
      <c r="C270" t="s">
        <v>838</v>
      </c>
      <c r="D270" s="169" t="s">
        <v>9</v>
      </c>
      <c r="E270" s="154" t="s">
        <v>3</v>
      </c>
    </row>
    <row r="271" spans="1:5" hidden="1">
      <c r="A271">
        <f t="shared" si="4"/>
        <v>269</v>
      </c>
      <c r="B271" t="s">
        <v>186</v>
      </c>
      <c r="C271" t="s">
        <v>15</v>
      </c>
      <c r="D271" s="169" t="s">
        <v>9</v>
      </c>
      <c r="E271" s="154" t="s">
        <v>3</v>
      </c>
    </row>
    <row r="272" spans="1:5" hidden="1">
      <c r="A272">
        <f t="shared" si="4"/>
        <v>270</v>
      </c>
      <c r="B272" t="s">
        <v>186</v>
      </c>
      <c r="C272" t="s">
        <v>95</v>
      </c>
      <c r="D272" s="169" t="s">
        <v>9</v>
      </c>
      <c r="E272" s="154" t="s">
        <v>3</v>
      </c>
    </row>
    <row r="273" spans="1:5" hidden="1">
      <c r="A273">
        <f t="shared" si="4"/>
        <v>271</v>
      </c>
      <c r="B273" t="s">
        <v>186</v>
      </c>
      <c r="C273" t="s">
        <v>839</v>
      </c>
      <c r="D273" s="169" t="s">
        <v>9</v>
      </c>
      <c r="E273" s="154" t="s">
        <v>3</v>
      </c>
    </row>
    <row r="274" spans="1:5" hidden="1">
      <c r="A274">
        <f t="shared" si="4"/>
        <v>272</v>
      </c>
      <c r="B274" t="s">
        <v>186</v>
      </c>
      <c r="C274" t="s">
        <v>840</v>
      </c>
      <c r="D274" s="169" t="s">
        <v>9</v>
      </c>
      <c r="E274" s="154" t="s">
        <v>3</v>
      </c>
    </row>
    <row r="275" spans="1:5" hidden="1">
      <c r="A275">
        <f t="shared" si="4"/>
        <v>273</v>
      </c>
      <c r="B275" t="s">
        <v>186</v>
      </c>
      <c r="C275" t="s">
        <v>96</v>
      </c>
      <c r="D275" s="169" t="s">
        <v>9</v>
      </c>
      <c r="E275" s="154" t="s">
        <v>3</v>
      </c>
    </row>
    <row r="276" spans="1:5" hidden="1">
      <c r="A276">
        <f t="shared" si="4"/>
        <v>274</v>
      </c>
      <c r="B276" t="s">
        <v>186</v>
      </c>
      <c r="C276" s="207" t="s">
        <v>841</v>
      </c>
      <c r="D276" s="169" t="s">
        <v>9</v>
      </c>
      <c r="E276" s="154" t="s">
        <v>3</v>
      </c>
    </row>
    <row r="277" spans="1:5" hidden="1">
      <c r="A277">
        <f t="shared" si="4"/>
        <v>275</v>
      </c>
      <c r="B277" t="s">
        <v>186</v>
      </c>
      <c r="C277" s="170" t="s">
        <v>24</v>
      </c>
      <c r="D277" s="169" t="s">
        <v>25</v>
      </c>
      <c r="E277" s="154" t="s">
        <v>3</v>
      </c>
    </row>
    <row r="278" spans="1:5" hidden="1">
      <c r="A278">
        <f t="shared" si="4"/>
        <v>276</v>
      </c>
      <c r="B278" t="s">
        <v>186</v>
      </c>
      <c r="C278" s="170" t="s">
        <v>1</v>
      </c>
      <c r="D278" s="169" t="s">
        <v>2</v>
      </c>
      <c r="E278" s="154" t="s">
        <v>3</v>
      </c>
    </row>
    <row r="279" spans="1:5" hidden="1">
      <c r="A279">
        <f t="shared" si="4"/>
        <v>277</v>
      </c>
      <c r="B279" t="s">
        <v>186</v>
      </c>
      <c r="C279" s="170" t="s">
        <v>14</v>
      </c>
      <c r="D279" s="169" t="s">
        <v>2</v>
      </c>
      <c r="E279" s="154" t="s">
        <v>3</v>
      </c>
    </row>
    <row r="280" spans="1:5" hidden="1">
      <c r="A280">
        <f t="shared" si="4"/>
        <v>278</v>
      </c>
      <c r="B280" t="s">
        <v>186</v>
      </c>
      <c r="C280" s="170" t="s">
        <v>81</v>
      </c>
      <c r="D280" s="169" t="s">
        <v>74</v>
      </c>
      <c r="E280" s="154" t="s">
        <v>73</v>
      </c>
    </row>
    <row r="281" spans="1:5" hidden="1">
      <c r="A281">
        <f t="shared" si="4"/>
        <v>279</v>
      </c>
      <c r="B281" t="s">
        <v>186</v>
      </c>
      <c r="C281" s="170" t="s">
        <v>21</v>
      </c>
      <c r="D281" s="169" t="s">
        <v>22</v>
      </c>
      <c r="E281" s="154" t="s">
        <v>3</v>
      </c>
    </row>
    <row r="282" spans="1:5" hidden="1">
      <c r="A282">
        <f t="shared" si="4"/>
        <v>280</v>
      </c>
      <c r="B282" t="s">
        <v>186</v>
      </c>
      <c r="C282" s="207" t="s">
        <v>97</v>
      </c>
      <c r="D282" s="169" t="s">
        <v>79</v>
      </c>
      <c r="E282" s="154" t="s">
        <v>3</v>
      </c>
    </row>
    <row r="283" spans="1:5" hidden="1">
      <c r="A283">
        <f t="shared" si="4"/>
        <v>281</v>
      </c>
      <c r="B283" t="s">
        <v>186</v>
      </c>
      <c r="C283" s="170" t="s">
        <v>70</v>
      </c>
      <c r="D283" s="169" t="s">
        <v>29</v>
      </c>
      <c r="E283" s="154" t="s">
        <v>3</v>
      </c>
    </row>
    <row r="284" spans="1:5" hidden="1">
      <c r="A284">
        <f t="shared" si="4"/>
        <v>282</v>
      </c>
      <c r="B284" t="s">
        <v>186</v>
      </c>
      <c r="C284" s="170" t="s">
        <v>98</v>
      </c>
      <c r="D284" s="169" t="s">
        <v>29</v>
      </c>
      <c r="E284" s="154" t="s">
        <v>3</v>
      </c>
    </row>
    <row r="285" spans="1:5" hidden="1">
      <c r="A285">
        <f t="shared" si="4"/>
        <v>283</v>
      </c>
      <c r="B285" t="s">
        <v>186</v>
      </c>
      <c r="C285" s="207" t="s">
        <v>28</v>
      </c>
      <c r="D285" s="169" t="s">
        <v>29</v>
      </c>
      <c r="E285" s="154" t="s">
        <v>3</v>
      </c>
    </row>
    <row r="286" spans="1:5" hidden="1">
      <c r="A286">
        <f t="shared" si="4"/>
        <v>284</v>
      </c>
      <c r="B286" t="s">
        <v>186</v>
      </c>
      <c r="C286" s="170" t="s">
        <v>99</v>
      </c>
      <c r="D286" s="169" t="s">
        <v>29</v>
      </c>
      <c r="E286" s="154" t="s">
        <v>3</v>
      </c>
    </row>
    <row r="287" spans="1:5" hidden="1">
      <c r="A287">
        <f t="shared" si="4"/>
        <v>285</v>
      </c>
      <c r="B287" t="s">
        <v>186</v>
      </c>
      <c r="C287" t="s">
        <v>100</v>
      </c>
      <c r="D287" s="169" t="s">
        <v>80</v>
      </c>
      <c r="E287" s="154" t="s">
        <v>3</v>
      </c>
    </row>
    <row r="288" spans="1:5" hidden="1">
      <c r="A288">
        <f t="shared" si="4"/>
        <v>286</v>
      </c>
      <c r="B288" t="s">
        <v>186</v>
      </c>
      <c r="C288" t="s">
        <v>45</v>
      </c>
      <c r="D288" s="169" t="s">
        <v>39</v>
      </c>
      <c r="E288" s="154" t="s">
        <v>3</v>
      </c>
    </row>
    <row r="289" spans="1:5" hidden="1">
      <c r="A289">
        <f t="shared" si="4"/>
        <v>287</v>
      </c>
      <c r="B289" t="s">
        <v>186</v>
      </c>
      <c r="C289" s="207" t="s">
        <v>842</v>
      </c>
      <c r="D289" s="169" t="s">
        <v>39</v>
      </c>
      <c r="E289" s="154" t="s">
        <v>3</v>
      </c>
    </row>
    <row r="290" spans="1:5" hidden="1">
      <c r="A290">
        <f t="shared" si="4"/>
        <v>288</v>
      </c>
      <c r="B290" t="s">
        <v>186</v>
      </c>
      <c r="C290" s="170" t="s">
        <v>43</v>
      </c>
      <c r="D290" s="169" t="s">
        <v>39</v>
      </c>
      <c r="E290" s="154" t="s">
        <v>3</v>
      </c>
    </row>
    <row r="291" spans="1:5" hidden="1">
      <c r="A291">
        <f t="shared" si="4"/>
        <v>289</v>
      </c>
      <c r="B291" t="s">
        <v>186</v>
      </c>
      <c r="C291" t="s">
        <v>42</v>
      </c>
      <c r="D291" s="169" t="s">
        <v>39</v>
      </c>
      <c r="E291" s="154" t="s">
        <v>3</v>
      </c>
    </row>
    <row r="292" spans="1:5" hidden="1">
      <c r="A292">
        <f t="shared" si="4"/>
        <v>290</v>
      </c>
      <c r="B292" t="s">
        <v>186</v>
      </c>
      <c r="C292" t="s">
        <v>1542</v>
      </c>
      <c r="D292" s="169" t="s">
        <v>39</v>
      </c>
      <c r="E292" s="154" t="s">
        <v>3</v>
      </c>
    </row>
    <row r="293" spans="1:5" hidden="1">
      <c r="A293">
        <f t="shared" si="4"/>
        <v>291</v>
      </c>
      <c r="B293" t="s">
        <v>186</v>
      </c>
      <c r="C293" t="s">
        <v>61</v>
      </c>
      <c r="D293" s="169" t="s">
        <v>39</v>
      </c>
      <c r="E293" s="154" t="s">
        <v>3</v>
      </c>
    </row>
    <row r="294" spans="1:5" hidden="1">
      <c r="A294">
        <f t="shared" si="4"/>
        <v>292</v>
      </c>
      <c r="B294" t="s">
        <v>186</v>
      </c>
      <c r="C294" t="s">
        <v>57</v>
      </c>
      <c r="D294" s="169" t="s">
        <v>39</v>
      </c>
      <c r="E294" s="154" t="s">
        <v>3</v>
      </c>
    </row>
    <row r="295" spans="1:5" hidden="1">
      <c r="A295">
        <f t="shared" si="4"/>
        <v>293</v>
      </c>
      <c r="B295" t="s">
        <v>186</v>
      </c>
      <c r="C295" t="s">
        <v>56</v>
      </c>
      <c r="D295" s="169" t="s">
        <v>39</v>
      </c>
      <c r="E295" s="154" t="s">
        <v>3</v>
      </c>
    </row>
    <row r="296" spans="1:5" hidden="1">
      <c r="A296">
        <f t="shared" si="4"/>
        <v>294</v>
      </c>
      <c r="B296" t="s">
        <v>186</v>
      </c>
      <c r="C296" t="s">
        <v>67</v>
      </c>
      <c r="D296" s="169" t="s">
        <v>39</v>
      </c>
      <c r="E296" s="154" t="s">
        <v>3</v>
      </c>
    </row>
    <row r="297" spans="1:5" hidden="1">
      <c r="A297">
        <f t="shared" si="4"/>
        <v>295</v>
      </c>
      <c r="B297" t="s">
        <v>186</v>
      </c>
      <c r="C297" t="s">
        <v>843</v>
      </c>
      <c r="D297" s="169" t="s">
        <v>39</v>
      </c>
      <c r="E297" s="154" t="s">
        <v>3</v>
      </c>
    </row>
    <row r="298" spans="1:5" hidden="1">
      <c r="A298">
        <f t="shared" si="4"/>
        <v>296</v>
      </c>
      <c r="B298" t="s">
        <v>186</v>
      </c>
      <c r="C298" t="s">
        <v>71</v>
      </c>
      <c r="D298" s="169" t="s">
        <v>39</v>
      </c>
      <c r="E298" s="154" t="s">
        <v>3</v>
      </c>
    </row>
    <row r="299" spans="1:5" hidden="1">
      <c r="A299">
        <f t="shared" si="4"/>
        <v>297</v>
      </c>
      <c r="B299" t="s">
        <v>186</v>
      </c>
      <c r="C299" t="s">
        <v>51</v>
      </c>
      <c r="D299" s="169" t="s">
        <v>39</v>
      </c>
      <c r="E299" s="154" t="s">
        <v>3</v>
      </c>
    </row>
    <row r="300" spans="1:5" hidden="1">
      <c r="A300">
        <f t="shared" si="4"/>
        <v>298</v>
      </c>
      <c r="B300" t="s">
        <v>186</v>
      </c>
      <c r="C300" t="s">
        <v>55</v>
      </c>
      <c r="D300" s="169" t="s">
        <v>39</v>
      </c>
      <c r="E300" s="154" t="s">
        <v>3</v>
      </c>
    </row>
    <row r="301" spans="1:5" hidden="1">
      <c r="A301">
        <f t="shared" si="4"/>
        <v>299</v>
      </c>
      <c r="B301" t="s">
        <v>186</v>
      </c>
      <c r="C301" t="s">
        <v>58</v>
      </c>
      <c r="D301" s="169" t="s">
        <v>39</v>
      </c>
      <c r="E301" s="154" t="s">
        <v>3</v>
      </c>
    </row>
    <row r="302" spans="1:5" hidden="1">
      <c r="A302">
        <f t="shared" si="4"/>
        <v>300</v>
      </c>
      <c r="B302" t="s">
        <v>186</v>
      </c>
      <c r="C302" t="s">
        <v>1543</v>
      </c>
      <c r="D302" s="169" t="s">
        <v>39</v>
      </c>
      <c r="E302" s="154" t="s">
        <v>3</v>
      </c>
    </row>
    <row r="303" spans="1:5" hidden="1">
      <c r="A303">
        <f t="shared" si="4"/>
        <v>301</v>
      </c>
      <c r="B303" t="s">
        <v>186</v>
      </c>
      <c r="C303" t="s">
        <v>1544</v>
      </c>
      <c r="D303" s="169" t="s">
        <v>39</v>
      </c>
      <c r="E303" s="154" t="s">
        <v>3</v>
      </c>
    </row>
    <row r="304" spans="1:5" hidden="1">
      <c r="A304">
        <f t="shared" si="4"/>
        <v>302</v>
      </c>
      <c r="B304" t="s">
        <v>186</v>
      </c>
      <c r="C304" t="s">
        <v>1545</v>
      </c>
      <c r="D304" s="169" t="s">
        <v>39</v>
      </c>
      <c r="E304" s="154" t="s">
        <v>3</v>
      </c>
    </row>
    <row r="305" spans="1:5" hidden="1">
      <c r="A305">
        <f t="shared" si="4"/>
        <v>303</v>
      </c>
      <c r="B305" t="s">
        <v>186</v>
      </c>
      <c r="C305" t="s">
        <v>1546</v>
      </c>
      <c r="D305" s="169" t="s">
        <v>39</v>
      </c>
      <c r="E305" s="154" t="s">
        <v>3</v>
      </c>
    </row>
    <row r="306" spans="1:5" hidden="1">
      <c r="A306">
        <f t="shared" si="4"/>
        <v>304</v>
      </c>
      <c r="B306" t="s">
        <v>186</v>
      </c>
      <c r="C306" t="s">
        <v>1547</v>
      </c>
      <c r="D306" s="169" t="s">
        <v>39</v>
      </c>
      <c r="E306" s="154" t="s">
        <v>3</v>
      </c>
    </row>
    <row r="307" spans="1:5" hidden="1">
      <c r="A307">
        <f t="shared" si="4"/>
        <v>305</v>
      </c>
      <c r="B307" t="s">
        <v>186</v>
      </c>
      <c r="C307" t="s">
        <v>1548</v>
      </c>
      <c r="D307" s="169" t="s">
        <v>39</v>
      </c>
      <c r="E307" s="154" t="s">
        <v>3</v>
      </c>
    </row>
    <row r="308" spans="1:5" hidden="1">
      <c r="A308">
        <f t="shared" si="4"/>
        <v>306</v>
      </c>
      <c r="B308" t="s">
        <v>186</v>
      </c>
      <c r="C308" t="s">
        <v>64</v>
      </c>
      <c r="D308" s="169" t="s">
        <v>39</v>
      </c>
      <c r="E308" s="154" t="s">
        <v>3</v>
      </c>
    </row>
    <row r="309" spans="1:5" hidden="1">
      <c r="A309">
        <f t="shared" si="4"/>
        <v>307</v>
      </c>
      <c r="B309" t="s">
        <v>186</v>
      </c>
      <c r="C309" t="s">
        <v>1549</v>
      </c>
      <c r="D309" s="169" t="s">
        <v>39</v>
      </c>
      <c r="E309" s="154" t="s">
        <v>3</v>
      </c>
    </row>
    <row r="310" spans="1:5" hidden="1">
      <c r="A310">
        <f t="shared" si="4"/>
        <v>308</v>
      </c>
      <c r="B310" t="s">
        <v>186</v>
      </c>
      <c r="C310" t="s">
        <v>1550</v>
      </c>
      <c r="D310" s="169" t="s">
        <v>39</v>
      </c>
      <c r="E310" s="154" t="s">
        <v>3</v>
      </c>
    </row>
    <row r="311" spans="1:5" hidden="1">
      <c r="A311">
        <f t="shared" si="4"/>
        <v>309</v>
      </c>
      <c r="B311" t="s">
        <v>186</v>
      </c>
      <c r="C311" t="s">
        <v>62</v>
      </c>
      <c r="D311" s="169" t="s">
        <v>39</v>
      </c>
      <c r="E311" s="154" t="s">
        <v>3</v>
      </c>
    </row>
    <row r="312" spans="1:5" hidden="1">
      <c r="A312">
        <f t="shared" si="4"/>
        <v>310</v>
      </c>
      <c r="B312" t="s">
        <v>186</v>
      </c>
      <c r="C312" t="s">
        <v>1551</v>
      </c>
      <c r="D312" s="169" t="s">
        <v>39</v>
      </c>
      <c r="E312" s="154" t="s">
        <v>3</v>
      </c>
    </row>
    <row r="313" spans="1:5" hidden="1">
      <c r="A313">
        <f t="shared" si="4"/>
        <v>311</v>
      </c>
      <c r="B313" t="s">
        <v>186</v>
      </c>
      <c r="C313" t="s">
        <v>1552</v>
      </c>
      <c r="D313" s="169" t="s">
        <v>39</v>
      </c>
      <c r="E313" s="154" t="s">
        <v>3</v>
      </c>
    </row>
    <row r="314" spans="1:5" hidden="1">
      <c r="A314">
        <f t="shared" si="4"/>
        <v>312</v>
      </c>
      <c r="B314" t="s">
        <v>186</v>
      </c>
      <c r="C314" t="s">
        <v>63</v>
      </c>
      <c r="D314" s="169" t="s">
        <v>39</v>
      </c>
      <c r="E314" s="154" t="s">
        <v>3</v>
      </c>
    </row>
    <row r="315" spans="1:5" hidden="1">
      <c r="A315">
        <f t="shared" si="4"/>
        <v>313</v>
      </c>
      <c r="B315" t="s">
        <v>186</v>
      </c>
      <c r="C315" t="s">
        <v>1553</v>
      </c>
      <c r="D315" s="169" t="s">
        <v>39</v>
      </c>
      <c r="E315" s="154" t="s">
        <v>3</v>
      </c>
    </row>
    <row r="316" spans="1:5" hidden="1">
      <c r="A316">
        <f t="shared" si="4"/>
        <v>314</v>
      </c>
      <c r="B316" t="s">
        <v>186</v>
      </c>
      <c r="C316" t="s">
        <v>844</v>
      </c>
      <c r="D316" s="169" t="s">
        <v>39</v>
      </c>
      <c r="E316" s="154" t="s">
        <v>3</v>
      </c>
    </row>
    <row r="317" spans="1:5" hidden="1">
      <c r="A317">
        <f t="shared" si="4"/>
        <v>315</v>
      </c>
      <c r="B317" t="s">
        <v>186</v>
      </c>
      <c r="C317" t="s">
        <v>60</v>
      </c>
      <c r="D317" s="169" t="s">
        <v>39</v>
      </c>
      <c r="E317" s="154" t="s">
        <v>3</v>
      </c>
    </row>
    <row r="318" spans="1:5" hidden="1">
      <c r="A318">
        <f t="shared" si="4"/>
        <v>316</v>
      </c>
      <c r="B318" t="s">
        <v>186</v>
      </c>
      <c r="C318" t="s">
        <v>59</v>
      </c>
      <c r="D318" s="169" t="s">
        <v>39</v>
      </c>
      <c r="E318" s="154" t="s">
        <v>3</v>
      </c>
    </row>
    <row r="319" spans="1:5" hidden="1">
      <c r="A319">
        <f t="shared" si="4"/>
        <v>317</v>
      </c>
      <c r="B319" t="s">
        <v>186</v>
      </c>
      <c r="C319" t="s">
        <v>50</v>
      </c>
      <c r="D319" s="169" t="s">
        <v>39</v>
      </c>
      <c r="E319" s="154" t="s">
        <v>3</v>
      </c>
    </row>
    <row r="320" spans="1:5" hidden="1">
      <c r="A320">
        <f t="shared" si="4"/>
        <v>318</v>
      </c>
      <c r="B320" t="s">
        <v>186</v>
      </c>
      <c r="C320" t="s">
        <v>1554</v>
      </c>
      <c r="D320" s="169" t="s">
        <v>39</v>
      </c>
      <c r="E320" s="154" t="s">
        <v>3</v>
      </c>
    </row>
    <row r="321" spans="1:5" hidden="1">
      <c r="A321">
        <f t="shared" si="4"/>
        <v>319</v>
      </c>
      <c r="B321" t="s">
        <v>186</v>
      </c>
      <c r="C321" t="s">
        <v>1555</v>
      </c>
      <c r="D321" s="169" t="s">
        <v>39</v>
      </c>
      <c r="E321" s="154" t="s">
        <v>3</v>
      </c>
    </row>
    <row r="322" spans="1:5" hidden="1">
      <c r="A322">
        <f t="shared" si="4"/>
        <v>320</v>
      </c>
      <c r="B322" t="s">
        <v>186</v>
      </c>
      <c r="C322" t="s">
        <v>1556</v>
      </c>
      <c r="D322" s="169" t="s">
        <v>39</v>
      </c>
      <c r="E322" s="154" t="s">
        <v>3</v>
      </c>
    </row>
    <row r="323" spans="1:5" hidden="1">
      <c r="A323">
        <f t="shared" si="4"/>
        <v>321</v>
      </c>
      <c r="B323" t="s">
        <v>186</v>
      </c>
      <c r="C323" t="s">
        <v>1557</v>
      </c>
      <c r="D323" s="169" t="s">
        <v>39</v>
      </c>
      <c r="E323" s="154" t="s">
        <v>3</v>
      </c>
    </row>
    <row r="324" spans="1:5" hidden="1">
      <c r="A324">
        <f t="shared" ref="A324:A387" si="5">A323+1</f>
        <v>322</v>
      </c>
      <c r="B324" t="s">
        <v>186</v>
      </c>
      <c r="C324" t="s">
        <v>1558</v>
      </c>
      <c r="D324" s="169" t="s">
        <v>39</v>
      </c>
      <c r="E324" s="154" t="s">
        <v>3</v>
      </c>
    </row>
    <row r="325" spans="1:5" hidden="1">
      <c r="A325">
        <f t="shared" si="5"/>
        <v>323</v>
      </c>
      <c r="B325" t="s">
        <v>186</v>
      </c>
      <c r="C325" t="s">
        <v>1559</v>
      </c>
      <c r="D325" s="169" t="s">
        <v>39</v>
      </c>
      <c r="E325" s="154" t="s">
        <v>3</v>
      </c>
    </row>
    <row r="326" spans="1:5" hidden="1">
      <c r="A326">
        <f t="shared" si="5"/>
        <v>324</v>
      </c>
      <c r="B326" t="s">
        <v>186</v>
      </c>
      <c r="C326" t="s">
        <v>1560</v>
      </c>
      <c r="D326" s="169" t="s">
        <v>39</v>
      </c>
      <c r="E326" s="154" t="s">
        <v>3</v>
      </c>
    </row>
    <row r="327" spans="1:5" hidden="1">
      <c r="A327">
        <f t="shared" si="5"/>
        <v>325</v>
      </c>
      <c r="B327" t="s">
        <v>186</v>
      </c>
      <c r="C327" t="s">
        <v>54</v>
      </c>
      <c r="D327" s="169" t="s">
        <v>39</v>
      </c>
      <c r="E327" s="154" t="s">
        <v>3</v>
      </c>
    </row>
    <row r="328" spans="1:5" hidden="1">
      <c r="A328">
        <f t="shared" si="5"/>
        <v>326</v>
      </c>
      <c r="B328" t="s">
        <v>186</v>
      </c>
      <c r="C328" t="s">
        <v>38</v>
      </c>
      <c r="D328" s="169" t="s">
        <v>39</v>
      </c>
      <c r="E328" s="154" t="s">
        <v>3</v>
      </c>
    </row>
    <row r="329" spans="1:5" hidden="1">
      <c r="A329">
        <f t="shared" si="5"/>
        <v>327</v>
      </c>
      <c r="B329" t="s">
        <v>186</v>
      </c>
      <c r="C329" t="s">
        <v>1561</v>
      </c>
      <c r="D329" s="169" t="s">
        <v>39</v>
      </c>
      <c r="E329" s="154" t="s">
        <v>3</v>
      </c>
    </row>
    <row r="330" spans="1:5" hidden="1">
      <c r="A330">
        <f t="shared" si="5"/>
        <v>328</v>
      </c>
      <c r="B330" t="s">
        <v>186</v>
      </c>
      <c r="C330" t="s">
        <v>49</v>
      </c>
      <c r="D330" s="169" t="s">
        <v>39</v>
      </c>
      <c r="E330" s="154" t="s">
        <v>3</v>
      </c>
    </row>
    <row r="331" spans="1:5" hidden="1">
      <c r="A331">
        <f t="shared" si="5"/>
        <v>329</v>
      </c>
      <c r="B331" t="s">
        <v>186</v>
      </c>
      <c r="C331" t="s">
        <v>845</v>
      </c>
      <c r="D331" s="169" t="s">
        <v>39</v>
      </c>
      <c r="E331" s="154" t="s">
        <v>3</v>
      </c>
    </row>
    <row r="332" spans="1:5" hidden="1">
      <c r="A332">
        <f t="shared" si="5"/>
        <v>330</v>
      </c>
      <c r="B332" t="s">
        <v>186</v>
      </c>
      <c r="C332" t="s">
        <v>846</v>
      </c>
      <c r="D332" s="169" t="s">
        <v>39</v>
      </c>
      <c r="E332" s="154" t="s">
        <v>3</v>
      </c>
    </row>
    <row r="333" spans="1:5" hidden="1">
      <c r="A333">
        <f t="shared" si="5"/>
        <v>331</v>
      </c>
      <c r="B333" t="s">
        <v>186</v>
      </c>
      <c r="C333" t="s">
        <v>847</v>
      </c>
      <c r="D333" s="169" t="s">
        <v>39</v>
      </c>
      <c r="E333" s="154" t="s">
        <v>3</v>
      </c>
    </row>
    <row r="334" spans="1:5" hidden="1">
      <c r="A334">
        <f t="shared" si="5"/>
        <v>332</v>
      </c>
      <c r="B334" t="s">
        <v>186</v>
      </c>
      <c r="C334" t="s">
        <v>848</v>
      </c>
      <c r="D334" s="169" t="s">
        <v>39</v>
      </c>
      <c r="E334" s="154" t="s">
        <v>3</v>
      </c>
    </row>
    <row r="335" spans="1:5" hidden="1">
      <c r="A335">
        <f t="shared" si="5"/>
        <v>333</v>
      </c>
      <c r="B335" t="s">
        <v>186</v>
      </c>
      <c r="C335" t="s">
        <v>849</v>
      </c>
      <c r="D335" s="169" t="s">
        <v>39</v>
      </c>
      <c r="E335" s="154" t="s">
        <v>3</v>
      </c>
    </row>
    <row r="336" spans="1:5" hidden="1">
      <c r="A336">
        <f t="shared" si="5"/>
        <v>334</v>
      </c>
      <c r="B336" t="s">
        <v>186</v>
      </c>
      <c r="C336" t="s">
        <v>850</v>
      </c>
      <c r="D336" s="169" t="s">
        <v>39</v>
      </c>
      <c r="E336" s="154" t="s">
        <v>3</v>
      </c>
    </row>
    <row r="337" spans="1:5" hidden="1">
      <c r="A337">
        <f t="shared" si="5"/>
        <v>335</v>
      </c>
      <c r="B337" t="s">
        <v>186</v>
      </c>
      <c r="C337" s="207" t="s">
        <v>851</v>
      </c>
      <c r="D337" s="169" t="s">
        <v>39</v>
      </c>
      <c r="E337" s="154" t="s">
        <v>3</v>
      </c>
    </row>
    <row r="338" spans="1:5" hidden="1">
      <c r="A338">
        <f t="shared" si="5"/>
        <v>336</v>
      </c>
      <c r="B338" t="s">
        <v>186</v>
      </c>
      <c r="C338" s="170" t="s">
        <v>101</v>
      </c>
      <c r="D338" s="169" t="s">
        <v>39</v>
      </c>
      <c r="E338" s="154" t="s">
        <v>3</v>
      </c>
    </row>
    <row r="339" spans="1:5" hidden="1">
      <c r="A339">
        <f t="shared" si="5"/>
        <v>337</v>
      </c>
      <c r="B339" t="s">
        <v>186</v>
      </c>
      <c r="C339" t="s">
        <v>852</v>
      </c>
      <c r="D339" s="169" t="s">
        <v>39</v>
      </c>
      <c r="E339" s="154" t="s">
        <v>3</v>
      </c>
    </row>
    <row r="340" spans="1:5" hidden="1">
      <c r="A340">
        <f t="shared" si="5"/>
        <v>338</v>
      </c>
      <c r="B340" t="s">
        <v>186</v>
      </c>
      <c r="C340" t="s">
        <v>853</v>
      </c>
      <c r="D340" s="169" t="s">
        <v>39</v>
      </c>
      <c r="E340" s="154" t="s">
        <v>3</v>
      </c>
    </row>
    <row r="341" spans="1:5" hidden="1">
      <c r="A341">
        <f t="shared" si="5"/>
        <v>339</v>
      </c>
      <c r="B341" t="s">
        <v>186</v>
      </c>
      <c r="C341" t="s">
        <v>854</v>
      </c>
      <c r="D341" s="169" t="s">
        <v>39</v>
      </c>
      <c r="E341" s="154" t="s">
        <v>3</v>
      </c>
    </row>
    <row r="342" spans="1:5" hidden="1">
      <c r="A342">
        <f t="shared" si="5"/>
        <v>340</v>
      </c>
      <c r="B342" t="s">
        <v>186</v>
      </c>
      <c r="C342" t="s">
        <v>855</v>
      </c>
      <c r="D342" s="169" t="s">
        <v>39</v>
      </c>
      <c r="E342" s="154" t="s">
        <v>3</v>
      </c>
    </row>
    <row r="343" spans="1:5" hidden="1">
      <c r="A343">
        <f t="shared" si="5"/>
        <v>341</v>
      </c>
      <c r="B343" t="s">
        <v>186</v>
      </c>
      <c r="C343" t="s">
        <v>856</v>
      </c>
      <c r="D343" s="169" t="s">
        <v>39</v>
      </c>
      <c r="E343" s="154" t="s">
        <v>3</v>
      </c>
    </row>
    <row r="344" spans="1:5" hidden="1">
      <c r="A344">
        <f t="shared" si="5"/>
        <v>342</v>
      </c>
      <c r="B344" t="s">
        <v>186</v>
      </c>
      <c r="C344" t="s">
        <v>857</v>
      </c>
      <c r="D344" s="169" t="s">
        <v>39</v>
      </c>
      <c r="E344" s="154" t="s">
        <v>3</v>
      </c>
    </row>
    <row r="345" spans="1:5" hidden="1">
      <c r="A345">
        <f t="shared" si="5"/>
        <v>343</v>
      </c>
      <c r="B345" t="s">
        <v>186</v>
      </c>
      <c r="C345" t="s">
        <v>858</v>
      </c>
      <c r="D345" s="169" t="s">
        <v>39</v>
      </c>
      <c r="E345" s="154" t="s">
        <v>3</v>
      </c>
    </row>
    <row r="346" spans="1:5" hidden="1">
      <c r="A346">
        <f t="shared" si="5"/>
        <v>344</v>
      </c>
      <c r="B346" t="s">
        <v>186</v>
      </c>
      <c r="C346" t="s">
        <v>859</v>
      </c>
      <c r="D346" s="169" t="s">
        <v>39</v>
      </c>
      <c r="E346" s="154" t="s">
        <v>3</v>
      </c>
    </row>
    <row r="347" spans="1:5" hidden="1">
      <c r="A347">
        <f t="shared" si="5"/>
        <v>345</v>
      </c>
      <c r="B347" t="s">
        <v>186</v>
      </c>
      <c r="C347" t="s">
        <v>860</v>
      </c>
      <c r="D347" s="169" t="s">
        <v>39</v>
      </c>
      <c r="E347" s="154" t="s">
        <v>3</v>
      </c>
    </row>
    <row r="348" spans="1:5" hidden="1">
      <c r="A348">
        <f t="shared" si="5"/>
        <v>346</v>
      </c>
      <c r="B348" t="s">
        <v>186</v>
      </c>
      <c r="C348" t="s">
        <v>861</v>
      </c>
      <c r="D348" s="169" t="s">
        <v>39</v>
      </c>
      <c r="E348" s="154" t="s">
        <v>3</v>
      </c>
    </row>
    <row r="349" spans="1:5" hidden="1">
      <c r="A349">
        <f t="shared" si="5"/>
        <v>347</v>
      </c>
      <c r="B349" t="s">
        <v>186</v>
      </c>
      <c r="C349" t="s">
        <v>862</v>
      </c>
      <c r="D349" s="169" t="s">
        <v>39</v>
      </c>
      <c r="E349" s="154" t="s">
        <v>3</v>
      </c>
    </row>
    <row r="350" spans="1:5" hidden="1">
      <c r="A350">
        <f t="shared" si="5"/>
        <v>348</v>
      </c>
      <c r="B350" t="s">
        <v>186</v>
      </c>
      <c r="C350" t="s">
        <v>863</v>
      </c>
      <c r="D350" s="169" t="s">
        <v>39</v>
      </c>
      <c r="E350" s="154" t="s">
        <v>3</v>
      </c>
    </row>
    <row r="351" spans="1:5" hidden="1">
      <c r="A351">
        <f t="shared" si="5"/>
        <v>349</v>
      </c>
      <c r="B351" t="s">
        <v>186</v>
      </c>
      <c r="C351" t="s">
        <v>864</v>
      </c>
      <c r="D351" s="169" t="s">
        <v>39</v>
      </c>
      <c r="E351" s="154" t="s">
        <v>3</v>
      </c>
    </row>
    <row r="352" spans="1:5" hidden="1">
      <c r="A352">
        <f t="shared" si="5"/>
        <v>350</v>
      </c>
      <c r="B352" t="s">
        <v>186</v>
      </c>
      <c r="C352" t="s">
        <v>865</v>
      </c>
      <c r="D352" s="169" t="s">
        <v>39</v>
      </c>
      <c r="E352" s="154" t="s">
        <v>3</v>
      </c>
    </row>
    <row r="353" spans="1:5" hidden="1">
      <c r="A353">
        <f t="shared" si="5"/>
        <v>351</v>
      </c>
      <c r="B353" t="s">
        <v>186</v>
      </c>
      <c r="C353" t="s">
        <v>866</v>
      </c>
      <c r="D353" s="169" t="s">
        <v>39</v>
      </c>
      <c r="E353" s="154" t="s">
        <v>3</v>
      </c>
    </row>
    <row r="354" spans="1:5" hidden="1">
      <c r="A354">
        <f t="shared" si="5"/>
        <v>352</v>
      </c>
      <c r="B354" t="s">
        <v>186</v>
      </c>
      <c r="C354" t="s">
        <v>867</v>
      </c>
      <c r="D354" s="169" t="s">
        <v>39</v>
      </c>
      <c r="E354" s="154" t="s">
        <v>3</v>
      </c>
    </row>
    <row r="355" spans="1:5" hidden="1">
      <c r="A355">
        <f t="shared" si="5"/>
        <v>353</v>
      </c>
      <c r="B355" t="s">
        <v>186</v>
      </c>
      <c r="C355" t="s">
        <v>868</v>
      </c>
      <c r="D355" s="169" t="s">
        <v>39</v>
      </c>
      <c r="E355" s="154" t="s">
        <v>3</v>
      </c>
    </row>
    <row r="356" spans="1:5" hidden="1">
      <c r="A356">
        <f t="shared" si="5"/>
        <v>354</v>
      </c>
      <c r="B356" t="s">
        <v>186</v>
      </c>
      <c r="C356" t="s">
        <v>869</v>
      </c>
      <c r="D356" s="169" t="s">
        <v>39</v>
      </c>
      <c r="E356" s="154" t="s">
        <v>3</v>
      </c>
    </row>
    <row r="357" spans="1:5" hidden="1">
      <c r="A357">
        <f t="shared" si="5"/>
        <v>355</v>
      </c>
      <c r="B357" t="s">
        <v>186</v>
      </c>
      <c r="C357" t="s">
        <v>870</v>
      </c>
      <c r="D357" s="169" t="s">
        <v>39</v>
      </c>
      <c r="E357" s="154" t="s">
        <v>3</v>
      </c>
    </row>
    <row r="358" spans="1:5" hidden="1">
      <c r="A358">
        <f t="shared" si="5"/>
        <v>356</v>
      </c>
      <c r="B358" t="s">
        <v>186</v>
      </c>
      <c r="C358" t="s">
        <v>871</v>
      </c>
      <c r="D358" s="169" t="s">
        <v>39</v>
      </c>
      <c r="E358" s="154" t="s">
        <v>3</v>
      </c>
    </row>
    <row r="359" spans="1:5" hidden="1">
      <c r="A359">
        <f t="shared" si="5"/>
        <v>357</v>
      </c>
      <c r="B359" t="s">
        <v>186</v>
      </c>
      <c r="C359" t="s">
        <v>872</v>
      </c>
      <c r="D359" s="169" t="s">
        <v>39</v>
      </c>
      <c r="E359" s="154" t="s">
        <v>3</v>
      </c>
    </row>
    <row r="360" spans="1:5" hidden="1">
      <c r="A360">
        <f t="shared" si="5"/>
        <v>358</v>
      </c>
      <c r="B360" t="s">
        <v>186</v>
      </c>
      <c r="C360" t="s">
        <v>102</v>
      </c>
      <c r="D360" s="169" t="s">
        <v>39</v>
      </c>
      <c r="E360" s="154" t="s">
        <v>3</v>
      </c>
    </row>
    <row r="361" spans="1:5" hidden="1">
      <c r="A361">
        <f t="shared" si="5"/>
        <v>359</v>
      </c>
      <c r="B361" t="s">
        <v>186</v>
      </c>
      <c r="C361" t="s">
        <v>873</v>
      </c>
      <c r="D361" s="169" t="s">
        <v>39</v>
      </c>
      <c r="E361" s="154" t="s">
        <v>3</v>
      </c>
    </row>
    <row r="362" spans="1:5" hidden="1">
      <c r="A362">
        <f t="shared" si="5"/>
        <v>360</v>
      </c>
      <c r="B362" t="s">
        <v>186</v>
      </c>
      <c r="C362" t="s">
        <v>874</v>
      </c>
      <c r="D362" s="169" t="s">
        <v>39</v>
      </c>
      <c r="E362" s="154" t="s">
        <v>3</v>
      </c>
    </row>
    <row r="363" spans="1:5" hidden="1">
      <c r="A363">
        <f t="shared" si="5"/>
        <v>361</v>
      </c>
      <c r="B363" t="s">
        <v>186</v>
      </c>
      <c r="C363" t="s">
        <v>875</v>
      </c>
      <c r="D363" s="169" t="s">
        <v>39</v>
      </c>
      <c r="E363" s="154" t="s">
        <v>3</v>
      </c>
    </row>
    <row r="364" spans="1:5" hidden="1">
      <c r="A364">
        <f t="shared" si="5"/>
        <v>362</v>
      </c>
      <c r="B364" t="s">
        <v>186</v>
      </c>
      <c r="C364" s="207" t="s">
        <v>876</v>
      </c>
      <c r="D364" s="169" t="s">
        <v>39</v>
      </c>
      <c r="E364" s="154" t="s">
        <v>3</v>
      </c>
    </row>
    <row r="365" spans="1:5" hidden="1">
      <c r="A365">
        <f t="shared" si="5"/>
        <v>363</v>
      </c>
      <c r="B365" t="s">
        <v>186</v>
      </c>
      <c r="C365" s="170" t="s">
        <v>103</v>
      </c>
      <c r="D365" s="169" t="s">
        <v>39</v>
      </c>
      <c r="E365" s="154" t="s">
        <v>3</v>
      </c>
    </row>
    <row r="366" spans="1:5" hidden="1">
      <c r="A366">
        <f t="shared" si="5"/>
        <v>364</v>
      </c>
      <c r="B366" t="s">
        <v>186</v>
      </c>
      <c r="C366" t="s">
        <v>877</v>
      </c>
      <c r="D366" s="169" t="s">
        <v>39</v>
      </c>
      <c r="E366" s="154" t="s">
        <v>3</v>
      </c>
    </row>
    <row r="367" spans="1:5" hidden="1">
      <c r="A367">
        <f t="shared" si="5"/>
        <v>365</v>
      </c>
      <c r="B367" t="s">
        <v>186</v>
      </c>
      <c r="C367" t="s">
        <v>878</v>
      </c>
      <c r="D367" s="169" t="s">
        <v>39</v>
      </c>
      <c r="E367" s="154" t="s">
        <v>3</v>
      </c>
    </row>
    <row r="368" spans="1:5" hidden="1">
      <c r="A368">
        <f t="shared" si="5"/>
        <v>366</v>
      </c>
      <c r="B368" t="s">
        <v>186</v>
      </c>
      <c r="C368" t="s">
        <v>879</v>
      </c>
      <c r="D368" s="169" t="s">
        <v>39</v>
      </c>
      <c r="E368" s="154" t="s">
        <v>3</v>
      </c>
    </row>
    <row r="369" spans="1:5" hidden="1">
      <c r="A369">
        <f t="shared" si="5"/>
        <v>367</v>
      </c>
      <c r="B369" t="s">
        <v>186</v>
      </c>
      <c r="C369" t="s">
        <v>880</v>
      </c>
      <c r="D369" s="169" t="s">
        <v>39</v>
      </c>
      <c r="E369" s="154" t="s">
        <v>3</v>
      </c>
    </row>
    <row r="370" spans="1:5" hidden="1">
      <c r="A370">
        <f t="shared" si="5"/>
        <v>368</v>
      </c>
      <c r="B370" t="s">
        <v>186</v>
      </c>
      <c r="C370" s="207" t="s">
        <v>34</v>
      </c>
      <c r="D370" s="169" t="s">
        <v>35</v>
      </c>
      <c r="E370" s="154" t="s">
        <v>3</v>
      </c>
    </row>
    <row r="371" spans="1:5" hidden="1">
      <c r="A371">
        <f t="shared" si="5"/>
        <v>369</v>
      </c>
      <c r="B371" t="s">
        <v>186</v>
      </c>
      <c r="C371" s="170" t="s">
        <v>53</v>
      </c>
      <c r="D371" s="169" t="s">
        <v>35</v>
      </c>
      <c r="E371" s="154" t="s">
        <v>3</v>
      </c>
    </row>
    <row r="372" spans="1:5" hidden="1">
      <c r="A372">
        <f t="shared" si="5"/>
        <v>370</v>
      </c>
      <c r="B372" t="s">
        <v>881</v>
      </c>
      <c r="C372" s="207" t="s">
        <v>882</v>
      </c>
      <c r="D372" s="169" t="s">
        <v>883</v>
      </c>
      <c r="E372" s="154" t="s">
        <v>3</v>
      </c>
    </row>
    <row r="373" spans="1:5" hidden="1">
      <c r="A373">
        <f t="shared" si="5"/>
        <v>371</v>
      </c>
      <c r="B373" t="s">
        <v>881</v>
      </c>
      <c r="C373" s="170" t="s">
        <v>884</v>
      </c>
      <c r="D373" s="169" t="s">
        <v>883</v>
      </c>
      <c r="E373" s="154" t="s">
        <v>3</v>
      </c>
    </row>
    <row r="374" spans="1:5" hidden="1">
      <c r="A374">
        <f t="shared" si="5"/>
        <v>372</v>
      </c>
      <c r="B374" t="s">
        <v>881</v>
      </c>
      <c r="C374" s="170" t="s">
        <v>885</v>
      </c>
      <c r="D374" s="169" t="s">
        <v>883</v>
      </c>
      <c r="E374" s="154" t="s">
        <v>3</v>
      </c>
    </row>
    <row r="375" spans="1:5" hidden="1">
      <c r="A375">
        <f t="shared" si="5"/>
        <v>373</v>
      </c>
      <c r="B375" t="s">
        <v>886</v>
      </c>
      <c r="C375" t="s">
        <v>887</v>
      </c>
      <c r="D375" s="169" t="s">
        <v>886</v>
      </c>
      <c r="E375" s="154" t="s">
        <v>3</v>
      </c>
    </row>
    <row r="376" spans="1:5" hidden="1">
      <c r="A376">
        <f t="shared" si="5"/>
        <v>374</v>
      </c>
      <c r="B376" t="s">
        <v>886</v>
      </c>
      <c r="C376" t="s">
        <v>888</v>
      </c>
      <c r="D376" s="169" t="s">
        <v>886</v>
      </c>
      <c r="E376" s="154" t="s">
        <v>3</v>
      </c>
    </row>
    <row r="377" spans="1:5" hidden="1">
      <c r="A377">
        <f t="shared" si="5"/>
        <v>375</v>
      </c>
      <c r="B377" t="s">
        <v>886</v>
      </c>
      <c r="C377" t="s">
        <v>889</v>
      </c>
      <c r="D377" s="169" t="s">
        <v>886</v>
      </c>
      <c r="E377" s="154" t="s">
        <v>3</v>
      </c>
    </row>
    <row r="378" spans="1:5" hidden="1">
      <c r="A378">
        <f t="shared" si="5"/>
        <v>376</v>
      </c>
      <c r="B378" t="s">
        <v>886</v>
      </c>
      <c r="C378" t="s">
        <v>890</v>
      </c>
      <c r="D378" s="169" t="s">
        <v>886</v>
      </c>
      <c r="E378" s="154" t="s">
        <v>3</v>
      </c>
    </row>
    <row r="379" spans="1:5" hidden="1">
      <c r="A379">
        <f t="shared" si="5"/>
        <v>377</v>
      </c>
      <c r="B379" t="s">
        <v>886</v>
      </c>
      <c r="C379" t="s">
        <v>891</v>
      </c>
      <c r="D379" s="169" t="s">
        <v>886</v>
      </c>
      <c r="E379" s="154" t="s">
        <v>3</v>
      </c>
    </row>
    <row r="380" spans="1:5" hidden="1">
      <c r="A380">
        <f t="shared" si="5"/>
        <v>378</v>
      </c>
      <c r="B380" t="s">
        <v>886</v>
      </c>
      <c r="C380" t="s">
        <v>892</v>
      </c>
      <c r="D380" s="169" t="s">
        <v>886</v>
      </c>
      <c r="E380" s="154" t="s">
        <v>3</v>
      </c>
    </row>
    <row r="381" spans="1:5" hidden="1">
      <c r="A381">
        <f t="shared" si="5"/>
        <v>379</v>
      </c>
      <c r="B381" t="s">
        <v>886</v>
      </c>
      <c r="C381" t="s">
        <v>893</v>
      </c>
      <c r="D381" s="169" t="s">
        <v>886</v>
      </c>
      <c r="E381" s="154" t="s">
        <v>3</v>
      </c>
    </row>
    <row r="382" spans="1:5" hidden="1">
      <c r="A382">
        <f t="shared" si="5"/>
        <v>380</v>
      </c>
      <c r="B382" t="s">
        <v>886</v>
      </c>
      <c r="C382" t="s">
        <v>894</v>
      </c>
      <c r="D382" s="169" t="s">
        <v>886</v>
      </c>
      <c r="E382" s="154" t="s">
        <v>3</v>
      </c>
    </row>
    <row r="383" spans="1:5" hidden="1">
      <c r="A383">
        <f t="shared" si="5"/>
        <v>381</v>
      </c>
      <c r="B383" t="s">
        <v>886</v>
      </c>
      <c r="C383" t="s">
        <v>895</v>
      </c>
      <c r="D383" s="169" t="s">
        <v>886</v>
      </c>
      <c r="E383" s="154" t="s">
        <v>3</v>
      </c>
    </row>
    <row r="384" spans="1:5" hidden="1">
      <c r="A384">
        <f t="shared" si="5"/>
        <v>382</v>
      </c>
      <c r="B384" t="s">
        <v>886</v>
      </c>
      <c r="C384" t="s">
        <v>896</v>
      </c>
      <c r="D384" s="169" t="s">
        <v>886</v>
      </c>
      <c r="E384" s="154" t="s">
        <v>3</v>
      </c>
    </row>
    <row r="385" spans="1:5" hidden="1">
      <c r="A385">
        <f t="shared" si="5"/>
        <v>383</v>
      </c>
      <c r="B385" t="s">
        <v>886</v>
      </c>
      <c r="C385" t="s">
        <v>897</v>
      </c>
      <c r="D385" s="169" t="s">
        <v>886</v>
      </c>
      <c r="E385" s="154" t="s">
        <v>3</v>
      </c>
    </row>
    <row r="386" spans="1:5" hidden="1">
      <c r="A386">
        <f t="shared" si="5"/>
        <v>384</v>
      </c>
      <c r="B386" t="s">
        <v>886</v>
      </c>
      <c r="C386" t="s">
        <v>898</v>
      </c>
      <c r="D386" s="169" t="s">
        <v>886</v>
      </c>
      <c r="E386" s="154" t="s">
        <v>3</v>
      </c>
    </row>
    <row r="387" spans="1:5" hidden="1">
      <c r="A387">
        <f t="shared" si="5"/>
        <v>385</v>
      </c>
      <c r="B387" t="s">
        <v>886</v>
      </c>
      <c r="C387" t="s">
        <v>899</v>
      </c>
      <c r="D387" s="169" t="s">
        <v>886</v>
      </c>
      <c r="E387" s="154" t="s">
        <v>3</v>
      </c>
    </row>
    <row r="388" spans="1:5" hidden="1">
      <c r="A388">
        <f t="shared" ref="A388:A451" si="6">A387+1</f>
        <v>386</v>
      </c>
      <c r="B388" t="s">
        <v>886</v>
      </c>
      <c r="C388" t="s">
        <v>900</v>
      </c>
      <c r="D388" s="169" t="s">
        <v>886</v>
      </c>
      <c r="E388" s="154" t="s">
        <v>3</v>
      </c>
    </row>
    <row r="389" spans="1:5" hidden="1">
      <c r="A389">
        <f t="shared" si="6"/>
        <v>387</v>
      </c>
      <c r="B389" t="s">
        <v>886</v>
      </c>
      <c r="C389" t="s">
        <v>901</v>
      </c>
      <c r="D389" s="169" t="s">
        <v>886</v>
      </c>
      <c r="E389" s="154" t="s">
        <v>3</v>
      </c>
    </row>
    <row r="390" spans="1:5" hidden="1">
      <c r="A390">
        <f t="shared" si="6"/>
        <v>388</v>
      </c>
      <c r="B390" t="s">
        <v>886</v>
      </c>
      <c r="C390" t="s">
        <v>902</v>
      </c>
      <c r="D390" s="169" t="s">
        <v>886</v>
      </c>
      <c r="E390" s="154" t="s">
        <v>3</v>
      </c>
    </row>
    <row r="391" spans="1:5" hidden="1">
      <c r="A391">
        <f t="shared" si="6"/>
        <v>389</v>
      </c>
      <c r="B391" t="s">
        <v>886</v>
      </c>
      <c r="C391" t="s">
        <v>903</v>
      </c>
      <c r="D391" s="169" t="s">
        <v>886</v>
      </c>
      <c r="E391" s="154" t="s">
        <v>3</v>
      </c>
    </row>
    <row r="392" spans="1:5" hidden="1">
      <c r="A392">
        <f t="shared" si="6"/>
        <v>390</v>
      </c>
      <c r="B392" t="s">
        <v>886</v>
      </c>
      <c r="C392" t="s">
        <v>904</v>
      </c>
      <c r="D392" s="169" t="s">
        <v>886</v>
      </c>
      <c r="E392" s="154" t="s">
        <v>3</v>
      </c>
    </row>
    <row r="393" spans="1:5" hidden="1">
      <c r="A393">
        <f t="shared" si="6"/>
        <v>391</v>
      </c>
      <c r="B393" t="s">
        <v>886</v>
      </c>
      <c r="C393" t="s">
        <v>905</v>
      </c>
      <c r="D393" s="169" t="s">
        <v>886</v>
      </c>
      <c r="E393" s="154" t="s">
        <v>3</v>
      </c>
    </row>
    <row r="394" spans="1:5" hidden="1">
      <c r="A394">
        <f t="shared" si="6"/>
        <v>392</v>
      </c>
      <c r="B394" t="s">
        <v>886</v>
      </c>
      <c r="C394" t="s">
        <v>1531</v>
      </c>
      <c r="D394" s="169" t="s">
        <v>886</v>
      </c>
      <c r="E394" s="154" t="s">
        <v>3</v>
      </c>
    </row>
    <row r="395" spans="1:5" hidden="1">
      <c r="A395">
        <f t="shared" si="6"/>
        <v>393</v>
      </c>
      <c r="B395" t="s">
        <v>886</v>
      </c>
      <c r="C395" t="s">
        <v>906</v>
      </c>
      <c r="D395" s="169" t="s">
        <v>886</v>
      </c>
      <c r="E395" s="154" t="s">
        <v>3</v>
      </c>
    </row>
    <row r="396" spans="1:5" hidden="1">
      <c r="A396">
        <f t="shared" si="6"/>
        <v>394</v>
      </c>
      <c r="B396" t="s">
        <v>886</v>
      </c>
      <c r="C396" t="s">
        <v>907</v>
      </c>
      <c r="D396" s="169" t="s">
        <v>886</v>
      </c>
      <c r="E396" s="154" t="s">
        <v>3</v>
      </c>
    </row>
    <row r="397" spans="1:5" hidden="1">
      <c r="A397">
        <f t="shared" si="6"/>
        <v>395</v>
      </c>
      <c r="B397" t="s">
        <v>886</v>
      </c>
      <c r="C397" t="s">
        <v>908</v>
      </c>
      <c r="D397" s="169" t="s">
        <v>886</v>
      </c>
      <c r="E397" s="154" t="s">
        <v>3</v>
      </c>
    </row>
    <row r="398" spans="1:5" hidden="1">
      <c r="A398">
        <f t="shared" si="6"/>
        <v>396</v>
      </c>
      <c r="B398" t="s">
        <v>886</v>
      </c>
      <c r="C398" t="s">
        <v>909</v>
      </c>
      <c r="D398" s="169" t="s">
        <v>886</v>
      </c>
      <c r="E398" s="154" t="s">
        <v>3</v>
      </c>
    </row>
    <row r="399" spans="1:5" hidden="1">
      <c r="A399">
        <f t="shared" si="6"/>
        <v>397</v>
      </c>
      <c r="B399" t="s">
        <v>886</v>
      </c>
      <c r="C399" t="s">
        <v>910</v>
      </c>
      <c r="D399" s="169" t="s">
        <v>886</v>
      </c>
      <c r="E399" s="154" t="s">
        <v>3</v>
      </c>
    </row>
    <row r="400" spans="1:5" hidden="1">
      <c r="A400">
        <f t="shared" si="6"/>
        <v>398</v>
      </c>
      <c r="B400" t="s">
        <v>886</v>
      </c>
      <c r="C400" t="s">
        <v>911</v>
      </c>
      <c r="D400" s="169" t="s">
        <v>886</v>
      </c>
      <c r="E400" s="154" t="s">
        <v>3</v>
      </c>
    </row>
    <row r="401" spans="1:5" hidden="1">
      <c r="A401">
        <f t="shared" si="6"/>
        <v>399</v>
      </c>
      <c r="B401" t="s">
        <v>886</v>
      </c>
      <c r="C401" t="s">
        <v>1532</v>
      </c>
      <c r="D401" s="169" t="s">
        <v>886</v>
      </c>
      <c r="E401" s="154" t="s">
        <v>3</v>
      </c>
    </row>
    <row r="402" spans="1:5" hidden="1">
      <c r="A402">
        <f t="shared" si="6"/>
        <v>400</v>
      </c>
      <c r="B402" t="s">
        <v>886</v>
      </c>
      <c r="C402" t="s">
        <v>912</v>
      </c>
      <c r="D402" s="169" t="s">
        <v>886</v>
      </c>
      <c r="E402" s="154" t="s">
        <v>3</v>
      </c>
    </row>
    <row r="403" spans="1:5" hidden="1">
      <c r="A403">
        <f t="shared" si="6"/>
        <v>401</v>
      </c>
      <c r="B403" t="s">
        <v>886</v>
      </c>
      <c r="C403" t="s">
        <v>913</v>
      </c>
      <c r="D403" s="169" t="s">
        <v>886</v>
      </c>
      <c r="E403" s="154" t="s">
        <v>3</v>
      </c>
    </row>
    <row r="404" spans="1:5" hidden="1">
      <c r="A404">
        <f t="shared" si="6"/>
        <v>402</v>
      </c>
      <c r="B404" t="s">
        <v>886</v>
      </c>
      <c r="C404" t="s">
        <v>914</v>
      </c>
      <c r="D404" s="169" t="s">
        <v>886</v>
      </c>
      <c r="E404" s="154" t="s">
        <v>3</v>
      </c>
    </row>
    <row r="405" spans="1:5" hidden="1">
      <c r="A405">
        <f t="shared" si="6"/>
        <v>403</v>
      </c>
      <c r="B405" t="s">
        <v>886</v>
      </c>
      <c r="C405" t="s">
        <v>915</v>
      </c>
      <c r="D405" s="169" t="s">
        <v>886</v>
      </c>
      <c r="E405" s="154" t="s">
        <v>3</v>
      </c>
    </row>
    <row r="406" spans="1:5" hidden="1">
      <c r="A406">
        <f t="shared" si="6"/>
        <v>404</v>
      </c>
      <c r="B406" t="s">
        <v>886</v>
      </c>
      <c r="C406" t="s">
        <v>916</v>
      </c>
      <c r="D406" s="169" t="s">
        <v>886</v>
      </c>
      <c r="E406" s="154" t="s">
        <v>3</v>
      </c>
    </row>
    <row r="407" spans="1:5" hidden="1">
      <c r="A407">
        <f t="shared" si="6"/>
        <v>405</v>
      </c>
      <c r="B407" t="s">
        <v>886</v>
      </c>
      <c r="C407" t="s">
        <v>1533</v>
      </c>
      <c r="D407" s="169" t="s">
        <v>886</v>
      </c>
      <c r="E407" s="154" t="s">
        <v>3</v>
      </c>
    </row>
    <row r="408" spans="1:5" hidden="1">
      <c r="A408">
        <f t="shared" si="6"/>
        <v>406</v>
      </c>
      <c r="B408" t="s">
        <v>886</v>
      </c>
      <c r="C408" t="s">
        <v>917</v>
      </c>
      <c r="D408" s="169" t="s">
        <v>886</v>
      </c>
      <c r="E408" s="154" t="s">
        <v>3</v>
      </c>
    </row>
    <row r="409" spans="1:5" hidden="1">
      <c r="A409">
        <f t="shared" si="6"/>
        <v>407</v>
      </c>
      <c r="B409" t="s">
        <v>886</v>
      </c>
      <c r="C409" t="s">
        <v>918</v>
      </c>
      <c r="D409" s="169" t="s">
        <v>886</v>
      </c>
      <c r="E409" s="154" t="s">
        <v>3</v>
      </c>
    </row>
    <row r="410" spans="1:5" hidden="1">
      <c r="A410">
        <f t="shared" si="6"/>
        <v>408</v>
      </c>
      <c r="B410" t="s">
        <v>886</v>
      </c>
      <c r="C410" t="s">
        <v>919</v>
      </c>
      <c r="D410" s="169" t="s">
        <v>886</v>
      </c>
      <c r="E410" s="154" t="s">
        <v>3</v>
      </c>
    </row>
    <row r="411" spans="1:5" hidden="1">
      <c r="A411">
        <f t="shared" si="6"/>
        <v>409</v>
      </c>
      <c r="B411" t="s">
        <v>886</v>
      </c>
      <c r="C411" t="s">
        <v>920</v>
      </c>
      <c r="D411" s="169" t="s">
        <v>886</v>
      </c>
      <c r="E411" s="154" t="s">
        <v>3</v>
      </c>
    </row>
    <row r="412" spans="1:5" hidden="1">
      <c r="A412">
        <f t="shared" si="6"/>
        <v>410</v>
      </c>
      <c r="B412" t="s">
        <v>886</v>
      </c>
      <c r="C412" t="s">
        <v>921</v>
      </c>
      <c r="D412" s="169" t="s">
        <v>886</v>
      </c>
      <c r="E412" s="154" t="s">
        <v>3</v>
      </c>
    </row>
    <row r="413" spans="1:5" hidden="1">
      <c r="A413">
        <f t="shared" si="6"/>
        <v>411</v>
      </c>
      <c r="B413" t="s">
        <v>886</v>
      </c>
      <c r="C413" t="s">
        <v>922</v>
      </c>
      <c r="D413" s="169" t="s">
        <v>886</v>
      </c>
      <c r="E413" s="154" t="s">
        <v>3</v>
      </c>
    </row>
    <row r="414" spans="1:5" hidden="1">
      <c r="A414">
        <f t="shared" si="6"/>
        <v>412</v>
      </c>
      <c r="B414" t="s">
        <v>886</v>
      </c>
      <c r="C414" t="s">
        <v>923</v>
      </c>
      <c r="D414" s="169" t="s">
        <v>886</v>
      </c>
      <c r="E414" s="154" t="s">
        <v>3</v>
      </c>
    </row>
    <row r="415" spans="1:5" hidden="1">
      <c r="A415">
        <f t="shared" si="6"/>
        <v>413</v>
      </c>
      <c r="B415" t="s">
        <v>886</v>
      </c>
      <c r="C415" t="s">
        <v>924</v>
      </c>
      <c r="D415" s="169" t="s">
        <v>886</v>
      </c>
      <c r="E415" s="154" t="s">
        <v>3</v>
      </c>
    </row>
    <row r="416" spans="1:5" hidden="1">
      <c r="A416">
        <f t="shared" si="6"/>
        <v>414</v>
      </c>
      <c r="B416" t="s">
        <v>886</v>
      </c>
      <c r="C416" t="s">
        <v>925</v>
      </c>
      <c r="D416" s="169" t="s">
        <v>886</v>
      </c>
      <c r="E416" s="154" t="s">
        <v>3</v>
      </c>
    </row>
    <row r="417" spans="1:5" hidden="1">
      <c r="A417">
        <f t="shared" si="6"/>
        <v>415</v>
      </c>
      <c r="B417" t="s">
        <v>886</v>
      </c>
      <c r="C417" t="s">
        <v>926</v>
      </c>
      <c r="D417" s="169" t="s">
        <v>886</v>
      </c>
      <c r="E417" s="154" t="s">
        <v>3</v>
      </c>
    </row>
    <row r="418" spans="1:5" hidden="1">
      <c r="A418">
        <f t="shared" si="6"/>
        <v>416</v>
      </c>
      <c r="B418" t="s">
        <v>886</v>
      </c>
      <c r="C418" t="s">
        <v>927</v>
      </c>
      <c r="D418" s="169" t="s">
        <v>886</v>
      </c>
      <c r="E418" s="154" t="s">
        <v>3</v>
      </c>
    </row>
    <row r="419" spans="1:5" hidden="1">
      <c r="A419">
        <f t="shared" si="6"/>
        <v>417</v>
      </c>
      <c r="B419" t="s">
        <v>886</v>
      </c>
      <c r="C419" t="s">
        <v>928</v>
      </c>
      <c r="D419" s="169" t="s">
        <v>886</v>
      </c>
      <c r="E419" s="154" t="s">
        <v>3</v>
      </c>
    </row>
    <row r="420" spans="1:5" hidden="1">
      <c r="A420">
        <f t="shared" si="6"/>
        <v>418</v>
      </c>
      <c r="B420" t="s">
        <v>886</v>
      </c>
      <c r="C420" t="s">
        <v>929</v>
      </c>
      <c r="D420" s="169" t="s">
        <v>886</v>
      </c>
      <c r="E420" s="154" t="s">
        <v>3</v>
      </c>
    </row>
    <row r="421" spans="1:5" hidden="1">
      <c r="A421">
        <f t="shared" si="6"/>
        <v>419</v>
      </c>
      <c r="B421" t="s">
        <v>886</v>
      </c>
      <c r="C421" t="s">
        <v>930</v>
      </c>
      <c r="D421" s="169" t="s">
        <v>886</v>
      </c>
      <c r="E421" s="154" t="s">
        <v>3</v>
      </c>
    </row>
    <row r="422" spans="1:5" hidden="1">
      <c r="A422">
        <f t="shared" si="6"/>
        <v>420</v>
      </c>
      <c r="B422" t="s">
        <v>886</v>
      </c>
      <c r="C422" t="s">
        <v>931</v>
      </c>
      <c r="D422" s="169" t="s">
        <v>886</v>
      </c>
      <c r="E422" s="154" t="s">
        <v>3</v>
      </c>
    </row>
    <row r="423" spans="1:5" hidden="1">
      <c r="A423">
        <f t="shared" si="6"/>
        <v>421</v>
      </c>
      <c r="B423" t="s">
        <v>886</v>
      </c>
      <c r="C423" t="s">
        <v>932</v>
      </c>
      <c r="D423" s="169" t="s">
        <v>886</v>
      </c>
      <c r="E423" s="154" t="s">
        <v>3</v>
      </c>
    </row>
    <row r="424" spans="1:5" hidden="1">
      <c r="A424">
        <f t="shared" si="6"/>
        <v>422</v>
      </c>
      <c r="B424" t="s">
        <v>886</v>
      </c>
      <c r="C424" t="s">
        <v>933</v>
      </c>
      <c r="D424" s="169" t="s">
        <v>886</v>
      </c>
      <c r="E424" s="154" t="s">
        <v>3</v>
      </c>
    </row>
    <row r="425" spans="1:5" hidden="1">
      <c r="A425">
        <f t="shared" si="6"/>
        <v>423</v>
      </c>
      <c r="B425" t="s">
        <v>886</v>
      </c>
      <c r="C425" t="s">
        <v>934</v>
      </c>
      <c r="D425" s="169" t="s">
        <v>886</v>
      </c>
      <c r="E425" s="154" t="s">
        <v>3</v>
      </c>
    </row>
    <row r="426" spans="1:5" hidden="1">
      <c r="A426">
        <f t="shared" si="6"/>
        <v>424</v>
      </c>
      <c r="B426" t="s">
        <v>886</v>
      </c>
      <c r="C426" t="s">
        <v>935</v>
      </c>
      <c r="D426" s="169" t="s">
        <v>886</v>
      </c>
      <c r="E426" s="154" t="s">
        <v>3</v>
      </c>
    </row>
    <row r="427" spans="1:5" hidden="1">
      <c r="A427">
        <f t="shared" si="6"/>
        <v>425</v>
      </c>
      <c r="B427" t="s">
        <v>886</v>
      </c>
      <c r="C427" t="s">
        <v>936</v>
      </c>
      <c r="D427" s="169" t="s">
        <v>886</v>
      </c>
      <c r="E427" s="154" t="s">
        <v>3</v>
      </c>
    </row>
    <row r="428" spans="1:5" hidden="1">
      <c r="A428">
        <f t="shared" si="6"/>
        <v>426</v>
      </c>
      <c r="B428" t="s">
        <v>886</v>
      </c>
      <c r="C428" t="s">
        <v>937</v>
      </c>
      <c r="D428" s="169" t="s">
        <v>886</v>
      </c>
      <c r="E428" s="154" t="s">
        <v>3</v>
      </c>
    </row>
    <row r="429" spans="1:5" hidden="1">
      <c r="A429">
        <f t="shared" si="6"/>
        <v>427</v>
      </c>
      <c r="B429" t="s">
        <v>886</v>
      </c>
      <c r="C429" t="s">
        <v>938</v>
      </c>
      <c r="D429" s="169" t="s">
        <v>886</v>
      </c>
      <c r="E429" s="154" t="s">
        <v>3</v>
      </c>
    </row>
    <row r="430" spans="1:5" hidden="1">
      <c r="A430">
        <f t="shared" si="6"/>
        <v>428</v>
      </c>
      <c r="B430" t="s">
        <v>886</v>
      </c>
      <c r="C430" t="s">
        <v>939</v>
      </c>
      <c r="D430" s="169" t="s">
        <v>886</v>
      </c>
      <c r="E430" s="154" t="s">
        <v>3</v>
      </c>
    </row>
    <row r="431" spans="1:5" hidden="1">
      <c r="A431">
        <f t="shared" si="6"/>
        <v>429</v>
      </c>
      <c r="B431" t="s">
        <v>886</v>
      </c>
      <c r="C431" t="s">
        <v>940</v>
      </c>
      <c r="D431" s="169" t="s">
        <v>886</v>
      </c>
      <c r="E431" s="154" t="s">
        <v>3</v>
      </c>
    </row>
    <row r="432" spans="1:5" hidden="1">
      <c r="A432">
        <f t="shared" si="6"/>
        <v>430</v>
      </c>
      <c r="B432" t="s">
        <v>886</v>
      </c>
      <c r="C432" t="s">
        <v>941</v>
      </c>
      <c r="D432" s="169" t="s">
        <v>886</v>
      </c>
      <c r="E432" s="154" t="s">
        <v>3</v>
      </c>
    </row>
    <row r="433" spans="1:5" hidden="1">
      <c r="A433">
        <f t="shared" si="6"/>
        <v>431</v>
      </c>
      <c r="B433" t="s">
        <v>886</v>
      </c>
      <c r="C433" t="s">
        <v>942</v>
      </c>
      <c r="D433" s="169" t="s">
        <v>886</v>
      </c>
      <c r="E433" s="154" t="s">
        <v>3</v>
      </c>
    </row>
    <row r="434" spans="1:5" hidden="1">
      <c r="A434">
        <f t="shared" si="6"/>
        <v>432</v>
      </c>
      <c r="B434" t="s">
        <v>886</v>
      </c>
      <c r="C434" t="s">
        <v>943</v>
      </c>
      <c r="D434" s="169" t="s">
        <v>886</v>
      </c>
      <c r="E434" s="154" t="s">
        <v>3</v>
      </c>
    </row>
    <row r="435" spans="1:5" hidden="1">
      <c r="A435">
        <f t="shared" si="6"/>
        <v>433</v>
      </c>
      <c r="B435" t="s">
        <v>886</v>
      </c>
      <c r="C435" t="s">
        <v>944</v>
      </c>
      <c r="D435" s="169" t="s">
        <v>886</v>
      </c>
      <c r="E435" s="154" t="s">
        <v>3</v>
      </c>
    </row>
    <row r="436" spans="1:5" hidden="1">
      <c r="A436">
        <f t="shared" si="6"/>
        <v>434</v>
      </c>
      <c r="B436" t="s">
        <v>886</v>
      </c>
      <c r="C436" t="s">
        <v>945</v>
      </c>
      <c r="D436" s="169" t="s">
        <v>886</v>
      </c>
      <c r="E436" s="154" t="s">
        <v>3</v>
      </c>
    </row>
    <row r="437" spans="1:5" hidden="1">
      <c r="A437">
        <f t="shared" si="6"/>
        <v>435</v>
      </c>
      <c r="B437" t="s">
        <v>886</v>
      </c>
      <c r="C437" t="s">
        <v>946</v>
      </c>
      <c r="D437" s="169" t="s">
        <v>886</v>
      </c>
      <c r="E437" s="154" t="s">
        <v>3</v>
      </c>
    </row>
    <row r="438" spans="1:5" hidden="1">
      <c r="A438">
        <f t="shared" si="6"/>
        <v>436</v>
      </c>
      <c r="B438" t="s">
        <v>886</v>
      </c>
      <c r="C438" t="s">
        <v>947</v>
      </c>
      <c r="D438" s="169" t="s">
        <v>886</v>
      </c>
      <c r="E438" s="154" t="s">
        <v>3</v>
      </c>
    </row>
    <row r="439" spans="1:5" hidden="1">
      <c r="A439">
        <f t="shared" si="6"/>
        <v>437</v>
      </c>
      <c r="B439" t="s">
        <v>886</v>
      </c>
      <c r="C439" t="s">
        <v>948</v>
      </c>
      <c r="D439" s="169" t="s">
        <v>886</v>
      </c>
      <c r="E439" s="154" t="s">
        <v>3</v>
      </c>
    </row>
    <row r="440" spans="1:5" hidden="1">
      <c r="A440">
        <f t="shared" si="6"/>
        <v>438</v>
      </c>
      <c r="B440" t="s">
        <v>886</v>
      </c>
      <c r="C440" t="s">
        <v>949</v>
      </c>
      <c r="D440" s="169" t="s">
        <v>886</v>
      </c>
      <c r="E440" s="154" t="s">
        <v>3</v>
      </c>
    </row>
    <row r="441" spans="1:5" hidden="1">
      <c r="A441">
        <f t="shared" si="6"/>
        <v>439</v>
      </c>
      <c r="B441" t="s">
        <v>886</v>
      </c>
      <c r="C441" t="s">
        <v>950</v>
      </c>
      <c r="D441" s="169" t="s">
        <v>886</v>
      </c>
      <c r="E441" s="154" t="s">
        <v>3</v>
      </c>
    </row>
    <row r="442" spans="1:5" hidden="1">
      <c r="A442">
        <f t="shared" si="6"/>
        <v>440</v>
      </c>
      <c r="B442" t="s">
        <v>886</v>
      </c>
      <c r="C442" t="s">
        <v>951</v>
      </c>
      <c r="D442" s="169" t="s">
        <v>886</v>
      </c>
      <c r="E442" s="154" t="s">
        <v>3</v>
      </c>
    </row>
    <row r="443" spans="1:5" hidden="1">
      <c r="A443">
        <f t="shared" si="6"/>
        <v>441</v>
      </c>
      <c r="B443" t="s">
        <v>886</v>
      </c>
      <c r="C443" t="s">
        <v>952</v>
      </c>
      <c r="D443" s="169" t="s">
        <v>886</v>
      </c>
      <c r="E443" s="154" t="s">
        <v>3</v>
      </c>
    </row>
    <row r="444" spans="1:5" hidden="1">
      <c r="A444">
        <f t="shared" si="6"/>
        <v>442</v>
      </c>
      <c r="B444" t="s">
        <v>886</v>
      </c>
      <c r="C444" t="s">
        <v>953</v>
      </c>
      <c r="D444" s="169" t="s">
        <v>886</v>
      </c>
      <c r="E444" s="154" t="s">
        <v>3</v>
      </c>
    </row>
    <row r="445" spans="1:5" hidden="1">
      <c r="A445">
        <f t="shared" si="6"/>
        <v>443</v>
      </c>
      <c r="B445" t="s">
        <v>886</v>
      </c>
      <c r="C445" t="s">
        <v>954</v>
      </c>
      <c r="D445" s="169" t="s">
        <v>886</v>
      </c>
      <c r="E445" s="154" t="s">
        <v>3</v>
      </c>
    </row>
    <row r="446" spans="1:5" hidden="1">
      <c r="A446">
        <f t="shared" si="6"/>
        <v>444</v>
      </c>
      <c r="B446" t="s">
        <v>886</v>
      </c>
      <c r="C446" t="s">
        <v>955</v>
      </c>
      <c r="D446" s="169" t="s">
        <v>886</v>
      </c>
      <c r="E446" s="154" t="s">
        <v>3</v>
      </c>
    </row>
    <row r="447" spans="1:5" hidden="1">
      <c r="A447">
        <f t="shared" si="6"/>
        <v>445</v>
      </c>
      <c r="B447" t="s">
        <v>886</v>
      </c>
      <c r="C447" t="s">
        <v>956</v>
      </c>
      <c r="D447" s="169" t="s">
        <v>886</v>
      </c>
      <c r="E447" s="154" t="s">
        <v>3</v>
      </c>
    </row>
    <row r="448" spans="1:5" hidden="1">
      <c r="A448">
        <f t="shared" si="6"/>
        <v>446</v>
      </c>
      <c r="B448" t="s">
        <v>886</v>
      </c>
      <c r="C448" t="s">
        <v>957</v>
      </c>
      <c r="D448" s="169" t="s">
        <v>886</v>
      </c>
      <c r="E448" s="154" t="s">
        <v>3</v>
      </c>
    </row>
    <row r="449" spans="1:5" hidden="1">
      <c r="A449">
        <f t="shared" si="6"/>
        <v>447</v>
      </c>
      <c r="B449" t="s">
        <v>886</v>
      </c>
      <c r="C449" t="s">
        <v>958</v>
      </c>
      <c r="D449" s="169" t="s">
        <v>886</v>
      </c>
      <c r="E449" s="154" t="s">
        <v>3</v>
      </c>
    </row>
    <row r="450" spans="1:5" hidden="1">
      <c r="A450">
        <f t="shared" si="6"/>
        <v>448</v>
      </c>
      <c r="B450" t="s">
        <v>886</v>
      </c>
      <c r="C450" t="s">
        <v>959</v>
      </c>
      <c r="D450" s="169" t="s">
        <v>886</v>
      </c>
      <c r="E450" s="154" t="s">
        <v>3</v>
      </c>
    </row>
    <row r="451" spans="1:5" hidden="1">
      <c r="A451">
        <f t="shared" si="6"/>
        <v>449</v>
      </c>
      <c r="B451" t="s">
        <v>886</v>
      </c>
      <c r="C451" t="s">
        <v>960</v>
      </c>
      <c r="D451" s="169" t="s">
        <v>886</v>
      </c>
      <c r="E451" s="154" t="s">
        <v>3</v>
      </c>
    </row>
    <row r="452" spans="1:5" hidden="1">
      <c r="A452">
        <f t="shared" ref="A452:A515" si="7">A451+1</f>
        <v>450</v>
      </c>
      <c r="B452" t="s">
        <v>886</v>
      </c>
      <c r="C452" t="s">
        <v>961</v>
      </c>
      <c r="D452" s="169" t="s">
        <v>886</v>
      </c>
      <c r="E452" s="154" t="s">
        <v>3</v>
      </c>
    </row>
    <row r="453" spans="1:5" hidden="1">
      <c r="A453">
        <f t="shared" si="7"/>
        <v>451</v>
      </c>
      <c r="B453" t="s">
        <v>886</v>
      </c>
      <c r="C453" t="s">
        <v>962</v>
      </c>
      <c r="D453" s="169" t="s">
        <v>886</v>
      </c>
      <c r="E453" s="154" t="s">
        <v>3</v>
      </c>
    </row>
    <row r="454" spans="1:5" hidden="1">
      <c r="A454">
        <f t="shared" si="7"/>
        <v>452</v>
      </c>
      <c r="B454" t="s">
        <v>886</v>
      </c>
      <c r="C454" t="s">
        <v>963</v>
      </c>
      <c r="D454" s="169" t="s">
        <v>886</v>
      </c>
      <c r="E454" s="154" t="s">
        <v>3</v>
      </c>
    </row>
    <row r="455" spans="1:5" hidden="1">
      <c r="A455">
        <f t="shared" si="7"/>
        <v>453</v>
      </c>
      <c r="B455" t="s">
        <v>886</v>
      </c>
      <c r="C455" t="s">
        <v>964</v>
      </c>
      <c r="D455" s="169" t="s">
        <v>886</v>
      </c>
      <c r="E455" s="154" t="s">
        <v>3</v>
      </c>
    </row>
    <row r="456" spans="1:5" hidden="1">
      <c r="A456">
        <f t="shared" si="7"/>
        <v>454</v>
      </c>
      <c r="B456" t="s">
        <v>886</v>
      </c>
      <c r="C456" t="s">
        <v>965</v>
      </c>
      <c r="D456" s="169" t="s">
        <v>886</v>
      </c>
      <c r="E456" s="154" t="s">
        <v>3</v>
      </c>
    </row>
    <row r="457" spans="1:5" hidden="1">
      <c r="A457">
        <f t="shared" si="7"/>
        <v>455</v>
      </c>
      <c r="B457" t="s">
        <v>886</v>
      </c>
      <c r="C457" t="s">
        <v>966</v>
      </c>
      <c r="D457" s="169" t="s">
        <v>886</v>
      </c>
      <c r="E457" s="154" t="s">
        <v>3</v>
      </c>
    </row>
    <row r="458" spans="1:5" hidden="1">
      <c r="A458">
        <f t="shared" si="7"/>
        <v>456</v>
      </c>
      <c r="B458" t="s">
        <v>886</v>
      </c>
      <c r="C458" t="s">
        <v>967</v>
      </c>
      <c r="D458" s="169" t="s">
        <v>886</v>
      </c>
      <c r="E458" s="154" t="s">
        <v>3</v>
      </c>
    </row>
    <row r="459" spans="1:5" hidden="1">
      <c r="A459">
        <f t="shared" si="7"/>
        <v>457</v>
      </c>
      <c r="B459" t="s">
        <v>886</v>
      </c>
      <c r="C459" t="s">
        <v>968</v>
      </c>
      <c r="D459" s="169" t="s">
        <v>886</v>
      </c>
      <c r="E459" s="154" t="s">
        <v>3</v>
      </c>
    </row>
    <row r="460" spans="1:5" hidden="1">
      <c r="A460">
        <f t="shared" si="7"/>
        <v>458</v>
      </c>
      <c r="B460" t="s">
        <v>886</v>
      </c>
      <c r="C460" t="s">
        <v>969</v>
      </c>
      <c r="D460" s="169" t="s">
        <v>886</v>
      </c>
      <c r="E460" s="154" t="s">
        <v>3</v>
      </c>
    </row>
    <row r="461" spans="1:5" hidden="1">
      <c r="A461">
        <f t="shared" si="7"/>
        <v>459</v>
      </c>
      <c r="B461" t="s">
        <v>886</v>
      </c>
      <c r="C461" t="s">
        <v>970</v>
      </c>
      <c r="D461" s="169" t="s">
        <v>886</v>
      </c>
      <c r="E461" s="154" t="s">
        <v>3</v>
      </c>
    </row>
    <row r="462" spans="1:5" hidden="1">
      <c r="A462">
        <f t="shared" si="7"/>
        <v>460</v>
      </c>
      <c r="B462" t="s">
        <v>886</v>
      </c>
      <c r="C462" t="s">
        <v>971</v>
      </c>
      <c r="D462" s="169" t="s">
        <v>886</v>
      </c>
      <c r="E462" s="154" t="s">
        <v>3</v>
      </c>
    </row>
    <row r="463" spans="1:5" hidden="1">
      <c r="A463">
        <f t="shared" si="7"/>
        <v>461</v>
      </c>
      <c r="B463" t="s">
        <v>886</v>
      </c>
      <c r="C463" t="s">
        <v>972</v>
      </c>
      <c r="D463" s="169" t="s">
        <v>886</v>
      </c>
      <c r="E463" s="154" t="s">
        <v>3</v>
      </c>
    </row>
    <row r="464" spans="1:5" hidden="1">
      <c r="A464">
        <f t="shared" si="7"/>
        <v>462</v>
      </c>
      <c r="B464" t="s">
        <v>886</v>
      </c>
      <c r="C464" t="s">
        <v>973</v>
      </c>
      <c r="D464" s="169" t="s">
        <v>886</v>
      </c>
      <c r="E464" s="154" t="s">
        <v>3</v>
      </c>
    </row>
    <row r="465" spans="1:5" hidden="1">
      <c r="A465">
        <f t="shared" si="7"/>
        <v>463</v>
      </c>
      <c r="B465" t="s">
        <v>886</v>
      </c>
      <c r="C465" t="s">
        <v>974</v>
      </c>
      <c r="D465" s="169" t="s">
        <v>886</v>
      </c>
      <c r="E465" s="154" t="s">
        <v>3</v>
      </c>
    </row>
    <row r="466" spans="1:5" hidden="1">
      <c r="A466">
        <f t="shared" si="7"/>
        <v>464</v>
      </c>
      <c r="B466" t="s">
        <v>886</v>
      </c>
      <c r="C466" t="s">
        <v>975</v>
      </c>
      <c r="D466" s="169" t="s">
        <v>886</v>
      </c>
      <c r="E466" s="154" t="s">
        <v>3</v>
      </c>
    </row>
    <row r="467" spans="1:5" hidden="1">
      <c r="A467">
        <f t="shared" si="7"/>
        <v>465</v>
      </c>
      <c r="B467" t="s">
        <v>886</v>
      </c>
      <c r="C467" t="s">
        <v>976</v>
      </c>
      <c r="D467" s="169" t="s">
        <v>886</v>
      </c>
      <c r="E467" s="154" t="s">
        <v>3</v>
      </c>
    </row>
    <row r="468" spans="1:5" hidden="1">
      <c r="A468">
        <f t="shared" si="7"/>
        <v>466</v>
      </c>
      <c r="B468" t="s">
        <v>886</v>
      </c>
      <c r="C468" t="s">
        <v>977</v>
      </c>
      <c r="D468" s="169" t="s">
        <v>886</v>
      </c>
      <c r="E468" s="154" t="s">
        <v>3</v>
      </c>
    </row>
    <row r="469" spans="1:5" hidden="1">
      <c r="A469">
        <f t="shared" si="7"/>
        <v>467</v>
      </c>
      <c r="B469" t="s">
        <v>886</v>
      </c>
      <c r="C469" t="s">
        <v>978</v>
      </c>
      <c r="D469" s="169" t="s">
        <v>886</v>
      </c>
      <c r="E469" s="154" t="s">
        <v>3</v>
      </c>
    </row>
    <row r="470" spans="1:5" hidden="1">
      <c r="A470">
        <f t="shared" si="7"/>
        <v>468</v>
      </c>
      <c r="B470" t="s">
        <v>886</v>
      </c>
      <c r="C470" t="s">
        <v>979</v>
      </c>
      <c r="D470" s="169" t="s">
        <v>886</v>
      </c>
      <c r="E470" s="154" t="s">
        <v>3</v>
      </c>
    </row>
    <row r="471" spans="1:5" hidden="1">
      <c r="A471">
        <f t="shared" si="7"/>
        <v>469</v>
      </c>
      <c r="B471" t="s">
        <v>886</v>
      </c>
      <c r="C471" t="s">
        <v>980</v>
      </c>
      <c r="D471" s="169" t="s">
        <v>886</v>
      </c>
      <c r="E471" s="154" t="s">
        <v>3</v>
      </c>
    </row>
    <row r="472" spans="1:5" hidden="1">
      <c r="A472">
        <f t="shared" si="7"/>
        <v>470</v>
      </c>
      <c r="B472" t="s">
        <v>886</v>
      </c>
      <c r="C472" t="s">
        <v>981</v>
      </c>
      <c r="D472" s="169" t="s">
        <v>886</v>
      </c>
      <c r="E472" s="154" t="s">
        <v>3</v>
      </c>
    </row>
    <row r="473" spans="1:5" hidden="1">
      <c r="A473">
        <f t="shared" si="7"/>
        <v>471</v>
      </c>
      <c r="B473" t="s">
        <v>886</v>
      </c>
      <c r="C473" t="s">
        <v>982</v>
      </c>
      <c r="D473" s="169" t="s">
        <v>886</v>
      </c>
      <c r="E473" s="154" t="s">
        <v>3</v>
      </c>
    </row>
    <row r="474" spans="1:5" hidden="1">
      <c r="A474">
        <f t="shared" si="7"/>
        <v>472</v>
      </c>
      <c r="B474" t="s">
        <v>886</v>
      </c>
      <c r="C474" t="s">
        <v>983</v>
      </c>
      <c r="D474" s="169" t="s">
        <v>886</v>
      </c>
      <c r="E474" s="154" t="s">
        <v>3</v>
      </c>
    </row>
    <row r="475" spans="1:5" hidden="1">
      <c r="A475">
        <f t="shared" si="7"/>
        <v>473</v>
      </c>
      <c r="B475" t="s">
        <v>886</v>
      </c>
      <c r="C475" t="s">
        <v>984</v>
      </c>
      <c r="D475" s="169" t="s">
        <v>886</v>
      </c>
      <c r="E475" s="154" t="s">
        <v>3</v>
      </c>
    </row>
    <row r="476" spans="1:5" hidden="1">
      <c r="A476">
        <f t="shared" si="7"/>
        <v>474</v>
      </c>
      <c r="B476" t="s">
        <v>886</v>
      </c>
      <c r="C476" t="s">
        <v>985</v>
      </c>
      <c r="D476" s="169" t="s">
        <v>886</v>
      </c>
      <c r="E476" s="154" t="s">
        <v>3</v>
      </c>
    </row>
    <row r="477" spans="1:5" hidden="1">
      <c r="A477">
        <f t="shared" si="7"/>
        <v>475</v>
      </c>
      <c r="B477" t="s">
        <v>886</v>
      </c>
      <c r="C477" t="s">
        <v>986</v>
      </c>
      <c r="D477" s="169" t="s">
        <v>886</v>
      </c>
      <c r="E477" s="154" t="s">
        <v>3</v>
      </c>
    </row>
    <row r="478" spans="1:5" hidden="1">
      <c r="A478">
        <f t="shared" si="7"/>
        <v>476</v>
      </c>
      <c r="B478" t="s">
        <v>886</v>
      </c>
      <c r="C478" t="s">
        <v>987</v>
      </c>
      <c r="D478" s="169" t="s">
        <v>886</v>
      </c>
      <c r="E478" s="154" t="s">
        <v>3</v>
      </c>
    </row>
    <row r="479" spans="1:5" hidden="1">
      <c r="A479">
        <f t="shared" si="7"/>
        <v>477</v>
      </c>
      <c r="B479" t="s">
        <v>886</v>
      </c>
      <c r="C479" t="s">
        <v>988</v>
      </c>
      <c r="D479" s="169" t="s">
        <v>886</v>
      </c>
      <c r="E479" s="154" t="s">
        <v>3</v>
      </c>
    </row>
    <row r="480" spans="1:5" hidden="1">
      <c r="A480">
        <f t="shared" si="7"/>
        <v>478</v>
      </c>
      <c r="B480" t="s">
        <v>886</v>
      </c>
      <c r="C480" t="s">
        <v>989</v>
      </c>
      <c r="D480" s="169" t="s">
        <v>886</v>
      </c>
      <c r="E480" s="154" t="s">
        <v>3</v>
      </c>
    </row>
    <row r="481" spans="1:5" hidden="1">
      <c r="A481">
        <f t="shared" si="7"/>
        <v>479</v>
      </c>
      <c r="B481" t="s">
        <v>886</v>
      </c>
      <c r="C481" t="s">
        <v>990</v>
      </c>
      <c r="D481" s="169" t="s">
        <v>886</v>
      </c>
      <c r="E481" s="154" t="s">
        <v>3</v>
      </c>
    </row>
    <row r="482" spans="1:5" hidden="1">
      <c r="A482">
        <f t="shared" si="7"/>
        <v>480</v>
      </c>
      <c r="B482" t="s">
        <v>886</v>
      </c>
      <c r="C482" t="s">
        <v>991</v>
      </c>
      <c r="D482" s="169" t="s">
        <v>886</v>
      </c>
      <c r="E482" s="154" t="s">
        <v>3</v>
      </c>
    </row>
    <row r="483" spans="1:5" hidden="1">
      <c r="A483">
        <f t="shared" si="7"/>
        <v>481</v>
      </c>
      <c r="B483" t="s">
        <v>886</v>
      </c>
      <c r="C483" t="s">
        <v>992</v>
      </c>
      <c r="D483" s="169" t="s">
        <v>886</v>
      </c>
      <c r="E483" s="154" t="s">
        <v>3</v>
      </c>
    </row>
    <row r="484" spans="1:5" hidden="1">
      <c r="A484">
        <f t="shared" si="7"/>
        <v>482</v>
      </c>
      <c r="B484" t="s">
        <v>886</v>
      </c>
      <c r="C484" t="s">
        <v>993</v>
      </c>
      <c r="D484" s="169" t="s">
        <v>886</v>
      </c>
      <c r="E484" s="154" t="s">
        <v>3</v>
      </c>
    </row>
    <row r="485" spans="1:5" hidden="1">
      <c r="A485">
        <f t="shared" si="7"/>
        <v>483</v>
      </c>
      <c r="B485" t="s">
        <v>886</v>
      </c>
      <c r="C485" t="s">
        <v>994</v>
      </c>
      <c r="D485" s="169" t="s">
        <v>886</v>
      </c>
      <c r="E485" s="154" t="s">
        <v>3</v>
      </c>
    </row>
    <row r="486" spans="1:5" hidden="1">
      <c r="A486">
        <f t="shared" si="7"/>
        <v>484</v>
      </c>
      <c r="B486" t="s">
        <v>886</v>
      </c>
      <c r="C486" t="s">
        <v>995</v>
      </c>
      <c r="D486" s="169" t="s">
        <v>886</v>
      </c>
      <c r="E486" s="154" t="s">
        <v>3</v>
      </c>
    </row>
    <row r="487" spans="1:5" hidden="1">
      <c r="A487">
        <f t="shared" si="7"/>
        <v>485</v>
      </c>
      <c r="B487" t="s">
        <v>886</v>
      </c>
      <c r="C487" t="s">
        <v>996</v>
      </c>
      <c r="D487" s="169" t="s">
        <v>886</v>
      </c>
      <c r="E487" s="154" t="s">
        <v>3</v>
      </c>
    </row>
    <row r="488" spans="1:5" hidden="1">
      <c r="A488">
        <f t="shared" si="7"/>
        <v>486</v>
      </c>
      <c r="B488" t="s">
        <v>886</v>
      </c>
      <c r="C488" t="s">
        <v>997</v>
      </c>
      <c r="D488" s="169" t="s">
        <v>886</v>
      </c>
      <c r="E488" s="154" t="s">
        <v>3</v>
      </c>
    </row>
    <row r="489" spans="1:5" hidden="1">
      <c r="A489">
        <f t="shared" si="7"/>
        <v>487</v>
      </c>
      <c r="B489" t="s">
        <v>886</v>
      </c>
      <c r="C489" t="s">
        <v>998</v>
      </c>
      <c r="D489" s="169" t="s">
        <v>886</v>
      </c>
      <c r="E489" s="154" t="s">
        <v>3</v>
      </c>
    </row>
    <row r="490" spans="1:5" hidden="1">
      <c r="A490">
        <f t="shared" si="7"/>
        <v>488</v>
      </c>
      <c r="B490" t="s">
        <v>886</v>
      </c>
      <c r="C490" t="s">
        <v>999</v>
      </c>
      <c r="D490" s="169" t="s">
        <v>886</v>
      </c>
      <c r="E490" s="154" t="s">
        <v>3</v>
      </c>
    </row>
    <row r="491" spans="1:5" hidden="1">
      <c r="A491">
        <f t="shared" si="7"/>
        <v>489</v>
      </c>
      <c r="B491" t="s">
        <v>886</v>
      </c>
      <c r="C491" t="s">
        <v>1000</v>
      </c>
      <c r="D491" s="169" t="s">
        <v>886</v>
      </c>
      <c r="E491" s="154" t="s">
        <v>3</v>
      </c>
    </row>
    <row r="492" spans="1:5" hidden="1">
      <c r="A492">
        <f t="shared" si="7"/>
        <v>490</v>
      </c>
      <c r="B492" t="s">
        <v>886</v>
      </c>
      <c r="C492" t="s">
        <v>1001</v>
      </c>
      <c r="D492" s="169" t="s">
        <v>886</v>
      </c>
      <c r="E492" s="154" t="s">
        <v>3</v>
      </c>
    </row>
    <row r="493" spans="1:5" hidden="1">
      <c r="A493">
        <f t="shared" si="7"/>
        <v>491</v>
      </c>
      <c r="B493" t="s">
        <v>886</v>
      </c>
      <c r="C493" t="s">
        <v>1002</v>
      </c>
      <c r="D493" s="169" t="s">
        <v>886</v>
      </c>
      <c r="E493" s="154" t="s">
        <v>3</v>
      </c>
    </row>
    <row r="494" spans="1:5" hidden="1">
      <c r="A494">
        <f t="shared" si="7"/>
        <v>492</v>
      </c>
      <c r="B494" t="s">
        <v>886</v>
      </c>
      <c r="C494" t="s">
        <v>1003</v>
      </c>
      <c r="D494" s="169" t="s">
        <v>886</v>
      </c>
      <c r="E494" s="154" t="s">
        <v>3</v>
      </c>
    </row>
    <row r="495" spans="1:5" hidden="1">
      <c r="A495">
        <f t="shared" si="7"/>
        <v>493</v>
      </c>
      <c r="B495" t="s">
        <v>886</v>
      </c>
      <c r="C495" t="s">
        <v>1004</v>
      </c>
      <c r="D495" s="169" t="s">
        <v>886</v>
      </c>
      <c r="E495" s="154" t="s">
        <v>3</v>
      </c>
    </row>
    <row r="496" spans="1:5" hidden="1">
      <c r="A496">
        <f t="shared" si="7"/>
        <v>494</v>
      </c>
      <c r="B496" t="s">
        <v>886</v>
      </c>
      <c r="C496" t="s">
        <v>1005</v>
      </c>
      <c r="D496" s="169" t="s">
        <v>886</v>
      </c>
      <c r="E496" s="154" t="s">
        <v>3</v>
      </c>
    </row>
    <row r="497" spans="1:5" hidden="1">
      <c r="A497">
        <f t="shared" si="7"/>
        <v>495</v>
      </c>
      <c r="B497" t="s">
        <v>886</v>
      </c>
      <c r="C497" t="s">
        <v>1006</v>
      </c>
      <c r="D497" s="169" t="s">
        <v>886</v>
      </c>
      <c r="E497" s="154" t="s">
        <v>3</v>
      </c>
    </row>
    <row r="498" spans="1:5" hidden="1">
      <c r="A498">
        <f t="shared" si="7"/>
        <v>496</v>
      </c>
      <c r="B498" t="s">
        <v>886</v>
      </c>
      <c r="C498" t="s">
        <v>1007</v>
      </c>
      <c r="D498" s="169" t="s">
        <v>886</v>
      </c>
      <c r="E498" s="154" t="s">
        <v>3</v>
      </c>
    </row>
    <row r="499" spans="1:5" hidden="1">
      <c r="A499">
        <f t="shared" si="7"/>
        <v>497</v>
      </c>
      <c r="B499" t="s">
        <v>886</v>
      </c>
      <c r="C499" t="s">
        <v>1008</v>
      </c>
      <c r="D499" s="169" t="s">
        <v>886</v>
      </c>
      <c r="E499" s="154" t="s">
        <v>3</v>
      </c>
    </row>
    <row r="500" spans="1:5" hidden="1">
      <c r="A500">
        <f t="shared" si="7"/>
        <v>498</v>
      </c>
      <c r="B500" t="s">
        <v>886</v>
      </c>
      <c r="C500" t="s">
        <v>1009</v>
      </c>
      <c r="D500" s="169" t="s">
        <v>886</v>
      </c>
      <c r="E500" s="154" t="s">
        <v>3</v>
      </c>
    </row>
    <row r="501" spans="1:5" hidden="1">
      <c r="A501">
        <f t="shared" si="7"/>
        <v>499</v>
      </c>
      <c r="B501" t="s">
        <v>886</v>
      </c>
      <c r="C501" t="s">
        <v>1010</v>
      </c>
      <c r="D501" s="169" t="s">
        <v>886</v>
      </c>
      <c r="E501" s="154" t="s">
        <v>3</v>
      </c>
    </row>
    <row r="502" spans="1:5" hidden="1">
      <c r="A502">
        <f t="shared" si="7"/>
        <v>500</v>
      </c>
      <c r="B502" t="s">
        <v>886</v>
      </c>
      <c r="C502" t="s">
        <v>1011</v>
      </c>
      <c r="D502" s="169" t="s">
        <v>886</v>
      </c>
      <c r="E502" s="154" t="s">
        <v>3</v>
      </c>
    </row>
    <row r="503" spans="1:5" hidden="1">
      <c r="A503">
        <f t="shared" si="7"/>
        <v>501</v>
      </c>
      <c r="B503" t="s">
        <v>886</v>
      </c>
      <c r="C503" t="s">
        <v>1012</v>
      </c>
      <c r="D503" s="169" t="s">
        <v>886</v>
      </c>
      <c r="E503" s="154" t="s">
        <v>3</v>
      </c>
    </row>
    <row r="504" spans="1:5" hidden="1">
      <c r="A504">
        <f t="shared" si="7"/>
        <v>502</v>
      </c>
      <c r="B504" t="s">
        <v>886</v>
      </c>
      <c r="C504" t="s">
        <v>1013</v>
      </c>
      <c r="D504" s="169" t="s">
        <v>886</v>
      </c>
      <c r="E504" s="154" t="s">
        <v>3</v>
      </c>
    </row>
    <row r="505" spans="1:5" hidden="1">
      <c r="A505">
        <f t="shared" si="7"/>
        <v>503</v>
      </c>
      <c r="B505" t="s">
        <v>886</v>
      </c>
      <c r="C505" t="s">
        <v>1014</v>
      </c>
      <c r="D505" s="169" t="s">
        <v>886</v>
      </c>
      <c r="E505" s="154" t="s">
        <v>3</v>
      </c>
    </row>
    <row r="506" spans="1:5" hidden="1">
      <c r="A506">
        <f t="shared" si="7"/>
        <v>504</v>
      </c>
      <c r="B506" t="s">
        <v>886</v>
      </c>
      <c r="C506" t="s">
        <v>1015</v>
      </c>
      <c r="D506" s="169" t="s">
        <v>886</v>
      </c>
      <c r="E506" s="154" t="s">
        <v>3</v>
      </c>
    </row>
    <row r="507" spans="1:5" hidden="1">
      <c r="A507">
        <f t="shared" si="7"/>
        <v>505</v>
      </c>
      <c r="B507" t="s">
        <v>886</v>
      </c>
      <c r="C507" t="s">
        <v>1016</v>
      </c>
      <c r="D507" s="169" t="s">
        <v>886</v>
      </c>
      <c r="E507" s="154" t="s">
        <v>3</v>
      </c>
    </row>
    <row r="508" spans="1:5" hidden="1">
      <c r="A508">
        <f t="shared" si="7"/>
        <v>506</v>
      </c>
      <c r="B508" t="s">
        <v>886</v>
      </c>
      <c r="C508" t="s">
        <v>1017</v>
      </c>
      <c r="D508" s="169" t="s">
        <v>886</v>
      </c>
      <c r="E508" s="154" t="s">
        <v>3</v>
      </c>
    </row>
    <row r="509" spans="1:5" hidden="1">
      <c r="A509">
        <f t="shared" si="7"/>
        <v>507</v>
      </c>
      <c r="B509" t="s">
        <v>886</v>
      </c>
      <c r="C509" t="s">
        <v>1018</v>
      </c>
      <c r="D509" s="169" t="s">
        <v>886</v>
      </c>
      <c r="E509" s="154" t="s">
        <v>3</v>
      </c>
    </row>
    <row r="510" spans="1:5" hidden="1">
      <c r="A510">
        <f t="shared" si="7"/>
        <v>508</v>
      </c>
      <c r="B510" t="s">
        <v>886</v>
      </c>
      <c r="C510" t="s">
        <v>1019</v>
      </c>
      <c r="D510" s="169" t="s">
        <v>886</v>
      </c>
      <c r="E510" s="154" t="s">
        <v>3</v>
      </c>
    </row>
    <row r="511" spans="1:5" hidden="1">
      <c r="A511">
        <f t="shared" si="7"/>
        <v>509</v>
      </c>
      <c r="B511" t="s">
        <v>886</v>
      </c>
      <c r="C511" t="s">
        <v>1020</v>
      </c>
      <c r="D511" s="169" t="s">
        <v>886</v>
      </c>
      <c r="E511" s="154" t="s">
        <v>3</v>
      </c>
    </row>
    <row r="512" spans="1:5" hidden="1">
      <c r="A512">
        <f t="shared" si="7"/>
        <v>510</v>
      </c>
      <c r="B512" t="s">
        <v>886</v>
      </c>
      <c r="C512" t="s">
        <v>1021</v>
      </c>
      <c r="D512" s="169" t="s">
        <v>886</v>
      </c>
      <c r="E512" s="154" t="s">
        <v>3</v>
      </c>
    </row>
    <row r="513" spans="1:5" hidden="1">
      <c r="A513">
        <f t="shared" si="7"/>
        <v>511</v>
      </c>
      <c r="B513" t="s">
        <v>886</v>
      </c>
      <c r="C513" t="s">
        <v>1022</v>
      </c>
      <c r="D513" s="169" t="s">
        <v>886</v>
      </c>
      <c r="E513" s="154" t="s">
        <v>3</v>
      </c>
    </row>
    <row r="514" spans="1:5" hidden="1">
      <c r="A514">
        <f t="shared" si="7"/>
        <v>512</v>
      </c>
      <c r="B514" t="s">
        <v>886</v>
      </c>
      <c r="C514" t="s">
        <v>1023</v>
      </c>
      <c r="D514" s="169" t="s">
        <v>886</v>
      </c>
      <c r="E514" s="154" t="s">
        <v>3</v>
      </c>
    </row>
    <row r="515" spans="1:5" hidden="1">
      <c r="A515">
        <f t="shared" si="7"/>
        <v>513</v>
      </c>
      <c r="B515" t="s">
        <v>886</v>
      </c>
      <c r="C515" t="s">
        <v>1024</v>
      </c>
      <c r="D515" s="169" t="s">
        <v>886</v>
      </c>
      <c r="E515" s="154" t="s">
        <v>3</v>
      </c>
    </row>
    <row r="516" spans="1:5" hidden="1">
      <c r="A516">
        <f t="shared" ref="A516:A579" si="8">A515+1</f>
        <v>514</v>
      </c>
      <c r="B516" t="s">
        <v>886</v>
      </c>
      <c r="C516" t="s">
        <v>1025</v>
      </c>
      <c r="D516" s="169" t="s">
        <v>886</v>
      </c>
      <c r="E516" s="154" t="s">
        <v>3</v>
      </c>
    </row>
    <row r="517" spans="1:5" hidden="1">
      <c r="A517">
        <f t="shared" si="8"/>
        <v>515</v>
      </c>
      <c r="B517" t="s">
        <v>886</v>
      </c>
      <c r="C517" t="s">
        <v>1026</v>
      </c>
      <c r="D517" s="169" t="s">
        <v>886</v>
      </c>
      <c r="E517" s="154" t="s">
        <v>3</v>
      </c>
    </row>
    <row r="518" spans="1:5" hidden="1">
      <c r="A518">
        <f t="shared" si="8"/>
        <v>516</v>
      </c>
      <c r="B518" t="s">
        <v>886</v>
      </c>
      <c r="C518" t="s">
        <v>1027</v>
      </c>
      <c r="D518" s="169" t="s">
        <v>886</v>
      </c>
      <c r="E518" s="154" t="s">
        <v>3</v>
      </c>
    </row>
    <row r="519" spans="1:5" hidden="1">
      <c r="A519">
        <f t="shared" si="8"/>
        <v>517</v>
      </c>
      <c r="B519" t="s">
        <v>886</v>
      </c>
      <c r="C519" t="s">
        <v>1028</v>
      </c>
      <c r="D519" s="169" t="s">
        <v>886</v>
      </c>
      <c r="E519" s="154" t="s">
        <v>3</v>
      </c>
    </row>
    <row r="520" spans="1:5" hidden="1">
      <c r="A520">
        <f t="shared" si="8"/>
        <v>518</v>
      </c>
      <c r="B520" t="s">
        <v>886</v>
      </c>
      <c r="C520" t="s">
        <v>1029</v>
      </c>
      <c r="D520" s="169" t="s">
        <v>886</v>
      </c>
      <c r="E520" s="154" t="s">
        <v>3</v>
      </c>
    </row>
    <row r="521" spans="1:5" hidden="1">
      <c r="A521">
        <f t="shared" si="8"/>
        <v>519</v>
      </c>
      <c r="B521" t="s">
        <v>886</v>
      </c>
      <c r="C521" t="s">
        <v>1030</v>
      </c>
      <c r="D521" s="169" t="s">
        <v>886</v>
      </c>
      <c r="E521" s="154" t="s">
        <v>3</v>
      </c>
    </row>
    <row r="522" spans="1:5" hidden="1">
      <c r="A522">
        <f t="shared" si="8"/>
        <v>520</v>
      </c>
      <c r="B522" t="s">
        <v>886</v>
      </c>
      <c r="C522" t="s">
        <v>1031</v>
      </c>
      <c r="D522" s="169" t="s">
        <v>886</v>
      </c>
      <c r="E522" s="154" t="s">
        <v>3</v>
      </c>
    </row>
    <row r="523" spans="1:5" hidden="1">
      <c r="A523">
        <f t="shared" si="8"/>
        <v>521</v>
      </c>
      <c r="B523" t="s">
        <v>886</v>
      </c>
      <c r="C523" t="s">
        <v>1032</v>
      </c>
      <c r="D523" s="169" t="s">
        <v>886</v>
      </c>
      <c r="E523" s="154" t="s">
        <v>3</v>
      </c>
    </row>
    <row r="524" spans="1:5" hidden="1">
      <c r="A524">
        <f t="shared" si="8"/>
        <v>522</v>
      </c>
      <c r="B524" t="s">
        <v>886</v>
      </c>
      <c r="C524" t="s">
        <v>1033</v>
      </c>
      <c r="D524" s="169" t="s">
        <v>886</v>
      </c>
      <c r="E524" s="154" t="s">
        <v>3</v>
      </c>
    </row>
    <row r="525" spans="1:5" hidden="1">
      <c r="A525">
        <f t="shared" si="8"/>
        <v>523</v>
      </c>
      <c r="B525" t="s">
        <v>886</v>
      </c>
      <c r="C525" t="s">
        <v>1034</v>
      </c>
      <c r="D525" s="169" t="s">
        <v>886</v>
      </c>
      <c r="E525" s="154" t="s">
        <v>3</v>
      </c>
    </row>
    <row r="526" spans="1:5" hidden="1">
      <c r="A526">
        <f t="shared" si="8"/>
        <v>524</v>
      </c>
      <c r="B526" t="s">
        <v>886</v>
      </c>
      <c r="C526" t="s">
        <v>1035</v>
      </c>
      <c r="D526" s="169" t="s">
        <v>886</v>
      </c>
      <c r="E526" s="154" t="s">
        <v>3</v>
      </c>
    </row>
    <row r="527" spans="1:5" hidden="1">
      <c r="A527">
        <f t="shared" si="8"/>
        <v>525</v>
      </c>
      <c r="B527" t="s">
        <v>886</v>
      </c>
      <c r="C527" t="s">
        <v>1036</v>
      </c>
      <c r="D527" s="169" t="s">
        <v>886</v>
      </c>
      <c r="E527" s="154" t="s">
        <v>3</v>
      </c>
    </row>
    <row r="528" spans="1:5" hidden="1">
      <c r="A528">
        <f t="shared" si="8"/>
        <v>526</v>
      </c>
      <c r="B528" t="s">
        <v>886</v>
      </c>
      <c r="C528" t="s">
        <v>1037</v>
      </c>
      <c r="D528" s="169" t="s">
        <v>886</v>
      </c>
      <c r="E528" s="154" t="s">
        <v>3</v>
      </c>
    </row>
    <row r="529" spans="1:5" hidden="1">
      <c r="A529">
        <f t="shared" si="8"/>
        <v>527</v>
      </c>
      <c r="B529" t="s">
        <v>886</v>
      </c>
      <c r="C529" t="s">
        <v>1038</v>
      </c>
      <c r="D529" s="169" t="s">
        <v>886</v>
      </c>
      <c r="E529" s="154" t="s">
        <v>3</v>
      </c>
    </row>
    <row r="530" spans="1:5" hidden="1">
      <c r="A530">
        <f t="shared" si="8"/>
        <v>528</v>
      </c>
      <c r="B530" t="s">
        <v>886</v>
      </c>
      <c r="C530" t="s">
        <v>1039</v>
      </c>
      <c r="D530" s="169" t="s">
        <v>886</v>
      </c>
      <c r="E530" s="154" t="s">
        <v>3</v>
      </c>
    </row>
    <row r="531" spans="1:5" hidden="1">
      <c r="A531">
        <f t="shared" si="8"/>
        <v>529</v>
      </c>
      <c r="B531" t="s">
        <v>886</v>
      </c>
      <c r="C531" t="s">
        <v>1040</v>
      </c>
      <c r="D531" s="169" t="s">
        <v>886</v>
      </c>
      <c r="E531" s="154" t="s">
        <v>3</v>
      </c>
    </row>
    <row r="532" spans="1:5" hidden="1">
      <c r="A532">
        <f t="shared" si="8"/>
        <v>530</v>
      </c>
      <c r="B532" t="s">
        <v>886</v>
      </c>
      <c r="C532" t="s">
        <v>1041</v>
      </c>
      <c r="D532" s="169" t="s">
        <v>886</v>
      </c>
      <c r="E532" s="154" t="s">
        <v>3</v>
      </c>
    </row>
    <row r="533" spans="1:5" hidden="1">
      <c r="A533">
        <f t="shared" si="8"/>
        <v>531</v>
      </c>
      <c r="B533" t="s">
        <v>886</v>
      </c>
      <c r="C533" t="s">
        <v>1042</v>
      </c>
      <c r="D533" s="169" t="s">
        <v>886</v>
      </c>
      <c r="E533" s="154" t="s">
        <v>3</v>
      </c>
    </row>
    <row r="534" spans="1:5" hidden="1">
      <c r="A534">
        <f t="shared" si="8"/>
        <v>532</v>
      </c>
      <c r="B534" t="s">
        <v>886</v>
      </c>
      <c r="C534" t="s">
        <v>1043</v>
      </c>
      <c r="D534" s="169" t="s">
        <v>886</v>
      </c>
      <c r="E534" s="154" t="s">
        <v>3</v>
      </c>
    </row>
    <row r="535" spans="1:5" hidden="1">
      <c r="A535">
        <f t="shared" si="8"/>
        <v>533</v>
      </c>
      <c r="B535" t="s">
        <v>886</v>
      </c>
      <c r="C535" t="s">
        <v>1044</v>
      </c>
      <c r="D535" s="169" t="s">
        <v>886</v>
      </c>
      <c r="E535" s="154" t="s">
        <v>3</v>
      </c>
    </row>
    <row r="536" spans="1:5" hidden="1">
      <c r="A536">
        <f t="shared" si="8"/>
        <v>534</v>
      </c>
      <c r="B536" t="s">
        <v>886</v>
      </c>
      <c r="C536" t="s">
        <v>1045</v>
      </c>
      <c r="D536" s="169" t="s">
        <v>886</v>
      </c>
      <c r="E536" s="154" t="s">
        <v>3</v>
      </c>
    </row>
    <row r="537" spans="1:5" hidden="1">
      <c r="A537">
        <f t="shared" si="8"/>
        <v>535</v>
      </c>
      <c r="B537" t="s">
        <v>886</v>
      </c>
      <c r="C537" t="s">
        <v>1046</v>
      </c>
      <c r="D537" s="169" t="s">
        <v>886</v>
      </c>
      <c r="E537" s="154" t="s">
        <v>3</v>
      </c>
    </row>
    <row r="538" spans="1:5" hidden="1">
      <c r="A538">
        <f t="shared" si="8"/>
        <v>536</v>
      </c>
      <c r="B538" t="s">
        <v>886</v>
      </c>
      <c r="C538" t="s">
        <v>1047</v>
      </c>
      <c r="D538" s="169" t="s">
        <v>886</v>
      </c>
      <c r="E538" s="154" t="s">
        <v>3</v>
      </c>
    </row>
    <row r="539" spans="1:5" hidden="1">
      <c r="A539">
        <f t="shared" si="8"/>
        <v>537</v>
      </c>
      <c r="B539" t="s">
        <v>886</v>
      </c>
      <c r="C539" t="s">
        <v>1048</v>
      </c>
      <c r="D539" s="169" t="s">
        <v>886</v>
      </c>
      <c r="E539" s="154" t="s">
        <v>3</v>
      </c>
    </row>
    <row r="540" spans="1:5" hidden="1">
      <c r="A540">
        <f t="shared" si="8"/>
        <v>538</v>
      </c>
      <c r="B540" t="s">
        <v>886</v>
      </c>
      <c r="C540" t="s">
        <v>1049</v>
      </c>
      <c r="D540" s="169" t="s">
        <v>886</v>
      </c>
      <c r="E540" s="154" t="s">
        <v>3</v>
      </c>
    </row>
    <row r="541" spans="1:5" hidden="1">
      <c r="A541">
        <f t="shared" si="8"/>
        <v>539</v>
      </c>
      <c r="B541" t="s">
        <v>886</v>
      </c>
      <c r="C541" t="s">
        <v>1050</v>
      </c>
      <c r="D541" s="169" t="s">
        <v>886</v>
      </c>
      <c r="E541" s="154" t="s">
        <v>3</v>
      </c>
    </row>
    <row r="542" spans="1:5" hidden="1">
      <c r="A542">
        <f t="shared" si="8"/>
        <v>540</v>
      </c>
      <c r="B542" t="s">
        <v>886</v>
      </c>
      <c r="C542" t="s">
        <v>1051</v>
      </c>
      <c r="D542" s="169" t="s">
        <v>886</v>
      </c>
      <c r="E542" s="154" t="s">
        <v>3</v>
      </c>
    </row>
    <row r="543" spans="1:5" hidden="1">
      <c r="A543">
        <f t="shared" si="8"/>
        <v>541</v>
      </c>
      <c r="B543" t="s">
        <v>886</v>
      </c>
      <c r="C543" t="s">
        <v>1052</v>
      </c>
      <c r="D543" s="169" t="s">
        <v>886</v>
      </c>
      <c r="E543" s="154" t="s">
        <v>3</v>
      </c>
    </row>
    <row r="544" spans="1:5" hidden="1">
      <c r="A544">
        <f t="shared" si="8"/>
        <v>542</v>
      </c>
      <c r="B544" t="s">
        <v>886</v>
      </c>
      <c r="C544" t="s">
        <v>1053</v>
      </c>
      <c r="D544" s="169" t="s">
        <v>886</v>
      </c>
      <c r="E544" s="154" t="s">
        <v>3</v>
      </c>
    </row>
    <row r="545" spans="1:5" hidden="1">
      <c r="A545">
        <f t="shared" si="8"/>
        <v>543</v>
      </c>
      <c r="B545" t="s">
        <v>886</v>
      </c>
      <c r="C545" t="s">
        <v>1054</v>
      </c>
      <c r="D545" s="169" t="s">
        <v>886</v>
      </c>
      <c r="E545" s="154" t="s">
        <v>3</v>
      </c>
    </row>
    <row r="546" spans="1:5" hidden="1">
      <c r="A546">
        <f t="shared" si="8"/>
        <v>544</v>
      </c>
      <c r="B546" t="s">
        <v>886</v>
      </c>
      <c r="C546" t="s">
        <v>1055</v>
      </c>
      <c r="D546" s="169" t="s">
        <v>886</v>
      </c>
      <c r="E546" s="154" t="s">
        <v>3</v>
      </c>
    </row>
    <row r="547" spans="1:5" hidden="1">
      <c r="A547">
        <f t="shared" si="8"/>
        <v>545</v>
      </c>
      <c r="B547" t="s">
        <v>886</v>
      </c>
      <c r="C547" t="s">
        <v>1056</v>
      </c>
      <c r="D547" s="169" t="s">
        <v>886</v>
      </c>
      <c r="E547" s="154" t="s">
        <v>3</v>
      </c>
    </row>
    <row r="548" spans="1:5" hidden="1">
      <c r="A548">
        <f t="shared" si="8"/>
        <v>546</v>
      </c>
      <c r="B548" t="s">
        <v>886</v>
      </c>
      <c r="C548" t="s">
        <v>1057</v>
      </c>
      <c r="D548" s="169" t="s">
        <v>886</v>
      </c>
      <c r="E548" s="154" t="s">
        <v>3</v>
      </c>
    </row>
    <row r="549" spans="1:5" hidden="1">
      <c r="A549">
        <f t="shared" si="8"/>
        <v>547</v>
      </c>
      <c r="B549" t="s">
        <v>886</v>
      </c>
      <c r="C549" t="s">
        <v>1058</v>
      </c>
      <c r="D549" s="169" t="s">
        <v>886</v>
      </c>
      <c r="E549" s="154" t="s">
        <v>3</v>
      </c>
    </row>
    <row r="550" spans="1:5" hidden="1">
      <c r="A550">
        <f t="shared" si="8"/>
        <v>548</v>
      </c>
      <c r="B550" t="s">
        <v>886</v>
      </c>
      <c r="C550" t="s">
        <v>1059</v>
      </c>
      <c r="D550" s="169" t="s">
        <v>886</v>
      </c>
      <c r="E550" s="154" t="s">
        <v>3</v>
      </c>
    </row>
    <row r="551" spans="1:5" hidden="1">
      <c r="A551">
        <f t="shared" si="8"/>
        <v>549</v>
      </c>
      <c r="B551" t="s">
        <v>886</v>
      </c>
      <c r="C551" t="s">
        <v>1060</v>
      </c>
      <c r="D551" s="169" t="s">
        <v>886</v>
      </c>
      <c r="E551" s="154" t="s">
        <v>3</v>
      </c>
    </row>
    <row r="552" spans="1:5" hidden="1">
      <c r="A552">
        <f t="shared" si="8"/>
        <v>550</v>
      </c>
      <c r="B552" t="s">
        <v>886</v>
      </c>
      <c r="C552" t="s">
        <v>1061</v>
      </c>
      <c r="D552" s="169" t="s">
        <v>886</v>
      </c>
      <c r="E552" s="154" t="s">
        <v>3</v>
      </c>
    </row>
    <row r="553" spans="1:5" hidden="1">
      <c r="A553">
        <f t="shared" si="8"/>
        <v>551</v>
      </c>
      <c r="B553" t="s">
        <v>886</v>
      </c>
      <c r="C553" t="s">
        <v>1062</v>
      </c>
      <c r="D553" s="169" t="s">
        <v>886</v>
      </c>
      <c r="E553" s="154" t="s">
        <v>3</v>
      </c>
    </row>
    <row r="554" spans="1:5" hidden="1">
      <c r="A554">
        <f t="shared" si="8"/>
        <v>552</v>
      </c>
      <c r="B554" t="s">
        <v>886</v>
      </c>
      <c r="C554" t="s">
        <v>1063</v>
      </c>
      <c r="D554" s="169" t="s">
        <v>886</v>
      </c>
      <c r="E554" s="154" t="s">
        <v>3</v>
      </c>
    </row>
    <row r="555" spans="1:5" hidden="1">
      <c r="A555">
        <f t="shared" si="8"/>
        <v>553</v>
      </c>
      <c r="B555" t="s">
        <v>886</v>
      </c>
      <c r="C555" t="s">
        <v>1064</v>
      </c>
      <c r="D555" s="169" t="s">
        <v>886</v>
      </c>
      <c r="E555" s="154" t="s">
        <v>3</v>
      </c>
    </row>
    <row r="556" spans="1:5" hidden="1">
      <c r="A556">
        <f t="shared" si="8"/>
        <v>554</v>
      </c>
      <c r="B556" t="s">
        <v>886</v>
      </c>
      <c r="C556" t="s">
        <v>1065</v>
      </c>
      <c r="D556" s="169" t="s">
        <v>886</v>
      </c>
      <c r="E556" s="154" t="s">
        <v>3</v>
      </c>
    </row>
    <row r="557" spans="1:5" hidden="1">
      <c r="A557">
        <f t="shared" si="8"/>
        <v>555</v>
      </c>
      <c r="B557" t="s">
        <v>886</v>
      </c>
      <c r="C557" t="s">
        <v>1066</v>
      </c>
      <c r="D557" s="169" t="s">
        <v>886</v>
      </c>
      <c r="E557" s="154" t="s">
        <v>3</v>
      </c>
    </row>
    <row r="558" spans="1:5" hidden="1">
      <c r="A558">
        <f t="shared" si="8"/>
        <v>556</v>
      </c>
      <c r="B558" t="s">
        <v>886</v>
      </c>
      <c r="C558" t="s">
        <v>1067</v>
      </c>
      <c r="D558" s="169" t="s">
        <v>886</v>
      </c>
      <c r="E558" s="154" t="s">
        <v>3</v>
      </c>
    </row>
    <row r="559" spans="1:5" hidden="1">
      <c r="A559">
        <f t="shared" si="8"/>
        <v>557</v>
      </c>
      <c r="B559" t="s">
        <v>886</v>
      </c>
      <c r="C559" t="s">
        <v>1068</v>
      </c>
      <c r="D559" s="169" t="s">
        <v>886</v>
      </c>
      <c r="E559" s="154" t="s">
        <v>3</v>
      </c>
    </row>
    <row r="560" spans="1:5" hidden="1">
      <c r="A560">
        <f t="shared" si="8"/>
        <v>558</v>
      </c>
      <c r="B560" t="s">
        <v>886</v>
      </c>
      <c r="C560" t="s">
        <v>1069</v>
      </c>
      <c r="D560" s="169" t="s">
        <v>886</v>
      </c>
      <c r="E560" s="154" t="s">
        <v>3</v>
      </c>
    </row>
    <row r="561" spans="1:5" hidden="1">
      <c r="A561">
        <f t="shared" si="8"/>
        <v>559</v>
      </c>
      <c r="B561" t="s">
        <v>886</v>
      </c>
      <c r="C561" t="s">
        <v>1070</v>
      </c>
      <c r="D561" s="169" t="s">
        <v>886</v>
      </c>
      <c r="E561" s="154" t="s">
        <v>3</v>
      </c>
    </row>
    <row r="562" spans="1:5" hidden="1">
      <c r="A562">
        <f t="shared" si="8"/>
        <v>560</v>
      </c>
      <c r="B562" t="s">
        <v>886</v>
      </c>
      <c r="C562" t="s">
        <v>1071</v>
      </c>
      <c r="D562" s="169" t="s">
        <v>886</v>
      </c>
      <c r="E562" s="154" t="s">
        <v>3</v>
      </c>
    </row>
    <row r="563" spans="1:5" hidden="1">
      <c r="A563">
        <f t="shared" si="8"/>
        <v>561</v>
      </c>
      <c r="B563" t="s">
        <v>886</v>
      </c>
      <c r="C563" t="s">
        <v>1527</v>
      </c>
      <c r="D563" s="169" t="s">
        <v>886</v>
      </c>
      <c r="E563" s="154" t="s">
        <v>3</v>
      </c>
    </row>
    <row r="564" spans="1:5" hidden="1">
      <c r="A564">
        <f t="shared" si="8"/>
        <v>562</v>
      </c>
      <c r="B564" t="s">
        <v>886</v>
      </c>
      <c r="C564" t="s">
        <v>1072</v>
      </c>
      <c r="D564" s="169" t="s">
        <v>886</v>
      </c>
      <c r="E564" s="154" t="s">
        <v>3</v>
      </c>
    </row>
    <row r="565" spans="1:5" hidden="1">
      <c r="A565">
        <f t="shared" si="8"/>
        <v>563</v>
      </c>
      <c r="B565" t="s">
        <v>886</v>
      </c>
      <c r="C565" t="s">
        <v>1073</v>
      </c>
      <c r="D565" s="169" t="s">
        <v>886</v>
      </c>
      <c r="E565" s="154" t="s">
        <v>3</v>
      </c>
    </row>
    <row r="566" spans="1:5" hidden="1">
      <c r="A566">
        <f t="shared" si="8"/>
        <v>564</v>
      </c>
      <c r="B566" t="s">
        <v>886</v>
      </c>
      <c r="C566" t="s">
        <v>1074</v>
      </c>
      <c r="D566" s="169" t="s">
        <v>886</v>
      </c>
      <c r="E566" s="154" t="s">
        <v>3</v>
      </c>
    </row>
    <row r="567" spans="1:5" hidden="1">
      <c r="A567">
        <f t="shared" si="8"/>
        <v>565</v>
      </c>
      <c r="B567" t="s">
        <v>886</v>
      </c>
      <c r="C567" t="s">
        <v>1075</v>
      </c>
      <c r="D567" s="169" t="s">
        <v>886</v>
      </c>
      <c r="E567" s="154" t="s">
        <v>3</v>
      </c>
    </row>
    <row r="568" spans="1:5" hidden="1">
      <c r="A568">
        <f t="shared" si="8"/>
        <v>566</v>
      </c>
      <c r="B568" t="s">
        <v>886</v>
      </c>
      <c r="C568" t="s">
        <v>1076</v>
      </c>
      <c r="D568" s="169" t="s">
        <v>886</v>
      </c>
      <c r="E568" s="154" t="s">
        <v>3</v>
      </c>
    </row>
    <row r="569" spans="1:5" hidden="1">
      <c r="A569">
        <f t="shared" si="8"/>
        <v>567</v>
      </c>
      <c r="B569" t="s">
        <v>886</v>
      </c>
      <c r="C569" t="s">
        <v>1077</v>
      </c>
      <c r="D569" s="169" t="s">
        <v>886</v>
      </c>
      <c r="E569" s="154" t="s">
        <v>3</v>
      </c>
    </row>
    <row r="570" spans="1:5" hidden="1">
      <c r="A570">
        <f t="shared" si="8"/>
        <v>568</v>
      </c>
      <c r="B570" t="s">
        <v>886</v>
      </c>
      <c r="C570" t="s">
        <v>1078</v>
      </c>
      <c r="D570" s="169" t="s">
        <v>886</v>
      </c>
      <c r="E570" s="154" t="s">
        <v>3</v>
      </c>
    </row>
    <row r="571" spans="1:5" hidden="1">
      <c r="A571">
        <f t="shared" si="8"/>
        <v>569</v>
      </c>
      <c r="B571" t="s">
        <v>886</v>
      </c>
      <c r="C571" t="s">
        <v>1079</v>
      </c>
      <c r="D571" s="169" t="s">
        <v>886</v>
      </c>
      <c r="E571" s="154" t="s">
        <v>3</v>
      </c>
    </row>
    <row r="572" spans="1:5" hidden="1">
      <c r="A572">
        <f t="shared" si="8"/>
        <v>570</v>
      </c>
      <c r="B572" t="s">
        <v>886</v>
      </c>
      <c r="C572" t="s">
        <v>1080</v>
      </c>
      <c r="D572" s="169" t="s">
        <v>886</v>
      </c>
      <c r="E572" s="154" t="s">
        <v>3</v>
      </c>
    </row>
    <row r="573" spans="1:5" hidden="1">
      <c r="A573">
        <f t="shared" si="8"/>
        <v>571</v>
      </c>
      <c r="B573" t="s">
        <v>886</v>
      </c>
      <c r="C573" t="s">
        <v>1081</v>
      </c>
      <c r="D573" s="169" t="s">
        <v>886</v>
      </c>
      <c r="E573" s="154" t="s">
        <v>3</v>
      </c>
    </row>
    <row r="574" spans="1:5" hidden="1">
      <c r="A574">
        <f t="shared" si="8"/>
        <v>572</v>
      </c>
      <c r="B574" t="s">
        <v>886</v>
      </c>
      <c r="C574" t="s">
        <v>1082</v>
      </c>
      <c r="D574" s="169" t="s">
        <v>886</v>
      </c>
      <c r="E574" s="154" t="s">
        <v>3</v>
      </c>
    </row>
    <row r="575" spans="1:5" hidden="1">
      <c r="A575">
        <f t="shared" si="8"/>
        <v>573</v>
      </c>
      <c r="B575" t="s">
        <v>886</v>
      </c>
      <c r="C575" t="s">
        <v>1083</v>
      </c>
      <c r="D575" s="169" t="s">
        <v>886</v>
      </c>
      <c r="E575" s="154" t="s">
        <v>3</v>
      </c>
    </row>
    <row r="576" spans="1:5" hidden="1">
      <c r="A576">
        <f t="shared" si="8"/>
        <v>574</v>
      </c>
      <c r="B576" t="s">
        <v>886</v>
      </c>
      <c r="C576" t="s">
        <v>1084</v>
      </c>
      <c r="D576" s="169" t="s">
        <v>886</v>
      </c>
      <c r="E576" s="154" t="s">
        <v>3</v>
      </c>
    </row>
    <row r="577" spans="1:5" hidden="1">
      <c r="A577">
        <f t="shared" si="8"/>
        <v>575</v>
      </c>
      <c r="B577" t="s">
        <v>886</v>
      </c>
      <c r="C577" t="s">
        <v>1085</v>
      </c>
      <c r="D577" s="169" t="s">
        <v>886</v>
      </c>
      <c r="E577" s="154" t="s">
        <v>3</v>
      </c>
    </row>
    <row r="578" spans="1:5" hidden="1">
      <c r="A578">
        <f t="shared" si="8"/>
        <v>576</v>
      </c>
      <c r="B578" t="s">
        <v>886</v>
      </c>
      <c r="C578" t="s">
        <v>1086</v>
      </c>
      <c r="D578" s="169" t="s">
        <v>886</v>
      </c>
      <c r="E578" s="154" t="s">
        <v>3</v>
      </c>
    </row>
    <row r="579" spans="1:5" hidden="1">
      <c r="A579">
        <f t="shared" si="8"/>
        <v>577</v>
      </c>
      <c r="B579" t="s">
        <v>886</v>
      </c>
      <c r="C579" t="s">
        <v>1087</v>
      </c>
      <c r="D579" s="169" t="s">
        <v>886</v>
      </c>
      <c r="E579" s="154" t="s">
        <v>3</v>
      </c>
    </row>
    <row r="580" spans="1:5" hidden="1">
      <c r="A580">
        <f t="shared" ref="A580:A643" si="9">A579+1</f>
        <v>578</v>
      </c>
      <c r="B580" t="s">
        <v>886</v>
      </c>
      <c r="C580" t="s">
        <v>1088</v>
      </c>
      <c r="D580" s="169" t="s">
        <v>886</v>
      </c>
      <c r="E580" s="154" t="s">
        <v>3</v>
      </c>
    </row>
    <row r="581" spans="1:5" hidden="1">
      <c r="A581">
        <f t="shared" si="9"/>
        <v>579</v>
      </c>
      <c r="B581" t="s">
        <v>886</v>
      </c>
      <c r="C581" t="s">
        <v>1089</v>
      </c>
      <c r="D581" s="169" t="s">
        <v>886</v>
      </c>
      <c r="E581" s="154" t="s">
        <v>3</v>
      </c>
    </row>
    <row r="582" spans="1:5" hidden="1">
      <c r="A582">
        <f t="shared" si="9"/>
        <v>580</v>
      </c>
      <c r="B582" t="s">
        <v>886</v>
      </c>
      <c r="C582" t="s">
        <v>1090</v>
      </c>
      <c r="D582" s="169" t="s">
        <v>886</v>
      </c>
      <c r="E582" s="154" t="s">
        <v>3</v>
      </c>
    </row>
    <row r="583" spans="1:5" hidden="1">
      <c r="A583">
        <f t="shared" si="9"/>
        <v>581</v>
      </c>
      <c r="B583" t="s">
        <v>886</v>
      </c>
      <c r="C583" t="s">
        <v>1091</v>
      </c>
      <c r="D583" s="169" t="s">
        <v>886</v>
      </c>
      <c r="E583" s="154" t="s">
        <v>3</v>
      </c>
    </row>
    <row r="584" spans="1:5" hidden="1">
      <c r="A584">
        <f t="shared" si="9"/>
        <v>582</v>
      </c>
      <c r="B584" t="s">
        <v>886</v>
      </c>
      <c r="C584" t="s">
        <v>1092</v>
      </c>
      <c r="D584" s="169" t="s">
        <v>886</v>
      </c>
      <c r="E584" s="154" t="s">
        <v>3</v>
      </c>
    </row>
    <row r="585" spans="1:5" hidden="1">
      <c r="A585">
        <f t="shared" si="9"/>
        <v>583</v>
      </c>
      <c r="B585" t="s">
        <v>886</v>
      </c>
      <c r="C585" t="s">
        <v>1093</v>
      </c>
      <c r="D585" s="169" t="s">
        <v>886</v>
      </c>
      <c r="E585" s="154" t="s">
        <v>3</v>
      </c>
    </row>
    <row r="586" spans="1:5" hidden="1">
      <c r="A586">
        <f t="shared" si="9"/>
        <v>584</v>
      </c>
      <c r="B586" t="s">
        <v>886</v>
      </c>
      <c r="C586" t="s">
        <v>1094</v>
      </c>
      <c r="D586" s="169" t="s">
        <v>886</v>
      </c>
      <c r="E586" s="154" t="s">
        <v>3</v>
      </c>
    </row>
    <row r="587" spans="1:5" hidden="1">
      <c r="A587">
        <f t="shared" si="9"/>
        <v>585</v>
      </c>
      <c r="B587" t="s">
        <v>886</v>
      </c>
      <c r="C587" t="s">
        <v>1095</v>
      </c>
      <c r="D587" s="169" t="s">
        <v>886</v>
      </c>
      <c r="E587" s="154" t="s">
        <v>3</v>
      </c>
    </row>
    <row r="588" spans="1:5" hidden="1">
      <c r="A588">
        <f t="shared" si="9"/>
        <v>586</v>
      </c>
      <c r="B588" t="s">
        <v>886</v>
      </c>
      <c r="C588" t="s">
        <v>1096</v>
      </c>
      <c r="D588" s="169" t="s">
        <v>886</v>
      </c>
      <c r="E588" s="154" t="s">
        <v>3</v>
      </c>
    </row>
    <row r="589" spans="1:5" hidden="1">
      <c r="A589">
        <f t="shared" si="9"/>
        <v>587</v>
      </c>
      <c r="B589" t="s">
        <v>886</v>
      </c>
      <c r="C589" t="s">
        <v>1097</v>
      </c>
      <c r="D589" s="169" t="s">
        <v>886</v>
      </c>
      <c r="E589" s="154" t="s">
        <v>3</v>
      </c>
    </row>
    <row r="590" spans="1:5" hidden="1">
      <c r="A590">
        <f t="shared" si="9"/>
        <v>588</v>
      </c>
      <c r="B590" t="s">
        <v>886</v>
      </c>
      <c r="C590" t="s">
        <v>1098</v>
      </c>
      <c r="D590" s="169" t="s">
        <v>886</v>
      </c>
      <c r="E590" s="154" t="s">
        <v>3</v>
      </c>
    </row>
    <row r="591" spans="1:5" hidden="1">
      <c r="A591">
        <f t="shared" si="9"/>
        <v>589</v>
      </c>
      <c r="B591" t="s">
        <v>886</v>
      </c>
      <c r="C591" t="s">
        <v>1099</v>
      </c>
      <c r="D591" s="169" t="s">
        <v>886</v>
      </c>
      <c r="E591" s="154" t="s">
        <v>3</v>
      </c>
    </row>
    <row r="592" spans="1:5" hidden="1">
      <c r="A592">
        <f t="shared" si="9"/>
        <v>590</v>
      </c>
      <c r="B592" t="s">
        <v>886</v>
      </c>
      <c r="C592" t="s">
        <v>1100</v>
      </c>
      <c r="D592" s="169" t="s">
        <v>886</v>
      </c>
      <c r="E592" s="154" t="s">
        <v>3</v>
      </c>
    </row>
    <row r="593" spans="1:5" hidden="1">
      <c r="A593">
        <f t="shared" si="9"/>
        <v>591</v>
      </c>
      <c r="B593" t="s">
        <v>886</v>
      </c>
      <c r="C593" t="s">
        <v>1101</v>
      </c>
      <c r="D593" s="169" t="s">
        <v>886</v>
      </c>
      <c r="E593" s="154" t="s">
        <v>3</v>
      </c>
    </row>
    <row r="594" spans="1:5" hidden="1">
      <c r="A594">
        <f t="shared" si="9"/>
        <v>592</v>
      </c>
      <c r="B594" t="s">
        <v>886</v>
      </c>
      <c r="C594" t="s">
        <v>1102</v>
      </c>
      <c r="D594" s="169" t="s">
        <v>886</v>
      </c>
      <c r="E594" s="154" t="s">
        <v>3</v>
      </c>
    </row>
    <row r="595" spans="1:5" hidden="1">
      <c r="A595">
        <f t="shared" si="9"/>
        <v>593</v>
      </c>
      <c r="B595" t="s">
        <v>886</v>
      </c>
      <c r="C595" t="s">
        <v>1103</v>
      </c>
      <c r="D595" s="169" t="s">
        <v>886</v>
      </c>
      <c r="E595" s="154" t="s">
        <v>3</v>
      </c>
    </row>
    <row r="596" spans="1:5" hidden="1">
      <c r="A596">
        <f t="shared" si="9"/>
        <v>594</v>
      </c>
      <c r="B596" t="s">
        <v>886</v>
      </c>
      <c r="C596" t="s">
        <v>1104</v>
      </c>
      <c r="D596" s="169" t="s">
        <v>886</v>
      </c>
      <c r="E596" s="154" t="s">
        <v>3</v>
      </c>
    </row>
    <row r="597" spans="1:5" hidden="1">
      <c r="A597">
        <f t="shared" si="9"/>
        <v>595</v>
      </c>
      <c r="B597" t="s">
        <v>886</v>
      </c>
      <c r="C597" t="s">
        <v>1105</v>
      </c>
      <c r="D597" s="169" t="s">
        <v>886</v>
      </c>
      <c r="E597" s="154" t="s">
        <v>3</v>
      </c>
    </row>
    <row r="598" spans="1:5" hidden="1">
      <c r="A598">
        <f t="shared" si="9"/>
        <v>596</v>
      </c>
      <c r="B598" t="s">
        <v>886</v>
      </c>
      <c r="C598" t="s">
        <v>1106</v>
      </c>
      <c r="D598" s="169" t="s">
        <v>886</v>
      </c>
      <c r="E598" s="154" t="s">
        <v>3</v>
      </c>
    </row>
    <row r="599" spans="1:5" hidden="1">
      <c r="A599">
        <f t="shared" si="9"/>
        <v>597</v>
      </c>
      <c r="B599" t="s">
        <v>886</v>
      </c>
      <c r="C599" t="s">
        <v>1107</v>
      </c>
      <c r="D599" s="169" t="s">
        <v>886</v>
      </c>
      <c r="E599" s="154" t="s">
        <v>3</v>
      </c>
    </row>
    <row r="600" spans="1:5" hidden="1">
      <c r="A600">
        <f t="shared" si="9"/>
        <v>598</v>
      </c>
      <c r="B600" t="s">
        <v>886</v>
      </c>
      <c r="C600" t="s">
        <v>1108</v>
      </c>
      <c r="D600" s="169" t="s">
        <v>886</v>
      </c>
      <c r="E600" s="154" t="s">
        <v>3</v>
      </c>
    </row>
    <row r="601" spans="1:5" hidden="1">
      <c r="A601">
        <f t="shared" si="9"/>
        <v>599</v>
      </c>
      <c r="B601" t="s">
        <v>886</v>
      </c>
      <c r="C601" t="s">
        <v>1109</v>
      </c>
      <c r="D601" s="169" t="s">
        <v>886</v>
      </c>
      <c r="E601" s="154" t="s">
        <v>3</v>
      </c>
    </row>
    <row r="602" spans="1:5" hidden="1">
      <c r="A602">
        <f t="shared" si="9"/>
        <v>600</v>
      </c>
      <c r="B602" t="s">
        <v>886</v>
      </c>
      <c r="C602" t="s">
        <v>1110</v>
      </c>
      <c r="D602" s="169" t="s">
        <v>886</v>
      </c>
      <c r="E602" s="154" t="s">
        <v>3</v>
      </c>
    </row>
    <row r="603" spans="1:5" hidden="1">
      <c r="A603">
        <f t="shared" si="9"/>
        <v>601</v>
      </c>
      <c r="B603" t="s">
        <v>886</v>
      </c>
      <c r="C603" t="s">
        <v>1111</v>
      </c>
      <c r="D603" s="169" t="s">
        <v>886</v>
      </c>
      <c r="E603" s="154" t="s">
        <v>3</v>
      </c>
    </row>
    <row r="604" spans="1:5" hidden="1">
      <c r="A604">
        <f t="shared" si="9"/>
        <v>602</v>
      </c>
      <c r="B604" t="s">
        <v>886</v>
      </c>
      <c r="C604" t="s">
        <v>1112</v>
      </c>
      <c r="D604" s="169" t="s">
        <v>886</v>
      </c>
      <c r="E604" s="154" t="s">
        <v>3</v>
      </c>
    </row>
    <row r="605" spans="1:5" hidden="1">
      <c r="A605">
        <f t="shared" si="9"/>
        <v>603</v>
      </c>
      <c r="B605" t="s">
        <v>886</v>
      </c>
      <c r="C605" t="s">
        <v>1113</v>
      </c>
      <c r="D605" s="169" t="s">
        <v>886</v>
      </c>
      <c r="E605" s="154" t="s">
        <v>3</v>
      </c>
    </row>
    <row r="606" spans="1:5" hidden="1">
      <c r="A606">
        <f t="shared" si="9"/>
        <v>604</v>
      </c>
      <c r="B606" t="s">
        <v>886</v>
      </c>
      <c r="C606" t="s">
        <v>1114</v>
      </c>
      <c r="D606" s="169" t="s">
        <v>886</v>
      </c>
      <c r="E606" s="154" t="s">
        <v>3</v>
      </c>
    </row>
    <row r="607" spans="1:5" hidden="1">
      <c r="A607">
        <f t="shared" si="9"/>
        <v>605</v>
      </c>
      <c r="B607" t="s">
        <v>886</v>
      </c>
      <c r="C607" t="s">
        <v>1115</v>
      </c>
      <c r="D607" s="169" t="s">
        <v>886</v>
      </c>
      <c r="E607" s="154" t="s">
        <v>3</v>
      </c>
    </row>
    <row r="608" spans="1:5" hidden="1">
      <c r="A608">
        <f t="shared" si="9"/>
        <v>606</v>
      </c>
      <c r="B608" t="s">
        <v>886</v>
      </c>
      <c r="C608" t="s">
        <v>1116</v>
      </c>
      <c r="D608" s="169" t="s">
        <v>886</v>
      </c>
      <c r="E608" s="154" t="s">
        <v>3</v>
      </c>
    </row>
    <row r="609" spans="1:5" hidden="1">
      <c r="A609">
        <f t="shared" si="9"/>
        <v>607</v>
      </c>
      <c r="B609" t="s">
        <v>886</v>
      </c>
      <c r="C609" t="s">
        <v>1117</v>
      </c>
      <c r="D609" s="169" t="s">
        <v>886</v>
      </c>
      <c r="E609" s="154" t="s">
        <v>3</v>
      </c>
    </row>
    <row r="610" spans="1:5" hidden="1">
      <c r="A610">
        <f t="shared" si="9"/>
        <v>608</v>
      </c>
      <c r="B610" t="s">
        <v>886</v>
      </c>
      <c r="C610" t="s">
        <v>1118</v>
      </c>
      <c r="D610" s="169" t="s">
        <v>886</v>
      </c>
      <c r="E610" s="154" t="s">
        <v>3</v>
      </c>
    </row>
    <row r="611" spans="1:5" hidden="1">
      <c r="A611">
        <f t="shared" si="9"/>
        <v>609</v>
      </c>
      <c r="B611" t="s">
        <v>886</v>
      </c>
      <c r="C611" t="s">
        <v>1119</v>
      </c>
      <c r="D611" s="169" t="s">
        <v>886</v>
      </c>
      <c r="E611" s="154" t="s">
        <v>3</v>
      </c>
    </row>
    <row r="612" spans="1:5" hidden="1">
      <c r="A612">
        <f t="shared" si="9"/>
        <v>610</v>
      </c>
      <c r="B612" t="s">
        <v>886</v>
      </c>
      <c r="C612" t="s">
        <v>1120</v>
      </c>
      <c r="D612" s="169" t="s">
        <v>886</v>
      </c>
      <c r="E612" s="154" t="s">
        <v>3</v>
      </c>
    </row>
    <row r="613" spans="1:5" hidden="1">
      <c r="A613">
        <f t="shared" si="9"/>
        <v>611</v>
      </c>
      <c r="B613" t="s">
        <v>886</v>
      </c>
      <c r="C613" t="s">
        <v>1121</v>
      </c>
      <c r="D613" s="169" t="s">
        <v>886</v>
      </c>
      <c r="E613" s="154" t="s">
        <v>3</v>
      </c>
    </row>
    <row r="614" spans="1:5" hidden="1">
      <c r="A614">
        <f t="shared" si="9"/>
        <v>612</v>
      </c>
      <c r="B614" t="s">
        <v>886</v>
      </c>
      <c r="C614" t="s">
        <v>1122</v>
      </c>
      <c r="D614" s="169" t="s">
        <v>886</v>
      </c>
      <c r="E614" s="154" t="s">
        <v>3</v>
      </c>
    </row>
    <row r="615" spans="1:5" hidden="1">
      <c r="A615">
        <f t="shared" si="9"/>
        <v>613</v>
      </c>
      <c r="B615" t="s">
        <v>886</v>
      </c>
      <c r="C615" t="s">
        <v>1123</v>
      </c>
      <c r="D615" s="169" t="s">
        <v>886</v>
      </c>
      <c r="E615" s="154" t="s">
        <v>3</v>
      </c>
    </row>
    <row r="616" spans="1:5" hidden="1">
      <c r="A616">
        <f t="shared" si="9"/>
        <v>614</v>
      </c>
      <c r="B616" t="s">
        <v>886</v>
      </c>
      <c r="C616" t="s">
        <v>1124</v>
      </c>
      <c r="D616" s="169" t="s">
        <v>886</v>
      </c>
      <c r="E616" s="154" t="s">
        <v>3</v>
      </c>
    </row>
    <row r="617" spans="1:5" hidden="1">
      <c r="A617">
        <f t="shared" si="9"/>
        <v>615</v>
      </c>
      <c r="B617" t="s">
        <v>886</v>
      </c>
      <c r="C617" t="s">
        <v>1125</v>
      </c>
      <c r="D617" s="169" t="s">
        <v>886</v>
      </c>
      <c r="E617" s="154" t="s">
        <v>3</v>
      </c>
    </row>
    <row r="618" spans="1:5" hidden="1">
      <c r="A618">
        <f t="shared" si="9"/>
        <v>616</v>
      </c>
      <c r="B618" t="s">
        <v>886</v>
      </c>
      <c r="C618" t="s">
        <v>1126</v>
      </c>
      <c r="D618" s="169" t="s">
        <v>886</v>
      </c>
      <c r="E618" s="154" t="s">
        <v>3</v>
      </c>
    </row>
    <row r="619" spans="1:5" hidden="1">
      <c r="A619">
        <f t="shared" si="9"/>
        <v>617</v>
      </c>
      <c r="B619" t="s">
        <v>886</v>
      </c>
      <c r="C619" t="s">
        <v>1127</v>
      </c>
      <c r="D619" s="169" t="s">
        <v>886</v>
      </c>
      <c r="E619" s="154" t="s">
        <v>3</v>
      </c>
    </row>
    <row r="620" spans="1:5" hidden="1">
      <c r="A620">
        <f t="shared" si="9"/>
        <v>618</v>
      </c>
      <c r="B620" t="s">
        <v>886</v>
      </c>
      <c r="C620" t="s">
        <v>1128</v>
      </c>
      <c r="D620" s="169" t="s">
        <v>886</v>
      </c>
      <c r="E620" s="154" t="s">
        <v>3</v>
      </c>
    </row>
    <row r="621" spans="1:5" hidden="1">
      <c r="A621">
        <f t="shared" si="9"/>
        <v>619</v>
      </c>
      <c r="B621" t="s">
        <v>886</v>
      </c>
      <c r="C621" t="s">
        <v>1129</v>
      </c>
      <c r="D621" s="169" t="s">
        <v>886</v>
      </c>
      <c r="E621" s="154" t="s">
        <v>3</v>
      </c>
    </row>
    <row r="622" spans="1:5" hidden="1">
      <c r="A622">
        <f t="shared" si="9"/>
        <v>620</v>
      </c>
      <c r="B622" t="s">
        <v>886</v>
      </c>
      <c r="C622" t="s">
        <v>1130</v>
      </c>
      <c r="D622" s="169" t="s">
        <v>886</v>
      </c>
      <c r="E622" s="154" t="s">
        <v>3</v>
      </c>
    </row>
    <row r="623" spans="1:5" hidden="1">
      <c r="A623">
        <f t="shared" si="9"/>
        <v>621</v>
      </c>
      <c r="B623" t="s">
        <v>886</v>
      </c>
      <c r="C623" t="s">
        <v>1131</v>
      </c>
      <c r="D623" s="169" t="s">
        <v>886</v>
      </c>
      <c r="E623" s="154" t="s">
        <v>3</v>
      </c>
    </row>
    <row r="624" spans="1:5" hidden="1">
      <c r="A624">
        <f t="shared" si="9"/>
        <v>622</v>
      </c>
      <c r="B624" t="s">
        <v>886</v>
      </c>
      <c r="C624" t="s">
        <v>1132</v>
      </c>
      <c r="D624" s="169" t="s">
        <v>886</v>
      </c>
      <c r="E624" s="154" t="s">
        <v>3</v>
      </c>
    </row>
    <row r="625" spans="1:5" hidden="1">
      <c r="A625">
        <f t="shared" si="9"/>
        <v>623</v>
      </c>
      <c r="B625" t="s">
        <v>886</v>
      </c>
      <c r="C625" t="s">
        <v>1133</v>
      </c>
      <c r="D625" s="169" t="s">
        <v>886</v>
      </c>
      <c r="E625" s="154" t="s">
        <v>3</v>
      </c>
    </row>
    <row r="626" spans="1:5" hidden="1">
      <c r="A626">
        <f t="shared" si="9"/>
        <v>624</v>
      </c>
      <c r="B626" t="s">
        <v>886</v>
      </c>
      <c r="C626" t="s">
        <v>1134</v>
      </c>
      <c r="D626" s="169" t="s">
        <v>886</v>
      </c>
      <c r="E626" s="154" t="s">
        <v>3</v>
      </c>
    </row>
    <row r="627" spans="1:5" hidden="1">
      <c r="A627">
        <f t="shared" si="9"/>
        <v>625</v>
      </c>
      <c r="B627" t="s">
        <v>886</v>
      </c>
      <c r="C627" t="s">
        <v>1135</v>
      </c>
      <c r="D627" s="169" t="s">
        <v>886</v>
      </c>
      <c r="E627" s="154" t="s">
        <v>3</v>
      </c>
    </row>
    <row r="628" spans="1:5" hidden="1">
      <c r="A628">
        <f t="shared" si="9"/>
        <v>626</v>
      </c>
      <c r="B628" t="s">
        <v>886</v>
      </c>
      <c r="C628" t="s">
        <v>1136</v>
      </c>
      <c r="D628" s="169" t="s">
        <v>886</v>
      </c>
      <c r="E628" s="154" t="s">
        <v>3</v>
      </c>
    </row>
    <row r="629" spans="1:5" hidden="1">
      <c r="A629">
        <f t="shared" si="9"/>
        <v>627</v>
      </c>
      <c r="B629" t="s">
        <v>886</v>
      </c>
      <c r="C629" t="s">
        <v>1137</v>
      </c>
      <c r="D629" s="169" t="s">
        <v>886</v>
      </c>
      <c r="E629" s="154" t="s">
        <v>3</v>
      </c>
    </row>
    <row r="630" spans="1:5" hidden="1">
      <c r="A630">
        <f t="shared" si="9"/>
        <v>628</v>
      </c>
      <c r="B630" t="s">
        <v>886</v>
      </c>
      <c r="C630" t="s">
        <v>1138</v>
      </c>
      <c r="D630" s="169" t="s">
        <v>886</v>
      </c>
      <c r="E630" s="154" t="s">
        <v>3</v>
      </c>
    </row>
    <row r="631" spans="1:5" hidden="1">
      <c r="A631">
        <f t="shared" si="9"/>
        <v>629</v>
      </c>
      <c r="B631" t="s">
        <v>886</v>
      </c>
      <c r="C631" t="s">
        <v>1139</v>
      </c>
      <c r="D631" s="169" t="s">
        <v>886</v>
      </c>
      <c r="E631" s="154" t="s">
        <v>3</v>
      </c>
    </row>
    <row r="632" spans="1:5" hidden="1">
      <c r="A632">
        <f t="shared" si="9"/>
        <v>630</v>
      </c>
      <c r="B632" t="s">
        <v>886</v>
      </c>
      <c r="C632" t="s">
        <v>1140</v>
      </c>
      <c r="D632" s="169" t="s">
        <v>886</v>
      </c>
      <c r="E632" s="154" t="s">
        <v>3</v>
      </c>
    </row>
    <row r="633" spans="1:5" hidden="1">
      <c r="A633">
        <f t="shared" si="9"/>
        <v>631</v>
      </c>
      <c r="B633" t="s">
        <v>886</v>
      </c>
      <c r="C633" t="s">
        <v>1141</v>
      </c>
      <c r="D633" s="169" t="s">
        <v>886</v>
      </c>
      <c r="E633" s="154" t="s">
        <v>3</v>
      </c>
    </row>
    <row r="634" spans="1:5" hidden="1">
      <c r="A634">
        <f t="shared" si="9"/>
        <v>632</v>
      </c>
      <c r="B634" t="s">
        <v>886</v>
      </c>
      <c r="C634" t="s">
        <v>1142</v>
      </c>
      <c r="D634" s="169" t="s">
        <v>886</v>
      </c>
      <c r="E634" s="154" t="s">
        <v>3</v>
      </c>
    </row>
    <row r="635" spans="1:5" hidden="1">
      <c r="A635">
        <f t="shared" si="9"/>
        <v>633</v>
      </c>
      <c r="B635" t="s">
        <v>886</v>
      </c>
      <c r="C635" t="s">
        <v>1143</v>
      </c>
      <c r="D635" s="169" t="s">
        <v>886</v>
      </c>
      <c r="E635" s="154" t="s">
        <v>3</v>
      </c>
    </row>
    <row r="636" spans="1:5" hidden="1">
      <c r="A636">
        <f t="shared" si="9"/>
        <v>634</v>
      </c>
      <c r="B636" t="s">
        <v>886</v>
      </c>
      <c r="C636" t="s">
        <v>1144</v>
      </c>
      <c r="D636" s="169" t="s">
        <v>886</v>
      </c>
      <c r="E636" s="154" t="s">
        <v>3</v>
      </c>
    </row>
    <row r="637" spans="1:5" hidden="1">
      <c r="A637">
        <f t="shared" si="9"/>
        <v>635</v>
      </c>
      <c r="B637" t="s">
        <v>886</v>
      </c>
      <c r="C637" t="s">
        <v>1145</v>
      </c>
      <c r="D637" s="169" t="s">
        <v>886</v>
      </c>
      <c r="E637" s="154" t="s">
        <v>3</v>
      </c>
    </row>
    <row r="638" spans="1:5" hidden="1">
      <c r="A638">
        <f t="shared" si="9"/>
        <v>636</v>
      </c>
      <c r="B638" t="s">
        <v>886</v>
      </c>
      <c r="C638" t="s">
        <v>1146</v>
      </c>
      <c r="D638" s="169" t="s">
        <v>886</v>
      </c>
      <c r="E638" s="154" t="s">
        <v>3</v>
      </c>
    </row>
    <row r="639" spans="1:5" hidden="1">
      <c r="A639">
        <f t="shared" si="9"/>
        <v>637</v>
      </c>
      <c r="B639" t="s">
        <v>886</v>
      </c>
      <c r="C639" t="s">
        <v>1147</v>
      </c>
      <c r="D639" s="169" t="s">
        <v>886</v>
      </c>
      <c r="E639" s="154" t="s">
        <v>3</v>
      </c>
    </row>
    <row r="640" spans="1:5" hidden="1">
      <c r="A640">
        <f t="shared" si="9"/>
        <v>638</v>
      </c>
      <c r="B640" t="s">
        <v>886</v>
      </c>
      <c r="C640" t="s">
        <v>1148</v>
      </c>
      <c r="D640" s="169" t="s">
        <v>886</v>
      </c>
      <c r="E640" s="154" t="s">
        <v>3</v>
      </c>
    </row>
    <row r="641" spans="1:5" hidden="1">
      <c r="A641">
        <f t="shared" si="9"/>
        <v>639</v>
      </c>
      <c r="B641" t="s">
        <v>886</v>
      </c>
      <c r="C641" t="s">
        <v>1149</v>
      </c>
      <c r="D641" s="169" t="s">
        <v>886</v>
      </c>
      <c r="E641" s="154" t="s">
        <v>3</v>
      </c>
    </row>
    <row r="642" spans="1:5" hidden="1">
      <c r="A642">
        <f t="shared" si="9"/>
        <v>640</v>
      </c>
      <c r="B642" t="s">
        <v>886</v>
      </c>
      <c r="C642" t="s">
        <v>1150</v>
      </c>
      <c r="D642" s="169" t="s">
        <v>886</v>
      </c>
      <c r="E642" s="154" t="s">
        <v>3</v>
      </c>
    </row>
    <row r="643" spans="1:5" hidden="1">
      <c r="A643">
        <f t="shared" si="9"/>
        <v>641</v>
      </c>
      <c r="B643" t="s">
        <v>886</v>
      </c>
      <c r="C643" t="s">
        <v>1151</v>
      </c>
      <c r="D643" s="169" t="s">
        <v>886</v>
      </c>
      <c r="E643" s="154" t="s">
        <v>3</v>
      </c>
    </row>
    <row r="644" spans="1:5" hidden="1">
      <c r="A644">
        <f t="shared" ref="A644:A707" si="10">A643+1</f>
        <v>642</v>
      </c>
      <c r="B644" t="s">
        <v>886</v>
      </c>
      <c r="C644" t="s">
        <v>1152</v>
      </c>
      <c r="D644" s="169" t="s">
        <v>886</v>
      </c>
      <c r="E644" s="154" t="s">
        <v>3</v>
      </c>
    </row>
    <row r="645" spans="1:5" hidden="1">
      <c r="A645">
        <f t="shared" si="10"/>
        <v>643</v>
      </c>
      <c r="B645" t="s">
        <v>886</v>
      </c>
      <c r="C645" t="s">
        <v>1153</v>
      </c>
      <c r="D645" s="169" t="s">
        <v>886</v>
      </c>
      <c r="E645" s="154" t="s">
        <v>3</v>
      </c>
    </row>
    <row r="646" spans="1:5" hidden="1">
      <c r="A646">
        <f t="shared" si="10"/>
        <v>644</v>
      </c>
      <c r="B646" t="s">
        <v>886</v>
      </c>
      <c r="C646" t="s">
        <v>1154</v>
      </c>
      <c r="D646" s="169" t="s">
        <v>886</v>
      </c>
      <c r="E646" s="154" t="s">
        <v>3</v>
      </c>
    </row>
    <row r="647" spans="1:5" hidden="1">
      <c r="A647">
        <f t="shared" si="10"/>
        <v>645</v>
      </c>
      <c r="B647" t="s">
        <v>886</v>
      </c>
      <c r="C647" t="s">
        <v>1155</v>
      </c>
      <c r="D647" s="169" t="s">
        <v>886</v>
      </c>
      <c r="E647" s="154" t="s">
        <v>3</v>
      </c>
    </row>
    <row r="648" spans="1:5" hidden="1">
      <c r="A648">
        <f t="shared" si="10"/>
        <v>646</v>
      </c>
      <c r="B648" t="s">
        <v>886</v>
      </c>
      <c r="C648" t="s">
        <v>1156</v>
      </c>
      <c r="D648" s="169" t="s">
        <v>886</v>
      </c>
      <c r="E648" s="154" t="s">
        <v>3</v>
      </c>
    </row>
    <row r="649" spans="1:5" hidden="1">
      <c r="A649">
        <f t="shared" si="10"/>
        <v>647</v>
      </c>
      <c r="B649" t="s">
        <v>886</v>
      </c>
      <c r="C649" t="s">
        <v>1157</v>
      </c>
      <c r="D649" s="169" t="s">
        <v>886</v>
      </c>
      <c r="E649" s="154" t="s">
        <v>3</v>
      </c>
    </row>
    <row r="650" spans="1:5" hidden="1">
      <c r="A650">
        <f t="shared" si="10"/>
        <v>648</v>
      </c>
      <c r="B650" t="s">
        <v>886</v>
      </c>
      <c r="C650" t="s">
        <v>1158</v>
      </c>
      <c r="D650" s="169" t="s">
        <v>886</v>
      </c>
      <c r="E650" s="154" t="s">
        <v>3</v>
      </c>
    </row>
    <row r="651" spans="1:5" hidden="1">
      <c r="A651">
        <f t="shared" si="10"/>
        <v>649</v>
      </c>
      <c r="B651" t="s">
        <v>886</v>
      </c>
      <c r="C651" t="s">
        <v>1159</v>
      </c>
      <c r="D651" s="169" t="s">
        <v>886</v>
      </c>
      <c r="E651" s="154" t="s">
        <v>3</v>
      </c>
    </row>
    <row r="652" spans="1:5" hidden="1">
      <c r="A652">
        <f t="shared" si="10"/>
        <v>650</v>
      </c>
      <c r="B652" t="s">
        <v>886</v>
      </c>
      <c r="C652" t="s">
        <v>1160</v>
      </c>
      <c r="D652" s="169" t="s">
        <v>886</v>
      </c>
      <c r="E652" s="154" t="s">
        <v>3</v>
      </c>
    </row>
    <row r="653" spans="1:5" hidden="1">
      <c r="A653">
        <f t="shared" si="10"/>
        <v>651</v>
      </c>
      <c r="B653" t="s">
        <v>886</v>
      </c>
      <c r="C653" t="s">
        <v>1161</v>
      </c>
      <c r="D653" s="169" t="s">
        <v>886</v>
      </c>
      <c r="E653" s="154" t="s">
        <v>3</v>
      </c>
    </row>
    <row r="654" spans="1:5" hidden="1">
      <c r="A654">
        <f t="shared" si="10"/>
        <v>652</v>
      </c>
      <c r="B654" t="s">
        <v>886</v>
      </c>
      <c r="C654" t="s">
        <v>1162</v>
      </c>
      <c r="D654" s="169" t="s">
        <v>886</v>
      </c>
      <c r="E654" s="154" t="s">
        <v>3</v>
      </c>
    </row>
    <row r="655" spans="1:5" hidden="1">
      <c r="A655">
        <f t="shared" si="10"/>
        <v>653</v>
      </c>
      <c r="B655" t="s">
        <v>886</v>
      </c>
      <c r="C655" t="s">
        <v>1163</v>
      </c>
      <c r="D655" s="169" t="s">
        <v>886</v>
      </c>
      <c r="E655" s="154" t="s">
        <v>3</v>
      </c>
    </row>
    <row r="656" spans="1:5" hidden="1">
      <c r="A656">
        <f t="shared" si="10"/>
        <v>654</v>
      </c>
      <c r="B656" t="s">
        <v>886</v>
      </c>
      <c r="C656" t="s">
        <v>1164</v>
      </c>
      <c r="D656" s="169" t="s">
        <v>886</v>
      </c>
      <c r="E656" s="154" t="s">
        <v>3</v>
      </c>
    </row>
    <row r="657" spans="1:5" hidden="1">
      <c r="A657">
        <f t="shared" si="10"/>
        <v>655</v>
      </c>
      <c r="B657" t="s">
        <v>886</v>
      </c>
      <c r="C657" t="s">
        <v>1165</v>
      </c>
      <c r="D657" s="169" t="s">
        <v>886</v>
      </c>
      <c r="E657" s="154" t="s">
        <v>3</v>
      </c>
    </row>
    <row r="658" spans="1:5" hidden="1">
      <c r="A658">
        <f t="shared" si="10"/>
        <v>656</v>
      </c>
      <c r="B658" t="s">
        <v>886</v>
      </c>
      <c r="C658" t="s">
        <v>1166</v>
      </c>
      <c r="D658" s="169" t="s">
        <v>886</v>
      </c>
      <c r="E658" s="154" t="s">
        <v>3</v>
      </c>
    </row>
    <row r="659" spans="1:5" hidden="1">
      <c r="A659">
        <f t="shared" si="10"/>
        <v>657</v>
      </c>
      <c r="B659" t="s">
        <v>886</v>
      </c>
      <c r="C659" t="s">
        <v>1167</v>
      </c>
      <c r="D659" s="169" t="s">
        <v>886</v>
      </c>
      <c r="E659" s="154" t="s">
        <v>3</v>
      </c>
    </row>
    <row r="660" spans="1:5" hidden="1">
      <c r="A660">
        <f t="shared" si="10"/>
        <v>658</v>
      </c>
      <c r="B660" t="s">
        <v>886</v>
      </c>
      <c r="C660" t="s">
        <v>1529</v>
      </c>
      <c r="D660" s="169" t="s">
        <v>886</v>
      </c>
      <c r="E660" s="154" t="s">
        <v>3</v>
      </c>
    </row>
    <row r="661" spans="1:5" hidden="1">
      <c r="A661">
        <f t="shared" si="10"/>
        <v>659</v>
      </c>
      <c r="B661" t="s">
        <v>886</v>
      </c>
      <c r="C661" t="s">
        <v>1168</v>
      </c>
      <c r="D661" s="169" t="s">
        <v>886</v>
      </c>
      <c r="E661" s="154" t="s">
        <v>3</v>
      </c>
    </row>
    <row r="662" spans="1:5" hidden="1">
      <c r="A662">
        <f t="shared" si="10"/>
        <v>660</v>
      </c>
      <c r="B662" t="s">
        <v>886</v>
      </c>
      <c r="C662" t="s">
        <v>1169</v>
      </c>
      <c r="D662" s="169" t="s">
        <v>886</v>
      </c>
      <c r="E662" s="154" t="s">
        <v>3</v>
      </c>
    </row>
    <row r="663" spans="1:5" hidden="1">
      <c r="A663">
        <f t="shared" si="10"/>
        <v>661</v>
      </c>
      <c r="B663" t="s">
        <v>886</v>
      </c>
      <c r="C663" t="s">
        <v>1170</v>
      </c>
      <c r="D663" s="169" t="s">
        <v>886</v>
      </c>
      <c r="E663" s="154" t="s">
        <v>3</v>
      </c>
    </row>
    <row r="664" spans="1:5" hidden="1">
      <c r="A664">
        <f t="shared" si="10"/>
        <v>662</v>
      </c>
      <c r="B664" t="s">
        <v>886</v>
      </c>
      <c r="C664" t="s">
        <v>1171</v>
      </c>
      <c r="D664" s="169" t="s">
        <v>886</v>
      </c>
      <c r="E664" s="154" t="s">
        <v>3</v>
      </c>
    </row>
    <row r="665" spans="1:5" hidden="1">
      <c r="A665">
        <f t="shared" si="10"/>
        <v>663</v>
      </c>
      <c r="B665" t="s">
        <v>886</v>
      </c>
      <c r="C665" t="s">
        <v>1172</v>
      </c>
      <c r="D665" s="169" t="s">
        <v>886</v>
      </c>
      <c r="E665" s="154" t="s">
        <v>3</v>
      </c>
    </row>
    <row r="666" spans="1:5" hidden="1">
      <c r="A666">
        <f t="shared" si="10"/>
        <v>664</v>
      </c>
      <c r="B666" t="s">
        <v>886</v>
      </c>
      <c r="C666" t="s">
        <v>1173</v>
      </c>
      <c r="D666" s="169" t="s">
        <v>886</v>
      </c>
      <c r="E666" s="154" t="s">
        <v>3</v>
      </c>
    </row>
    <row r="667" spans="1:5" hidden="1">
      <c r="A667">
        <f t="shared" si="10"/>
        <v>665</v>
      </c>
      <c r="B667" t="s">
        <v>886</v>
      </c>
      <c r="C667" t="s">
        <v>1174</v>
      </c>
      <c r="D667" s="169" t="s">
        <v>886</v>
      </c>
      <c r="E667" s="154" t="s">
        <v>3</v>
      </c>
    </row>
    <row r="668" spans="1:5" hidden="1">
      <c r="A668">
        <f t="shared" si="10"/>
        <v>666</v>
      </c>
      <c r="B668" t="s">
        <v>886</v>
      </c>
      <c r="C668" t="s">
        <v>1175</v>
      </c>
      <c r="D668" s="169" t="s">
        <v>886</v>
      </c>
      <c r="E668" s="154" t="s">
        <v>3</v>
      </c>
    </row>
    <row r="669" spans="1:5" hidden="1">
      <c r="A669">
        <f t="shared" si="10"/>
        <v>667</v>
      </c>
      <c r="B669" t="s">
        <v>886</v>
      </c>
      <c r="C669" t="s">
        <v>1176</v>
      </c>
      <c r="D669" s="169" t="s">
        <v>886</v>
      </c>
      <c r="E669" s="154" t="s">
        <v>3</v>
      </c>
    </row>
    <row r="670" spans="1:5" hidden="1">
      <c r="A670">
        <f t="shared" si="10"/>
        <v>668</v>
      </c>
      <c r="B670" t="s">
        <v>886</v>
      </c>
      <c r="C670" t="s">
        <v>1177</v>
      </c>
      <c r="D670" s="169" t="s">
        <v>886</v>
      </c>
      <c r="E670" s="154" t="s">
        <v>3</v>
      </c>
    </row>
    <row r="671" spans="1:5" hidden="1">
      <c r="A671">
        <f t="shared" si="10"/>
        <v>669</v>
      </c>
      <c r="B671" t="s">
        <v>886</v>
      </c>
      <c r="C671" t="s">
        <v>1178</v>
      </c>
      <c r="D671" s="169" t="s">
        <v>886</v>
      </c>
      <c r="E671" s="154" t="s">
        <v>3</v>
      </c>
    </row>
    <row r="672" spans="1:5" hidden="1">
      <c r="A672">
        <f t="shared" si="10"/>
        <v>670</v>
      </c>
      <c r="B672" t="s">
        <v>886</v>
      </c>
      <c r="C672" t="s">
        <v>1179</v>
      </c>
      <c r="D672" s="169" t="s">
        <v>886</v>
      </c>
      <c r="E672" s="154" t="s">
        <v>3</v>
      </c>
    </row>
    <row r="673" spans="1:5" hidden="1">
      <c r="A673">
        <f t="shared" si="10"/>
        <v>671</v>
      </c>
      <c r="B673" t="s">
        <v>886</v>
      </c>
      <c r="C673" t="s">
        <v>1180</v>
      </c>
      <c r="D673" s="169" t="s">
        <v>886</v>
      </c>
      <c r="E673" s="154" t="s">
        <v>3</v>
      </c>
    </row>
    <row r="674" spans="1:5" hidden="1">
      <c r="A674">
        <f t="shared" si="10"/>
        <v>672</v>
      </c>
      <c r="B674" t="s">
        <v>886</v>
      </c>
      <c r="C674" t="s">
        <v>1181</v>
      </c>
      <c r="D674" s="169" t="s">
        <v>886</v>
      </c>
      <c r="E674" s="154" t="s">
        <v>3</v>
      </c>
    </row>
    <row r="675" spans="1:5" hidden="1">
      <c r="A675">
        <f t="shared" si="10"/>
        <v>673</v>
      </c>
      <c r="B675" t="s">
        <v>886</v>
      </c>
      <c r="C675" t="s">
        <v>1182</v>
      </c>
      <c r="D675" s="169" t="s">
        <v>886</v>
      </c>
      <c r="E675" s="154" t="s">
        <v>3</v>
      </c>
    </row>
    <row r="676" spans="1:5" hidden="1">
      <c r="A676">
        <f t="shared" si="10"/>
        <v>674</v>
      </c>
      <c r="B676" t="s">
        <v>886</v>
      </c>
      <c r="C676" t="s">
        <v>1183</v>
      </c>
      <c r="D676" s="169" t="s">
        <v>886</v>
      </c>
      <c r="E676" s="154" t="s">
        <v>3</v>
      </c>
    </row>
    <row r="677" spans="1:5" hidden="1">
      <c r="A677">
        <f t="shared" si="10"/>
        <v>675</v>
      </c>
      <c r="B677" t="s">
        <v>886</v>
      </c>
      <c r="C677" t="s">
        <v>1184</v>
      </c>
      <c r="D677" s="169" t="s">
        <v>886</v>
      </c>
      <c r="E677" s="154" t="s">
        <v>3</v>
      </c>
    </row>
    <row r="678" spans="1:5" hidden="1">
      <c r="A678">
        <f t="shared" si="10"/>
        <v>676</v>
      </c>
      <c r="B678" t="s">
        <v>886</v>
      </c>
      <c r="C678" t="s">
        <v>1185</v>
      </c>
      <c r="D678" s="169" t="s">
        <v>886</v>
      </c>
      <c r="E678" s="154" t="s">
        <v>3</v>
      </c>
    </row>
    <row r="679" spans="1:5" hidden="1">
      <c r="A679">
        <f t="shared" si="10"/>
        <v>677</v>
      </c>
      <c r="B679" t="s">
        <v>886</v>
      </c>
      <c r="C679" t="s">
        <v>1186</v>
      </c>
      <c r="D679" s="169" t="s">
        <v>886</v>
      </c>
      <c r="E679" s="154" t="s">
        <v>3</v>
      </c>
    </row>
    <row r="680" spans="1:5" hidden="1">
      <c r="A680">
        <f t="shared" si="10"/>
        <v>678</v>
      </c>
      <c r="B680" t="s">
        <v>886</v>
      </c>
      <c r="C680" t="s">
        <v>1187</v>
      </c>
      <c r="D680" s="169" t="s">
        <v>886</v>
      </c>
      <c r="E680" s="154" t="s">
        <v>3</v>
      </c>
    </row>
    <row r="681" spans="1:5" hidden="1">
      <c r="A681">
        <f t="shared" si="10"/>
        <v>679</v>
      </c>
      <c r="B681" t="s">
        <v>886</v>
      </c>
      <c r="C681" t="s">
        <v>1188</v>
      </c>
      <c r="D681" s="169" t="s">
        <v>886</v>
      </c>
      <c r="E681" s="154" t="s">
        <v>3</v>
      </c>
    </row>
    <row r="682" spans="1:5" hidden="1">
      <c r="A682">
        <f t="shared" si="10"/>
        <v>680</v>
      </c>
      <c r="B682" t="s">
        <v>886</v>
      </c>
      <c r="C682" t="s">
        <v>1189</v>
      </c>
      <c r="D682" s="169" t="s">
        <v>886</v>
      </c>
      <c r="E682" s="154" t="s">
        <v>3</v>
      </c>
    </row>
    <row r="683" spans="1:5" hidden="1">
      <c r="A683">
        <f t="shared" si="10"/>
        <v>681</v>
      </c>
      <c r="B683" t="s">
        <v>886</v>
      </c>
      <c r="C683" t="s">
        <v>1190</v>
      </c>
      <c r="D683" s="169" t="s">
        <v>886</v>
      </c>
      <c r="E683" s="154" t="s">
        <v>3</v>
      </c>
    </row>
    <row r="684" spans="1:5" hidden="1">
      <c r="A684">
        <f t="shared" si="10"/>
        <v>682</v>
      </c>
      <c r="B684" t="s">
        <v>886</v>
      </c>
      <c r="C684" t="s">
        <v>1191</v>
      </c>
      <c r="D684" s="169" t="s">
        <v>886</v>
      </c>
      <c r="E684" s="154" t="s">
        <v>3</v>
      </c>
    </row>
    <row r="685" spans="1:5" hidden="1">
      <c r="A685">
        <f t="shared" si="10"/>
        <v>683</v>
      </c>
      <c r="B685" t="s">
        <v>886</v>
      </c>
      <c r="C685" t="s">
        <v>1192</v>
      </c>
      <c r="D685" s="169" t="s">
        <v>886</v>
      </c>
      <c r="E685" s="154" t="s">
        <v>3</v>
      </c>
    </row>
    <row r="686" spans="1:5" hidden="1">
      <c r="A686">
        <f t="shared" si="10"/>
        <v>684</v>
      </c>
      <c r="B686" t="s">
        <v>886</v>
      </c>
      <c r="C686" t="s">
        <v>1193</v>
      </c>
      <c r="D686" s="169" t="s">
        <v>886</v>
      </c>
      <c r="E686" s="154" t="s">
        <v>3</v>
      </c>
    </row>
    <row r="687" spans="1:5" hidden="1">
      <c r="A687">
        <f t="shared" si="10"/>
        <v>685</v>
      </c>
      <c r="B687" t="s">
        <v>886</v>
      </c>
      <c r="C687" t="s">
        <v>1194</v>
      </c>
      <c r="D687" s="169" t="s">
        <v>886</v>
      </c>
      <c r="E687" s="154" t="s">
        <v>3</v>
      </c>
    </row>
    <row r="688" spans="1:5" hidden="1">
      <c r="A688">
        <f t="shared" si="10"/>
        <v>686</v>
      </c>
      <c r="B688" t="s">
        <v>886</v>
      </c>
      <c r="C688" t="s">
        <v>1195</v>
      </c>
      <c r="D688" s="169" t="s">
        <v>886</v>
      </c>
      <c r="E688" s="154" t="s">
        <v>3</v>
      </c>
    </row>
    <row r="689" spans="1:5" hidden="1">
      <c r="A689">
        <f t="shared" si="10"/>
        <v>687</v>
      </c>
      <c r="B689" t="s">
        <v>886</v>
      </c>
      <c r="C689" t="s">
        <v>1196</v>
      </c>
      <c r="D689" s="169" t="s">
        <v>886</v>
      </c>
      <c r="E689" s="154" t="s">
        <v>3</v>
      </c>
    </row>
    <row r="690" spans="1:5" hidden="1">
      <c r="A690">
        <f t="shared" si="10"/>
        <v>688</v>
      </c>
      <c r="B690" t="s">
        <v>886</v>
      </c>
      <c r="C690" t="s">
        <v>1197</v>
      </c>
      <c r="D690" s="169" t="s">
        <v>886</v>
      </c>
      <c r="E690" s="154" t="s">
        <v>3</v>
      </c>
    </row>
    <row r="691" spans="1:5" hidden="1">
      <c r="A691">
        <f t="shared" si="10"/>
        <v>689</v>
      </c>
      <c r="B691" t="s">
        <v>886</v>
      </c>
      <c r="C691" t="s">
        <v>1198</v>
      </c>
      <c r="D691" s="169" t="s">
        <v>886</v>
      </c>
      <c r="E691" s="154" t="s">
        <v>3</v>
      </c>
    </row>
    <row r="692" spans="1:5" hidden="1">
      <c r="A692">
        <f t="shared" si="10"/>
        <v>690</v>
      </c>
      <c r="B692" t="s">
        <v>886</v>
      </c>
      <c r="C692" t="s">
        <v>1199</v>
      </c>
      <c r="D692" s="169" t="s">
        <v>886</v>
      </c>
      <c r="E692" s="154" t="s">
        <v>3</v>
      </c>
    </row>
    <row r="693" spans="1:5" hidden="1">
      <c r="A693">
        <f t="shared" si="10"/>
        <v>691</v>
      </c>
      <c r="B693" t="s">
        <v>886</v>
      </c>
      <c r="C693" t="s">
        <v>1200</v>
      </c>
      <c r="D693" s="169" t="s">
        <v>886</v>
      </c>
      <c r="E693" s="154" t="s">
        <v>3</v>
      </c>
    </row>
    <row r="694" spans="1:5" hidden="1">
      <c r="A694">
        <f t="shared" si="10"/>
        <v>692</v>
      </c>
      <c r="B694" t="s">
        <v>886</v>
      </c>
      <c r="C694" t="s">
        <v>1201</v>
      </c>
      <c r="D694" s="169" t="s">
        <v>886</v>
      </c>
      <c r="E694" s="154" t="s">
        <v>3</v>
      </c>
    </row>
    <row r="695" spans="1:5" hidden="1">
      <c r="A695">
        <f t="shared" si="10"/>
        <v>693</v>
      </c>
      <c r="B695" t="s">
        <v>886</v>
      </c>
      <c r="C695" t="s">
        <v>1202</v>
      </c>
      <c r="D695" s="169" t="s">
        <v>886</v>
      </c>
      <c r="E695" s="154" t="s">
        <v>3</v>
      </c>
    </row>
    <row r="696" spans="1:5" hidden="1">
      <c r="A696">
        <f t="shared" si="10"/>
        <v>694</v>
      </c>
      <c r="B696" t="s">
        <v>886</v>
      </c>
      <c r="C696" t="s">
        <v>1203</v>
      </c>
      <c r="D696" s="169" t="s">
        <v>886</v>
      </c>
      <c r="E696" s="154" t="s">
        <v>3</v>
      </c>
    </row>
    <row r="697" spans="1:5" hidden="1">
      <c r="A697">
        <f t="shared" si="10"/>
        <v>695</v>
      </c>
      <c r="B697" t="s">
        <v>886</v>
      </c>
      <c r="C697" t="s">
        <v>1204</v>
      </c>
      <c r="D697" s="169" t="s">
        <v>886</v>
      </c>
      <c r="E697" s="154" t="s">
        <v>3</v>
      </c>
    </row>
    <row r="698" spans="1:5" hidden="1">
      <c r="A698">
        <f t="shared" si="10"/>
        <v>696</v>
      </c>
      <c r="B698" t="s">
        <v>886</v>
      </c>
      <c r="C698" t="s">
        <v>1205</v>
      </c>
      <c r="D698" s="169" t="s">
        <v>886</v>
      </c>
      <c r="E698" s="154" t="s">
        <v>3</v>
      </c>
    </row>
    <row r="699" spans="1:5" hidden="1">
      <c r="A699">
        <f t="shared" si="10"/>
        <v>697</v>
      </c>
      <c r="B699" t="s">
        <v>886</v>
      </c>
      <c r="C699" t="s">
        <v>1206</v>
      </c>
      <c r="D699" s="169" t="s">
        <v>886</v>
      </c>
      <c r="E699" s="154" t="s">
        <v>3</v>
      </c>
    </row>
    <row r="700" spans="1:5" hidden="1">
      <c r="A700">
        <f t="shared" si="10"/>
        <v>698</v>
      </c>
      <c r="B700" t="s">
        <v>886</v>
      </c>
      <c r="C700" t="s">
        <v>1207</v>
      </c>
      <c r="D700" s="169" t="s">
        <v>886</v>
      </c>
      <c r="E700" s="154" t="s">
        <v>3</v>
      </c>
    </row>
    <row r="701" spans="1:5" hidden="1">
      <c r="A701">
        <f t="shared" si="10"/>
        <v>699</v>
      </c>
      <c r="B701" t="s">
        <v>886</v>
      </c>
      <c r="C701" t="s">
        <v>1208</v>
      </c>
      <c r="D701" s="169" t="s">
        <v>886</v>
      </c>
      <c r="E701" s="154" t="s">
        <v>3</v>
      </c>
    </row>
    <row r="702" spans="1:5" hidden="1">
      <c r="A702">
        <f t="shared" si="10"/>
        <v>700</v>
      </c>
      <c r="B702" t="s">
        <v>886</v>
      </c>
      <c r="C702" t="s">
        <v>1209</v>
      </c>
      <c r="D702" s="169" t="s">
        <v>886</v>
      </c>
      <c r="E702" s="154" t="s">
        <v>3</v>
      </c>
    </row>
    <row r="703" spans="1:5" hidden="1">
      <c r="A703">
        <f t="shared" si="10"/>
        <v>701</v>
      </c>
      <c r="B703" t="s">
        <v>886</v>
      </c>
      <c r="C703" t="s">
        <v>1210</v>
      </c>
      <c r="D703" s="169" t="s">
        <v>886</v>
      </c>
      <c r="E703" s="154" t="s">
        <v>3</v>
      </c>
    </row>
    <row r="704" spans="1:5" hidden="1">
      <c r="A704">
        <f t="shared" si="10"/>
        <v>702</v>
      </c>
      <c r="B704" t="s">
        <v>886</v>
      </c>
      <c r="C704" t="s">
        <v>1211</v>
      </c>
      <c r="D704" s="169" t="s">
        <v>886</v>
      </c>
      <c r="E704" s="154" t="s">
        <v>3</v>
      </c>
    </row>
    <row r="705" spans="1:5" hidden="1">
      <c r="A705">
        <f t="shared" si="10"/>
        <v>703</v>
      </c>
      <c r="B705" t="s">
        <v>886</v>
      </c>
      <c r="C705" t="s">
        <v>1212</v>
      </c>
      <c r="D705" s="169" t="s">
        <v>886</v>
      </c>
      <c r="E705" s="154" t="s">
        <v>3</v>
      </c>
    </row>
    <row r="706" spans="1:5" hidden="1">
      <c r="A706">
        <f t="shared" si="10"/>
        <v>704</v>
      </c>
      <c r="B706" t="s">
        <v>886</v>
      </c>
      <c r="C706" t="s">
        <v>1213</v>
      </c>
      <c r="D706" s="169" t="s">
        <v>886</v>
      </c>
      <c r="E706" s="154" t="s">
        <v>3</v>
      </c>
    </row>
    <row r="707" spans="1:5" hidden="1">
      <c r="A707">
        <f t="shared" si="10"/>
        <v>705</v>
      </c>
      <c r="B707" t="s">
        <v>886</v>
      </c>
      <c r="C707" t="s">
        <v>1214</v>
      </c>
      <c r="D707" s="169" t="s">
        <v>886</v>
      </c>
      <c r="E707" s="154" t="s">
        <v>3</v>
      </c>
    </row>
    <row r="708" spans="1:5" hidden="1">
      <c r="A708">
        <f t="shared" ref="A708:A771" si="11">A707+1</f>
        <v>706</v>
      </c>
      <c r="B708" t="s">
        <v>886</v>
      </c>
      <c r="C708" t="s">
        <v>1215</v>
      </c>
      <c r="D708" s="169" t="s">
        <v>886</v>
      </c>
      <c r="E708" s="154" t="s">
        <v>3</v>
      </c>
    </row>
    <row r="709" spans="1:5" hidden="1">
      <c r="A709">
        <f t="shared" si="11"/>
        <v>707</v>
      </c>
      <c r="B709" t="s">
        <v>886</v>
      </c>
      <c r="C709" t="s">
        <v>1216</v>
      </c>
      <c r="D709" s="169" t="s">
        <v>886</v>
      </c>
      <c r="E709" s="154" t="s">
        <v>3</v>
      </c>
    </row>
    <row r="710" spans="1:5" hidden="1">
      <c r="A710">
        <f t="shared" si="11"/>
        <v>708</v>
      </c>
      <c r="B710" t="s">
        <v>886</v>
      </c>
      <c r="C710" t="s">
        <v>1217</v>
      </c>
      <c r="D710" s="169" t="s">
        <v>886</v>
      </c>
      <c r="E710" s="154" t="s">
        <v>3</v>
      </c>
    </row>
    <row r="711" spans="1:5" hidden="1">
      <c r="A711">
        <f t="shared" si="11"/>
        <v>709</v>
      </c>
      <c r="B711" t="s">
        <v>886</v>
      </c>
      <c r="C711" t="s">
        <v>1218</v>
      </c>
      <c r="D711" s="169" t="s">
        <v>886</v>
      </c>
      <c r="E711" s="154" t="s">
        <v>3</v>
      </c>
    </row>
    <row r="712" spans="1:5" hidden="1">
      <c r="A712">
        <f t="shared" si="11"/>
        <v>710</v>
      </c>
      <c r="B712" t="s">
        <v>886</v>
      </c>
      <c r="C712" t="s">
        <v>1219</v>
      </c>
      <c r="D712" s="169" t="s">
        <v>886</v>
      </c>
      <c r="E712" s="154" t="s">
        <v>3</v>
      </c>
    </row>
    <row r="713" spans="1:5" hidden="1">
      <c r="A713">
        <f t="shared" si="11"/>
        <v>711</v>
      </c>
      <c r="B713" t="s">
        <v>886</v>
      </c>
      <c r="C713" t="s">
        <v>1220</v>
      </c>
      <c r="D713" s="169" t="s">
        <v>886</v>
      </c>
      <c r="E713" s="154" t="s">
        <v>3</v>
      </c>
    </row>
    <row r="714" spans="1:5" hidden="1">
      <c r="A714">
        <f t="shared" si="11"/>
        <v>712</v>
      </c>
      <c r="B714" t="s">
        <v>886</v>
      </c>
      <c r="C714" t="s">
        <v>1221</v>
      </c>
      <c r="D714" s="169" t="s">
        <v>886</v>
      </c>
      <c r="E714" s="154" t="s">
        <v>3</v>
      </c>
    </row>
    <row r="715" spans="1:5" hidden="1">
      <c r="A715">
        <f t="shared" si="11"/>
        <v>713</v>
      </c>
      <c r="B715" t="s">
        <v>886</v>
      </c>
      <c r="C715" t="s">
        <v>1222</v>
      </c>
      <c r="D715" s="169" t="s">
        <v>886</v>
      </c>
      <c r="E715" s="154" t="s">
        <v>3</v>
      </c>
    </row>
    <row r="716" spans="1:5" hidden="1">
      <c r="A716">
        <f t="shared" si="11"/>
        <v>714</v>
      </c>
      <c r="B716" t="s">
        <v>886</v>
      </c>
      <c r="C716" t="s">
        <v>1223</v>
      </c>
      <c r="D716" s="169" t="s">
        <v>886</v>
      </c>
      <c r="E716" s="154" t="s">
        <v>3</v>
      </c>
    </row>
    <row r="717" spans="1:5" hidden="1">
      <c r="A717">
        <f t="shared" si="11"/>
        <v>715</v>
      </c>
      <c r="B717" t="s">
        <v>886</v>
      </c>
      <c r="C717" t="s">
        <v>1224</v>
      </c>
      <c r="D717" s="169" t="s">
        <v>886</v>
      </c>
      <c r="E717" s="154" t="s">
        <v>3</v>
      </c>
    </row>
    <row r="718" spans="1:5" hidden="1">
      <c r="A718">
        <f t="shared" si="11"/>
        <v>716</v>
      </c>
      <c r="B718" t="s">
        <v>886</v>
      </c>
      <c r="C718" t="s">
        <v>1225</v>
      </c>
      <c r="D718" s="169" t="s">
        <v>886</v>
      </c>
      <c r="E718" s="154" t="s">
        <v>3</v>
      </c>
    </row>
    <row r="719" spans="1:5" hidden="1">
      <c r="A719">
        <f t="shared" si="11"/>
        <v>717</v>
      </c>
      <c r="B719" t="s">
        <v>886</v>
      </c>
      <c r="C719" t="s">
        <v>1226</v>
      </c>
      <c r="D719" s="169" t="s">
        <v>886</v>
      </c>
      <c r="E719" s="154" t="s">
        <v>3</v>
      </c>
    </row>
    <row r="720" spans="1:5" hidden="1">
      <c r="A720">
        <f t="shared" si="11"/>
        <v>718</v>
      </c>
      <c r="B720" t="s">
        <v>886</v>
      </c>
      <c r="C720" t="s">
        <v>1227</v>
      </c>
      <c r="D720" s="169" t="s">
        <v>886</v>
      </c>
      <c r="E720" s="154" t="s">
        <v>3</v>
      </c>
    </row>
    <row r="721" spans="1:5" hidden="1">
      <c r="A721">
        <f t="shared" si="11"/>
        <v>719</v>
      </c>
      <c r="B721" t="s">
        <v>886</v>
      </c>
      <c r="C721" t="s">
        <v>1228</v>
      </c>
      <c r="D721" s="169" t="s">
        <v>886</v>
      </c>
      <c r="E721" s="154" t="s">
        <v>3</v>
      </c>
    </row>
    <row r="722" spans="1:5" hidden="1">
      <c r="A722">
        <f t="shared" si="11"/>
        <v>720</v>
      </c>
      <c r="B722" t="s">
        <v>886</v>
      </c>
      <c r="C722" t="s">
        <v>1229</v>
      </c>
      <c r="D722" s="169" t="s">
        <v>886</v>
      </c>
      <c r="E722" s="154" t="s">
        <v>3</v>
      </c>
    </row>
    <row r="723" spans="1:5" hidden="1">
      <c r="A723">
        <f t="shared" si="11"/>
        <v>721</v>
      </c>
      <c r="B723" t="s">
        <v>886</v>
      </c>
      <c r="C723" t="s">
        <v>1230</v>
      </c>
      <c r="D723" s="169" t="s">
        <v>886</v>
      </c>
      <c r="E723" s="154" t="s">
        <v>3</v>
      </c>
    </row>
    <row r="724" spans="1:5" hidden="1">
      <c r="A724">
        <f t="shared" si="11"/>
        <v>722</v>
      </c>
      <c r="B724" t="s">
        <v>886</v>
      </c>
      <c r="C724" t="s">
        <v>1231</v>
      </c>
      <c r="D724" s="169" t="s">
        <v>886</v>
      </c>
      <c r="E724" s="154" t="s">
        <v>3</v>
      </c>
    </row>
    <row r="725" spans="1:5" hidden="1">
      <c r="A725">
        <f t="shared" si="11"/>
        <v>723</v>
      </c>
      <c r="B725" t="s">
        <v>886</v>
      </c>
      <c r="C725" t="s">
        <v>1232</v>
      </c>
      <c r="D725" s="169" t="s">
        <v>886</v>
      </c>
      <c r="E725" s="154" t="s">
        <v>3</v>
      </c>
    </row>
    <row r="726" spans="1:5" hidden="1">
      <c r="A726">
        <f t="shared" si="11"/>
        <v>724</v>
      </c>
      <c r="B726" t="s">
        <v>886</v>
      </c>
      <c r="C726" t="s">
        <v>1233</v>
      </c>
      <c r="D726" s="169" t="s">
        <v>886</v>
      </c>
      <c r="E726" s="154" t="s">
        <v>3</v>
      </c>
    </row>
    <row r="727" spans="1:5" hidden="1">
      <c r="A727">
        <f t="shared" si="11"/>
        <v>725</v>
      </c>
      <c r="B727" t="s">
        <v>886</v>
      </c>
      <c r="C727" t="s">
        <v>1234</v>
      </c>
      <c r="D727" s="169" t="s">
        <v>886</v>
      </c>
      <c r="E727" s="154" t="s">
        <v>3</v>
      </c>
    </row>
    <row r="728" spans="1:5" hidden="1">
      <c r="A728">
        <f t="shared" si="11"/>
        <v>726</v>
      </c>
      <c r="B728" t="s">
        <v>886</v>
      </c>
      <c r="C728" t="s">
        <v>1235</v>
      </c>
      <c r="D728" s="169" t="s">
        <v>886</v>
      </c>
      <c r="E728" s="154" t="s">
        <v>3</v>
      </c>
    </row>
    <row r="729" spans="1:5" hidden="1">
      <c r="A729">
        <f t="shared" si="11"/>
        <v>727</v>
      </c>
      <c r="B729" t="s">
        <v>886</v>
      </c>
      <c r="C729" t="s">
        <v>1236</v>
      </c>
      <c r="D729" s="169" t="s">
        <v>886</v>
      </c>
      <c r="E729" s="154" t="s">
        <v>3</v>
      </c>
    </row>
    <row r="730" spans="1:5" hidden="1">
      <c r="A730">
        <f t="shared" si="11"/>
        <v>728</v>
      </c>
      <c r="B730" t="s">
        <v>886</v>
      </c>
      <c r="C730" t="s">
        <v>1237</v>
      </c>
      <c r="D730" s="169" t="s">
        <v>886</v>
      </c>
      <c r="E730" s="154" t="s">
        <v>3</v>
      </c>
    </row>
    <row r="731" spans="1:5" hidden="1">
      <c r="A731">
        <f t="shared" si="11"/>
        <v>729</v>
      </c>
      <c r="B731" t="s">
        <v>886</v>
      </c>
      <c r="C731" t="s">
        <v>1238</v>
      </c>
      <c r="D731" s="169" t="s">
        <v>886</v>
      </c>
      <c r="E731" s="154" t="s">
        <v>3</v>
      </c>
    </row>
    <row r="732" spans="1:5" hidden="1">
      <c r="A732">
        <f t="shared" si="11"/>
        <v>730</v>
      </c>
      <c r="B732" t="s">
        <v>886</v>
      </c>
      <c r="C732" t="s">
        <v>1239</v>
      </c>
      <c r="D732" s="169" t="s">
        <v>886</v>
      </c>
      <c r="E732" s="154" t="s">
        <v>3</v>
      </c>
    </row>
    <row r="733" spans="1:5" hidden="1">
      <c r="A733">
        <f t="shared" si="11"/>
        <v>731</v>
      </c>
      <c r="B733" t="s">
        <v>886</v>
      </c>
      <c r="C733" t="s">
        <v>1240</v>
      </c>
      <c r="D733" s="169" t="s">
        <v>886</v>
      </c>
      <c r="E733" s="154" t="s">
        <v>3</v>
      </c>
    </row>
    <row r="734" spans="1:5" hidden="1">
      <c r="A734">
        <f t="shared" si="11"/>
        <v>732</v>
      </c>
      <c r="B734" t="s">
        <v>886</v>
      </c>
      <c r="C734" t="s">
        <v>1241</v>
      </c>
      <c r="D734" s="169" t="s">
        <v>886</v>
      </c>
      <c r="E734" s="154" t="s">
        <v>3</v>
      </c>
    </row>
    <row r="735" spans="1:5" hidden="1">
      <c r="A735">
        <f t="shared" si="11"/>
        <v>733</v>
      </c>
      <c r="B735" t="s">
        <v>886</v>
      </c>
      <c r="C735" t="s">
        <v>1242</v>
      </c>
      <c r="D735" s="169" t="s">
        <v>886</v>
      </c>
      <c r="E735" s="154" t="s">
        <v>3</v>
      </c>
    </row>
    <row r="736" spans="1:5" hidden="1">
      <c r="A736">
        <f t="shared" si="11"/>
        <v>734</v>
      </c>
      <c r="B736" t="s">
        <v>886</v>
      </c>
      <c r="C736" t="s">
        <v>1243</v>
      </c>
      <c r="D736" s="169" t="s">
        <v>886</v>
      </c>
      <c r="E736" s="154" t="s">
        <v>3</v>
      </c>
    </row>
    <row r="737" spans="1:5" hidden="1">
      <c r="A737">
        <f t="shared" si="11"/>
        <v>735</v>
      </c>
      <c r="B737" t="s">
        <v>886</v>
      </c>
      <c r="C737" t="s">
        <v>1244</v>
      </c>
      <c r="D737" s="169" t="s">
        <v>886</v>
      </c>
      <c r="E737" s="154" t="s">
        <v>3</v>
      </c>
    </row>
    <row r="738" spans="1:5" hidden="1">
      <c r="A738">
        <f t="shared" si="11"/>
        <v>736</v>
      </c>
      <c r="B738" t="s">
        <v>886</v>
      </c>
      <c r="C738" t="s">
        <v>1245</v>
      </c>
      <c r="D738" s="169" t="s">
        <v>886</v>
      </c>
      <c r="E738" s="154" t="s">
        <v>3</v>
      </c>
    </row>
    <row r="739" spans="1:5" hidden="1">
      <c r="A739">
        <f t="shared" si="11"/>
        <v>737</v>
      </c>
      <c r="B739" t="s">
        <v>886</v>
      </c>
      <c r="C739" t="s">
        <v>1246</v>
      </c>
      <c r="D739" s="169" t="s">
        <v>886</v>
      </c>
      <c r="E739" s="154" t="s">
        <v>3</v>
      </c>
    </row>
    <row r="740" spans="1:5" hidden="1">
      <c r="A740">
        <f t="shared" si="11"/>
        <v>738</v>
      </c>
      <c r="B740" t="s">
        <v>886</v>
      </c>
      <c r="C740" t="s">
        <v>1247</v>
      </c>
      <c r="D740" s="169" t="s">
        <v>886</v>
      </c>
      <c r="E740" s="154" t="s">
        <v>3</v>
      </c>
    </row>
    <row r="741" spans="1:5" hidden="1">
      <c r="A741">
        <f t="shared" si="11"/>
        <v>739</v>
      </c>
      <c r="B741" t="s">
        <v>886</v>
      </c>
      <c r="C741" t="s">
        <v>1248</v>
      </c>
      <c r="D741" s="169" t="s">
        <v>886</v>
      </c>
      <c r="E741" s="154" t="s">
        <v>3</v>
      </c>
    </row>
    <row r="742" spans="1:5" hidden="1">
      <c r="A742">
        <f t="shared" si="11"/>
        <v>740</v>
      </c>
      <c r="B742" t="s">
        <v>886</v>
      </c>
      <c r="C742" t="s">
        <v>1249</v>
      </c>
      <c r="D742" s="169" t="s">
        <v>886</v>
      </c>
      <c r="E742" s="154" t="s">
        <v>3</v>
      </c>
    </row>
    <row r="743" spans="1:5" hidden="1">
      <c r="A743">
        <f t="shared" si="11"/>
        <v>741</v>
      </c>
      <c r="B743" t="s">
        <v>886</v>
      </c>
      <c r="C743" t="s">
        <v>1250</v>
      </c>
      <c r="D743" s="169" t="s">
        <v>886</v>
      </c>
      <c r="E743" s="154" t="s">
        <v>3</v>
      </c>
    </row>
    <row r="744" spans="1:5" hidden="1">
      <c r="A744">
        <f t="shared" si="11"/>
        <v>742</v>
      </c>
      <c r="B744" t="s">
        <v>886</v>
      </c>
      <c r="C744" t="s">
        <v>1251</v>
      </c>
      <c r="D744" s="169" t="s">
        <v>886</v>
      </c>
      <c r="E744" s="154" t="s">
        <v>3</v>
      </c>
    </row>
    <row r="745" spans="1:5" hidden="1">
      <c r="A745">
        <f t="shared" si="11"/>
        <v>743</v>
      </c>
      <c r="B745" t="s">
        <v>886</v>
      </c>
      <c r="C745" t="s">
        <v>1252</v>
      </c>
      <c r="D745" s="169" t="s">
        <v>886</v>
      </c>
      <c r="E745" s="154" t="s">
        <v>3</v>
      </c>
    </row>
    <row r="746" spans="1:5" hidden="1">
      <c r="A746">
        <f t="shared" si="11"/>
        <v>744</v>
      </c>
      <c r="B746" t="s">
        <v>886</v>
      </c>
      <c r="C746" t="s">
        <v>1253</v>
      </c>
      <c r="D746" s="169" t="s">
        <v>886</v>
      </c>
      <c r="E746" s="154" t="s">
        <v>3</v>
      </c>
    </row>
    <row r="747" spans="1:5" hidden="1">
      <c r="A747">
        <f t="shared" si="11"/>
        <v>745</v>
      </c>
      <c r="B747" t="s">
        <v>886</v>
      </c>
      <c r="C747" t="s">
        <v>1254</v>
      </c>
      <c r="D747" s="169" t="s">
        <v>886</v>
      </c>
      <c r="E747" s="154" t="s">
        <v>3</v>
      </c>
    </row>
    <row r="748" spans="1:5" hidden="1">
      <c r="A748">
        <f t="shared" si="11"/>
        <v>746</v>
      </c>
      <c r="B748" t="s">
        <v>886</v>
      </c>
      <c r="C748" t="s">
        <v>1255</v>
      </c>
      <c r="D748" s="169" t="s">
        <v>886</v>
      </c>
      <c r="E748" s="154" t="s">
        <v>3</v>
      </c>
    </row>
    <row r="749" spans="1:5" hidden="1">
      <c r="A749">
        <f t="shared" si="11"/>
        <v>747</v>
      </c>
      <c r="B749" t="s">
        <v>886</v>
      </c>
      <c r="C749" t="s">
        <v>1256</v>
      </c>
      <c r="D749" s="169" t="s">
        <v>886</v>
      </c>
      <c r="E749" s="154" t="s">
        <v>3</v>
      </c>
    </row>
    <row r="750" spans="1:5" hidden="1">
      <c r="A750">
        <f t="shared" si="11"/>
        <v>748</v>
      </c>
      <c r="B750" t="s">
        <v>886</v>
      </c>
      <c r="C750" t="s">
        <v>1257</v>
      </c>
      <c r="D750" s="169" t="s">
        <v>886</v>
      </c>
      <c r="E750" s="154" t="s">
        <v>3</v>
      </c>
    </row>
    <row r="751" spans="1:5" hidden="1">
      <c r="A751">
        <f t="shared" si="11"/>
        <v>749</v>
      </c>
      <c r="B751" t="s">
        <v>886</v>
      </c>
      <c r="C751" t="s">
        <v>1258</v>
      </c>
      <c r="D751" s="169" t="s">
        <v>886</v>
      </c>
      <c r="E751" s="154" t="s">
        <v>3</v>
      </c>
    </row>
    <row r="752" spans="1:5" hidden="1">
      <c r="A752">
        <f t="shared" si="11"/>
        <v>750</v>
      </c>
      <c r="B752" t="s">
        <v>886</v>
      </c>
      <c r="C752" t="s">
        <v>1259</v>
      </c>
      <c r="D752" s="169" t="s">
        <v>886</v>
      </c>
      <c r="E752" s="154" t="s">
        <v>3</v>
      </c>
    </row>
    <row r="753" spans="1:5" hidden="1">
      <c r="A753">
        <f t="shared" si="11"/>
        <v>751</v>
      </c>
      <c r="B753" t="s">
        <v>886</v>
      </c>
      <c r="C753" t="s">
        <v>1260</v>
      </c>
      <c r="D753" s="169" t="s">
        <v>886</v>
      </c>
      <c r="E753" s="154" t="s">
        <v>3</v>
      </c>
    </row>
    <row r="754" spans="1:5" hidden="1">
      <c r="A754">
        <f t="shared" si="11"/>
        <v>752</v>
      </c>
      <c r="B754" t="s">
        <v>886</v>
      </c>
      <c r="C754" t="s">
        <v>1261</v>
      </c>
      <c r="D754" s="169" t="s">
        <v>886</v>
      </c>
      <c r="E754" s="154" t="s">
        <v>3</v>
      </c>
    </row>
    <row r="755" spans="1:5" hidden="1">
      <c r="A755">
        <f t="shared" si="11"/>
        <v>753</v>
      </c>
      <c r="B755" t="s">
        <v>886</v>
      </c>
      <c r="C755" t="s">
        <v>1262</v>
      </c>
      <c r="D755" s="169" t="s">
        <v>886</v>
      </c>
      <c r="E755" s="154" t="s">
        <v>3</v>
      </c>
    </row>
    <row r="756" spans="1:5" hidden="1">
      <c r="A756">
        <f t="shared" si="11"/>
        <v>754</v>
      </c>
      <c r="B756" t="s">
        <v>886</v>
      </c>
      <c r="C756" t="s">
        <v>1263</v>
      </c>
      <c r="D756" s="169" t="s">
        <v>886</v>
      </c>
      <c r="E756" s="154" t="s">
        <v>3</v>
      </c>
    </row>
    <row r="757" spans="1:5" hidden="1">
      <c r="A757">
        <f t="shared" si="11"/>
        <v>755</v>
      </c>
      <c r="B757" t="s">
        <v>886</v>
      </c>
      <c r="C757" t="s">
        <v>1264</v>
      </c>
      <c r="D757" s="169" t="s">
        <v>886</v>
      </c>
      <c r="E757" s="154" t="s">
        <v>3</v>
      </c>
    </row>
    <row r="758" spans="1:5" hidden="1">
      <c r="A758">
        <f t="shared" si="11"/>
        <v>756</v>
      </c>
      <c r="B758" t="s">
        <v>886</v>
      </c>
      <c r="C758" t="s">
        <v>1265</v>
      </c>
      <c r="D758" s="169" t="s">
        <v>886</v>
      </c>
      <c r="E758" s="154" t="s">
        <v>3</v>
      </c>
    </row>
    <row r="759" spans="1:5" hidden="1">
      <c r="A759">
        <f t="shared" si="11"/>
        <v>757</v>
      </c>
      <c r="B759" t="s">
        <v>886</v>
      </c>
      <c r="C759" t="s">
        <v>1266</v>
      </c>
      <c r="D759" s="169" t="s">
        <v>886</v>
      </c>
      <c r="E759" s="154" t="s">
        <v>3</v>
      </c>
    </row>
    <row r="760" spans="1:5" hidden="1">
      <c r="A760">
        <f t="shared" si="11"/>
        <v>758</v>
      </c>
      <c r="B760" t="s">
        <v>886</v>
      </c>
      <c r="C760" t="s">
        <v>1267</v>
      </c>
      <c r="D760" s="169" t="s">
        <v>886</v>
      </c>
      <c r="E760" s="154" t="s">
        <v>3</v>
      </c>
    </row>
    <row r="761" spans="1:5" hidden="1">
      <c r="A761">
        <f t="shared" si="11"/>
        <v>759</v>
      </c>
      <c r="B761" t="s">
        <v>886</v>
      </c>
      <c r="C761" t="s">
        <v>1268</v>
      </c>
      <c r="D761" s="169" t="s">
        <v>886</v>
      </c>
      <c r="E761" s="154" t="s">
        <v>3</v>
      </c>
    </row>
    <row r="762" spans="1:5" hidden="1">
      <c r="A762">
        <f t="shared" si="11"/>
        <v>760</v>
      </c>
      <c r="B762" t="s">
        <v>886</v>
      </c>
      <c r="C762" t="s">
        <v>1269</v>
      </c>
      <c r="D762" s="169" t="s">
        <v>886</v>
      </c>
      <c r="E762" s="154" t="s">
        <v>3</v>
      </c>
    </row>
    <row r="763" spans="1:5" hidden="1">
      <c r="A763">
        <f t="shared" si="11"/>
        <v>761</v>
      </c>
      <c r="B763" t="s">
        <v>886</v>
      </c>
      <c r="C763" t="s">
        <v>1270</v>
      </c>
      <c r="D763" s="169" t="s">
        <v>886</v>
      </c>
      <c r="E763" s="154" t="s">
        <v>3</v>
      </c>
    </row>
    <row r="764" spans="1:5" hidden="1">
      <c r="A764">
        <f t="shared" si="11"/>
        <v>762</v>
      </c>
      <c r="B764" t="s">
        <v>886</v>
      </c>
      <c r="C764" t="s">
        <v>1271</v>
      </c>
      <c r="D764" s="169" t="s">
        <v>886</v>
      </c>
      <c r="E764" s="154" t="s">
        <v>3</v>
      </c>
    </row>
    <row r="765" spans="1:5" hidden="1">
      <c r="A765">
        <f t="shared" si="11"/>
        <v>763</v>
      </c>
      <c r="B765" t="s">
        <v>886</v>
      </c>
      <c r="C765" t="s">
        <v>1272</v>
      </c>
      <c r="D765" s="169" t="s">
        <v>886</v>
      </c>
      <c r="E765" s="154" t="s">
        <v>3</v>
      </c>
    </row>
    <row r="766" spans="1:5" hidden="1">
      <c r="A766">
        <f t="shared" si="11"/>
        <v>764</v>
      </c>
      <c r="B766" t="s">
        <v>886</v>
      </c>
      <c r="C766" t="s">
        <v>1273</v>
      </c>
      <c r="D766" s="169" t="s">
        <v>886</v>
      </c>
      <c r="E766" s="154" t="s">
        <v>3</v>
      </c>
    </row>
    <row r="767" spans="1:5" hidden="1">
      <c r="A767">
        <f t="shared" si="11"/>
        <v>765</v>
      </c>
      <c r="B767" t="s">
        <v>886</v>
      </c>
      <c r="C767" t="s">
        <v>1274</v>
      </c>
      <c r="D767" s="169" t="s">
        <v>886</v>
      </c>
      <c r="E767" s="154" t="s">
        <v>3</v>
      </c>
    </row>
    <row r="768" spans="1:5" hidden="1">
      <c r="A768">
        <f t="shared" si="11"/>
        <v>766</v>
      </c>
      <c r="B768" t="s">
        <v>886</v>
      </c>
      <c r="C768" t="s">
        <v>1275</v>
      </c>
      <c r="D768" s="169" t="s">
        <v>886</v>
      </c>
      <c r="E768" s="154" t="s">
        <v>3</v>
      </c>
    </row>
    <row r="769" spans="1:5" hidden="1">
      <c r="A769">
        <f t="shared" si="11"/>
        <v>767</v>
      </c>
      <c r="B769" t="s">
        <v>886</v>
      </c>
      <c r="C769" t="s">
        <v>1276</v>
      </c>
      <c r="D769" s="169" t="s">
        <v>886</v>
      </c>
      <c r="E769" s="154" t="s">
        <v>3</v>
      </c>
    </row>
    <row r="770" spans="1:5" hidden="1">
      <c r="A770">
        <f t="shared" si="11"/>
        <v>768</v>
      </c>
      <c r="B770" t="s">
        <v>886</v>
      </c>
      <c r="C770" t="s">
        <v>1277</v>
      </c>
      <c r="D770" s="169" t="s">
        <v>886</v>
      </c>
      <c r="E770" s="154" t="s">
        <v>3</v>
      </c>
    </row>
    <row r="771" spans="1:5" hidden="1">
      <c r="A771">
        <f t="shared" si="11"/>
        <v>769</v>
      </c>
      <c r="B771" t="s">
        <v>886</v>
      </c>
      <c r="C771" t="s">
        <v>1534</v>
      </c>
      <c r="D771" s="169" t="s">
        <v>886</v>
      </c>
      <c r="E771" s="154" t="s">
        <v>3</v>
      </c>
    </row>
    <row r="772" spans="1:5" hidden="1">
      <c r="A772">
        <f t="shared" ref="A772:A835" si="12">A771+1</f>
        <v>770</v>
      </c>
      <c r="B772" t="s">
        <v>886</v>
      </c>
      <c r="C772" t="s">
        <v>1278</v>
      </c>
      <c r="D772" s="169" t="s">
        <v>886</v>
      </c>
      <c r="E772" s="154" t="s">
        <v>3</v>
      </c>
    </row>
    <row r="773" spans="1:5" hidden="1">
      <c r="A773">
        <f t="shared" si="12"/>
        <v>771</v>
      </c>
      <c r="B773" t="s">
        <v>886</v>
      </c>
      <c r="C773" t="s">
        <v>1279</v>
      </c>
      <c r="D773" s="169" t="s">
        <v>886</v>
      </c>
      <c r="E773" s="154" t="s">
        <v>3</v>
      </c>
    </row>
    <row r="774" spans="1:5" hidden="1">
      <c r="A774">
        <f t="shared" si="12"/>
        <v>772</v>
      </c>
      <c r="B774" t="s">
        <v>886</v>
      </c>
      <c r="C774" t="s">
        <v>1280</v>
      </c>
      <c r="D774" s="169" t="s">
        <v>886</v>
      </c>
      <c r="E774" s="154" t="s">
        <v>3</v>
      </c>
    </row>
    <row r="775" spans="1:5" hidden="1">
      <c r="A775">
        <f t="shared" si="12"/>
        <v>773</v>
      </c>
      <c r="B775" t="s">
        <v>886</v>
      </c>
      <c r="C775" t="s">
        <v>1281</v>
      </c>
      <c r="D775" s="169" t="s">
        <v>886</v>
      </c>
      <c r="E775" s="154" t="s">
        <v>3</v>
      </c>
    </row>
    <row r="776" spans="1:5" hidden="1">
      <c r="A776">
        <f t="shared" si="12"/>
        <v>774</v>
      </c>
      <c r="B776" t="s">
        <v>886</v>
      </c>
      <c r="C776" t="s">
        <v>1282</v>
      </c>
      <c r="D776" s="169" t="s">
        <v>886</v>
      </c>
      <c r="E776" s="154" t="s">
        <v>3</v>
      </c>
    </row>
    <row r="777" spans="1:5" hidden="1">
      <c r="A777">
        <f t="shared" si="12"/>
        <v>775</v>
      </c>
      <c r="B777" t="s">
        <v>886</v>
      </c>
      <c r="C777" t="s">
        <v>1283</v>
      </c>
      <c r="D777" s="169" t="s">
        <v>886</v>
      </c>
      <c r="E777" s="154" t="s">
        <v>3</v>
      </c>
    </row>
    <row r="778" spans="1:5" hidden="1">
      <c r="A778">
        <f t="shared" si="12"/>
        <v>776</v>
      </c>
      <c r="B778" t="s">
        <v>886</v>
      </c>
      <c r="C778" t="s">
        <v>1284</v>
      </c>
      <c r="D778" s="169" t="s">
        <v>886</v>
      </c>
      <c r="E778" s="154" t="s">
        <v>3</v>
      </c>
    </row>
    <row r="779" spans="1:5" hidden="1">
      <c r="A779">
        <f t="shared" si="12"/>
        <v>777</v>
      </c>
      <c r="B779" t="s">
        <v>886</v>
      </c>
      <c r="C779" t="s">
        <v>1285</v>
      </c>
      <c r="D779" s="169" t="s">
        <v>886</v>
      </c>
      <c r="E779" s="154" t="s">
        <v>3</v>
      </c>
    </row>
    <row r="780" spans="1:5" hidden="1">
      <c r="A780">
        <f t="shared" si="12"/>
        <v>778</v>
      </c>
      <c r="B780" t="s">
        <v>886</v>
      </c>
      <c r="C780" t="s">
        <v>1286</v>
      </c>
      <c r="D780" s="169" t="s">
        <v>886</v>
      </c>
      <c r="E780" s="154" t="s">
        <v>3</v>
      </c>
    </row>
    <row r="781" spans="1:5" hidden="1">
      <c r="A781">
        <f t="shared" si="12"/>
        <v>779</v>
      </c>
      <c r="B781" t="s">
        <v>886</v>
      </c>
      <c r="C781" t="s">
        <v>1287</v>
      </c>
      <c r="D781" s="169" t="s">
        <v>886</v>
      </c>
      <c r="E781" s="154" t="s">
        <v>3</v>
      </c>
    </row>
    <row r="782" spans="1:5" hidden="1">
      <c r="A782">
        <f t="shared" si="12"/>
        <v>780</v>
      </c>
      <c r="B782" t="s">
        <v>886</v>
      </c>
      <c r="C782" t="s">
        <v>1288</v>
      </c>
      <c r="D782" s="169" t="s">
        <v>886</v>
      </c>
      <c r="E782" s="154" t="s">
        <v>3</v>
      </c>
    </row>
    <row r="783" spans="1:5" hidden="1">
      <c r="A783">
        <f t="shared" si="12"/>
        <v>781</v>
      </c>
      <c r="B783" t="s">
        <v>886</v>
      </c>
      <c r="C783" t="s">
        <v>1530</v>
      </c>
      <c r="D783" s="169" t="s">
        <v>886</v>
      </c>
      <c r="E783" s="154" t="s">
        <v>3</v>
      </c>
    </row>
    <row r="784" spans="1:5" hidden="1">
      <c r="A784">
        <f t="shared" si="12"/>
        <v>782</v>
      </c>
      <c r="B784" t="s">
        <v>886</v>
      </c>
      <c r="C784" t="s">
        <v>1528</v>
      </c>
      <c r="D784" s="169" t="s">
        <v>886</v>
      </c>
      <c r="E784" s="154" t="s">
        <v>3</v>
      </c>
    </row>
    <row r="785" spans="1:8" hidden="1">
      <c r="A785">
        <f t="shared" si="12"/>
        <v>783</v>
      </c>
      <c r="B785" t="s">
        <v>886</v>
      </c>
      <c r="C785" t="s">
        <v>1289</v>
      </c>
      <c r="D785" s="169" t="s">
        <v>886</v>
      </c>
      <c r="E785" s="154" t="s">
        <v>3</v>
      </c>
    </row>
    <row r="786" spans="1:8" hidden="1">
      <c r="A786">
        <f t="shared" si="12"/>
        <v>784</v>
      </c>
      <c r="B786" t="s">
        <v>886</v>
      </c>
      <c r="C786" t="s">
        <v>1290</v>
      </c>
      <c r="D786" s="169" t="s">
        <v>886</v>
      </c>
      <c r="E786" s="154" t="s">
        <v>3</v>
      </c>
    </row>
    <row r="787" spans="1:8" hidden="1">
      <c r="A787">
        <f t="shared" si="12"/>
        <v>785</v>
      </c>
      <c r="B787" t="s">
        <v>886</v>
      </c>
      <c r="C787" t="s">
        <v>1291</v>
      </c>
      <c r="D787" s="169" t="s">
        <v>886</v>
      </c>
      <c r="E787" s="154" t="s">
        <v>3</v>
      </c>
    </row>
    <row r="788" spans="1:8" hidden="1">
      <c r="A788">
        <f t="shared" si="12"/>
        <v>786</v>
      </c>
      <c r="B788" t="s">
        <v>886</v>
      </c>
      <c r="C788" t="s">
        <v>1292</v>
      </c>
      <c r="D788" s="169" t="s">
        <v>886</v>
      </c>
      <c r="E788" s="154" t="s">
        <v>3</v>
      </c>
    </row>
    <row r="789" spans="1:8" hidden="1">
      <c r="A789">
        <f t="shared" si="12"/>
        <v>787</v>
      </c>
      <c r="B789" t="s">
        <v>886</v>
      </c>
      <c r="C789" t="s">
        <v>1293</v>
      </c>
      <c r="D789" s="169" t="s">
        <v>886</v>
      </c>
      <c r="E789" s="154" t="s">
        <v>3</v>
      </c>
    </row>
    <row r="790" spans="1:8" hidden="1">
      <c r="A790">
        <f t="shared" si="12"/>
        <v>788</v>
      </c>
      <c r="B790" t="s">
        <v>886</v>
      </c>
      <c r="C790" t="s">
        <v>1294</v>
      </c>
      <c r="D790" s="169" t="s">
        <v>886</v>
      </c>
      <c r="E790" s="154" t="s">
        <v>3</v>
      </c>
    </row>
    <row r="791" spans="1:8" hidden="1">
      <c r="A791">
        <f t="shared" si="12"/>
        <v>789</v>
      </c>
      <c r="B791" t="s">
        <v>886</v>
      </c>
      <c r="C791" t="s">
        <v>1295</v>
      </c>
      <c r="D791" s="169" t="s">
        <v>886</v>
      </c>
      <c r="E791" s="154" t="s">
        <v>3</v>
      </c>
    </row>
    <row r="792" spans="1:8" hidden="1">
      <c r="A792">
        <f t="shared" si="12"/>
        <v>790</v>
      </c>
      <c r="B792" t="s">
        <v>1296</v>
      </c>
      <c r="C792" t="s">
        <v>1297</v>
      </c>
      <c r="D792" s="169" t="s">
        <v>1298</v>
      </c>
      <c r="E792" s="154" t="s">
        <v>3</v>
      </c>
    </row>
    <row r="793" spans="1:8" hidden="1">
      <c r="A793">
        <f t="shared" si="12"/>
        <v>791</v>
      </c>
      <c r="B793" t="s">
        <v>1296</v>
      </c>
      <c r="C793" t="s">
        <v>1299</v>
      </c>
      <c r="D793" s="169" t="s">
        <v>1298</v>
      </c>
      <c r="E793" s="154" t="s">
        <v>3</v>
      </c>
      <c r="H793" s="208"/>
    </row>
    <row r="794" spans="1:8" hidden="1">
      <c r="A794">
        <f t="shared" si="12"/>
        <v>792</v>
      </c>
      <c r="B794" t="s">
        <v>1296</v>
      </c>
      <c r="C794" t="s">
        <v>1301</v>
      </c>
      <c r="D794" s="169" t="s">
        <v>1298</v>
      </c>
      <c r="E794" s="154" t="s">
        <v>3</v>
      </c>
    </row>
    <row r="795" spans="1:8" hidden="1">
      <c r="A795">
        <f t="shared" si="12"/>
        <v>793</v>
      </c>
      <c r="B795" t="s">
        <v>1296</v>
      </c>
      <c r="C795" t="s">
        <v>1302</v>
      </c>
      <c r="D795" s="169" t="s">
        <v>1303</v>
      </c>
      <c r="E795" s="154" t="s">
        <v>3</v>
      </c>
    </row>
    <row r="796" spans="1:8" hidden="1">
      <c r="A796">
        <f t="shared" si="12"/>
        <v>794</v>
      </c>
      <c r="B796" t="s">
        <v>1296</v>
      </c>
      <c r="C796" t="s">
        <v>1304</v>
      </c>
      <c r="D796" s="169" t="s">
        <v>1303</v>
      </c>
      <c r="E796" s="154" t="s">
        <v>3</v>
      </c>
    </row>
    <row r="797" spans="1:8" hidden="1">
      <c r="A797">
        <f t="shared" si="12"/>
        <v>795</v>
      </c>
      <c r="B797" t="s">
        <v>1296</v>
      </c>
      <c r="C797" t="s">
        <v>1305</v>
      </c>
      <c r="D797" s="169" t="s">
        <v>1306</v>
      </c>
      <c r="E797" s="154" t="s">
        <v>3</v>
      </c>
    </row>
    <row r="798" spans="1:8" hidden="1">
      <c r="A798">
        <f t="shared" si="12"/>
        <v>796</v>
      </c>
      <c r="B798" t="s">
        <v>1296</v>
      </c>
      <c r="C798" t="s">
        <v>1307</v>
      </c>
      <c r="D798" s="169" t="s">
        <v>1306</v>
      </c>
      <c r="E798" s="154" t="s">
        <v>3</v>
      </c>
    </row>
    <row r="799" spans="1:8" hidden="1">
      <c r="A799">
        <f t="shared" si="12"/>
        <v>797</v>
      </c>
      <c r="B799" t="s">
        <v>1296</v>
      </c>
      <c r="C799" t="s">
        <v>1308</v>
      </c>
      <c r="D799" s="169" t="s">
        <v>1306</v>
      </c>
      <c r="E799" s="154" t="s">
        <v>3</v>
      </c>
    </row>
    <row r="800" spans="1:8" hidden="1">
      <c r="A800">
        <f t="shared" si="12"/>
        <v>798</v>
      </c>
      <c r="B800" t="s">
        <v>1296</v>
      </c>
      <c r="C800" t="s">
        <v>1309</v>
      </c>
      <c r="D800" s="169" t="s">
        <v>1306</v>
      </c>
      <c r="E800" s="154" t="s">
        <v>3</v>
      </c>
    </row>
    <row r="801" spans="1:5" hidden="1">
      <c r="A801">
        <f t="shared" si="12"/>
        <v>799</v>
      </c>
      <c r="B801" t="s">
        <v>1296</v>
      </c>
      <c r="C801" t="s">
        <v>1310</v>
      </c>
      <c r="D801" s="169" t="s">
        <v>1306</v>
      </c>
      <c r="E801" s="154" t="s">
        <v>3</v>
      </c>
    </row>
    <row r="802" spans="1:5" hidden="1">
      <c r="A802">
        <f t="shared" si="12"/>
        <v>800</v>
      </c>
      <c r="B802" t="s">
        <v>1296</v>
      </c>
      <c r="C802" t="s">
        <v>1311</v>
      </c>
      <c r="D802" s="169" t="s">
        <v>1306</v>
      </c>
      <c r="E802" s="154" t="s">
        <v>3</v>
      </c>
    </row>
    <row r="803" spans="1:5" hidden="1">
      <c r="A803">
        <f t="shared" si="12"/>
        <v>801</v>
      </c>
      <c r="B803" t="s">
        <v>1296</v>
      </c>
      <c r="C803" t="s">
        <v>1312</v>
      </c>
      <c r="D803" s="169" t="s">
        <v>1306</v>
      </c>
      <c r="E803" s="154" t="s">
        <v>3</v>
      </c>
    </row>
    <row r="804" spans="1:5" hidden="1">
      <c r="A804">
        <f t="shared" si="12"/>
        <v>802</v>
      </c>
      <c r="B804" t="s">
        <v>1296</v>
      </c>
      <c r="C804" t="s">
        <v>1313</v>
      </c>
      <c r="D804" s="169" t="s">
        <v>1306</v>
      </c>
      <c r="E804" s="154" t="s">
        <v>3</v>
      </c>
    </row>
    <row r="805" spans="1:5" hidden="1">
      <c r="A805">
        <f t="shared" si="12"/>
        <v>803</v>
      </c>
      <c r="B805" t="s">
        <v>1296</v>
      </c>
      <c r="C805" t="s">
        <v>1314</v>
      </c>
      <c r="D805" s="169" t="s">
        <v>1306</v>
      </c>
      <c r="E805" s="154" t="s">
        <v>3</v>
      </c>
    </row>
    <row r="806" spans="1:5" hidden="1">
      <c r="A806">
        <f t="shared" si="12"/>
        <v>804</v>
      </c>
      <c r="B806" t="s">
        <v>1296</v>
      </c>
      <c r="C806" t="s">
        <v>1315</v>
      </c>
      <c r="D806" s="169" t="s">
        <v>1306</v>
      </c>
      <c r="E806" s="154" t="s">
        <v>3</v>
      </c>
    </row>
    <row r="807" spans="1:5" hidden="1">
      <c r="A807">
        <f t="shared" si="12"/>
        <v>805</v>
      </c>
      <c r="B807" t="s">
        <v>1296</v>
      </c>
      <c r="C807" t="s">
        <v>1316</v>
      </c>
      <c r="D807" s="169" t="s">
        <v>1306</v>
      </c>
      <c r="E807" s="154" t="s">
        <v>3</v>
      </c>
    </row>
    <row r="808" spans="1:5" hidden="1">
      <c r="A808">
        <f t="shared" si="12"/>
        <v>806</v>
      </c>
      <c r="B808" t="s">
        <v>1296</v>
      </c>
      <c r="C808" t="s">
        <v>1317</v>
      </c>
      <c r="D808" s="169" t="s">
        <v>1306</v>
      </c>
      <c r="E808" s="154" t="s">
        <v>3</v>
      </c>
    </row>
    <row r="809" spans="1:5" hidden="1">
      <c r="A809">
        <f t="shared" si="12"/>
        <v>807</v>
      </c>
      <c r="B809" t="s">
        <v>1296</v>
      </c>
      <c r="C809" t="s">
        <v>1318</v>
      </c>
      <c r="D809" s="169" t="s">
        <v>1306</v>
      </c>
      <c r="E809" s="154" t="s">
        <v>3</v>
      </c>
    </row>
    <row r="810" spans="1:5" hidden="1">
      <c r="A810">
        <f t="shared" si="12"/>
        <v>808</v>
      </c>
      <c r="B810" t="s">
        <v>1296</v>
      </c>
      <c r="C810" t="s">
        <v>1319</v>
      </c>
      <c r="D810" s="169" t="s">
        <v>1306</v>
      </c>
      <c r="E810" s="154" t="s">
        <v>3</v>
      </c>
    </row>
    <row r="811" spans="1:5" hidden="1">
      <c r="A811">
        <f t="shared" si="12"/>
        <v>809</v>
      </c>
      <c r="B811" t="s">
        <v>1296</v>
      </c>
      <c r="C811" t="s">
        <v>1320</v>
      </c>
      <c r="D811" s="169" t="s">
        <v>1306</v>
      </c>
      <c r="E811" s="154" t="s">
        <v>3</v>
      </c>
    </row>
    <row r="812" spans="1:5" hidden="1">
      <c r="A812">
        <f t="shared" si="12"/>
        <v>810</v>
      </c>
      <c r="B812" t="s">
        <v>1296</v>
      </c>
      <c r="C812" t="s">
        <v>1321</v>
      </c>
      <c r="D812" s="169" t="s">
        <v>1306</v>
      </c>
      <c r="E812" s="154" t="s">
        <v>3</v>
      </c>
    </row>
    <row r="813" spans="1:5" hidden="1">
      <c r="A813">
        <f t="shared" si="12"/>
        <v>811</v>
      </c>
      <c r="B813" t="s">
        <v>1296</v>
      </c>
      <c r="C813" t="s">
        <v>1322</v>
      </c>
      <c r="D813" s="169" t="s">
        <v>1306</v>
      </c>
      <c r="E813" s="154" t="s">
        <v>3</v>
      </c>
    </row>
    <row r="814" spans="1:5" hidden="1">
      <c r="A814">
        <f t="shared" si="12"/>
        <v>812</v>
      </c>
      <c r="B814" t="s">
        <v>1296</v>
      </c>
      <c r="C814" t="s">
        <v>1323</v>
      </c>
      <c r="D814" s="169" t="s">
        <v>1306</v>
      </c>
      <c r="E814" s="154" t="s">
        <v>3</v>
      </c>
    </row>
    <row r="815" spans="1:5" hidden="1">
      <c r="A815">
        <f t="shared" si="12"/>
        <v>813</v>
      </c>
      <c r="B815" t="s">
        <v>1296</v>
      </c>
      <c r="C815" t="s">
        <v>1324</v>
      </c>
      <c r="D815" s="169" t="s">
        <v>1306</v>
      </c>
      <c r="E815" s="154" t="s">
        <v>3</v>
      </c>
    </row>
    <row r="816" spans="1:5" hidden="1">
      <c r="A816">
        <f t="shared" si="12"/>
        <v>814</v>
      </c>
      <c r="B816" t="s">
        <v>1296</v>
      </c>
      <c r="C816" t="s">
        <v>1325</v>
      </c>
      <c r="D816" s="169" t="s">
        <v>1306</v>
      </c>
      <c r="E816" s="154" t="s">
        <v>3</v>
      </c>
    </row>
    <row r="817" spans="1:5" hidden="1">
      <c r="A817">
        <f t="shared" si="12"/>
        <v>815</v>
      </c>
      <c r="B817" t="s">
        <v>1296</v>
      </c>
      <c r="C817" t="s">
        <v>1326</v>
      </c>
      <c r="D817" s="169" t="s">
        <v>1306</v>
      </c>
      <c r="E817" s="154" t="s">
        <v>3</v>
      </c>
    </row>
    <row r="818" spans="1:5" hidden="1">
      <c r="A818">
        <f t="shared" si="12"/>
        <v>816</v>
      </c>
      <c r="B818" t="s">
        <v>1296</v>
      </c>
      <c r="C818" t="s">
        <v>1327</v>
      </c>
      <c r="D818" s="169" t="s">
        <v>1306</v>
      </c>
      <c r="E818" s="154" t="s">
        <v>3</v>
      </c>
    </row>
    <row r="819" spans="1:5" hidden="1">
      <c r="A819">
        <f t="shared" si="12"/>
        <v>817</v>
      </c>
      <c r="B819" t="s">
        <v>1296</v>
      </c>
      <c r="C819" t="s">
        <v>1328</v>
      </c>
      <c r="D819" s="169" t="s">
        <v>1306</v>
      </c>
      <c r="E819" s="154" t="s">
        <v>3</v>
      </c>
    </row>
    <row r="820" spans="1:5" hidden="1">
      <c r="A820">
        <f t="shared" si="12"/>
        <v>818</v>
      </c>
      <c r="B820" t="s">
        <v>1296</v>
      </c>
      <c r="C820" t="s">
        <v>1329</v>
      </c>
      <c r="D820" s="169" t="s">
        <v>1306</v>
      </c>
      <c r="E820" s="154" t="s">
        <v>3</v>
      </c>
    </row>
    <row r="821" spans="1:5" hidden="1">
      <c r="A821">
        <f t="shared" si="12"/>
        <v>819</v>
      </c>
      <c r="B821" t="s">
        <v>1296</v>
      </c>
      <c r="C821" t="s">
        <v>1330</v>
      </c>
      <c r="D821" s="169" t="s">
        <v>1331</v>
      </c>
      <c r="E821" s="154" t="s">
        <v>3</v>
      </c>
    </row>
    <row r="822" spans="1:5" hidden="1">
      <c r="A822">
        <f t="shared" si="12"/>
        <v>820</v>
      </c>
      <c r="B822" t="s">
        <v>1296</v>
      </c>
      <c r="C822" t="s">
        <v>1332</v>
      </c>
      <c r="D822" s="169" t="s">
        <v>1333</v>
      </c>
      <c r="E822" s="154" t="s">
        <v>3</v>
      </c>
    </row>
    <row r="823" spans="1:5" hidden="1">
      <c r="A823">
        <f t="shared" si="12"/>
        <v>821</v>
      </c>
      <c r="B823" t="s">
        <v>1296</v>
      </c>
      <c r="C823" t="s">
        <v>1334</v>
      </c>
      <c r="D823" s="169" t="s">
        <v>1335</v>
      </c>
      <c r="E823" s="154" t="s">
        <v>3</v>
      </c>
    </row>
    <row r="824" spans="1:5" hidden="1">
      <c r="A824">
        <f t="shared" si="12"/>
        <v>822</v>
      </c>
      <c r="B824" t="s">
        <v>1296</v>
      </c>
      <c r="C824" t="s">
        <v>1336</v>
      </c>
      <c r="D824" s="169" t="s">
        <v>1335</v>
      </c>
      <c r="E824" s="154" t="s">
        <v>3</v>
      </c>
    </row>
    <row r="825" spans="1:5" hidden="1">
      <c r="A825">
        <f t="shared" si="12"/>
        <v>823</v>
      </c>
      <c r="B825" t="s">
        <v>1296</v>
      </c>
      <c r="C825" t="s">
        <v>1337</v>
      </c>
      <c r="D825" s="169" t="s">
        <v>1335</v>
      </c>
      <c r="E825" s="154" t="s">
        <v>3</v>
      </c>
    </row>
    <row r="826" spans="1:5" hidden="1">
      <c r="A826">
        <f t="shared" si="12"/>
        <v>824</v>
      </c>
      <c r="B826" t="s">
        <v>1296</v>
      </c>
      <c r="C826" t="s">
        <v>1338</v>
      </c>
      <c r="D826" s="169" t="s">
        <v>1335</v>
      </c>
      <c r="E826" s="154" t="s">
        <v>3</v>
      </c>
    </row>
    <row r="827" spans="1:5" hidden="1">
      <c r="A827">
        <f t="shared" si="12"/>
        <v>825</v>
      </c>
      <c r="B827" t="s">
        <v>1296</v>
      </c>
      <c r="C827" t="s">
        <v>1339</v>
      </c>
      <c r="D827" s="169" t="s">
        <v>1335</v>
      </c>
      <c r="E827" s="154" t="s">
        <v>3</v>
      </c>
    </row>
    <row r="828" spans="1:5" hidden="1">
      <c r="A828">
        <f t="shared" si="12"/>
        <v>826</v>
      </c>
      <c r="B828" t="s">
        <v>1296</v>
      </c>
      <c r="C828" t="s">
        <v>1340</v>
      </c>
      <c r="D828" s="169" t="s">
        <v>1335</v>
      </c>
      <c r="E828" s="154" t="s">
        <v>3</v>
      </c>
    </row>
    <row r="829" spans="1:5" hidden="1">
      <c r="A829">
        <f t="shared" si="12"/>
        <v>827</v>
      </c>
      <c r="B829" t="s">
        <v>1296</v>
      </c>
      <c r="C829" t="s">
        <v>1341</v>
      </c>
      <c r="D829" s="169" t="s">
        <v>1335</v>
      </c>
      <c r="E829" s="154" t="s">
        <v>3</v>
      </c>
    </row>
    <row r="830" spans="1:5" hidden="1">
      <c r="A830">
        <f t="shared" si="12"/>
        <v>828</v>
      </c>
      <c r="B830" t="s">
        <v>1296</v>
      </c>
      <c r="C830" t="s">
        <v>1342</v>
      </c>
      <c r="D830" s="169" t="s">
        <v>1335</v>
      </c>
      <c r="E830" s="154" t="s">
        <v>3</v>
      </c>
    </row>
    <row r="831" spans="1:5" hidden="1">
      <c r="A831">
        <f t="shared" si="12"/>
        <v>829</v>
      </c>
      <c r="B831" t="s">
        <v>1296</v>
      </c>
      <c r="C831" t="s">
        <v>1343</v>
      </c>
      <c r="D831" s="169" t="s">
        <v>1335</v>
      </c>
      <c r="E831" s="154" t="s">
        <v>3</v>
      </c>
    </row>
    <row r="832" spans="1:5" hidden="1">
      <c r="A832">
        <f t="shared" si="12"/>
        <v>830</v>
      </c>
      <c r="B832" t="s">
        <v>1296</v>
      </c>
      <c r="C832" t="s">
        <v>1344</v>
      </c>
      <c r="D832" s="169" t="s">
        <v>1335</v>
      </c>
      <c r="E832" s="154" t="s">
        <v>3</v>
      </c>
    </row>
    <row r="833" spans="1:5" hidden="1">
      <c r="A833">
        <f t="shared" si="12"/>
        <v>831</v>
      </c>
      <c r="B833" t="s">
        <v>1296</v>
      </c>
      <c r="C833" t="s">
        <v>1345</v>
      </c>
      <c r="D833" s="169" t="s">
        <v>1335</v>
      </c>
      <c r="E833" s="154" t="s">
        <v>3</v>
      </c>
    </row>
    <row r="834" spans="1:5" hidden="1">
      <c r="A834">
        <f t="shared" si="12"/>
        <v>832</v>
      </c>
      <c r="B834" t="s">
        <v>1296</v>
      </c>
      <c r="C834" t="s">
        <v>1346</v>
      </c>
      <c r="D834" s="169" t="s">
        <v>1335</v>
      </c>
      <c r="E834" s="154" t="s">
        <v>3</v>
      </c>
    </row>
    <row r="835" spans="1:5" hidden="1">
      <c r="A835">
        <f t="shared" si="12"/>
        <v>833</v>
      </c>
      <c r="B835" t="s">
        <v>1296</v>
      </c>
      <c r="C835" t="s">
        <v>1347</v>
      </c>
      <c r="D835" s="169" t="s">
        <v>1348</v>
      </c>
      <c r="E835" s="154" t="s">
        <v>3</v>
      </c>
    </row>
    <row r="836" spans="1:5" hidden="1">
      <c r="A836">
        <f t="shared" ref="A836:A899" si="13">A835+1</f>
        <v>834</v>
      </c>
      <c r="B836" t="s">
        <v>1296</v>
      </c>
      <c r="C836" t="s">
        <v>1349</v>
      </c>
      <c r="D836" s="169" t="s">
        <v>1348</v>
      </c>
      <c r="E836" s="154" t="s">
        <v>3</v>
      </c>
    </row>
    <row r="837" spans="1:5" hidden="1">
      <c r="A837">
        <f t="shared" si="13"/>
        <v>835</v>
      </c>
      <c r="B837" t="s">
        <v>1296</v>
      </c>
      <c r="C837" t="s">
        <v>1350</v>
      </c>
      <c r="D837" s="169" t="s">
        <v>1348</v>
      </c>
      <c r="E837" s="154" t="s">
        <v>3</v>
      </c>
    </row>
    <row r="838" spans="1:5" hidden="1">
      <c r="A838">
        <f t="shared" si="13"/>
        <v>836</v>
      </c>
      <c r="B838" t="s">
        <v>1296</v>
      </c>
      <c r="C838" t="s">
        <v>1351</v>
      </c>
      <c r="D838" s="169" t="s">
        <v>1348</v>
      </c>
      <c r="E838" s="154" t="s">
        <v>3</v>
      </c>
    </row>
    <row r="839" spans="1:5" hidden="1">
      <c r="A839">
        <f t="shared" si="13"/>
        <v>837</v>
      </c>
      <c r="B839" t="s">
        <v>1296</v>
      </c>
      <c r="C839" t="s">
        <v>1352</v>
      </c>
      <c r="D839" s="169" t="s">
        <v>1353</v>
      </c>
      <c r="E839" s="154" t="s">
        <v>3</v>
      </c>
    </row>
    <row r="840" spans="1:5" hidden="1">
      <c r="A840">
        <f t="shared" si="13"/>
        <v>838</v>
      </c>
      <c r="B840" t="s">
        <v>1296</v>
      </c>
      <c r="C840" t="s">
        <v>1354</v>
      </c>
      <c r="D840" s="169" t="s">
        <v>1355</v>
      </c>
      <c r="E840" s="154" t="s">
        <v>3</v>
      </c>
    </row>
    <row r="841" spans="1:5" hidden="1">
      <c r="A841">
        <f t="shared" si="13"/>
        <v>839</v>
      </c>
      <c r="B841" t="s">
        <v>1296</v>
      </c>
      <c r="C841" t="s">
        <v>1356</v>
      </c>
      <c r="D841" s="169" t="s">
        <v>1355</v>
      </c>
      <c r="E841" s="154" t="s">
        <v>3</v>
      </c>
    </row>
    <row r="842" spans="1:5" hidden="1">
      <c r="A842">
        <f t="shared" si="13"/>
        <v>840</v>
      </c>
      <c r="B842" t="s">
        <v>1296</v>
      </c>
      <c r="C842" t="s">
        <v>1357</v>
      </c>
      <c r="D842" s="169" t="s">
        <v>1355</v>
      </c>
      <c r="E842" s="154" t="s">
        <v>3</v>
      </c>
    </row>
    <row r="843" spans="1:5" hidden="1">
      <c r="A843">
        <f t="shared" si="13"/>
        <v>841</v>
      </c>
      <c r="B843" t="s">
        <v>1296</v>
      </c>
      <c r="C843" t="s">
        <v>1358</v>
      </c>
      <c r="D843" s="169" t="s">
        <v>1355</v>
      </c>
      <c r="E843" s="154" t="s">
        <v>3</v>
      </c>
    </row>
    <row r="844" spans="1:5" hidden="1">
      <c r="A844">
        <f t="shared" si="13"/>
        <v>842</v>
      </c>
      <c r="B844" t="s">
        <v>1296</v>
      </c>
      <c r="C844" t="s">
        <v>1359</v>
      </c>
      <c r="D844" s="169" t="s">
        <v>1355</v>
      </c>
      <c r="E844" s="154" t="s">
        <v>3</v>
      </c>
    </row>
    <row r="845" spans="1:5" hidden="1">
      <c r="A845">
        <f t="shared" si="13"/>
        <v>843</v>
      </c>
      <c r="B845" t="s">
        <v>1296</v>
      </c>
      <c r="C845" t="s">
        <v>1360</v>
      </c>
      <c r="D845" s="169" t="s">
        <v>1355</v>
      </c>
      <c r="E845" s="154" t="s">
        <v>3</v>
      </c>
    </row>
    <row r="846" spans="1:5" hidden="1">
      <c r="A846">
        <f t="shared" si="13"/>
        <v>844</v>
      </c>
      <c r="B846" t="s">
        <v>1296</v>
      </c>
      <c r="C846" t="s">
        <v>1361</v>
      </c>
      <c r="D846" s="169" t="s">
        <v>1355</v>
      </c>
      <c r="E846" s="154" t="s">
        <v>3</v>
      </c>
    </row>
    <row r="847" spans="1:5" hidden="1">
      <c r="A847">
        <f t="shared" si="13"/>
        <v>845</v>
      </c>
      <c r="B847" t="s">
        <v>1296</v>
      </c>
      <c r="C847" t="s">
        <v>1362</v>
      </c>
      <c r="D847" s="169" t="s">
        <v>1355</v>
      </c>
      <c r="E847" s="154" t="s">
        <v>3</v>
      </c>
    </row>
    <row r="848" spans="1:5" hidden="1">
      <c r="A848">
        <f t="shared" si="13"/>
        <v>846</v>
      </c>
      <c r="B848" t="s">
        <v>1296</v>
      </c>
      <c r="C848" t="s">
        <v>1363</v>
      </c>
      <c r="D848" s="169" t="s">
        <v>1355</v>
      </c>
      <c r="E848" s="154" t="s">
        <v>3</v>
      </c>
    </row>
    <row r="849" spans="1:5" hidden="1">
      <c r="A849">
        <f t="shared" si="13"/>
        <v>847</v>
      </c>
      <c r="B849" t="s">
        <v>1296</v>
      </c>
      <c r="C849" t="s">
        <v>1364</v>
      </c>
      <c r="D849" s="169" t="s">
        <v>1355</v>
      </c>
      <c r="E849" s="154" t="s">
        <v>3</v>
      </c>
    </row>
    <row r="850" spans="1:5" hidden="1">
      <c r="A850">
        <f t="shared" si="13"/>
        <v>848</v>
      </c>
      <c r="B850" t="s">
        <v>1296</v>
      </c>
      <c r="C850" t="s">
        <v>1365</v>
      </c>
      <c r="D850" s="169" t="s">
        <v>1355</v>
      </c>
      <c r="E850" s="154" t="s">
        <v>3</v>
      </c>
    </row>
    <row r="851" spans="1:5" hidden="1">
      <c r="A851">
        <f t="shared" si="13"/>
        <v>849</v>
      </c>
      <c r="B851" t="s">
        <v>1296</v>
      </c>
      <c r="C851" t="s">
        <v>1366</v>
      </c>
      <c r="D851" s="169" t="s">
        <v>1355</v>
      </c>
      <c r="E851" s="154" t="s">
        <v>3</v>
      </c>
    </row>
    <row r="852" spans="1:5" hidden="1">
      <c r="A852">
        <f t="shared" si="13"/>
        <v>850</v>
      </c>
      <c r="B852" t="s">
        <v>1296</v>
      </c>
      <c r="C852" t="s">
        <v>1367</v>
      </c>
      <c r="D852" s="169" t="s">
        <v>1355</v>
      </c>
      <c r="E852" s="154" t="s">
        <v>3</v>
      </c>
    </row>
    <row r="853" spans="1:5" hidden="1">
      <c r="A853">
        <f t="shared" si="13"/>
        <v>851</v>
      </c>
      <c r="B853" t="s">
        <v>1296</v>
      </c>
      <c r="C853" t="s">
        <v>1562</v>
      </c>
      <c r="D853" s="169" t="s">
        <v>1368</v>
      </c>
      <c r="E853" s="154" t="s">
        <v>3</v>
      </c>
    </row>
    <row r="854" spans="1:5" hidden="1">
      <c r="A854">
        <f t="shared" si="13"/>
        <v>852</v>
      </c>
      <c r="B854" t="s">
        <v>1296</v>
      </c>
      <c r="C854" t="s">
        <v>1369</v>
      </c>
      <c r="D854" s="169" t="s">
        <v>1368</v>
      </c>
      <c r="E854" s="154" t="s">
        <v>3</v>
      </c>
    </row>
    <row r="855" spans="1:5" hidden="1">
      <c r="A855">
        <f t="shared" si="13"/>
        <v>853</v>
      </c>
      <c r="B855" t="s">
        <v>1296</v>
      </c>
      <c r="C855" t="s">
        <v>1370</v>
      </c>
      <c r="D855" s="169" t="s">
        <v>1368</v>
      </c>
      <c r="E855" s="154" t="s">
        <v>3</v>
      </c>
    </row>
    <row r="856" spans="1:5" hidden="1">
      <c r="A856">
        <f t="shared" si="13"/>
        <v>854</v>
      </c>
      <c r="B856" t="s">
        <v>1296</v>
      </c>
      <c r="C856" t="s">
        <v>1371</v>
      </c>
      <c r="D856" s="169" t="s">
        <v>1368</v>
      </c>
      <c r="E856" s="154" t="s">
        <v>3</v>
      </c>
    </row>
    <row r="857" spans="1:5" hidden="1">
      <c r="A857">
        <f t="shared" si="13"/>
        <v>855</v>
      </c>
      <c r="B857" t="s">
        <v>1296</v>
      </c>
      <c r="C857" t="s">
        <v>1372</v>
      </c>
      <c r="D857" s="169" t="s">
        <v>1368</v>
      </c>
      <c r="E857" s="154" t="s">
        <v>3</v>
      </c>
    </row>
    <row r="858" spans="1:5" hidden="1">
      <c r="A858">
        <f t="shared" si="13"/>
        <v>856</v>
      </c>
      <c r="B858" t="s">
        <v>1296</v>
      </c>
      <c r="C858" t="s">
        <v>1373</v>
      </c>
      <c r="D858" s="169" t="s">
        <v>1368</v>
      </c>
      <c r="E858" s="154" t="s">
        <v>3</v>
      </c>
    </row>
    <row r="859" spans="1:5" hidden="1">
      <c r="A859">
        <f t="shared" si="13"/>
        <v>857</v>
      </c>
      <c r="B859" t="s">
        <v>1296</v>
      </c>
      <c r="C859" t="s">
        <v>1374</v>
      </c>
      <c r="D859" s="169" t="s">
        <v>1368</v>
      </c>
      <c r="E859" s="154" t="s">
        <v>3</v>
      </c>
    </row>
    <row r="860" spans="1:5" hidden="1">
      <c r="A860">
        <f t="shared" si="13"/>
        <v>858</v>
      </c>
      <c r="B860" t="s">
        <v>1296</v>
      </c>
      <c r="C860" t="s">
        <v>1375</v>
      </c>
      <c r="D860" s="169" t="s">
        <v>1376</v>
      </c>
      <c r="E860" s="154" t="s">
        <v>3</v>
      </c>
    </row>
    <row r="861" spans="1:5" hidden="1">
      <c r="A861">
        <f t="shared" si="13"/>
        <v>859</v>
      </c>
      <c r="B861" t="s">
        <v>1296</v>
      </c>
      <c r="C861" t="s">
        <v>1377</v>
      </c>
      <c r="D861" s="169" t="s">
        <v>1378</v>
      </c>
      <c r="E861" s="154" t="s">
        <v>3</v>
      </c>
    </row>
    <row r="862" spans="1:5" hidden="1">
      <c r="A862">
        <f t="shared" si="13"/>
        <v>860</v>
      </c>
      <c r="B862" t="s">
        <v>1296</v>
      </c>
      <c r="C862" t="s">
        <v>1379</v>
      </c>
      <c r="D862" s="169" t="s">
        <v>1378</v>
      </c>
      <c r="E862" s="154" t="s">
        <v>3</v>
      </c>
    </row>
    <row r="863" spans="1:5" hidden="1">
      <c r="A863">
        <f t="shared" si="13"/>
        <v>861</v>
      </c>
      <c r="B863" t="s">
        <v>1296</v>
      </c>
      <c r="C863" t="s">
        <v>1380</v>
      </c>
      <c r="D863" s="169" t="s">
        <v>1378</v>
      </c>
      <c r="E863" s="154" t="s">
        <v>3</v>
      </c>
    </row>
    <row r="864" spans="1:5" hidden="1">
      <c r="A864">
        <f t="shared" si="13"/>
        <v>862</v>
      </c>
      <c r="B864" t="s">
        <v>1296</v>
      </c>
      <c r="C864" t="s">
        <v>1381</v>
      </c>
      <c r="D864" s="169" t="s">
        <v>1378</v>
      </c>
      <c r="E864" s="154" t="s">
        <v>3</v>
      </c>
    </row>
    <row r="865" spans="1:5" hidden="1">
      <c r="A865">
        <f t="shared" si="13"/>
        <v>863</v>
      </c>
      <c r="B865" t="s">
        <v>1296</v>
      </c>
      <c r="C865" t="s">
        <v>1382</v>
      </c>
      <c r="D865" s="169" t="s">
        <v>1378</v>
      </c>
      <c r="E865" s="154" t="s">
        <v>3</v>
      </c>
    </row>
    <row r="866" spans="1:5" hidden="1">
      <c r="A866">
        <f t="shared" si="13"/>
        <v>864</v>
      </c>
      <c r="B866" t="s">
        <v>1296</v>
      </c>
      <c r="C866" t="s">
        <v>1383</v>
      </c>
      <c r="D866" s="169" t="s">
        <v>1378</v>
      </c>
      <c r="E866" s="154" t="s">
        <v>3</v>
      </c>
    </row>
    <row r="867" spans="1:5" hidden="1">
      <c r="A867">
        <f t="shared" si="13"/>
        <v>865</v>
      </c>
      <c r="B867" t="s">
        <v>1296</v>
      </c>
      <c r="C867" t="s">
        <v>1384</v>
      </c>
      <c r="D867" s="169" t="s">
        <v>1378</v>
      </c>
      <c r="E867" s="154" t="s">
        <v>3</v>
      </c>
    </row>
    <row r="868" spans="1:5" hidden="1">
      <c r="A868">
        <f t="shared" si="13"/>
        <v>866</v>
      </c>
      <c r="B868" t="s">
        <v>1296</v>
      </c>
      <c r="C868" t="s">
        <v>1385</v>
      </c>
      <c r="D868" s="169" t="s">
        <v>1378</v>
      </c>
      <c r="E868" s="154" t="s">
        <v>3</v>
      </c>
    </row>
    <row r="869" spans="1:5" hidden="1">
      <c r="A869">
        <f t="shared" si="13"/>
        <v>867</v>
      </c>
      <c r="B869" t="s">
        <v>1296</v>
      </c>
      <c r="C869" t="s">
        <v>1386</v>
      </c>
      <c r="D869" s="169" t="s">
        <v>1387</v>
      </c>
      <c r="E869" s="154" t="s">
        <v>3</v>
      </c>
    </row>
    <row r="870" spans="1:5" hidden="1">
      <c r="A870">
        <f t="shared" si="13"/>
        <v>868</v>
      </c>
      <c r="B870" t="s">
        <v>1296</v>
      </c>
      <c r="C870" t="s">
        <v>1388</v>
      </c>
      <c r="D870" s="169" t="s">
        <v>1387</v>
      </c>
      <c r="E870" s="154" t="s">
        <v>3</v>
      </c>
    </row>
    <row r="871" spans="1:5" hidden="1">
      <c r="A871">
        <f t="shared" si="13"/>
        <v>869</v>
      </c>
      <c r="B871" t="s">
        <v>1296</v>
      </c>
      <c r="C871" t="s">
        <v>1389</v>
      </c>
      <c r="D871" s="169" t="s">
        <v>1387</v>
      </c>
      <c r="E871" s="154" t="s">
        <v>3</v>
      </c>
    </row>
    <row r="872" spans="1:5" hidden="1">
      <c r="A872">
        <f t="shared" si="13"/>
        <v>870</v>
      </c>
      <c r="B872" t="s">
        <v>1296</v>
      </c>
      <c r="C872" t="s">
        <v>1390</v>
      </c>
      <c r="D872" s="169" t="s">
        <v>1387</v>
      </c>
      <c r="E872" s="154" t="s">
        <v>3</v>
      </c>
    </row>
    <row r="873" spans="1:5" hidden="1">
      <c r="A873">
        <f t="shared" si="13"/>
        <v>871</v>
      </c>
      <c r="B873" t="s">
        <v>1296</v>
      </c>
      <c r="C873" t="s">
        <v>1563</v>
      </c>
      <c r="D873" s="169" t="s">
        <v>1391</v>
      </c>
      <c r="E873" s="154" t="s">
        <v>3</v>
      </c>
    </row>
    <row r="874" spans="1:5" hidden="1">
      <c r="A874">
        <f t="shared" si="13"/>
        <v>872</v>
      </c>
      <c r="B874" t="s">
        <v>1296</v>
      </c>
      <c r="C874" t="s">
        <v>1392</v>
      </c>
      <c r="D874" s="169" t="s">
        <v>1393</v>
      </c>
      <c r="E874" s="154" t="s">
        <v>3</v>
      </c>
    </row>
    <row r="875" spans="1:5" hidden="1">
      <c r="A875">
        <f t="shared" si="13"/>
        <v>873</v>
      </c>
      <c r="B875" t="s">
        <v>1296</v>
      </c>
      <c r="C875" t="s">
        <v>1394</v>
      </c>
      <c r="D875" s="169" t="s">
        <v>1395</v>
      </c>
      <c r="E875" s="154" t="s">
        <v>3</v>
      </c>
    </row>
    <row r="876" spans="1:5" hidden="1">
      <c r="A876">
        <f t="shared" si="13"/>
        <v>874</v>
      </c>
      <c r="B876" t="s">
        <v>1296</v>
      </c>
      <c r="C876" t="s">
        <v>1396</v>
      </c>
      <c r="D876" s="169" t="s">
        <v>1395</v>
      </c>
      <c r="E876" s="154" t="s">
        <v>3</v>
      </c>
    </row>
    <row r="877" spans="1:5" hidden="1">
      <c r="A877">
        <f t="shared" si="13"/>
        <v>875</v>
      </c>
      <c r="B877" t="s">
        <v>1296</v>
      </c>
      <c r="C877" t="s">
        <v>1397</v>
      </c>
      <c r="D877" s="169" t="s">
        <v>1398</v>
      </c>
      <c r="E877" s="154" t="s">
        <v>3</v>
      </c>
    </row>
    <row r="878" spans="1:5" hidden="1">
      <c r="A878">
        <f t="shared" si="13"/>
        <v>876</v>
      </c>
      <c r="B878" t="s">
        <v>1296</v>
      </c>
      <c r="C878" t="s">
        <v>1399</v>
      </c>
      <c r="D878" s="169" t="s">
        <v>1400</v>
      </c>
      <c r="E878" s="154" t="s">
        <v>3</v>
      </c>
    </row>
    <row r="879" spans="1:5" hidden="1">
      <c r="A879">
        <f t="shared" si="13"/>
        <v>877</v>
      </c>
      <c r="B879" t="s">
        <v>1296</v>
      </c>
      <c r="C879" t="s">
        <v>1401</v>
      </c>
      <c r="D879" s="169" t="s">
        <v>1400</v>
      </c>
      <c r="E879" s="154" t="s">
        <v>3</v>
      </c>
    </row>
    <row r="880" spans="1:5" hidden="1">
      <c r="A880">
        <f t="shared" si="13"/>
        <v>878</v>
      </c>
      <c r="B880" t="s">
        <v>1296</v>
      </c>
      <c r="C880" t="s">
        <v>1402</v>
      </c>
      <c r="D880" s="169" t="s">
        <v>1400</v>
      </c>
      <c r="E880" s="154" t="s">
        <v>3</v>
      </c>
    </row>
    <row r="881" spans="1:5" hidden="1">
      <c r="A881">
        <f t="shared" si="13"/>
        <v>879</v>
      </c>
      <c r="B881" t="s">
        <v>1296</v>
      </c>
      <c r="C881" t="s">
        <v>1403</v>
      </c>
      <c r="D881" s="169" t="s">
        <v>1400</v>
      </c>
      <c r="E881" s="154" t="s">
        <v>3</v>
      </c>
    </row>
    <row r="882" spans="1:5" hidden="1">
      <c r="A882">
        <f t="shared" si="13"/>
        <v>880</v>
      </c>
      <c r="B882" t="s">
        <v>1296</v>
      </c>
      <c r="C882" t="s">
        <v>1404</v>
      </c>
      <c r="D882" s="169" t="s">
        <v>1405</v>
      </c>
      <c r="E882" s="154" t="s">
        <v>3</v>
      </c>
    </row>
    <row r="883" spans="1:5" hidden="1">
      <c r="A883">
        <f t="shared" si="13"/>
        <v>881</v>
      </c>
      <c r="B883" t="s">
        <v>1296</v>
      </c>
      <c r="C883" t="s">
        <v>1406</v>
      </c>
      <c r="D883" s="169" t="s">
        <v>1405</v>
      </c>
      <c r="E883" s="154" t="s">
        <v>3</v>
      </c>
    </row>
    <row r="884" spans="1:5" hidden="1">
      <c r="A884">
        <f t="shared" si="13"/>
        <v>882</v>
      </c>
      <c r="B884" t="s">
        <v>1296</v>
      </c>
      <c r="C884" t="s">
        <v>1407</v>
      </c>
      <c r="D884" s="169" t="s">
        <v>1405</v>
      </c>
      <c r="E884" s="154" t="s">
        <v>3</v>
      </c>
    </row>
    <row r="885" spans="1:5" hidden="1">
      <c r="A885">
        <f t="shared" si="13"/>
        <v>883</v>
      </c>
      <c r="B885" t="s">
        <v>1296</v>
      </c>
      <c r="C885" t="s">
        <v>1408</v>
      </c>
      <c r="D885" s="169" t="s">
        <v>1405</v>
      </c>
      <c r="E885" s="154" t="s">
        <v>3</v>
      </c>
    </row>
    <row r="886" spans="1:5" hidden="1">
      <c r="A886">
        <f t="shared" si="13"/>
        <v>884</v>
      </c>
      <c r="B886" t="s">
        <v>1296</v>
      </c>
      <c r="C886" t="s">
        <v>1409</v>
      </c>
      <c r="D886" s="169" t="s">
        <v>1405</v>
      </c>
      <c r="E886" s="154" t="s">
        <v>3</v>
      </c>
    </row>
    <row r="887" spans="1:5" hidden="1">
      <c r="A887">
        <f t="shared" si="13"/>
        <v>885</v>
      </c>
      <c r="B887" t="s">
        <v>1296</v>
      </c>
      <c r="C887" t="s">
        <v>1410</v>
      </c>
      <c r="D887" s="169" t="s">
        <v>1405</v>
      </c>
      <c r="E887" s="154" t="s">
        <v>3</v>
      </c>
    </row>
    <row r="888" spans="1:5" hidden="1">
      <c r="A888">
        <f t="shared" si="13"/>
        <v>886</v>
      </c>
      <c r="B888" t="s">
        <v>1296</v>
      </c>
      <c r="C888" t="s">
        <v>1411</v>
      </c>
      <c r="D888" s="169" t="s">
        <v>1405</v>
      </c>
      <c r="E888" s="154" t="s">
        <v>3</v>
      </c>
    </row>
    <row r="889" spans="1:5" hidden="1">
      <c r="A889">
        <f t="shared" si="13"/>
        <v>887</v>
      </c>
      <c r="B889" t="s">
        <v>1296</v>
      </c>
      <c r="C889" t="s">
        <v>1412</v>
      </c>
      <c r="D889" s="169" t="s">
        <v>1405</v>
      </c>
      <c r="E889" s="154" t="s">
        <v>3</v>
      </c>
    </row>
    <row r="890" spans="1:5" hidden="1">
      <c r="A890">
        <f t="shared" si="13"/>
        <v>888</v>
      </c>
      <c r="B890" t="s">
        <v>1296</v>
      </c>
      <c r="C890" t="s">
        <v>1413</v>
      </c>
      <c r="D890" s="169" t="s">
        <v>1405</v>
      </c>
      <c r="E890" s="154" t="s">
        <v>3</v>
      </c>
    </row>
    <row r="891" spans="1:5" hidden="1">
      <c r="A891">
        <f t="shared" si="13"/>
        <v>889</v>
      </c>
      <c r="B891" t="s">
        <v>1296</v>
      </c>
      <c r="C891" t="s">
        <v>1414</v>
      </c>
      <c r="D891" s="169" t="s">
        <v>1405</v>
      </c>
      <c r="E891" s="154" t="s">
        <v>3</v>
      </c>
    </row>
    <row r="892" spans="1:5" hidden="1">
      <c r="A892">
        <f t="shared" si="13"/>
        <v>890</v>
      </c>
      <c r="B892" t="s">
        <v>1296</v>
      </c>
      <c r="C892" t="s">
        <v>1415</v>
      </c>
      <c r="D892" s="169" t="s">
        <v>1405</v>
      </c>
      <c r="E892" s="154" t="s">
        <v>3</v>
      </c>
    </row>
    <row r="893" spans="1:5" hidden="1">
      <c r="A893">
        <f t="shared" si="13"/>
        <v>891</v>
      </c>
      <c r="B893" t="s">
        <v>1296</v>
      </c>
      <c r="C893" t="s">
        <v>1416</v>
      </c>
      <c r="D893" s="169" t="s">
        <v>1405</v>
      </c>
      <c r="E893" s="154" t="s">
        <v>3</v>
      </c>
    </row>
    <row r="894" spans="1:5" hidden="1">
      <c r="A894">
        <f t="shared" si="13"/>
        <v>892</v>
      </c>
      <c r="B894" t="s">
        <v>1296</v>
      </c>
      <c r="C894" t="s">
        <v>1417</v>
      </c>
      <c r="D894" s="169" t="s">
        <v>1405</v>
      </c>
      <c r="E894" s="154" t="s">
        <v>3</v>
      </c>
    </row>
    <row r="895" spans="1:5" hidden="1">
      <c r="A895">
        <f t="shared" si="13"/>
        <v>893</v>
      </c>
      <c r="B895" t="s">
        <v>1296</v>
      </c>
      <c r="C895" t="s">
        <v>1418</v>
      </c>
      <c r="D895" s="169" t="s">
        <v>1405</v>
      </c>
      <c r="E895" s="154" t="s">
        <v>3</v>
      </c>
    </row>
    <row r="896" spans="1:5" hidden="1">
      <c r="A896">
        <f t="shared" si="13"/>
        <v>894</v>
      </c>
      <c r="B896" t="s">
        <v>1296</v>
      </c>
      <c r="C896" t="s">
        <v>1419</v>
      </c>
      <c r="D896" s="169" t="s">
        <v>1405</v>
      </c>
      <c r="E896" s="154" t="s">
        <v>3</v>
      </c>
    </row>
    <row r="897" spans="1:5" hidden="1">
      <c r="A897">
        <f t="shared" si="13"/>
        <v>895</v>
      </c>
      <c r="B897" t="s">
        <v>1296</v>
      </c>
      <c r="C897" t="s">
        <v>1420</v>
      </c>
      <c r="D897" s="169" t="s">
        <v>1405</v>
      </c>
      <c r="E897" s="154" t="s">
        <v>3</v>
      </c>
    </row>
    <row r="898" spans="1:5" hidden="1">
      <c r="A898">
        <f t="shared" si="13"/>
        <v>896</v>
      </c>
      <c r="B898" t="s">
        <v>1296</v>
      </c>
      <c r="C898" t="s">
        <v>1421</v>
      </c>
      <c r="D898" s="169" t="s">
        <v>1405</v>
      </c>
      <c r="E898" s="154" t="s">
        <v>3</v>
      </c>
    </row>
    <row r="899" spans="1:5" hidden="1">
      <c r="A899">
        <f t="shared" si="13"/>
        <v>897</v>
      </c>
      <c r="B899" t="s">
        <v>1296</v>
      </c>
      <c r="C899" t="s">
        <v>1422</v>
      </c>
      <c r="D899" s="169" t="s">
        <v>1405</v>
      </c>
      <c r="E899" s="154" t="s">
        <v>3</v>
      </c>
    </row>
    <row r="900" spans="1:5" hidden="1">
      <c r="A900">
        <f t="shared" ref="A900:A963" si="14">A899+1</f>
        <v>898</v>
      </c>
      <c r="B900" t="s">
        <v>1296</v>
      </c>
      <c r="C900" t="s">
        <v>1423</v>
      </c>
      <c r="D900" s="169" t="s">
        <v>1405</v>
      </c>
      <c r="E900" s="154" t="s">
        <v>3</v>
      </c>
    </row>
    <row r="901" spans="1:5" hidden="1">
      <c r="A901">
        <f t="shared" si="14"/>
        <v>899</v>
      </c>
      <c r="B901" t="s">
        <v>1296</v>
      </c>
      <c r="C901" t="s">
        <v>1424</v>
      </c>
      <c r="D901" s="169" t="s">
        <v>1405</v>
      </c>
      <c r="E901" s="154" t="s">
        <v>3</v>
      </c>
    </row>
    <row r="902" spans="1:5" hidden="1">
      <c r="A902">
        <f t="shared" si="14"/>
        <v>900</v>
      </c>
      <c r="B902" t="s">
        <v>1296</v>
      </c>
      <c r="C902" t="s">
        <v>1425</v>
      </c>
      <c r="D902" s="169" t="s">
        <v>1405</v>
      </c>
      <c r="E902" s="154" t="s">
        <v>3</v>
      </c>
    </row>
    <row r="903" spans="1:5" hidden="1">
      <c r="A903">
        <f t="shared" si="14"/>
        <v>901</v>
      </c>
      <c r="B903" t="s">
        <v>1296</v>
      </c>
      <c r="C903" t="s">
        <v>1426</v>
      </c>
      <c r="D903" s="169" t="s">
        <v>1405</v>
      </c>
      <c r="E903" s="154" t="s">
        <v>3</v>
      </c>
    </row>
    <row r="904" spans="1:5" hidden="1">
      <c r="A904">
        <f t="shared" si="14"/>
        <v>902</v>
      </c>
      <c r="B904" t="s">
        <v>1296</v>
      </c>
      <c r="C904" t="s">
        <v>1427</v>
      </c>
      <c r="D904" s="169" t="s">
        <v>1405</v>
      </c>
      <c r="E904" s="154" t="s">
        <v>3</v>
      </c>
    </row>
    <row r="905" spans="1:5" hidden="1">
      <c r="A905">
        <f t="shared" si="14"/>
        <v>903</v>
      </c>
      <c r="B905" t="s">
        <v>1296</v>
      </c>
      <c r="C905" t="s">
        <v>1428</v>
      </c>
      <c r="D905" s="169" t="s">
        <v>1405</v>
      </c>
      <c r="E905" s="154" t="s">
        <v>3</v>
      </c>
    </row>
    <row r="906" spans="1:5" hidden="1">
      <c r="A906">
        <f t="shared" si="14"/>
        <v>904</v>
      </c>
      <c r="B906" t="s">
        <v>1296</v>
      </c>
      <c r="C906" t="s">
        <v>1429</v>
      </c>
      <c r="D906" s="169" t="s">
        <v>1405</v>
      </c>
      <c r="E906" s="154" t="s">
        <v>3</v>
      </c>
    </row>
    <row r="907" spans="1:5" hidden="1">
      <c r="A907">
        <f t="shared" si="14"/>
        <v>905</v>
      </c>
      <c r="B907" t="s">
        <v>1296</v>
      </c>
      <c r="C907" t="s">
        <v>1430</v>
      </c>
      <c r="D907" s="169" t="s">
        <v>1405</v>
      </c>
      <c r="E907" s="154" t="s">
        <v>3</v>
      </c>
    </row>
    <row r="908" spans="1:5" hidden="1">
      <c r="A908">
        <f t="shared" si="14"/>
        <v>906</v>
      </c>
      <c r="B908" t="s">
        <v>1296</v>
      </c>
      <c r="C908" t="s">
        <v>1431</v>
      </c>
      <c r="D908" s="169" t="s">
        <v>1405</v>
      </c>
      <c r="E908" s="154" t="s">
        <v>3</v>
      </c>
    </row>
    <row r="909" spans="1:5" hidden="1">
      <c r="A909">
        <f t="shared" si="14"/>
        <v>907</v>
      </c>
      <c r="B909" t="s">
        <v>1296</v>
      </c>
      <c r="C909" t="s">
        <v>1432</v>
      </c>
      <c r="D909" s="169" t="s">
        <v>1405</v>
      </c>
      <c r="E909" s="154" t="s">
        <v>3</v>
      </c>
    </row>
    <row r="910" spans="1:5" hidden="1">
      <c r="A910">
        <f t="shared" si="14"/>
        <v>908</v>
      </c>
      <c r="B910" t="s">
        <v>1296</v>
      </c>
      <c r="C910" t="s">
        <v>1433</v>
      </c>
      <c r="D910" s="169" t="s">
        <v>1405</v>
      </c>
      <c r="E910" s="154" t="s">
        <v>3</v>
      </c>
    </row>
    <row r="911" spans="1:5" hidden="1">
      <c r="A911">
        <f t="shared" si="14"/>
        <v>909</v>
      </c>
      <c r="B911" t="s">
        <v>1296</v>
      </c>
      <c r="C911" t="s">
        <v>1434</v>
      </c>
      <c r="D911" s="169" t="s">
        <v>1405</v>
      </c>
      <c r="E911" s="154" t="s">
        <v>3</v>
      </c>
    </row>
    <row r="912" spans="1:5" hidden="1">
      <c r="A912">
        <f t="shared" si="14"/>
        <v>910</v>
      </c>
      <c r="B912" t="s">
        <v>1296</v>
      </c>
      <c r="C912" t="s">
        <v>1564</v>
      </c>
      <c r="D912" s="169" t="s">
        <v>1405</v>
      </c>
      <c r="E912" s="154" t="s">
        <v>3</v>
      </c>
    </row>
    <row r="913" spans="1:5" hidden="1">
      <c r="A913">
        <f t="shared" si="14"/>
        <v>911</v>
      </c>
      <c r="B913" t="s">
        <v>1296</v>
      </c>
      <c r="C913" t="s">
        <v>1435</v>
      </c>
      <c r="D913" s="169" t="s">
        <v>1405</v>
      </c>
      <c r="E913" s="154" t="s">
        <v>3</v>
      </c>
    </row>
    <row r="914" spans="1:5" hidden="1">
      <c r="A914">
        <f t="shared" si="14"/>
        <v>912</v>
      </c>
      <c r="B914" t="s">
        <v>1296</v>
      </c>
      <c r="C914" t="s">
        <v>1436</v>
      </c>
      <c r="D914" s="169" t="s">
        <v>1405</v>
      </c>
      <c r="E914" s="154" t="s">
        <v>3</v>
      </c>
    </row>
    <row r="915" spans="1:5" hidden="1">
      <c r="A915">
        <f t="shared" si="14"/>
        <v>913</v>
      </c>
      <c r="B915" t="s">
        <v>1296</v>
      </c>
      <c r="C915" t="s">
        <v>1565</v>
      </c>
      <c r="D915" s="169" t="s">
        <v>1405</v>
      </c>
      <c r="E915" s="154" t="s">
        <v>3</v>
      </c>
    </row>
    <row r="916" spans="1:5" hidden="1">
      <c r="A916">
        <f t="shared" si="14"/>
        <v>914</v>
      </c>
      <c r="B916" t="s">
        <v>1296</v>
      </c>
      <c r="C916" t="s">
        <v>1437</v>
      </c>
      <c r="D916" s="169" t="s">
        <v>1405</v>
      </c>
      <c r="E916" s="154" t="s">
        <v>3</v>
      </c>
    </row>
    <row r="917" spans="1:5" hidden="1">
      <c r="A917">
        <f t="shared" si="14"/>
        <v>915</v>
      </c>
      <c r="B917" t="s">
        <v>1296</v>
      </c>
      <c r="C917" t="s">
        <v>1438</v>
      </c>
      <c r="D917" s="169" t="s">
        <v>1405</v>
      </c>
      <c r="E917" s="154" t="s">
        <v>3</v>
      </c>
    </row>
    <row r="918" spans="1:5" hidden="1">
      <c r="A918">
        <f t="shared" si="14"/>
        <v>916</v>
      </c>
      <c r="B918" t="s">
        <v>1296</v>
      </c>
      <c r="C918" t="s">
        <v>1439</v>
      </c>
      <c r="D918" s="169" t="s">
        <v>1405</v>
      </c>
      <c r="E918" s="154" t="s">
        <v>3</v>
      </c>
    </row>
    <row r="919" spans="1:5" hidden="1">
      <c r="A919">
        <f t="shared" si="14"/>
        <v>917</v>
      </c>
      <c r="B919" t="s">
        <v>1296</v>
      </c>
      <c r="C919" t="s">
        <v>1440</v>
      </c>
      <c r="D919" s="169" t="s">
        <v>1405</v>
      </c>
      <c r="E919" s="154" t="s">
        <v>3</v>
      </c>
    </row>
    <row r="920" spans="1:5" hidden="1">
      <c r="A920">
        <f t="shared" si="14"/>
        <v>918</v>
      </c>
      <c r="B920" t="s">
        <v>1296</v>
      </c>
      <c r="C920" t="s">
        <v>1441</v>
      </c>
      <c r="D920" s="169" t="s">
        <v>1405</v>
      </c>
      <c r="E920" s="154" t="s">
        <v>3</v>
      </c>
    </row>
    <row r="921" spans="1:5" hidden="1">
      <c r="A921">
        <f t="shared" si="14"/>
        <v>919</v>
      </c>
      <c r="B921" t="s">
        <v>1296</v>
      </c>
      <c r="C921" t="s">
        <v>1442</v>
      </c>
      <c r="D921" s="169" t="s">
        <v>1405</v>
      </c>
      <c r="E921" s="154" t="s">
        <v>3</v>
      </c>
    </row>
    <row r="922" spans="1:5" hidden="1">
      <c r="A922">
        <f t="shared" si="14"/>
        <v>920</v>
      </c>
      <c r="B922" t="s">
        <v>1296</v>
      </c>
      <c r="C922" t="s">
        <v>1443</v>
      </c>
      <c r="D922" s="169" t="s">
        <v>1405</v>
      </c>
      <c r="E922" s="154" t="s">
        <v>3</v>
      </c>
    </row>
    <row r="923" spans="1:5" hidden="1">
      <c r="A923">
        <f t="shared" si="14"/>
        <v>921</v>
      </c>
      <c r="B923" t="s">
        <v>1296</v>
      </c>
      <c r="C923" t="s">
        <v>1444</v>
      </c>
      <c r="D923" s="169" t="s">
        <v>1405</v>
      </c>
      <c r="E923" s="154" t="s">
        <v>3</v>
      </c>
    </row>
    <row r="924" spans="1:5" hidden="1">
      <c r="A924">
        <f t="shared" si="14"/>
        <v>922</v>
      </c>
      <c r="B924" t="s">
        <v>1296</v>
      </c>
      <c r="C924" t="s">
        <v>1566</v>
      </c>
      <c r="D924" s="169" t="s">
        <v>1405</v>
      </c>
      <c r="E924" s="154" t="s">
        <v>3</v>
      </c>
    </row>
    <row r="925" spans="1:5" hidden="1">
      <c r="A925">
        <f t="shared" si="14"/>
        <v>923</v>
      </c>
      <c r="B925" t="s">
        <v>1296</v>
      </c>
      <c r="C925" t="s">
        <v>1445</v>
      </c>
      <c r="D925" s="169" t="s">
        <v>1405</v>
      </c>
      <c r="E925" s="154" t="s">
        <v>3</v>
      </c>
    </row>
    <row r="926" spans="1:5" hidden="1">
      <c r="A926">
        <f t="shared" si="14"/>
        <v>924</v>
      </c>
      <c r="B926" t="s">
        <v>1296</v>
      </c>
      <c r="C926" t="s">
        <v>1446</v>
      </c>
      <c r="D926" s="169" t="s">
        <v>1405</v>
      </c>
      <c r="E926" s="154" t="s">
        <v>3</v>
      </c>
    </row>
    <row r="927" spans="1:5" hidden="1">
      <c r="A927">
        <f t="shared" si="14"/>
        <v>925</v>
      </c>
      <c r="B927" t="s">
        <v>1296</v>
      </c>
      <c r="C927" t="s">
        <v>1447</v>
      </c>
      <c r="D927" s="169" t="s">
        <v>1405</v>
      </c>
      <c r="E927" s="154" t="s">
        <v>3</v>
      </c>
    </row>
    <row r="928" spans="1:5" hidden="1">
      <c r="A928">
        <f t="shared" si="14"/>
        <v>926</v>
      </c>
      <c r="B928" t="s">
        <v>1296</v>
      </c>
      <c r="C928" t="s">
        <v>1448</v>
      </c>
      <c r="D928" s="169" t="s">
        <v>1405</v>
      </c>
      <c r="E928" s="154" t="s">
        <v>3</v>
      </c>
    </row>
    <row r="929" spans="1:5" hidden="1">
      <c r="A929">
        <f t="shared" si="14"/>
        <v>927</v>
      </c>
      <c r="B929" t="s">
        <v>1296</v>
      </c>
      <c r="C929" t="s">
        <v>1449</v>
      </c>
      <c r="D929" s="169" t="s">
        <v>1405</v>
      </c>
      <c r="E929" s="154" t="s">
        <v>3</v>
      </c>
    </row>
    <row r="930" spans="1:5" hidden="1">
      <c r="A930">
        <f t="shared" si="14"/>
        <v>928</v>
      </c>
      <c r="B930" t="s">
        <v>1296</v>
      </c>
      <c r="C930" t="s">
        <v>1450</v>
      </c>
      <c r="D930" s="169" t="s">
        <v>1405</v>
      </c>
      <c r="E930" s="154" t="s">
        <v>3</v>
      </c>
    </row>
    <row r="931" spans="1:5" hidden="1">
      <c r="A931">
        <f t="shared" si="14"/>
        <v>929</v>
      </c>
      <c r="B931" t="s">
        <v>1296</v>
      </c>
      <c r="C931" t="s">
        <v>1451</v>
      </c>
      <c r="D931" s="169" t="s">
        <v>1405</v>
      </c>
      <c r="E931" s="154" t="s">
        <v>3</v>
      </c>
    </row>
    <row r="932" spans="1:5" hidden="1">
      <c r="A932">
        <f t="shared" si="14"/>
        <v>930</v>
      </c>
      <c r="B932" t="s">
        <v>1296</v>
      </c>
      <c r="C932" t="s">
        <v>1452</v>
      </c>
      <c r="D932" s="169" t="s">
        <v>1405</v>
      </c>
      <c r="E932" s="154" t="s">
        <v>3</v>
      </c>
    </row>
    <row r="933" spans="1:5" hidden="1">
      <c r="A933">
        <f t="shared" si="14"/>
        <v>931</v>
      </c>
      <c r="B933" t="s">
        <v>1296</v>
      </c>
      <c r="C933" t="s">
        <v>1453</v>
      </c>
      <c r="D933" s="169" t="s">
        <v>1405</v>
      </c>
      <c r="E933" s="154" t="s">
        <v>3</v>
      </c>
    </row>
    <row r="934" spans="1:5" hidden="1">
      <c r="A934">
        <f t="shared" si="14"/>
        <v>932</v>
      </c>
      <c r="B934" t="s">
        <v>1296</v>
      </c>
      <c r="C934" t="s">
        <v>1454</v>
      </c>
      <c r="D934" s="169" t="s">
        <v>1405</v>
      </c>
      <c r="E934" s="154" t="s">
        <v>3</v>
      </c>
    </row>
    <row r="935" spans="1:5" hidden="1">
      <c r="A935">
        <f t="shared" si="14"/>
        <v>933</v>
      </c>
      <c r="B935" t="s">
        <v>1296</v>
      </c>
      <c r="C935" t="s">
        <v>1455</v>
      </c>
      <c r="D935" s="169" t="s">
        <v>1405</v>
      </c>
      <c r="E935" s="154" t="s">
        <v>3</v>
      </c>
    </row>
    <row r="936" spans="1:5" hidden="1">
      <c r="A936">
        <f t="shared" si="14"/>
        <v>934</v>
      </c>
      <c r="B936" t="s">
        <v>1296</v>
      </c>
      <c r="C936" t="s">
        <v>1456</v>
      </c>
      <c r="D936" s="169" t="s">
        <v>1405</v>
      </c>
      <c r="E936" s="154" t="s">
        <v>3</v>
      </c>
    </row>
    <row r="937" spans="1:5" hidden="1">
      <c r="A937">
        <f t="shared" si="14"/>
        <v>935</v>
      </c>
      <c r="B937" t="s">
        <v>1296</v>
      </c>
      <c r="C937" t="s">
        <v>1457</v>
      </c>
      <c r="D937" s="169" t="s">
        <v>1405</v>
      </c>
      <c r="E937" s="154" t="s">
        <v>3</v>
      </c>
    </row>
    <row r="938" spans="1:5" hidden="1">
      <c r="A938">
        <f t="shared" si="14"/>
        <v>936</v>
      </c>
      <c r="B938" t="s">
        <v>1296</v>
      </c>
      <c r="C938" t="s">
        <v>1458</v>
      </c>
      <c r="D938" s="169" t="s">
        <v>1405</v>
      </c>
      <c r="E938" s="154" t="s">
        <v>3</v>
      </c>
    </row>
    <row r="939" spans="1:5" hidden="1">
      <c r="A939">
        <f t="shared" si="14"/>
        <v>937</v>
      </c>
      <c r="B939" t="s">
        <v>1296</v>
      </c>
      <c r="C939" t="s">
        <v>1459</v>
      </c>
      <c r="D939" s="169" t="s">
        <v>1405</v>
      </c>
      <c r="E939" s="154" t="s">
        <v>3</v>
      </c>
    </row>
    <row r="940" spans="1:5" hidden="1">
      <c r="A940">
        <f t="shared" si="14"/>
        <v>938</v>
      </c>
      <c r="B940" t="s">
        <v>1296</v>
      </c>
      <c r="C940" t="s">
        <v>1460</v>
      </c>
      <c r="D940" s="169" t="s">
        <v>1405</v>
      </c>
      <c r="E940" s="154" t="s">
        <v>3</v>
      </c>
    </row>
    <row r="941" spans="1:5" hidden="1">
      <c r="A941">
        <f t="shared" si="14"/>
        <v>939</v>
      </c>
      <c r="B941" t="s">
        <v>1296</v>
      </c>
      <c r="C941" t="s">
        <v>1461</v>
      </c>
      <c r="D941" s="169" t="s">
        <v>1405</v>
      </c>
      <c r="E941" s="154" t="s">
        <v>3</v>
      </c>
    </row>
    <row r="942" spans="1:5" hidden="1">
      <c r="A942">
        <f t="shared" si="14"/>
        <v>940</v>
      </c>
      <c r="B942" t="s">
        <v>1296</v>
      </c>
      <c r="C942" t="s">
        <v>1567</v>
      </c>
      <c r="D942" s="169" t="s">
        <v>1405</v>
      </c>
      <c r="E942" s="154" t="s">
        <v>3</v>
      </c>
    </row>
    <row r="943" spans="1:5" hidden="1">
      <c r="A943">
        <f t="shared" si="14"/>
        <v>941</v>
      </c>
      <c r="B943" t="s">
        <v>1296</v>
      </c>
      <c r="C943" t="s">
        <v>1462</v>
      </c>
      <c r="D943" s="169" t="s">
        <v>1405</v>
      </c>
      <c r="E943" s="154" t="s">
        <v>3</v>
      </c>
    </row>
    <row r="944" spans="1:5" hidden="1">
      <c r="A944">
        <f t="shared" si="14"/>
        <v>942</v>
      </c>
      <c r="B944" t="s">
        <v>1296</v>
      </c>
      <c r="C944" t="s">
        <v>1463</v>
      </c>
      <c r="D944" s="169" t="s">
        <v>1405</v>
      </c>
      <c r="E944" s="154" t="s">
        <v>3</v>
      </c>
    </row>
    <row r="945" spans="1:5" hidden="1">
      <c r="A945">
        <f t="shared" si="14"/>
        <v>943</v>
      </c>
      <c r="B945" t="s">
        <v>1296</v>
      </c>
      <c r="C945" t="s">
        <v>1464</v>
      </c>
      <c r="D945" s="169" t="s">
        <v>1405</v>
      </c>
      <c r="E945" s="154" t="s">
        <v>3</v>
      </c>
    </row>
    <row r="946" spans="1:5" hidden="1">
      <c r="A946">
        <f t="shared" si="14"/>
        <v>944</v>
      </c>
      <c r="B946" t="s">
        <v>1296</v>
      </c>
      <c r="C946" t="s">
        <v>1465</v>
      </c>
      <c r="D946" s="169" t="s">
        <v>1405</v>
      </c>
      <c r="E946" s="154" t="s">
        <v>3</v>
      </c>
    </row>
    <row r="947" spans="1:5" hidden="1">
      <c r="A947">
        <f t="shared" si="14"/>
        <v>945</v>
      </c>
      <c r="B947" t="s">
        <v>1296</v>
      </c>
      <c r="C947" t="s">
        <v>1466</v>
      </c>
      <c r="D947" s="169" t="s">
        <v>1405</v>
      </c>
      <c r="E947" s="154" t="s">
        <v>3</v>
      </c>
    </row>
    <row r="948" spans="1:5" hidden="1">
      <c r="A948">
        <f t="shared" si="14"/>
        <v>946</v>
      </c>
      <c r="B948" t="s">
        <v>1296</v>
      </c>
      <c r="C948" t="s">
        <v>1467</v>
      </c>
      <c r="D948" s="169" t="s">
        <v>1405</v>
      </c>
      <c r="E948" s="154" t="s">
        <v>3</v>
      </c>
    </row>
    <row r="949" spans="1:5" hidden="1">
      <c r="A949">
        <f t="shared" si="14"/>
        <v>947</v>
      </c>
      <c r="B949" t="s">
        <v>1296</v>
      </c>
      <c r="C949" t="s">
        <v>1468</v>
      </c>
      <c r="D949" s="169" t="s">
        <v>1405</v>
      </c>
      <c r="E949" s="154" t="s">
        <v>3</v>
      </c>
    </row>
    <row r="950" spans="1:5" hidden="1">
      <c r="A950">
        <f t="shared" si="14"/>
        <v>948</v>
      </c>
      <c r="B950" t="s">
        <v>1296</v>
      </c>
      <c r="C950" t="s">
        <v>1469</v>
      </c>
      <c r="D950" s="169" t="s">
        <v>1405</v>
      </c>
      <c r="E950" s="154" t="s">
        <v>3</v>
      </c>
    </row>
    <row r="951" spans="1:5" hidden="1">
      <c r="A951">
        <f t="shared" si="14"/>
        <v>949</v>
      </c>
      <c r="B951" t="s">
        <v>1296</v>
      </c>
      <c r="C951" t="s">
        <v>1470</v>
      </c>
      <c r="D951" s="169" t="s">
        <v>1405</v>
      </c>
      <c r="E951" s="154" t="s">
        <v>3</v>
      </c>
    </row>
    <row r="952" spans="1:5" hidden="1">
      <c r="A952">
        <f t="shared" si="14"/>
        <v>950</v>
      </c>
      <c r="B952" t="s">
        <v>1296</v>
      </c>
      <c r="C952" t="s">
        <v>1471</v>
      </c>
      <c r="D952" s="169" t="s">
        <v>1472</v>
      </c>
      <c r="E952" s="154" t="s">
        <v>3</v>
      </c>
    </row>
    <row r="953" spans="1:5" hidden="1">
      <c r="A953">
        <f t="shared" si="14"/>
        <v>951</v>
      </c>
      <c r="B953" t="s">
        <v>1296</v>
      </c>
      <c r="C953" t="s">
        <v>1473</v>
      </c>
      <c r="D953" s="169" t="s">
        <v>1474</v>
      </c>
      <c r="E953" s="154" t="s">
        <v>3</v>
      </c>
    </row>
    <row r="954" spans="1:5" hidden="1">
      <c r="A954">
        <f t="shared" si="14"/>
        <v>952</v>
      </c>
      <c r="B954" t="s">
        <v>1296</v>
      </c>
      <c r="C954" t="s">
        <v>1475</v>
      </c>
      <c r="D954" s="169" t="s">
        <v>1476</v>
      </c>
      <c r="E954" s="154" t="s">
        <v>3</v>
      </c>
    </row>
    <row r="955" spans="1:5" hidden="1">
      <c r="A955">
        <f t="shared" si="14"/>
        <v>953</v>
      </c>
      <c r="B955" t="s">
        <v>1296</v>
      </c>
      <c r="C955" t="s">
        <v>1300</v>
      </c>
      <c r="D955" s="169" t="s">
        <v>1568</v>
      </c>
      <c r="E955" s="154" t="s">
        <v>3</v>
      </c>
    </row>
    <row r="956" spans="1:5" hidden="1">
      <c r="A956">
        <f t="shared" si="14"/>
        <v>954</v>
      </c>
      <c r="B956" t="s">
        <v>1477</v>
      </c>
      <c r="C956" t="s">
        <v>1478</v>
      </c>
      <c r="D956" s="169" t="s">
        <v>1479</v>
      </c>
      <c r="E956" s="154" t="s">
        <v>3</v>
      </c>
    </row>
    <row r="957" spans="1:5" hidden="1">
      <c r="A957">
        <f t="shared" si="14"/>
        <v>955</v>
      </c>
      <c r="B957" t="s">
        <v>1477</v>
      </c>
      <c r="C957" t="s">
        <v>1480</v>
      </c>
      <c r="D957" s="169" t="s">
        <v>1479</v>
      </c>
      <c r="E957" s="154" t="s">
        <v>3</v>
      </c>
    </row>
    <row r="958" spans="1:5" hidden="1">
      <c r="A958">
        <f t="shared" si="14"/>
        <v>956</v>
      </c>
      <c r="B958" t="s">
        <v>1477</v>
      </c>
      <c r="C958" t="s">
        <v>1481</v>
      </c>
      <c r="D958" s="169" t="s">
        <v>1479</v>
      </c>
      <c r="E958" s="154" t="s">
        <v>3</v>
      </c>
    </row>
    <row r="959" spans="1:5" hidden="1">
      <c r="A959">
        <f t="shared" si="14"/>
        <v>957</v>
      </c>
      <c r="B959" t="s">
        <v>1477</v>
      </c>
      <c r="C959" t="s">
        <v>1482</v>
      </c>
      <c r="D959" s="169" t="s">
        <v>1479</v>
      </c>
      <c r="E959" s="154" t="s">
        <v>3</v>
      </c>
    </row>
    <row r="960" spans="1:5" hidden="1">
      <c r="A960">
        <f t="shared" si="14"/>
        <v>958</v>
      </c>
      <c r="B960" t="s">
        <v>1477</v>
      </c>
      <c r="C960" t="s">
        <v>1483</v>
      </c>
      <c r="D960" s="169" t="s">
        <v>1479</v>
      </c>
      <c r="E960" s="154" t="s">
        <v>3</v>
      </c>
    </row>
    <row r="961" spans="1:5" hidden="1">
      <c r="A961">
        <f t="shared" si="14"/>
        <v>959</v>
      </c>
      <c r="B961" t="s">
        <v>1477</v>
      </c>
      <c r="C961" t="s">
        <v>1484</v>
      </c>
      <c r="D961" s="169" t="s">
        <v>1479</v>
      </c>
      <c r="E961" s="154" t="s">
        <v>3</v>
      </c>
    </row>
    <row r="962" spans="1:5" hidden="1">
      <c r="A962">
        <f t="shared" si="14"/>
        <v>960</v>
      </c>
      <c r="B962" t="s">
        <v>1477</v>
      </c>
      <c r="C962" t="s">
        <v>1485</v>
      </c>
      <c r="D962" s="169" t="s">
        <v>1479</v>
      </c>
      <c r="E962" s="154" t="s">
        <v>3</v>
      </c>
    </row>
    <row r="963" spans="1:5" hidden="1">
      <c r="A963">
        <f t="shared" si="14"/>
        <v>961</v>
      </c>
      <c r="B963" t="s">
        <v>1477</v>
      </c>
      <c r="C963" t="s">
        <v>1486</v>
      </c>
      <c r="D963" s="169" t="s">
        <v>1479</v>
      </c>
      <c r="E963" s="154" t="s">
        <v>3</v>
      </c>
    </row>
    <row r="964" spans="1:5" hidden="1">
      <c r="A964">
        <f t="shared" ref="A964:A976" si="15">A963+1</f>
        <v>962</v>
      </c>
      <c r="B964" t="s">
        <v>1477</v>
      </c>
      <c r="C964" t="s">
        <v>1487</v>
      </c>
      <c r="D964" s="169" t="s">
        <v>1479</v>
      </c>
      <c r="E964" s="154" t="s">
        <v>3</v>
      </c>
    </row>
    <row r="965" spans="1:5" hidden="1">
      <c r="A965">
        <f t="shared" si="15"/>
        <v>963</v>
      </c>
      <c r="B965" t="s">
        <v>1477</v>
      </c>
      <c r="C965" t="s">
        <v>1488</v>
      </c>
      <c r="D965" s="169" t="s">
        <v>1479</v>
      </c>
      <c r="E965" s="154" t="s">
        <v>3</v>
      </c>
    </row>
    <row r="966" spans="1:5" hidden="1">
      <c r="A966">
        <f t="shared" si="15"/>
        <v>964</v>
      </c>
      <c r="B966" t="s">
        <v>1477</v>
      </c>
      <c r="C966" t="s">
        <v>1489</v>
      </c>
      <c r="D966" s="169" t="s">
        <v>1479</v>
      </c>
      <c r="E966" s="154" t="s">
        <v>3</v>
      </c>
    </row>
    <row r="967" spans="1:5" hidden="1">
      <c r="A967">
        <f t="shared" si="15"/>
        <v>965</v>
      </c>
      <c r="B967" t="s">
        <v>1477</v>
      </c>
      <c r="C967" t="s">
        <v>1490</v>
      </c>
      <c r="D967" s="169" t="s">
        <v>1479</v>
      </c>
      <c r="E967" s="154" t="s">
        <v>3</v>
      </c>
    </row>
    <row r="968" spans="1:5" hidden="1">
      <c r="A968">
        <f t="shared" si="15"/>
        <v>966</v>
      </c>
      <c r="B968" t="s">
        <v>1477</v>
      </c>
      <c r="C968" t="s">
        <v>1491</v>
      </c>
      <c r="D968" s="169" t="s">
        <v>1479</v>
      </c>
      <c r="E968" s="154" t="s">
        <v>3</v>
      </c>
    </row>
    <row r="969" spans="1:5" hidden="1">
      <c r="A969">
        <f t="shared" si="15"/>
        <v>967</v>
      </c>
      <c r="B969" t="s">
        <v>1477</v>
      </c>
      <c r="C969" t="s">
        <v>1492</v>
      </c>
      <c r="D969" s="169" t="s">
        <v>1479</v>
      </c>
      <c r="E969" s="154" t="s">
        <v>3</v>
      </c>
    </row>
    <row r="970" spans="1:5" hidden="1">
      <c r="A970">
        <f t="shared" si="15"/>
        <v>968</v>
      </c>
      <c r="B970" t="s">
        <v>1477</v>
      </c>
      <c r="C970" t="s">
        <v>1493</v>
      </c>
      <c r="D970" s="169" t="s">
        <v>1479</v>
      </c>
      <c r="E970" s="154" t="s">
        <v>3</v>
      </c>
    </row>
    <row r="971" spans="1:5" hidden="1">
      <c r="A971">
        <f t="shared" si="15"/>
        <v>969</v>
      </c>
      <c r="B971" t="s">
        <v>1477</v>
      </c>
      <c r="C971" t="s">
        <v>1494</v>
      </c>
      <c r="D971" s="169" t="s">
        <v>1479</v>
      </c>
      <c r="E971" s="154" t="s">
        <v>3</v>
      </c>
    </row>
    <row r="972" spans="1:5" hidden="1">
      <c r="A972">
        <f t="shared" si="15"/>
        <v>970</v>
      </c>
      <c r="B972" t="s">
        <v>1477</v>
      </c>
      <c r="C972" t="s">
        <v>1525</v>
      </c>
      <c r="D972" s="169" t="s">
        <v>1479</v>
      </c>
      <c r="E972" s="154" t="s">
        <v>3</v>
      </c>
    </row>
    <row r="973" spans="1:5" hidden="1">
      <c r="A973">
        <f t="shared" si="15"/>
        <v>971</v>
      </c>
      <c r="B973" t="s">
        <v>1477</v>
      </c>
      <c r="C973" t="s">
        <v>1495</v>
      </c>
      <c r="D973" s="169" t="s">
        <v>1496</v>
      </c>
      <c r="E973" s="154" t="s">
        <v>3</v>
      </c>
    </row>
    <row r="974" spans="1:5" hidden="1">
      <c r="A974">
        <f t="shared" si="15"/>
        <v>972</v>
      </c>
      <c r="B974" t="s">
        <v>1477</v>
      </c>
      <c r="C974" t="s">
        <v>1497</v>
      </c>
      <c r="D974" s="169" t="s">
        <v>1496</v>
      </c>
      <c r="E974" s="154" t="s">
        <v>3</v>
      </c>
    </row>
    <row r="975" spans="1:5" hidden="1">
      <c r="A975">
        <f t="shared" si="15"/>
        <v>973</v>
      </c>
      <c r="B975" t="s">
        <v>1477</v>
      </c>
      <c r="C975" t="s">
        <v>1498</v>
      </c>
      <c r="D975" s="169" t="s">
        <v>1496</v>
      </c>
      <c r="E975" s="154" t="s">
        <v>3</v>
      </c>
    </row>
    <row r="976" spans="1:5" hidden="1">
      <c r="A976">
        <f t="shared" si="15"/>
        <v>974</v>
      </c>
      <c r="B976" t="s">
        <v>1477</v>
      </c>
      <c r="C976" t="s">
        <v>1499</v>
      </c>
      <c r="D976" s="169" t="s">
        <v>1500</v>
      </c>
      <c r="E976" s="154" t="s">
        <v>3</v>
      </c>
    </row>
    <row r="977" spans="1:5" hidden="1">
      <c r="A977">
        <f>IF(B977="","",A976+1)</f>
        <v>975</v>
      </c>
      <c r="B977" t="s">
        <v>1477</v>
      </c>
      <c r="C977" s="207" t="s">
        <v>1501</v>
      </c>
      <c r="D977" s="169" t="s">
        <v>1500</v>
      </c>
      <c r="E977" s="154" t="s">
        <v>3</v>
      </c>
    </row>
    <row r="978" spans="1:5">
      <c r="A978" t="str">
        <f>IF(B978="","",A977+1)</f>
        <v/>
      </c>
    </row>
    <row r="979" spans="1:5">
      <c r="A979" t="str">
        <f t="shared" ref="A979:A1042" si="16">IF(B979="","",A978+1)</f>
        <v/>
      </c>
    </row>
    <row r="980" spans="1:5">
      <c r="A980" t="str">
        <f t="shared" si="16"/>
        <v/>
      </c>
    </row>
    <row r="981" spans="1:5">
      <c r="A981" t="str">
        <f t="shared" si="16"/>
        <v/>
      </c>
    </row>
    <row r="982" spans="1:5">
      <c r="A982" t="str">
        <f t="shared" si="16"/>
        <v/>
      </c>
    </row>
    <row r="983" spans="1:5">
      <c r="A983" t="str">
        <f t="shared" si="16"/>
        <v/>
      </c>
    </row>
    <row r="984" spans="1:5">
      <c r="A984" t="str">
        <f t="shared" si="16"/>
        <v/>
      </c>
    </row>
    <row r="985" spans="1:5">
      <c r="A985" t="str">
        <f t="shared" si="16"/>
        <v/>
      </c>
    </row>
    <row r="986" spans="1:5">
      <c r="A986" t="str">
        <f t="shared" si="16"/>
        <v/>
      </c>
    </row>
    <row r="987" spans="1:5">
      <c r="A987" t="str">
        <f t="shared" si="16"/>
        <v/>
      </c>
    </row>
    <row r="988" spans="1:5">
      <c r="A988" t="str">
        <f t="shared" si="16"/>
        <v/>
      </c>
    </row>
    <row r="989" spans="1:5">
      <c r="A989" t="str">
        <f t="shared" si="16"/>
        <v/>
      </c>
    </row>
    <row r="990" spans="1:5">
      <c r="A990" t="str">
        <f t="shared" si="16"/>
        <v/>
      </c>
    </row>
    <row r="991" spans="1:5">
      <c r="A991" t="str">
        <f t="shared" si="16"/>
        <v/>
      </c>
    </row>
    <row r="992" spans="1:5">
      <c r="A992" t="str">
        <f t="shared" si="16"/>
        <v/>
      </c>
    </row>
    <row r="993" spans="1:1">
      <c r="A993" t="str">
        <f t="shared" si="16"/>
        <v/>
      </c>
    </row>
    <row r="994" spans="1:1">
      <c r="A994" t="str">
        <f t="shared" si="16"/>
        <v/>
      </c>
    </row>
    <row r="995" spans="1:1">
      <c r="A995" t="str">
        <f t="shared" si="16"/>
        <v/>
      </c>
    </row>
    <row r="996" spans="1:1">
      <c r="A996" t="str">
        <f t="shared" si="16"/>
        <v/>
      </c>
    </row>
    <row r="997" spans="1:1">
      <c r="A997" t="str">
        <f t="shared" si="16"/>
        <v/>
      </c>
    </row>
    <row r="998" spans="1:1">
      <c r="A998" t="str">
        <f t="shared" si="16"/>
        <v/>
      </c>
    </row>
    <row r="999" spans="1:1">
      <c r="A999" t="str">
        <f t="shared" si="16"/>
        <v/>
      </c>
    </row>
    <row r="1000" spans="1:1">
      <c r="A1000" t="str">
        <f t="shared" si="16"/>
        <v/>
      </c>
    </row>
    <row r="1001" spans="1:1">
      <c r="A1001" t="str">
        <f t="shared" si="16"/>
        <v/>
      </c>
    </row>
    <row r="1002" spans="1:1">
      <c r="A1002" t="str">
        <f t="shared" si="16"/>
        <v/>
      </c>
    </row>
    <row r="1003" spans="1:1">
      <c r="A1003" t="str">
        <f t="shared" si="16"/>
        <v/>
      </c>
    </row>
    <row r="1004" spans="1:1">
      <c r="A1004" t="str">
        <f t="shared" si="16"/>
        <v/>
      </c>
    </row>
    <row r="1005" spans="1:1">
      <c r="A1005" t="str">
        <f t="shared" si="16"/>
        <v/>
      </c>
    </row>
    <row r="1006" spans="1:1">
      <c r="A1006" t="str">
        <f t="shared" si="16"/>
        <v/>
      </c>
    </row>
    <row r="1007" spans="1:1">
      <c r="A1007" t="str">
        <f t="shared" si="16"/>
        <v/>
      </c>
    </row>
    <row r="1008" spans="1:1">
      <c r="A1008" t="str">
        <f t="shared" si="16"/>
        <v/>
      </c>
    </row>
    <row r="1009" spans="1:1">
      <c r="A1009" t="str">
        <f t="shared" si="16"/>
        <v/>
      </c>
    </row>
    <row r="1010" spans="1:1">
      <c r="A1010" t="str">
        <f t="shared" si="16"/>
        <v/>
      </c>
    </row>
    <row r="1011" spans="1:1">
      <c r="A1011" t="str">
        <f t="shared" si="16"/>
        <v/>
      </c>
    </row>
    <row r="1012" spans="1:1">
      <c r="A1012" t="str">
        <f t="shared" si="16"/>
        <v/>
      </c>
    </row>
    <row r="1013" spans="1:1">
      <c r="A1013" t="str">
        <f t="shared" si="16"/>
        <v/>
      </c>
    </row>
    <row r="1014" spans="1:1">
      <c r="A1014" t="str">
        <f t="shared" si="16"/>
        <v/>
      </c>
    </row>
    <row r="1015" spans="1:1">
      <c r="A1015" t="str">
        <f t="shared" si="16"/>
        <v/>
      </c>
    </row>
    <row r="1016" spans="1:1">
      <c r="A1016" t="str">
        <f t="shared" si="16"/>
        <v/>
      </c>
    </row>
    <row r="1017" spans="1:1">
      <c r="A1017" t="str">
        <f t="shared" si="16"/>
        <v/>
      </c>
    </row>
    <row r="1018" spans="1:1">
      <c r="A1018" t="str">
        <f t="shared" si="16"/>
        <v/>
      </c>
    </row>
    <row r="1019" spans="1:1">
      <c r="A1019" t="str">
        <f t="shared" si="16"/>
        <v/>
      </c>
    </row>
    <row r="1020" spans="1:1">
      <c r="A1020" t="str">
        <f t="shared" si="16"/>
        <v/>
      </c>
    </row>
    <row r="1021" spans="1:1">
      <c r="A1021" t="str">
        <f t="shared" si="16"/>
        <v/>
      </c>
    </row>
    <row r="1022" spans="1:1">
      <c r="A1022" t="str">
        <f t="shared" si="16"/>
        <v/>
      </c>
    </row>
    <row r="1023" spans="1:1">
      <c r="A1023" t="str">
        <f t="shared" si="16"/>
        <v/>
      </c>
    </row>
    <row r="1024" spans="1:1">
      <c r="A1024" t="str">
        <f t="shared" si="16"/>
        <v/>
      </c>
    </row>
    <row r="1025" spans="1:1">
      <c r="A1025" t="str">
        <f t="shared" si="16"/>
        <v/>
      </c>
    </row>
    <row r="1026" spans="1:1">
      <c r="A1026" t="str">
        <f t="shared" si="16"/>
        <v/>
      </c>
    </row>
    <row r="1027" spans="1:1">
      <c r="A1027" t="str">
        <f t="shared" si="16"/>
        <v/>
      </c>
    </row>
    <row r="1028" spans="1:1">
      <c r="A1028" t="str">
        <f t="shared" si="16"/>
        <v/>
      </c>
    </row>
    <row r="1029" spans="1:1">
      <c r="A1029" t="str">
        <f t="shared" si="16"/>
        <v/>
      </c>
    </row>
    <row r="1030" spans="1:1">
      <c r="A1030" t="str">
        <f t="shared" si="16"/>
        <v/>
      </c>
    </row>
    <row r="1031" spans="1:1">
      <c r="A1031" t="str">
        <f t="shared" si="16"/>
        <v/>
      </c>
    </row>
    <row r="1032" spans="1:1">
      <c r="A1032" t="str">
        <f t="shared" si="16"/>
        <v/>
      </c>
    </row>
    <row r="1033" spans="1:1">
      <c r="A1033" t="str">
        <f t="shared" si="16"/>
        <v/>
      </c>
    </row>
    <row r="1034" spans="1:1">
      <c r="A1034" t="str">
        <f t="shared" si="16"/>
        <v/>
      </c>
    </row>
    <row r="1035" spans="1:1">
      <c r="A1035" t="str">
        <f t="shared" si="16"/>
        <v/>
      </c>
    </row>
    <row r="1036" spans="1:1">
      <c r="A1036" t="str">
        <f t="shared" si="16"/>
        <v/>
      </c>
    </row>
    <row r="1037" spans="1:1">
      <c r="A1037" t="str">
        <f t="shared" si="16"/>
        <v/>
      </c>
    </row>
    <row r="1038" spans="1:1">
      <c r="A1038" t="str">
        <f t="shared" si="16"/>
        <v/>
      </c>
    </row>
    <row r="1039" spans="1:1">
      <c r="A1039" t="str">
        <f t="shared" si="16"/>
        <v/>
      </c>
    </row>
    <row r="1040" spans="1:1">
      <c r="A1040" t="str">
        <f t="shared" si="16"/>
        <v/>
      </c>
    </row>
    <row r="1041" spans="1:1">
      <c r="A1041" t="str">
        <f t="shared" si="16"/>
        <v/>
      </c>
    </row>
    <row r="1042" spans="1:1">
      <c r="A1042" t="str">
        <f t="shared" si="16"/>
        <v/>
      </c>
    </row>
    <row r="1043" spans="1:1">
      <c r="A1043" t="str">
        <f t="shared" ref="A1043:A1075" si="17">IF(B1043="","",A1042+1)</f>
        <v/>
      </c>
    </row>
    <row r="1044" spans="1:1">
      <c r="A1044" t="str">
        <f t="shared" si="17"/>
        <v/>
      </c>
    </row>
    <row r="1045" spans="1:1">
      <c r="A1045" t="str">
        <f t="shared" si="17"/>
        <v/>
      </c>
    </row>
    <row r="1046" spans="1:1">
      <c r="A1046" t="str">
        <f t="shared" si="17"/>
        <v/>
      </c>
    </row>
    <row r="1047" spans="1:1">
      <c r="A1047" t="str">
        <f t="shared" si="17"/>
        <v/>
      </c>
    </row>
    <row r="1048" spans="1:1">
      <c r="A1048" t="str">
        <f t="shared" si="17"/>
        <v/>
      </c>
    </row>
    <row r="1049" spans="1:1">
      <c r="A1049" t="str">
        <f t="shared" si="17"/>
        <v/>
      </c>
    </row>
    <row r="1050" spans="1:1">
      <c r="A1050" t="str">
        <f t="shared" si="17"/>
        <v/>
      </c>
    </row>
    <row r="1051" spans="1:1">
      <c r="A1051" t="str">
        <f t="shared" si="17"/>
        <v/>
      </c>
    </row>
    <row r="1052" spans="1:1">
      <c r="A1052" t="str">
        <f t="shared" si="17"/>
        <v/>
      </c>
    </row>
    <row r="1053" spans="1:1">
      <c r="A1053" t="str">
        <f t="shared" si="17"/>
        <v/>
      </c>
    </row>
    <row r="1054" spans="1:1">
      <c r="A1054" t="str">
        <f t="shared" si="17"/>
        <v/>
      </c>
    </row>
    <row r="1055" spans="1:1">
      <c r="A1055" t="str">
        <f t="shared" si="17"/>
        <v/>
      </c>
    </row>
    <row r="1056" spans="1:1">
      <c r="A1056" t="str">
        <f t="shared" si="17"/>
        <v/>
      </c>
    </row>
    <row r="1057" spans="1:1">
      <c r="A1057" t="str">
        <f t="shared" si="17"/>
        <v/>
      </c>
    </row>
    <row r="1058" spans="1:1">
      <c r="A1058" t="str">
        <f t="shared" si="17"/>
        <v/>
      </c>
    </row>
    <row r="1059" spans="1:1">
      <c r="A1059" t="str">
        <f t="shared" si="17"/>
        <v/>
      </c>
    </row>
    <row r="1060" spans="1:1">
      <c r="A1060" t="str">
        <f t="shared" si="17"/>
        <v/>
      </c>
    </row>
    <row r="1061" spans="1:1">
      <c r="A1061" t="str">
        <f t="shared" si="17"/>
        <v/>
      </c>
    </row>
    <row r="1062" spans="1:1">
      <c r="A1062" t="str">
        <f t="shared" si="17"/>
        <v/>
      </c>
    </row>
    <row r="1063" spans="1:1">
      <c r="A1063" t="str">
        <f t="shared" si="17"/>
        <v/>
      </c>
    </row>
    <row r="1064" spans="1:1">
      <c r="A1064" t="str">
        <f t="shared" si="17"/>
        <v/>
      </c>
    </row>
    <row r="1065" spans="1:1">
      <c r="A1065" t="str">
        <f t="shared" si="17"/>
        <v/>
      </c>
    </row>
    <row r="1066" spans="1:1">
      <c r="A1066" t="str">
        <f t="shared" si="17"/>
        <v/>
      </c>
    </row>
    <row r="1067" spans="1:1">
      <c r="A1067" t="str">
        <f t="shared" si="17"/>
        <v/>
      </c>
    </row>
    <row r="1068" spans="1:1">
      <c r="A1068" t="str">
        <f t="shared" si="17"/>
        <v/>
      </c>
    </row>
    <row r="1069" spans="1:1">
      <c r="A1069" t="str">
        <f t="shared" si="17"/>
        <v/>
      </c>
    </row>
    <row r="1070" spans="1:1">
      <c r="A1070" t="str">
        <f t="shared" si="17"/>
        <v/>
      </c>
    </row>
    <row r="1071" spans="1:1">
      <c r="A1071" t="str">
        <f t="shared" si="17"/>
        <v/>
      </c>
    </row>
    <row r="1072" spans="1:1">
      <c r="A1072" t="str">
        <f t="shared" si="17"/>
        <v/>
      </c>
    </row>
    <row r="1073" spans="1:1">
      <c r="A1073" t="str">
        <f t="shared" si="17"/>
        <v/>
      </c>
    </row>
    <row r="1074" spans="1:1">
      <c r="A1074" t="str">
        <f t="shared" si="17"/>
        <v/>
      </c>
    </row>
    <row r="1075" spans="1:1">
      <c r="A1075" t="str">
        <f t="shared" si="17"/>
        <v/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0ECC-D298-4DC4-8748-C64FE4C6CD14}">
  <sheetPr codeName="QRDraft">
    <tabColor theme="4" tint="0.59999389629810485"/>
  </sheetPr>
  <dimension ref="A1:K61"/>
  <sheetViews>
    <sheetView showGridLines="0" showRowColHeaders="0" workbookViewId="0">
      <pane ySplit="6" topLeftCell="A7" activePane="bottomLeft" state="frozen"/>
      <selection activeCell="B1" sqref="B1:J1"/>
      <selection pane="bottomLeft"/>
    </sheetView>
  </sheetViews>
  <sheetFormatPr defaultRowHeight="14.4"/>
  <cols>
    <col min="1" max="1" width="30.88671875" style="110" bestFit="1" customWidth="1"/>
    <col min="2" max="2" width="16.6640625" style="108" customWidth="1"/>
    <col min="3" max="3" width="16.6640625" customWidth="1"/>
    <col min="4" max="4" width="11.6640625" style="106" customWidth="1"/>
    <col min="5" max="6" width="16.6640625" customWidth="1"/>
    <col min="7" max="7" width="11.6640625" style="106" customWidth="1"/>
    <col min="8" max="8" width="16.6640625" customWidth="1"/>
    <col min="9" max="9" width="11.6640625" style="106" customWidth="1"/>
    <col min="10" max="10" width="2.6640625" style="106" customWidth="1"/>
  </cols>
  <sheetData>
    <row r="1" spans="1:11" ht="15.6">
      <c r="A1" s="1" t="str" cm="1">
        <f t="array" ref="A1">IdentifyQuarter('Create Report'!E4,'Create Report'!E5)</f>
        <v>30-Jun-20</v>
      </c>
      <c r="B1" s="264" t="str" cm="1">
        <f t="array" ref="B1">CCName('Create Report'!E3)</f>
        <v>CU Student Government - Proper</v>
      </c>
      <c r="C1" s="264"/>
      <c r="D1" s="264"/>
      <c r="E1" s="264"/>
      <c r="F1" s="264"/>
      <c r="G1" s="264"/>
      <c r="H1" s="264"/>
      <c r="I1" s="264"/>
      <c r="J1" s="264"/>
    </row>
    <row r="2" spans="1:11" ht="15.6">
      <c r="A2"/>
      <c r="B2" s="265" t="s">
        <v>104</v>
      </c>
      <c r="C2" s="265"/>
      <c r="D2" s="265"/>
      <c r="E2" s="265"/>
      <c r="F2" s="265"/>
      <c r="G2" s="265"/>
      <c r="H2" s="265"/>
      <c r="I2" s="265"/>
      <c r="J2" s="265"/>
    </row>
    <row r="3" spans="1:11">
      <c r="A3"/>
      <c r="B3" s="2" t="s">
        <v>105</v>
      </c>
      <c r="C3" s="2" t="s">
        <v>106</v>
      </c>
      <c r="D3" s="3" t="s">
        <v>107</v>
      </c>
      <c r="E3" s="2" t="s">
        <v>108</v>
      </c>
      <c r="F3" s="2" t="s">
        <v>109</v>
      </c>
      <c r="G3" s="3" t="s">
        <v>110</v>
      </c>
      <c r="H3" s="2" t="s">
        <v>111</v>
      </c>
      <c r="I3" s="3" t="s">
        <v>112</v>
      </c>
      <c r="J3" s="266" t="s">
        <v>113</v>
      </c>
      <c r="K3" s="4"/>
    </row>
    <row r="4" spans="1:11">
      <c r="A4" s="5"/>
      <c r="B4" s="6"/>
      <c r="C4" s="6" t="s">
        <v>114</v>
      </c>
      <c r="D4" s="7"/>
      <c r="E4" s="6"/>
      <c r="F4" s="6" t="s">
        <v>115</v>
      </c>
      <c r="G4" s="7" t="s">
        <v>115</v>
      </c>
      <c r="H4" s="6" t="s">
        <v>116</v>
      </c>
      <c r="I4" s="7" t="s">
        <v>117</v>
      </c>
      <c r="J4" s="267"/>
      <c r="K4" s="4"/>
    </row>
    <row r="5" spans="1:11">
      <c r="A5" s="8"/>
      <c r="B5" s="6" t="s">
        <v>118</v>
      </c>
      <c r="C5" s="6" t="s">
        <v>119</v>
      </c>
      <c r="D5" s="7" t="s">
        <v>120</v>
      </c>
      <c r="E5" s="6" t="s">
        <v>121</v>
      </c>
      <c r="F5" s="6" t="s">
        <v>122</v>
      </c>
      <c r="G5" s="7" t="s">
        <v>123</v>
      </c>
      <c r="H5" s="6" t="s">
        <v>121</v>
      </c>
      <c r="I5" s="7" t="s">
        <v>123</v>
      </c>
      <c r="J5" s="267"/>
      <c r="K5" s="4"/>
    </row>
    <row r="6" spans="1:11">
      <c r="A6" s="9"/>
      <c r="B6" s="10"/>
      <c r="C6" s="10" t="s">
        <v>124</v>
      </c>
      <c r="D6" s="11" t="s">
        <v>125</v>
      </c>
      <c r="E6" s="12"/>
      <c r="F6" s="12" t="s">
        <v>126</v>
      </c>
      <c r="G6" s="11" t="s">
        <v>127</v>
      </c>
      <c r="H6" s="12"/>
      <c r="I6" s="11" t="s">
        <v>128</v>
      </c>
      <c r="J6" s="268"/>
      <c r="K6" s="4"/>
    </row>
    <row r="7" spans="1:11">
      <c r="A7" s="13" t="s">
        <v>129</v>
      </c>
      <c r="B7" s="14"/>
      <c r="C7" s="15"/>
      <c r="D7" s="3"/>
      <c r="E7" s="16"/>
      <c r="F7" s="16"/>
      <c r="G7" s="3"/>
      <c r="H7" s="16"/>
      <c r="I7" s="3"/>
      <c r="J7" s="17"/>
      <c r="K7" s="4"/>
    </row>
    <row r="8" spans="1:11">
      <c r="A8" s="18" t="s">
        <v>130</v>
      </c>
      <c r="B8" s="19">
        <v>0</v>
      </c>
      <c r="C8" s="19">
        <v>0</v>
      </c>
      <c r="D8" s="20" t="str" cm="1">
        <f t="array" ref="D8">SeasonalBudPct(B8,C8)</f>
        <v/>
      </c>
      <c r="E8" s="19">
        <v>0</v>
      </c>
      <c r="F8" s="19" t="str" cm="1">
        <f t="array" ref="F8">BudgetDolVariance(C8,E8)</f>
        <v/>
      </c>
      <c r="G8" s="20" t="str" cm="1">
        <f t="array" ref="G8">BudgetPctVariance(C8,E8)</f>
        <v/>
      </c>
      <c r="H8" s="19">
        <v>0</v>
      </c>
      <c r="I8" s="21" t="str" cm="1">
        <f t="array" ref="I8">BudgetPctVariance(H8,E8)</f>
        <v/>
      </c>
      <c r="J8" s="22"/>
      <c r="K8" s="4"/>
    </row>
    <row r="9" spans="1:11">
      <c r="A9" s="23" t="s">
        <v>131</v>
      </c>
      <c r="B9" s="24">
        <v>0</v>
      </c>
      <c r="C9" s="25">
        <v>0</v>
      </c>
      <c r="D9" s="26" t="str" cm="1">
        <f t="array" ref="D9">SeasonalBudPct(B9,C9)</f>
        <v/>
      </c>
      <c r="E9" s="24">
        <v>0</v>
      </c>
      <c r="F9" s="24" t="str" cm="1">
        <f t="array" ref="F9">BudgetDolVariance(C9,E9)</f>
        <v/>
      </c>
      <c r="G9" s="26" t="str" cm="1">
        <f t="array" ref="G9">BudgetPctVariance(C9,E9)</f>
        <v/>
      </c>
      <c r="H9" s="24">
        <v>0</v>
      </c>
      <c r="I9" s="27" t="str" cm="1">
        <f t="array" ref="I9">BudgetPctVariance(H9,E9)</f>
        <v/>
      </c>
      <c r="J9" s="28"/>
      <c r="K9" s="4"/>
    </row>
    <row r="10" spans="1:11">
      <c r="A10" s="23" t="s">
        <v>132</v>
      </c>
      <c r="B10" s="24">
        <v>0</v>
      </c>
      <c r="C10" s="25">
        <v>0</v>
      </c>
      <c r="D10" s="26" t="str" cm="1">
        <f t="array" ref="D10">SeasonalBudPct(B10,C10)</f>
        <v/>
      </c>
      <c r="E10" s="24">
        <v>0</v>
      </c>
      <c r="F10" s="24" t="str" cm="1">
        <f t="array" ref="F10">BudgetDolVariance(C10,E10)</f>
        <v/>
      </c>
      <c r="G10" s="26" t="str" cm="1">
        <f t="array" ref="G10">BudgetPctVariance(C10,E10)</f>
        <v/>
      </c>
      <c r="H10" s="24">
        <v>0</v>
      </c>
      <c r="I10" s="27" t="str" cm="1">
        <f t="array" ref="I10">BudgetPctVariance(H10,E10)</f>
        <v/>
      </c>
      <c r="J10" s="28"/>
      <c r="K10" s="4"/>
    </row>
    <row r="11" spans="1:11" ht="15.6">
      <c r="A11" s="29" t="s">
        <v>133</v>
      </c>
      <c r="B11" s="30">
        <v>0</v>
      </c>
      <c r="C11" s="31">
        <v>0</v>
      </c>
      <c r="D11" s="32" t="str" cm="1">
        <f t="array" ref="D11">SeasonalBudPct(B11,C11)</f>
        <v/>
      </c>
      <c r="E11" s="30">
        <v>0</v>
      </c>
      <c r="F11" s="30" t="str" cm="1">
        <f t="array" ref="F11">BudgetDolVariance(C11,E11)</f>
        <v/>
      </c>
      <c r="G11" s="32" t="str" cm="1">
        <f t="array" ref="G11">BudgetPctVariance(C11,E11)</f>
        <v/>
      </c>
      <c r="H11" s="30">
        <v>0</v>
      </c>
      <c r="I11" s="33" t="str" cm="1">
        <f t="array" ref="I11">BudgetPctVariance(H11,E11)</f>
        <v/>
      </c>
      <c r="J11" s="34"/>
      <c r="K11" s="35"/>
    </row>
    <row r="12" spans="1:11" ht="16.2" thickBot="1">
      <c r="A12" s="36" t="s">
        <v>134</v>
      </c>
      <c r="B12" s="37">
        <f>SUM(B8:B11)</f>
        <v>0</v>
      </c>
      <c r="C12" s="37">
        <f>SUM(C8:C11)</f>
        <v>0</v>
      </c>
      <c r="D12" s="38" t="str" cm="1">
        <f t="array" ref="D12">SeasonalBudPct(B12,C12)</f>
        <v/>
      </c>
      <c r="E12" s="37">
        <f>SUM(E8:E11)</f>
        <v>0</v>
      </c>
      <c r="F12" s="37" t="str" cm="1">
        <f t="array" ref="F12">BudgetDolVariance(C12,E12)</f>
        <v/>
      </c>
      <c r="G12" s="38" t="str" cm="1">
        <f t="array" ref="G12">BudgetPctVariance(C12,E12)</f>
        <v/>
      </c>
      <c r="H12" s="37">
        <f>SUM(H8:H11)</f>
        <v>0</v>
      </c>
      <c r="I12" s="39" t="str" cm="1">
        <f t="array" ref="I12">BudgetPctVariance(H12,E12)</f>
        <v/>
      </c>
      <c r="J12" s="40"/>
    </row>
    <row r="13" spans="1:11" ht="15" thickTop="1">
      <c r="A13" s="41"/>
      <c r="B13" s="42"/>
      <c r="C13" s="43"/>
      <c r="D13" s="44"/>
      <c r="E13" s="42"/>
      <c r="F13" s="43"/>
      <c r="G13" s="44"/>
      <c r="H13" s="43"/>
      <c r="I13" s="45"/>
      <c r="J13" s="46"/>
      <c r="K13" s="47"/>
    </row>
    <row r="14" spans="1:11">
      <c r="A14" s="13" t="s">
        <v>135</v>
      </c>
      <c r="B14" s="48"/>
      <c r="C14" s="49"/>
      <c r="D14" s="50"/>
      <c r="E14" s="48"/>
      <c r="F14" s="49"/>
      <c r="G14" s="50"/>
      <c r="H14" s="49"/>
      <c r="I14" s="51"/>
      <c r="J14" s="52"/>
      <c r="K14" s="47"/>
    </row>
    <row r="15" spans="1:11">
      <c r="A15" s="18" t="s">
        <v>136</v>
      </c>
      <c r="B15" s="19">
        <v>0</v>
      </c>
      <c r="C15" s="19">
        <v>0</v>
      </c>
      <c r="D15" s="20" t="str" cm="1">
        <f t="array" ref="D15">SeasonalBudPct(B15,C15)</f>
        <v/>
      </c>
      <c r="E15" s="19">
        <v>0</v>
      </c>
      <c r="F15" s="19" t="str" cm="1">
        <f t="array" ref="F15">BudgetDolVariance(C15,E15)</f>
        <v/>
      </c>
      <c r="G15" s="20" t="str" cm="1">
        <f t="array" ref="G15">BudgetPctVariance(C15,E15)</f>
        <v/>
      </c>
      <c r="H15" s="19">
        <v>0</v>
      </c>
      <c r="I15" s="21" t="str" cm="1">
        <f t="array" ref="I15">BudgetPctVariance(H15,E15)</f>
        <v/>
      </c>
      <c r="J15" s="53"/>
      <c r="K15" s="54"/>
    </row>
    <row r="16" spans="1:11">
      <c r="A16" s="23" t="s">
        <v>137</v>
      </c>
      <c r="B16" s="24">
        <v>0</v>
      </c>
      <c r="C16" s="24">
        <v>0</v>
      </c>
      <c r="D16" s="26" t="str" cm="1">
        <f t="array" ref="D16">SeasonalBudPct(B16,C16)</f>
        <v/>
      </c>
      <c r="E16" s="24">
        <v>0</v>
      </c>
      <c r="F16" s="24" t="str" cm="1">
        <f t="array" ref="F16">BudgetDolVariance(C16,E16)</f>
        <v/>
      </c>
      <c r="G16" s="26" t="str" cm="1">
        <f t="array" ref="G16">BudgetPctVariance(C16,E16)</f>
        <v/>
      </c>
      <c r="H16" s="24">
        <v>0</v>
      </c>
      <c r="I16" s="27" t="str" cm="1">
        <f t="array" ref="I16">BudgetPctVariance(H16,E16)</f>
        <v/>
      </c>
      <c r="J16" s="28"/>
      <c r="K16" s="54"/>
    </row>
    <row r="17" spans="1:11">
      <c r="A17" s="55" t="s">
        <v>138</v>
      </c>
      <c r="B17" s="56">
        <v>0</v>
      </c>
      <c r="C17" s="57">
        <v>0</v>
      </c>
      <c r="D17" s="58" t="str" cm="1">
        <f t="array" ref="D17">SeasonalBudPct(B17,C17)</f>
        <v/>
      </c>
      <c r="E17" s="56">
        <v>0</v>
      </c>
      <c r="F17" s="57" t="str" cm="1">
        <f t="array" ref="F17">BudgetDolVariance(C17,E17)</f>
        <v/>
      </c>
      <c r="G17" s="58" t="str" cm="1">
        <f t="array" ref="G17">BudgetPctVariance(C17,E17)</f>
        <v/>
      </c>
      <c r="H17" s="57">
        <v>0</v>
      </c>
      <c r="I17" s="59" t="str" cm="1">
        <f t="array" ref="I17">BudgetPctVariance(H17,E17)</f>
        <v/>
      </c>
      <c r="J17" s="60"/>
      <c r="K17" s="54"/>
    </row>
    <row r="18" spans="1:11">
      <c r="A18" s="23" t="s">
        <v>139</v>
      </c>
      <c r="B18" s="24">
        <v>0</v>
      </c>
      <c r="C18" s="24">
        <v>0</v>
      </c>
      <c r="D18" s="61" t="str" cm="1">
        <f t="array" ref="D18">SeasonalBudPct(B18,C18)</f>
        <v/>
      </c>
      <c r="E18" s="24">
        <v>0</v>
      </c>
      <c r="F18" s="24" t="str" cm="1">
        <f t="array" ref="F18">BudgetDolVariance(C18,E18)</f>
        <v/>
      </c>
      <c r="G18" s="26" t="str" cm="1">
        <f t="array" ref="G18">BudgetPctVariance(C18,E18)</f>
        <v/>
      </c>
      <c r="H18" s="24">
        <v>0</v>
      </c>
      <c r="I18" s="27" t="str" cm="1">
        <f t="array" ref="I18">BudgetPctVariance(H18,E18)</f>
        <v/>
      </c>
      <c r="J18" s="28"/>
      <c r="K18" s="54"/>
    </row>
    <row r="19" spans="1:11">
      <c r="A19" s="23" t="s">
        <v>140</v>
      </c>
      <c r="B19" s="24">
        <v>0</v>
      </c>
      <c r="C19" s="24">
        <v>0</v>
      </c>
      <c r="D19" s="26" t="str" cm="1">
        <f t="array" ref="D19">SeasonalBudPct(B19,C19)</f>
        <v/>
      </c>
      <c r="E19" s="24">
        <v>0</v>
      </c>
      <c r="F19" s="24" t="str" cm="1">
        <f t="array" ref="F19">BudgetDolVariance(C19,E19)</f>
        <v/>
      </c>
      <c r="G19" s="26" t="str" cm="1">
        <f t="array" ref="G19">BudgetPctVariance(C19,E19)</f>
        <v/>
      </c>
      <c r="H19" s="24">
        <v>0</v>
      </c>
      <c r="I19" s="27" t="str" cm="1">
        <f t="array" ref="I19">BudgetPctVariance(H19,E19)</f>
        <v/>
      </c>
      <c r="J19" s="28"/>
      <c r="K19" s="54"/>
    </row>
    <row r="20" spans="1:11">
      <c r="A20" s="29" t="s">
        <v>141</v>
      </c>
      <c r="B20" s="30">
        <v>0</v>
      </c>
      <c r="C20" s="30">
        <v>0</v>
      </c>
      <c r="D20" s="32" t="str" cm="1">
        <f t="array" ref="D20">SeasonalBudPct(B20,C20)</f>
        <v/>
      </c>
      <c r="E20" s="30">
        <v>0</v>
      </c>
      <c r="F20" s="30" t="str" cm="1">
        <f t="array" ref="F20">BudgetDolVariance(C20,E20)</f>
        <v/>
      </c>
      <c r="G20" s="32" t="str" cm="1">
        <f t="array" ref="G20">BudgetPctVariance(C20,E20)</f>
        <v/>
      </c>
      <c r="H20" s="30">
        <v>0</v>
      </c>
      <c r="I20" s="33" t="str" cm="1">
        <f t="array" ref="I20">BudgetPctVariance(H20,E20)</f>
        <v/>
      </c>
      <c r="J20" s="34"/>
      <c r="K20" s="54"/>
    </row>
    <row r="21" spans="1:11">
      <c r="A21" s="62" t="s">
        <v>142</v>
      </c>
      <c r="B21" s="63">
        <f>SUM(B15:B20)</f>
        <v>0</v>
      </c>
      <c r="C21" s="64">
        <f>SUM(C15:C20)</f>
        <v>0</v>
      </c>
      <c r="D21" s="65" t="str" cm="1">
        <f t="array" ref="D21">SeasonalBudPct(B21,C21)</f>
        <v/>
      </c>
      <c r="E21" s="63">
        <f>SUM(E15:E20)</f>
        <v>0</v>
      </c>
      <c r="F21" s="63" t="str" cm="1">
        <f t="array" ref="F21">BudgetDolVariance(C21,E21)</f>
        <v/>
      </c>
      <c r="G21" s="65" t="str" cm="1">
        <f t="array" ref="G21">BudgetPctVariance(C21,E21)</f>
        <v/>
      </c>
      <c r="H21" s="63">
        <f>SUM(H15:H20)</f>
        <v>0</v>
      </c>
      <c r="I21" s="66" t="str" cm="1">
        <f t="array" ref="I21">BudgetPctVariance(H21,E21)</f>
        <v/>
      </c>
      <c r="J21" s="67"/>
      <c r="K21" s="47"/>
    </row>
    <row r="22" spans="1:11">
      <c r="A22" s="68" t="s">
        <v>143</v>
      </c>
      <c r="B22" s="69"/>
      <c r="C22" s="69"/>
      <c r="D22" s="70"/>
      <c r="E22" s="69"/>
      <c r="F22" s="69"/>
      <c r="G22" s="70"/>
      <c r="H22" s="69"/>
      <c r="I22" s="71"/>
      <c r="J22" s="72"/>
      <c r="K22" s="47"/>
    </row>
    <row r="23" spans="1:11">
      <c r="A23" s="73" t="s">
        <v>144</v>
      </c>
      <c r="B23" s="74">
        <v>0</v>
      </c>
      <c r="C23" s="74">
        <v>0</v>
      </c>
      <c r="D23" s="75" t="str" cm="1">
        <f t="array" ref="D23">SeasonalBudPct($B$23,C23)</f>
        <v/>
      </c>
      <c r="E23" s="74">
        <v>0</v>
      </c>
      <c r="F23" s="74" t="str" cm="1">
        <f t="array" ref="F23">BudgetDolVariance(C23,E23)</f>
        <v/>
      </c>
      <c r="G23" s="75" t="str" cm="1">
        <f t="array" ref="G23">BudgetPctVariance(C23,E23)</f>
        <v/>
      </c>
      <c r="H23" s="74">
        <v>0</v>
      </c>
      <c r="I23" s="76" t="str" cm="1">
        <f t="array" ref="I23">BudgetPctVariance(H23,E23)</f>
        <v/>
      </c>
      <c r="J23" s="77"/>
      <c r="K23" s="54"/>
    </row>
    <row r="24" spans="1:11">
      <c r="A24" s="23" t="s">
        <v>145</v>
      </c>
      <c r="B24" s="24">
        <v>0</v>
      </c>
      <c r="C24" s="24">
        <v>0</v>
      </c>
      <c r="D24" s="26" t="str" cm="1">
        <f t="array" ref="D24">SeasonalBudPct($B$24,C24)</f>
        <v/>
      </c>
      <c r="E24" s="24">
        <v>0</v>
      </c>
      <c r="F24" s="24" t="str" cm="1">
        <f t="array" ref="F24">BudgetDolVariance(C24,E24)</f>
        <v/>
      </c>
      <c r="G24" s="26" t="str" cm="1">
        <f t="array" ref="G24">BudgetPctVariance(C24,E24)</f>
        <v/>
      </c>
      <c r="H24" s="24">
        <v>0</v>
      </c>
      <c r="I24" s="27" t="str" cm="1">
        <f t="array" ref="I24">BudgetPctVariance(H24,E24)</f>
        <v/>
      </c>
      <c r="J24" s="28"/>
      <c r="K24" s="54"/>
    </row>
    <row r="25" spans="1:11">
      <c r="A25" s="23" t="s">
        <v>146</v>
      </c>
      <c r="B25" s="24">
        <v>0</v>
      </c>
      <c r="C25" s="24">
        <v>0</v>
      </c>
      <c r="D25" s="26" t="str" cm="1">
        <f t="array" ref="D25">SeasonalBudPct($B$23,C25)</f>
        <v/>
      </c>
      <c r="E25" s="24">
        <v>0</v>
      </c>
      <c r="F25" s="24" t="str" cm="1">
        <f t="array" ref="F25">BudgetDolVariance(C25,E25)</f>
        <v/>
      </c>
      <c r="G25" s="26" t="str" cm="1">
        <f t="array" ref="G25">BudgetPctVariance(C25,E25)</f>
        <v/>
      </c>
      <c r="H25" s="24">
        <v>0</v>
      </c>
      <c r="I25" s="27" t="str" cm="1">
        <f t="array" ref="I25">BudgetPctVariance(H25,E25)</f>
        <v/>
      </c>
      <c r="J25" s="28"/>
      <c r="K25" s="54"/>
    </row>
    <row r="26" spans="1:11">
      <c r="A26" s="23" t="s">
        <v>147</v>
      </c>
      <c r="B26" s="24">
        <v>0</v>
      </c>
      <c r="C26" s="24">
        <v>0</v>
      </c>
      <c r="D26" s="26" t="str" cm="1">
        <f t="array" ref="D26">SeasonalBudPct($B$23,C26)</f>
        <v/>
      </c>
      <c r="E26" s="24">
        <v>0</v>
      </c>
      <c r="F26" s="24" t="str" cm="1">
        <f t="array" ref="F26">BudgetDolVariance(C26,E26)</f>
        <v/>
      </c>
      <c r="G26" s="26" t="str" cm="1">
        <f t="array" ref="G26">BudgetPctVariance(C26,E26)</f>
        <v/>
      </c>
      <c r="H26" s="24">
        <v>0</v>
      </c>
      <c r="I26" s="27" t="str" cm="1">
        <f t="array" ref="I26">BudgetPctVariance(H26,E26)</f>
        <v/>
      </c>
      <c r="J26" s="28"/>
      <c r="K26" s="54"/>
    </row>
    <row r="27" spans="1:11">
      <c r="A27" s="23" t="s">
        <v>148</v>
      </c>
      <c r="B27" s="24">
        <v>0</v>
      </c>
      <c r="C27" s="24">
        <v>0</v>
      </c>
      <c r="D27" s="26" t="str" cm="1">
        <f t="array" ref="D27">SeasonalBudPct($B$23,C27)</f>
        <v/>
      </c>
      <c r="E27" s="24">
        <v>0</v>
      </c>
      <c r="F27" s="24" t="str" cm="1">
        <f t="array" ref="F27">BudgetDolVariance(C27,E27)</f>
        <v/>
      </c>
      <c r="G27" s="26" t="str" cm="1">
        <f t="array" ref="G27">BudgetPctVariance(C27,E27)</f>
        <v/>
      </c>
      <c r="H27" s="24">
        <v>0</v>
      </c>
      <c r="I27" s="27" t="str" cm="1">
        <f t="array" ref="I27">BudgetPctVariance(H27,E27)</f>
        <v/>
      </c>
      <c r="J27" s="28"/>
      <c r="K27" s="54"/>
    </row>
    <row r="28" spans="1:11">
      <c r="A28" s="23" t="s">
        <v>149</v>
      </c>
      <c r="B28" s="24">
        <v>0</v>
      </c>
      <c r="C28" s="24">
        <v>0</v>
      </c>
      <c r="D28" s="26" t="str" cm="1">
        <f t="array" ref="D28">SeasonalBudPct($B$23,C28)</f>
        <v/>
      </c>
      <c r="E28" s="24">
        <v>0</v>
      </c>
      <c r="F28" s="24" t="str" cm="1">
        <f t="array" ref="F28">BudgetDolVariance(C28,E28)</f>
        <v/>
      </c>
      <c r="G28" s="26" t="str" cm="1">
        <f t="array" ref="G28">BudgetPctVariance(C28,E28)</f>
        <v/>
      </c>
      <c r="H28" s="24">
        <v>0</v>
      </c>
      <c r="I28" s="27" t="str" cm="1">
        <f t="array" ref="I28">BudgetPctVariance(H28,E28)</f>
        <v/>
      </c>
      <c r="J28" s="28"/>
      <c r="K28" s="54"/>
    </row>
    <row r="29" spans="1:11">
      <c r="A29" s="29" t="s">
        <v>150</v>
      </c>
      <c r="B29" s="30">
        <v>0</v>
      </c>
      <c r="C29" s="30">
        <v>0</v>
      </c>
      <c r="D29" s="32" t="str" cm="1">
        <f t="array" ref="D29">SeasonalBudPct($B$23,C29)</f>
        <v/>
      </c>
      <c r="E29" s="30">
        <v>0</v>
      </c>
      <c r="F29" s="30" t="str" cm="1">
        <f t="array" ref="F29">BudgetDolVariance(C29,E29)</f>
        <v/>
      </c>
      <c r="G29" s="32" t="str" cm="1">
        <f t="array" ref="G29">BudgetPctVariance(C29,E29)</f>
        <v/>
      </c>
      <c r="H29" s="30">
        <v>0</v>
      </c>
      <c r="I29" s="33" t="str" cm="1">
        <f t="array" ref="I29">BudgetPctVariance(H29,E29)</f>
        <v/>
      </c>
      <c r="J29" s="34"/>
      <c r="K29" s="54"/>
    </row>
    <row r="30" spans="1:11">
      <c r="A30" s="62" t="s">
        <v>151</v>
      </c>
      <c r="B30" s="63">
        <f>SUM(B23:B29)</f>
        <v>0</v>
      </c>
      <c r="C30" s="64">
        <f>SUM(C23:C29)</f>
        <v>0</v>
      </c>
      <c r="D30" s="65" t="str" cm="1">
        <f t="array" ref="D30">SeasonalBudPct(B30,C30)</f>
        <v/>
      </c>
      <c r="E30" s="78">
        <f>SUM(E23:E29)</f>
        <v>0</v>
      </c>
      <c r="F30" s="63" t="str" cm="1">
        <f t="array" ref="F30">BudgetDolVariance(C30,E30)</f>
        <v/>
      </c>
      <c r="G30" s="65" t="str" cm="1">
        <f t="array" ref="G30">BudgetPctVariance(C30,E30)</f>
        <v/>
      </c>
      <c r="H30" s="63">
        <f>SUM(H23:H29)</f>
        <v>0</v>
      </c>
      <c r="I30" s="66" t="str" cm="1">
        <f t="array" ref="I30">BudgetPctVariance(H30,E30)</f>
        <v/>
      </c>
      <c r="J30" s="79"/>
      <c r="K30" s="47"/>
    </row>
    <row r="31" spans="1:11">
      <c r="A31" s="68" t="s">
        <v>152</v>
      </c>
      <c r="B31" s="49"/>
      <c r="C31" s="80"/>
      <c r="D31" s="65"/>
      <c r="E31" s="80"/>
      <c r="F31" s="49"/>
      <c r="G31" s="65"/>
      <c r="H31" s="49"/>
      <c r="I31" s="3"/>
      <c r="J31" s="81"/>
      <c r="K31" s="47"/>
    </row>
    <row r="32" spans="1:11">
      <c r="A32" s="18" t="s">
        <v>153</v>
      </c>
      <c r="B32" s="19">
        <v>0</v>
      </c>
      <c r="C32" s="19">
        <v>0</v>
      </c>
      <c r="D32" s="20" t="str" cm="1">
        <f t="array" ref="D32">SeasonalBudPct($B$32,C32)</f>
        <v/>
      </c>
      <c r="E32" s="19">
        <v>0</v>
      </c>
      <c r="F32" s="19" t="str" cm="1">
        <f t="array" ref="F32">BudgetDolVariance(C32,E32)</f>
        <v/>
      </c>
      <c r="G32" s="20" t="str" cm="1">
        <f t="array" ref="G32">BudgetPctVariance(C32,E32)</f>
        <v/>
      </c>
      <c r="H32" s="19">
        <v>0</v>
      </c>
      <c r="I32" s="21" t="str" cm="1">
        <f t="array" ref="I32">BudgetPctVariance(H32,E32)</f>
        <v/>
      </c>
      <c r="J32" s="53"/>
      <c r="K32" s="54"/>
    </row>
    <row r="33" spans="1:11">
      <c r="A33" s="29" t="s">
        <v>154</v>
      </c>
      <c r="B33" s="30">
        <v>0</v>
      </c>
      <c r="C33" s="30">
        <v>0</v>
      </c>
      <c r="D33" s="32" t="str" cm="1">
        <f t="array" ref="D33">SeasonalBudPct($B$32,C33)</f>
        <v/>
      </c>
      <c r="E33" s="30">
        <v>0</v>
      </c>
      <c r="F33" s="30" t="str" cm="1">
        <f t="array" ref="F33">BudgetDolVariance(C33,E33)</f>
        <v/>
      </c>
      <c r="G33" s="32" t="str" cm="1">
        <f t="array" ref="G33">BudgetPctVariance(C33,E33)</f>
        <v/>
      </c>
      <c r="H33" s="30">
        <v>0</v>
      </c>
      <c r="I33" s="33" t="str" cm="1">
        <f t="array" ref="I33">BudgetPctVariance(H33,E33)</f>
        <v/>
      </c>
      <c r="J33" s="34"/>
      <c r="K33" s="54"/>
    </row>
    <row r="34" spans="1:11">
      <c r="A34" s="62" t="s">
        <v>155</v>
      </c>
      <c r="B34" s="63">
        <f>SUM(B32:B33)</f>
        <v>0</v>
      </c>
      <c r="C34" s="64">
        <f>SUM(C32:C33)</f>
        <v>0</v>
      </c>
      <c r="D34" s="65" t="str" cm="1">
        <f t="array" ref="D34">SeasonalBudPct(B34,C34)</f>
        <v/>
      </c>
      <c r="E34" s="63">
        <f>SUM(E32:E33)</f>
        <v>0</v>
      </c>
      <c r="F34" s="63" t="str" cm="1">
        <f t="array" ref="F34">BudgetDolVariance(C34,E34)</f>
        <v/>
      </c>
      <c r="G34" s="65" t="str" cm="1">
        <f t="array" ref="G34">BudgetPctVariance(C34,E34)</f>
        <v/>
      </c>
      <c r="H34" s="63">
        <f>SUM(H32:H33)</f>
        <v>0</v>
      </c>
      <c r="I34" s="66" t="str" cm="1">
        <f t="array" ref="I34">BudgetPctVariance(H34,E34)</f>
        <v/>
      </c>
      <c r="J34" s="79"/>
      <c r="K34" s="47"/>
    </row>
    <row r="35" spans="1:11">
      <c r="A35" s="68" t="s">
        <v>156</v>
      </c>
      <c r="B35" s="80"/>
      <c r="C35" s="49"/>
      <c r="D35" s="82"/>
      <c r="E35" s="80"/>
      <c r="F35" s="49"/>
      <c r="G35" s="82"/>
      <c r="H35" s="80"/>
      <c r="I35" s="83"/>
      <c r="J35" s="81"/>
      <c r="K35" s="47"/>
    </row>
    <row r="36" spans="1:11">
      <c r="A36" s="18" t="s">
        <v>157</v>
      </c>
      <c r="B36" s="19">
        <v>0</v>
      </c>
      <c r="C36" s="19">
        <v>0</v>
      </c>
      <c r="D36" s="20" t="str" cm="1">
        <f t="array" ref="D36">SeasonalBudPct(B36,C36)</f>
        <v/>
      </c>
      <c r="E36" s="19">
        <v>0</v>
      </c>
      <c r="F36" s="19" t="str" cm="1">
        <f t="array" ref="F36">BudgetDolVariance(C36,E36)</f>
        <v/>
      </c>
      <c r="G36" s="20" t="str" cm="1">
        <f t="array" ref="G36">BudgetPctVariance(C36,E36)</f>
        <v/>
      </c>
      <c r="H36" s="19">
        <v>0</v>
      </c>
      <c r="I36" s="84" t="str" cm="1">
        <f t="array" ref="I36">BudgetPctVariance(H36,E36)</f>
        <v/>
      </c>
      <c r="J36" s="53"/>
      <c r="K36" s="54"/>
    </row>
    <row r="37" spans="1:11">
      <c r="A37" s="23" t="s">
        <v>158</v>
      </c>
      <c r="B37" s="24">
        <v>0</v>
      </c>
      <c r="C37" s="24">
        <v>0</v>
      </c>
      <c r="D37" s="26" t="str" cm="1">
        <f t="array" ref="D37">SeasonalBudPct(B37,C37)</f>
        <v/>
      </c>
      <c r="E37" s="24">
        <v>0</v>
      </c>
      <c r="F37" s="24" t="str" cm="1">
        <f t="array" ref="F37">BudgetDolVariance(C37,E37)</f>
        <v/>
      </c>
      <c r="G37" s="26" t="str" cm="1">
        <f t="array" ref="G37">BudgetPctVariance(C37,E37)</f>
        <v/>
      </c>
      <c r="H37" s="24">
        <v>0</v>
      </c>
      <c r="I37" s="85" t="str" cm="1">
        <f t="array" ref="I37">BudgetPctVariance(H37,E37)</f>
        <v/>
      </c>
      <c r="J37" s="28"/>
      <c r="K37" s="54"/>
    </row>
    <row r="38" spans="1:11">
      <c r="A38" s="23" t="s">
        <v>33</v>
      </c>
      <c r="B38" s="24">
        <v>0</v>
      </c>
      <c r="C38" s="24">
        <v>0</v>
      </c>
      <c r="D38" s="26" t="str" cm="1">
        <f t="array" ref="D38">SeasonalBudPct(B38,C38)</f>
        <v/>
      </c>
      <c r="E38" s="24">
        <v>0</v>
      </c>
      <c r="F38" s="24" t="str" cm="1">
        <f t="array" ref="F38">BudgetDolVariance(C38,E38)</f>
        <v/>
      </c>
      <c r="G38" s="26" t="str" cm="1">
        <f t="array" ref="G38">BudgetPctVariance(C38,E38)</f>
        <v/>
      </c>
      <c r="H38" s="24">
        <v>0</v>
      </c>
      <c r="I38" s="85" t="str" cm="1">
        <f t="array" ref="I38">BudgetPctVariance(H38,E38)</f>
        <v/>
      </c>
      <c r="J38" s="28"/>
      <c r="K38" s="54"/>
    </row>
    <row r="39" spans="1:11">
      <c r="A39" s="86" t="s">
        <v>159</v>
      </c>
      <c r="B39" s="57">
        <v>0</v>
      </c>
      <c r="C39" s="57">
        <v>0</v>
      </c>
      <c r="D39" s="87" t="str" cm="1">
        <f t="array" ref="D39">SeasonalBudPct(B39,C39)</f>
        <v/>
      </c>
      <c r="E39" s="57">
        <v>0</v>
      </c>
      <c r="F39" s="57" t="str" cm="1">
        <f t="array" ref="F39">BudgetDolVariance(C39,E39)</f>
        <v/>
      </c>
      <c r="G39" s="87" t="str" cm="1">
        <f t="array" ref="G39">BudgetPctVariance(C39,E39)</f>
        <v/>
      </c>
      <c r="H39" s="57">
        <v>0</v>
      </c>
      <c r="I39" s="88" t="str" cm="1">
        <f t="array" ref="I39">BudgetPctVariance(H39,E39)</f>
        <v/>
      </c>
      <c r="J39" s="60"/>
      <c r="K39" s="54"/>
    </row>
    <row r="40" spans="1:11">
      <c r="A40" s="23" t="s">
        <v>160</v>
      </c>
      <c r="B40" s="24">
        <v>0</v>
      </c>
      <c r="C40" s="24">
        <v>0</v>
      </c>
      <c r="D40" s="26" t="str" cm="1">
        <f t="array" ref="D40">SeasonalBudPct(B40,C40)</f>
        <v/>
      </c>
      <c r="E40" s="24">
        <v>0</v>
      </c>
      <c r="F40" s="24" t="str" cm="1">
        <f t="array" ref="F40">BudgetDolVariance(C40,E40)</f>
        <v/>
      </c>
      <c r="G40" s="26" t="str" cm="1">
        <f t="array" ref="G40">BudgetPctVariance(C40,E40)</f>
        <v/>
      </c>
      <c r="H40" s="24">
        <v>0</v>
      </c>
      <c r="I40" s="85" t="str" cm="1">
        <f t="array" ref="I40">BudgetPctVariance(H40,E40)</f>
        <v/>
      </c>
      <c r="J40" s="28"/>
      <c r="K40" s="54"/>
    </row>
    <row r="41" spans="1:11">
      <c r="A41" s="29" t="s">
        <v>161</v>
      </c>
      <c r="B41" s="30">
        <v>0</v>
      </c>
      <c r="C41" s="30">
        <v>0</v>
      </c>
      <c r="D41" s="32" t="str" cm="1">
        <f t="array" ref="D41">SeasonalBudPct(B41,C41)</f>
        <v/>
      </c>
      <c r="E41" s="30">
        <v>0</v>
      </c>
      <c r="F41" s="30" t="str" cm="1">
        <f t="array" ref="F41">BudgetDolVariance(C41,E41)</f>
        <v/>
      </c>
      <c r="G41" s="32" t="str" cm="1">
        <f t="array" ref="G41">BudgetPctVariance(C41,E41)</f>
        <v/>
      </c>
      <c r="H41" s="30">
        <v>0</v>
      </c>
      <c r="I41" s="89" t="str" cm="1">
        <f t="array" ref="I41">BudgetPctVariance(H41,E41)</f>
        <v/>
      </c>
      <c r="J41" s="34"/>
      <c r="K41" s="47"/>
    </row>
    <row r="42" spans="1:11" ht="15.6">
      <c r="A42" s="90" t="s">
        <v>162</v>
      </c>
      <c r="B42" s="78">
        <f>SUM(B36:B41)</f>
        <v>0</v>
      </c>
      <c r="C42" s="91">
        <f>SUM(C36:C41)</f>
        <v>0</v>
      </c>
      <c r="D42" s="65" t="str" cm="1">
        <f t="array" ref="D42">SeasonalBudPct(B42,C42)</f>
        <v/>
      </c>
      <c r="E42" s="78">
        <f>SUM(E36:E41)</f>
        <v>0</v>
      </c>
      <c r="F42" s="63" t="str" cm="1">
        <f t="array" ref="F42">BudgetDolVariance(C42,E42)</f>
        <v/>
      </c>
      <c r="G42" s="92" t="str" cm="1">
        <f t="array" ref="G42">BudgetPctVariance(C42,E42)</f>
        <v/>
      </c>
      <c r="H42" s="49">
        <f>SUM(H36:H41)</f>
        <v>0</v>
      </c>
      <c r="I42" s="66" t="str" cm="1">
        <f t="array" ref="I42">BudgetPctVariance(H42,E42)</f>
        <v/>
      </c>
      <c r="J42" s="79"/>
      <c r="K42" s="93"/>
    </row>
    <row r="43" spans="1:11" ht="16.2" thickBot="1">
      <c r="A43" s="36" t="s">
        <v>163</v>
      </c>
      <c r="B43" s="37">
        <f>SUM(B21,B30,B34,B42)</f>
        <v>0</v>
      </c>
      <c r="C43" s="37">
        <f>SUM(C21,C30,C34,C42)</f>
        <v>0</v>
      </c>
      <c r="D43" s="38" t="str" cm="1">
        <f t="array" ref="D43">SeasonalBudPct(B43,C43)</f>
        <v/>
      </c>
      <c r="E43" s="37">
        <f>SUM(E21,E30,E34,E42)</f>
        <v>0</v>
      </c>
      <c r="F43" s="37" t="str" cm="1">
        <f t="array" ref="F43">BudgetDolVariance(C43,E43)</f>
        <v/>
      </c>
      <c r="G43" s="38" t="str" cm="1">
        <f t="array" ref="G43">BudgetPctVariance(C43,E43)</f>
        <v/>
      </c>
      <c r="H43" s="37">
        <f>SUM(H21,H30,H34,H42)</f>
        <v>0</v>
      </c>
      <c r="I43" s="38" t="str" cm="1">
        <f t="array" ref="I43">BudgetPctVariance(H43,E43)</f>
        <v/>
      </c>
      <c r="J43" s="40"/>
      <c r="K43" s="47"/>
    </row>
    <row r="44" spans="1:11" ht="15" thickTop="1">
      <c r="A44" s="94" t="s">
        <v>164</v>
      </c>
      <c r="B44" s="95"/>
      <c r="C44" s="95"/>
      <c r="D44" s="96"/>
      <c r="E44" s="95"/>
      <c r="F44" s="95"/>
      <c r="G44" s="96"/>
      <c r="H44" s="95"/>
      <c r="I44" s="97"/>
      <c r="J44" s="98"/>
      <c r="K44" s="47"/>
    </row>
    <row r="45" spans="1:11">
      <c r="A45" s="18" t="s">
        <v>165</v>
      </c>
      <c r="B45" s="19">
        <v>0</v>
      </c>
      <c r="C45" s="19">
        <v>0</v>
      </c>
      <c r="D45" s="20" t="str" cm="1">
        <f t="array" ref="D45">SeasonalBudPct(B45,C45)</f>
        <v/>
      </c>
      <c r="E45" s="19">
        <v>0</v>
      </c>
      <c r="F45" s="19" t="str" cm="1">
        <f t="array" ref="F45">BudgetDolVariance(C45,E45)</f>
        <v/>
      </c>
      <c r="G45" s="20" t="str" cm="1">
        <f t="array" ref="G45">BudgetPctVariance(C45,E45)</f>
        <v/>
      </c>
      <c r="H45" s="19">
        <v>0</v>
      </c>
      <c r="I45" s="84" t="str" cm="1">
        <f t="array" ref="I45">BudgetPctVariance(H45,E45)</f>
        <v/>
      </c>
      <c r="J45" s="53"/>
      <c r="K45" s="54"/>
    </row>
    <row r="46" spans="1:11">
      <c r="A46" s="29" t="s">
        <v>166</v>
      </c>
      <c r="B46" s="30">
        <v>0</v>
      </c>
      <c r="C46" s="30">
        <v>0</v>
      </c>
      <c r="D46" s="32" t="str" cm="1">
        <f t="array" ref="D46">SeasonalBudPct(B46,C46)</f>
        <v/>
      </c>
      <c r="E46" s="30">
        <v>0</v>
      </c>
      <c r="F46" s="30" t="str" cm="1">
        <f t="array" ref="F46">BudgetDolVariance(C46,E46)</f>
        <v/>
      </c>
      <c r="G46" s="32" t="str" cm="1">
        <f t="array" ref="G46">BudgetPctVariance(C46,E46)</f>
        <v/>
      </c>
      <c r="H46" s="30">
        <v>0</v>
      </c>
      <c r="I46" s="89" t="str" cm="1">
        <f t="array" ref="I46">BudgetPctVariance(H46,E46)</f>
        <v/>
      </c>
      <c r="J46" s="34"/>
      <c r="K46" s="54"/>
    </row>
    <row r="47" spans="1:11" ht="15.6">
      <c r="A47" s="99" t="s">
        <v>167</v>
      </c>
      <c r="B47" s="16">
        <f>SUM(B45:B46)</f>
        <v>0</v>
      </c>
      <c r="C47" s="100">
        <f>SUM(C45:C46)</f>
        <v>0</v>
      </c>
      <c r="D47" s="82" t="str" cm="1">
        <f t="array" ref="D47">SeasonalBudPct(B47,C47)</f>
        <v/>
      </c>
      <c r="E47" s="16">
        <f>SUM(E45:E46)</f>
        <v>0</v>
      </c>
      <c r="F47" s="16" t="str" cm="1">
        <f t="array" ref="F47">BudgetDolVariance(C47,E47)</f>
        <v/>
      </c>
      <c r="G47" s="82" t="str" cm="1">
        <f t="array" ref="G47">BudgetPctVariance(C47,E47)</f>
        <v/>
      </c>
      <c r="H47" s="16">
        <f>SUM(H45:H46)</f>
        <v>0</v>
      </c>
      <c r="I47" s="101" t="str" cm="1">
        <f t="array" ref="I47">BudgetPctVariance(H47,E47)</f>
        <v/>
      </c>
      <c r="J47" s="102"/>
      <c r="K47" s="35"/>
    </row>
    <row r="48" spans="1:11" ht="16.2" thickBot="1">
      <c r="A48" s="36" t="s">
        <v>168</v>
      </c>
      <c r="B48" s="37">
        <f>SUM(B12,B43,B47)</f>
        <v>0</v>
      </c>
      <c r="C48" s="37">
        <f>SUM(C12,C43,C47)</f>
        <v>0</v>
      </c>
      <c r="D48" s="38" t="str" cm="1">
        <f t="array" ref="D48">SeasonalBudPct(B48,C48)</f>
        <v/>
      </c>
      <c r="E48" s="37">
        <f>SUM(E12,E43,E47)</f>
        <v>0</v>
      </c>
      <c r="F48" s="37" t="str" cm="1">
        <f t="array" ref="F48">BudgetDolVariance(C48,E48)</f>
        <v/>
      </c>
      <c r="G48" s="38" t="str" cm="1">
        <f t="array" ref="G48">BudgetPctVariance(C48,E48)</f>
        <v/>
      </c>
      <c r="H48" s="37">
        <f>SUM(H12,H43,H47)</f>
        <v>0</v>
      </c>
      <c r="I48" s="103" t="str" cm="1">
        <f t="array" ref="I48">BudgetPctVariance(H48,E48)</f>
        <v/>
      </c>
      <c r="J48" s="40"/>
    </row>
    <row r="49" spans="1:10" ht="15" thickTop="1">
      <c r="A49" s="104"/>
      <c r="B49" s="42"/>
      <c r="C49" s="42"/>
      <c r="D49" s="105"/>
      <c r="E49" s="42"/>
      <c r="H49" s="42"/>
      <c r="J49" s="107"/>
    </row>
    <row r="50" spans="1:10">
      <c r="A50"/>
      <c r="B50"/>
    </row>
    <row r="51" spans="1:10">
      <c r="A51" s="108" t="s">
        <v>169</v>
      </c>
      <c r="B51" s="109"/>
    </row>
    <row r="52" spans="1:10">
      <c r="B52" s="109"/>
    </row>
    <row r="53" spans="1:10">
      <c r="B53" s="109"/>
    </row>
    <row r="54" spans="1:10">
      <c r="B54" s="109"/>
    </row>
    <row r="55" spans="1:10">
      <c r="B55" s="109"/>
    </row>
    <row r="56" spans="1:10">
      <c r="B56" s="109"/>
    </row>
    <row r="57" spans="1:10">
      <c r="B57" s="109"/>
    </row>
    <row r="58" spans="1:10">
      <c r="B58" s="109"/>
    </row>
    <row r="59" spans="1:10">
      <c r="B59" s="109"/>
    </row>
    <row r="60" spans="1:10">
      <c r="B60" s="109"/>
    </row>
    <row r="61" spans="1:10">
      <c r="B61" s="109"/>
    </row>
  </sheetData>
  <mergeCells count="3">
    <mergeCell ref="B1:J1"/>
    <mergeCell ref="B2:J2"/>
    <mergeCell ref="J3:J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74479-7A1E-4BFE-86B9-C7C393627078}">
  <sheetPr codeName="SBDraft">
    <tabColor theme="4" tint="0.59999389629810485"/>
  </sheetPr>
  <dimension ref="A1:M49"/>
  <sheetViews>
    <sheetView showGridLines="0" showRowColHeaders="0" workbookViewId="0">
      <pane ySplit="6" topLeftCell="A10" activePane="bottomLeft" state="frozen"/>
      <selection pane="bottomLeft"/>
    </sheetView>
  </sheetViews>
  <sheetFormatPr defaultRowHeight="14.4"/>
  <cols>
    <col min="1" max="1" width="32.44140625" bestFit="1" customWidth="1"/>
    <col min="2" max="2" width="16.6640625" customWidth="1"/>
    <col min="3" max="3" width="13.44140625" customWidth="1"/>
    <col min="4" max="4" width="16.6640625" customWidth="1"/>
    <col min="5" max="5" width="13.44140625" customWidth="1"/>
    <col min="6" max="6" width="16.6640625" customWidth="1"/>
    <col min="7" max="7" width="13.44140625" customWidth="1"/>
    <col min="8" max="8" width="16.6640625" customWidth="1"/>
    <col min="9" max="9" width="13.44140625" customWidth="1"/>
    <col min="10" max="10" width="16.6640625" customWidth="1"/>
    <col min="11" max="11" width="13.44140625" customWidth="1"/>
    <col min="12" max="12" width="16.6640625" customWidth="1"/>
    <col min="13" max="13" width="13.44140625" customWidth="1"/>
  </cols>
  <sheetData>
    <row r="1" spans="1:13" ht="15.6">
      <c r="A1" s="111" t="str" cm="1">
        <f t="array" ref="A1">CCName('Create Report'!E8)</f>
        <v>KVCU Radio Station</v>
      </c>
      <c r="B1" s="112"/>
      <c r="C1" s="112"/>
      <c r="D1" s="112"/>
      <c r="E1" s="112"/>
      <c r="F1" s="112"/>
      <c r="G1" s="112"/>
      <c r="H1" s="112"/>
      <c r="I1" s="112"/>
      <c r="J1" s="112"/>
      <c r="L1" s="112"/>
      <c r="M1" s="112"/>
    </row>
    <row r="2" spans="1:13" ht="15.6">
      <c r="A2" s="113" t="s">
        <v>104</v>
      </c>
      <c r="B2" s="114"/>
      <c r="C2" s="114"/>
      <c r="D2" s="114"/>
      <c r="E2" s="114"/>
      <c r="F2" s="114"/>
      <c r="G2" s="114"/>
      <c r="H2" s="114"/>
      <c r="I2" s="114"/>
      <c r="J2" s="114"/>
      <c r="L2" s="114"/>
      <c r="M2" s="114"/>
    </row>
    <row r="3" spans="1:13" s="115" customFormat="1">
      <c r="B3" s="116" t="s">
        <v>118</v>
      </c>
      <c r="C3" s="117" t="s">
        <v>170</v>
      </c>
      <c r="D3" s="116" t="s">
        <v>171</v>
      </c>
      <c r="E3" s="117" t="s">
        <v>171</v>
      </c>
      <c r="F3" s="116" t="s">
        <v>172</v>
      </c>
      <c r="G3" s="117" t="s">
        <v>172</v>
      </c>
      <c r="H3" s="116" t="s">
        <v>173</v>
      </c>
      <c r="I3" s="117" t="s">
        <v>173</v>
      </c>
      <c r="J3" s="116" t="s">
        <v>174</v>
      </c>
      <c r="K3" s="118" t="s">
        <v>174</v>
      </c>
      <c r="L3" s="116" t="s">
        <v>175</v>
      </c>
      <c r="M3" s="118" t="s">
        <v>175</v>
      </c>
    </row>
    <row r="4" spans="1:13">
      <c r="A4" s="5"/>
      <c r="B4" s="119" t="str">
        <f>_xlfn.CONCAT("FY ",'Create Report'!E9+'Create Report'!E10)</f>
        <v>FY 21</v>
      </c>
      <c r="C4" s="120" t="s">
        <v>119</v>
      </c>
      <c r="D4" s="119" t="s">
        <v>176</v>
      </c>
      <c r="E4" s="119" t="s">
        <v>177</v>
      </c>
      <c r="F4" s="119" t="s">
        <v>176</v>
      </c>
      <c r="G4" s="119" t="s">
        <v>177</v>
      </c>
      <c r="H4" s="119" t="s">
        <v>176</v>
      </c>
      <c r="I4" s="119" t="s">
        <v>177</v>
      </c>
      <c r="J4" s="119" t="s">
        <v>176</v>
      </c>
      <c r="K4" s="119" t="s">
        <v>177</v>
      </c>
      <c r="L4" s="119" t="s">
        <v>178</v>
      </c>
      <c r="M4" s="119" t="s">
        <v>179</v>
      </c>
    </row>
    <row r="5" spans="1:13">
      <c r="A5" s="8"/>
      <c r="B5" s="119"/>
      <c r="C5" s="120" t="s">
        <v>180</v>
      </c>
      <c r="D5" s="119"/>
      <c r="E5" s="120" t="s">
        <v>180</v>
      </c>
      <c r="F5" s="119"/>
      <c r="G5" s="120" t="s">
        <v>180</v>
      </c>
      <c r="H5" s="119"/>
      <c r="I5" s="120" t="s">
        <v>180</v>
      </c>
      <c r="J5" s="119"/>
      <c r="K5" s="119" t="s">
        <v>180</v>
      </c>
      <c r="L5" s="119"/>
      <c r="M5" s="119" t="s">
        <v>180</v>
      </c>
    </row>
    <row r="6" spans="1:13">
      <c r="A6" s="121"/>
      <c r="B6" s="122"/>
      <c r="C6" s="123"/>
      <c r="D6" s="122"/>
      <c r="E6" s="123"/>
      <c r="F6" s="122"/>
      <c r="G6" s="123"/>
      <c r="H6" s="122"/>
      <c r="I6" s="123"/>
      <c r="J6" s="122"/>
      <c r="K6" s="122"/>
      <c r="L6" s="122"/>
      <c r="M6" s="122"/>
    </row>
    <row r="7" spans="1:13">
      <c r="A7" s="13" t="s">
        <v>129</v>
      </c>
      <c r="B7" s="124"/>
      <c r="C7" s="125"/>
      <c r="D7" s="124"/>
      <c r="E7" s="125"/>
      <c r="F7" s="124"/>
      <c r="G7" s="125"/>
      <c r="H7" s="124"/>
      <c r="I7" s="125"/>
      <c r="J7" s="124"/>
      <c r="K7" s="124"/>
      <c r="L7" s="124"/>
      <c r="M7" s="124"/>
    </row>
    <row r="8" spans="1:13">
      <c r="A8" s="126" t="s">
        <v>130</v>
      </c>
      <c r="B8" s="127">
        <v>0</v>
      </c>
      <c r="C8" s="128">
        <v>0</v>
      </c>
      <c r="D8" s="129">
        <v>0</v>
      </c>
      <c r="E8" s="128">
        <v>0</v>
      </c>
      <c r="F8" s="129">
        <v>0</v>
      </c>
      <c r="G8" s="128">
        <v>0</v>
      </c>
      <c r="H8" s="129">
        <v>0</v>
      </c>
      <c r="I8" s="128">
        <v>0</v>
      </c>
      <c r="J8" s="129">
        <v>0</v>
      </c>
      <c r="K8" s="130">
        <v>0</v>
      </c>
      <c r="L8" s="127">
        <f t="shared" ref="L8:M11" si="0">SUM(D8,F8,H8,J8)</f>
        <v>0</v>
      </c>
      <c r="M8" s="130">
        <f t="shared" si="0"/>
        <v>0</v>
      </c>
    </row>
    <row r="9" spans="1:13">
      <c r="A9" s="131" t="s">
        <v>131</v>
      </c>
      <c r="B9" s="127">
        <v>0</v>
      </c>
      <c r="C9" s="132">
        <v>0</v>
      </c>
      <c r="D9" s="129">
        <v>0</v>
      </c>
      <c r="E9" s="132">
        <v>0</v>
      </c>
      <c r="F9" s="129">
        <v>0</v>
      </c>
      <c r="G9" s="132">
        <v>0</v>
      </c>
      <c r="H9" s="129">
        <v>0</v>
      </c>
      <c r="I9" s="132">
        <v>0</v>
      </c>
      <c r="J9" s="129">
        <v>0</v>
      </c>
      <c r="K9" s="133">
        <v>0</v>
      </c>
      <c r="L9" s="127">
        <f t="shared" si="0"/>
        <v>0</v>
      </c>
      <c r="M9" s="133">
        <f t="shared" si="0"/>
        <v>0</v>
      </c>
    </row>
    <row r="10" spans="1:13">
      <c r="A10" s="131" t="s">
        <v>132</v>
      </c>
      <c r="B10" s="127">
        <v>0</v>
      </c>
      <c r="C10" s="132">
        <v>0</v>
      </c>
      <c r="D10" s="129">
        <v>0</v>
      </c>
      <c r="E10" s="132">
        <v>0</v>
      </c>
      <c r="F10" s="129">
        <v>0</v>
      </c>
      <c r="G10" s="132">
        <v>0</v>
      </c>
      <c r="H10" s="129">
        <v>0</v>
      </c>
      <c r="I10" s="132">
        <v>0</v>
      </c>
      <c r="J10" s="129">
        <v>0</v>
      </c>
      <c r="K10" s="133">
        <v>0</v>
      </c>
      <c r="L10" s="127">
        <f t="shared" si="0"/>
        <v>0</v>
      </c>
      <c r="M10" s="133">
        <f t="shared" si="0"/>
        <v>0</v>
      </c>
    </row>
    <row r="11" spans="1:13">
      <c r="A11" s="134" t="s">
        <v>133</v>
      </c>
      <c r="B11" s="135">
        <v>0</v>
      </c>
      <c r="C11" s="132">
        <v>0</v>
      </c>
      <c r="D11" s="136">
        <v>0</v>
      </c>
      <c r="E11" s="132">
        <v>0</v>
      </c>
      <c r="F11" s="136">
        <v>0</v>
      </c>
      <c r="G11" s="132">
        <v>0</v>
      </c>
      <c r="H11" s="136">
        <v>0</v>
      </c>
      <c r="I11" s="132">
        <v>0</v>
      </c>
      <c r="J11" s="136">
        <v>0</v>
      </c>
      <c r="K11" s="133">
        <v>0</v>
      </c>
      <c r="L11" s="135">
        <f t="shared" si="0"/>
        <v>0</v>
      </c>
      <c r="M11" s="133">
        <f t="shared" si="0"/>
        <v>0</v>
      </c>
    </row>
    <row r="12" spans="1:13" ht="16.2" thickBot="1">
      <c r="A12" s="137" t="s">
        <v>134</v>
      </c>
      <c r="B12" s="138">
        <f>SUM(B8:B11)</f>
        <v>0</v>
      </c>
      <c r="C12" s="139">
        <f t="shared" ref="C12:K12" si="1">SUM(C8:C11)</f>
        <v>0</v>
      </c>
      <c r="D12" s="138">
        <f t="shared" si="1"/>
        <v>0</v>
      </c>
      <c r="E12" s="139">
        <f t="shared" si="1"/>
        <v>0</v>
      </c>
      <c r="F12" s="138">
        <f t="shared" si="1"/>
        <v>0</v>
      </c>
      <c r="G12" s="139">
        <f t="shared" si="1"/>
        <v>0</v>
      </c>
      <c r="H12" s="138">
        <f t="shared" si="1"/>
        <v>0</v>
      </c>
      <c r="I12" s="139">
        <f t="shared" si="1"/>
        <v>0</v>
      </c>
      <c r="J12" s="138">
        <f t="shared" si="1"/>
        <v>0</v>
      </c>
      <c r="K12" s="138">
        <f t="shared" si="1"/>
        <v>0</v>
      </c>
      <c r="L12" s="138">
        <f>SUM(L8:L11)</f>
        <v>0</v>
      </c>
      <c r="M12" s="138">
        <f>SUM(M8:M11)</f>
        <v>0</v>
      </c>
    </row>
    <row r="13" spans="1:13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</row>
    <row r="14" spans="1:13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</row>
    <row r="15" spans="1:13">
      <c r="A15" s="126" t="s">
        <v>136</v>
      </c>
      <c r="B15" s="141">
        <v>0</v>
      </c>
      <c r="C15" s="128">
        <v>0</v>
      </c>
      <c r="D15" s="129">
        <v>0</v>
      </c>
      <c r="E15" s="128">
        <v>0</v>
      </c>
      <c r="F15" s="129">
        <v>0</v>
      </c>
      <c r="G15" s="128">
        <v>0</v>
      </c>
      <c r="H15" s="129">
        <v>0</v>
      </c>
      <c r="I15" s="128">
        <v>0</v>
      </c>
      <c r="J15" s="129">
        <v>0</v>
      </c>
      <c r="K15" s="142">
        <v>0</v>
      </c>
      <c r="L15" s="141">
        <f t="shared" ref="L15:M20" si="2">SUM(D15,F15,H15,J15)</f>
        <v>0</v>
      </c>
      <c r="M15" s="142">
        <f t="shared" si="2"/>
        <v>0</v>
      </c>
    </row>
    <row r="16" spans="1:13">
      <c r="A16" s="131" t="s">
        <v>137</v>
      </c>
      <c r="B16" s="127">
        <v>0</v>
      </c>
      <c r="C16" s="128">
        <v>0</v>
      </c>
      <c r="D16" s="129">
        <v>0</v>
      </c>
      <c r="E16" s="128">
        <v>0</v>
      </c>
      <c r="F16" s="129">
        <v>0</v>
      </c>
      <c r="G16" s="128">
        <v>0</v>
      </c>
      <c r="H16" s="129">
        <v>0</v>
      </c>
      <c r="I16" s="128">
        <v>0</v>
      </c>
      <c r="J16" s="129">
        <v>0</v>
      </c>
      <c r="K16" s="130">
        <v>0</v>
      </c>
      <c r="L16" s="127">
        <f t="shared" si="2"/>
        <v>0</v>
      </c>
      <c r="M16" s="130">
        <f t="shared" si="2"/>
        <v>0</v>
      </c>
    </row>
    <row r="17" spans="1:13">
      <c r="A17" s="143" t="s">
        <v>138</v>
      </c>
      <c r="B17" s="144">
        <v>0</v>
      </c>
      <c r="C17" s="145">
        <v>0</v>
      </c>
      <c r="D17" s="146">
        <v>0</v>
      </c>
      <c r="E17" s="145">
        <v>0</v>
      </c>
      <c r="F17" s="146">
        <v>0</v>
      </c>
      <c r="G17" s="145">
        <v>0</v>
      </c>
      <c r="H17" s="146">
        <v>0</v>
      </c>
      <c r="I17" s="145">
        <v>0</v>
      </c>
      <c r="J17" s="146">
        <v>0</v>
      </c>
      <c r="K17" s="56">
        <v>0</v>
      </c>
      <c r="L17" s="144">
        <f t="shared" si="2"/>
        <v>0</v>
      </c>
      <c r="M17" s="56">
        <f t="shared" si="2"/>
        <v>0</v>
      </c>
    </row>
    <row r="18" spans="1:13">
      <c r="A18" s="131" t="s">
        <v>139</v>
      </c>
      <c r="B18" s="127">
        <v>0</v>
      </c>
      <c r="C18" s="128">
        <v>0</v>
      </c>
      <c r="D18" s="129">
        <v>0</v>
      </c>
      <c r="E18" s="128">
        <v>0</v>
      </c>
      <c r="F18" s="129">
        <v>0</v>
      </c>
      <c r="G18" s="128">
        <v>0</v>
      </c>
      <c r="H18" s="129">
        <v>0</v>
      </c>
      <c r="I18" s="128">
        <v>0</v>
      </c>
      <c r="J18" s="129">
        <v>0</v>
      </c>
      <c r="K18" s="130">
        <v>0</v>
      </c>
      <c r="L18" s="127">
        <f t="shared" si="2"/>
        <v>0</v>
      </c>
      <c r="M18" s="130">
        <f t="shared" si="2"/>
        <v>0</v>
      </c>
    </row>
    <row r="19" spans="1:13">
      <c r="A19" s="131" t="s">
        <v>140</v>
      </c>
      <c r="B19" s="127">
        <v>0</v>
      </c>
      <c r="C19" s="128">
        <v>0</v>
      </c>
      <c r="D19" s="129">
        <v>0</v>
      </c>
      <c r="E19" s="128">
        <v>0</v>
      </c>
      <c r="F19" s="129">
        <v>0</v>
      </c>
      <c r="G19" s="128">
        <v>0</v>
      </c>
      <c r="H19" s="129">
        <v>0</v>
      </c>
      <c r="I19" s="128">
        <v>0</v>
      </c>
      <c r="J19" s="129">
        <v>0</v>
      </c>
      <c r="K19" s="130">
        <v>0</v>
      </c>
      <c r="L19" s="127">
        <f t="shared" si="2"/>
        <v>0</v>
      </c>
      <c r="M19" s="130">
        <f t="shared" si="2"/>
        <v>0</v>
      </c>
    </row>
    <row r="20" spans="1:13">
      <c r="A20" s="134" t="s">
        <v>141</v>
      </c>
      <c r="B20" s="135">
        <v>0</v>
      </c>
      <c r="C20" s="147">
        <v>0</v>
      </c>
      <c r="D20" s="136">
        <v>0</v>
      </c>
      <c r="E20" s="147">
        <v>0</v>
      </c>
      <c r="F20" s="136">
        <v>0</v>
      </c>
      <c r="G20" s="147">
        <v>0</v>
      </c>
      <c r="H20" s="136">
        <v>0</v>
      </c>
      <c r="I20" s="147">
        <v>0</v>
      </c>
      <c r="J20" s="136">
        <v>0</v>
      </c>
      <c r="K20" s="148">
        <v>0</v>
      </c>
      <c r="L20" s="135">
        <f t="shared" si="2"/>
        <v>0</v>
      </c>
      <c r="M20" s="148">
        <f t="shared" si="2"/>
        <v>0</v>
      </c>
    </row>
    <row r="21" spans="1:13">
      <c r="A21" s="62" t="s">
        <v>142</v>
      </c>
      <c r="B21" s="78">
        <f t="shared" ref="B21:M21" si="3">SUM(B15:B20)</f>
        <v>0</v>
      </c>
      <c r="C21" s="91">
        <f t="shared" si="3"/>
        <v>0</v>
      </c>
      <c r="D21" s="78">
        <f t="shared" si="3"/>
        <v>0</v>
      </c>
      <c r="E21" s="149">
        <f t="shared" si="3"/>
        <v>0</v>
      </c>
      <c r="F21" s="78">
        <f t="shared" si="3"/>
        <v>0</v>
      </c>
      <c r="G21" s="91">
        <f t="shared" si="3"/>
        <v>0</v>
      </c>
      <c r="H21" s="78">
        <f t="shared" si="3"/>
        <v>0</v>
      </c>
      <c r="I21" s="91">
        <f t="shared" si="3"/>
        <v>0</v>
      </c>
      <c r="J21" s="78">
        <f t="shared" si="3"/>
        <v>0</v>
      </c>
      <c r="K21" s="150">
        <f t="shared" si="3"/>
        <v>0</v>
      </c>
      <c r="L21" s="78">
        <f t="shared" si="3"/>
        <v>0</v>
      </c>
      <c r="M21" s="150">
        <f t="shared" si="3"/>
        <v>0</v>
      </c>
    </row>
    <row r="22" spans="1:13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</row>
    <row r="23" spans="1:13">
      <c r="A23" s="126" t="s">
        <v>144</v>
      </c>
      <c r="B23" s="141">
        <v>0</v>
      </c>
      <c r="C23" s="128">
        <v>0</v>
      </c>
      <c r="D23" s="129">
        <v>0</v>
      </c>
      <c r="E23" s="128">
        <v>0</v>
      </c>
      <c r="F23" s="129">
        <v>0</v>
      </c>
      <c r="G23" s="128">
        <v>0</v>
      </c>
      <c r="H23" s="129">
        <v>0</v>
      </c>
      <c r="I23" s="128">
        <v>0</v>
      </c>
      <c r="J23" s="129">
        <v>0</v>
      </c>
      <c r="K23" s="142">
        <v>0</v>
      </c>
      <c r="L23" s="141">
        <f t="shared" ref="L23:M29" si="4">SUM(D23,F23,H23,J23)</f>
        <v>0</v>
      </c>
      <c r="M23" s="142">
        <f t="shared" si="4"/>
        <v>0</v>
      </c>
    </row>
    <row r="24" spans="1:13">
      <c r="A24" s="131" t="s">
        <v>145</v>
      </c>
      <c r="B24" s="127">
        <v>0</v>
      </c>
      <c r="C24" s="128">
        <v>0</v>
      </c>
      <c r="D24" s="129">
        <v>0</v>
      </c>
      <c r="E24" s="128">
        <v>0</v>
      </c>
      <c r="F24" s="129">
        <v>0</v>
      </c>
      <c r="G24" s="128">
        <v>0</v>
      </c>
      <c r="H24" s="129">
        <v>0</v>
      </c>
      <c r="I24" s="128">
        <v>0</v>
      </c>
      <c r="J24" s="129">
        <v>0</v>
      </c>
      <c r="K24" s="130">
        <v>0</v>
      </c>
      <c r="L24" s="127">
        <f t="shared" si="4"/>
        <v>0</v>
      </c>
      <c r="M24" s="130">
        <f t="shared" si="4"/>
        <v>0</v>
      </c>
    </row>
    <row r="25" spans="1:13">
      <c r="A25" s="131" t="s">
        <v>146</v>
      </c>
      <c r="B25" s="127">
        <v>0</v>
      </c>
      <c r="C25" s="128">
        <v>0</v>
      </c>
      <c r="D25" s="129">
        <v>0</v>
      </c>
      <c r="E25" s="128">
        <v>0</v>
      </c>
      <c r="F25" s="129">
        <v>0</v>
      </c>
      <c r="G25" s="128">
        <v>0</v>
      </c>
      <c r="H25" s="129">
        <v>0</v>
      </c>
      <c r="I25" s="128">
        <v>0</v>
      </c>
      <c r="J25" s="129">
        <v>0</v>
      </c>
      <c r="K25" s="130">
        <v>0</v>
      </c>
      <c r="L25" s="127">
        <f t="shared" si="4"/>
        <v>0</v>
      </c>
      <c r="M25" s="130">
        <f t="shared" si="4"/>
        <v>0</v>
      </c>
    </row>
    <row r="26" spans="1:13">
      <c r="A26" s="131" t="s">
        <v>147</v>
      </c>
      <c r="B26" s="127">
        <v>0</v>
      </c>
      <c r="C26" s="128">
        <v>0</v>
      </c>
      <c r="D26" s="129">
        <v>0</v>
      </c>
      <c r="E26" s="128">
        <v>0</v>
      </c>
      <c r="F26" s="129">
        <v>0</v>
      </c>
      <c r="G26" s="128">
        <v>0</v>
      </c>
      <c r="H26" s="129">
        <v>0</v>
      </c>
      <c r="I26" s="128">
        <v>0</v>
      </c>
      <c r="J26" s="129">
        <v>0</v>
      </c>
      <c r="K26" s="130">
        <v>0</v>
      </c>
      <c r="L26" s="127">
        <f t="shared" si="4"/>
        <v>0</v>
      </c>
      <c r="M26" s="130">
        <f t="shared" si="4"/>
        <v>0</v>
      </c>
    </row>
    <row r="27" spans="1:13">
      <c r="A27" s="131" t="s">
        <v>148</v>
      </c>
      <c r="B27" s="127">
        <v>0</v>
      </c>
      <c r="C27" s="128">
        <v>0</v>
      </c>
      <c r="D27" s="129">
        <v>0</v>
      </c>
      <c r="E27" s="128">
        <v>0</v>
      </c>
      <c r="F27" s="129">
        <v>0</v>
      </c>
      <c r="G27" s="128">
        <v>0</v>
      </c>
      <c r="H27" s="129">
        <v>0</v>
      </c>
      <c r="I27" s="128">
        <v>0</v>
      </c>
      <c r="J27" s="129">
        <v>0</v>
      </c>
      <c r="K27" s="130">
        <v>0</v>
      </c>
      <c r="L27" s="127">
        <f t="shared" si="4"/>
        <v>0</v>
      </c>
      <c r="M27" s="130">
        <f t="shared" si="4"/>
        <v>0</v>
      </c>
    </row>
    <row r="28" spans="1:13">
      <c r="A28" s="131" t="s">
        <v>149</v>
      </c>
      <c r="B28" s="127">
        <v>0</v>
      </c>
      <c r="C28" s="128">
        <v>0</v>
      </c>
      <c r="D28" s="129">
        <v>0</v>
      </c>
      <c r="E28" s="128">
        <v>0</v>
      </c>
      <c r="F28" s="129">
        <v>0</v>
      </c>
      <c r="G28" s="128">
        <v>0</v>
      </c>
      <c r="H28" s="129">
        <v>0</v>
      </c>
      <c r="I28" s="128">
        <v>0</v>
      </c>
      <c r="J28" s="129">
        <v>0</v>
      </c>
      <c r="K28" s="130">
        <v>0</v>
      </c>
      <c r="L28" s="127">
        <f t="shared" si="4"/>
        <v>0</v>
      </c>
      <c r="M28" s="130">
        <f t="shared" si="4"/>
        <v>0</v>
      </c>
    </row>
    <row r="29" spans="1:13">
      <c r="A29" s="134" t="s">
        <v>150</v>
      </c>
      <c r="B29" s="135">
        <v>0</v>
      </c>
      <c r="C29" s="147">
        <v>0</v>
      </c>
      <c r="D29" s="136">
        <v>0</v>
      </c>
      <c r="E29" s="147">
        <v>0</v>
      </c>
      <c r="F29" s="136">
        <v>0</v>
      </c>
      <c r="G29" s="147">
        <v>0</v>
      </c>
      <c r="H29" s="136">
        <v>0</v>
      </c>
      <c r="I29" s="147">
        <v>0</v>
      </c>
      <c r="J29" s="136">
        <v>0</v>
      </c>
      <c r="K29" s="148">
        <v>0</v>
      </c>
      <c r="L29" s="135">
        <f t="shared" si="4"/>
        <v>0</v>
      </c>
      <c r="M29" s="148">
        <f t="shared" si="4"/>
        <v>0</v>
      </c>
    </row>
    <row r="30" spans="1:13">
      <c r="A30" s="62" t="s">
        <v>151</v>
      </c>
      <c r="B30" s="78">
        <f t="shared" ref="B30:M30" si="5">SUM(B23:B29)</f>
        <v>0</v>
      </c>
      <c r="C30" s="91">
        <f t="shared" si="5"/>
        <v>0</v>
      </c>
      <c r="D30" s="78">
        <f t="shared" si="5"/>
        <v>0</v>
      </c>
      <c r="E30" s="91">
        <f t="shared" si="5"/>
        <v>0</v>
      </c>
      <c r="F30" s="78">
        <f t="shared" si="5"/>
        <v>0</v>
      </c>
      <c r="G30" s="91">
        <f t="shared" si="5"/>
        <v>0</v>
      </c>
      <c r="H30" s="78">
        <f t="shared" si="5"/>
        <v>0</v>
      </c>
      <c r="I30" s="91">
        <f t="shared" si="5"/>
        <v>0</v>
      </c>
      <c r="J30" s="78">
        <f t="shared" si="5"/>
        <v>0</v>
      </c>
      <c r="K30" s="150">
        <f t="shared" si="5"/>
        <v>0</v>
      </c>
      <c r="L30" s="78">
        <f t="shared" si="5"/>
        <v>0</v>
      </c>
      <c r="M30" s="150">
        <f t="shared" si="5"/>
        <v>0</v>
      </c>
    </row>
    <row r="31" spans="1:13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49"/>
      <c r="M31" s="80"/>
    </row>
    <row r="32" spans="1:13">
      <c r="A32" s="126" t="s">
        <v>153</v>
      </c>
      <c r="B32" s="141">
        <v>0</v>
      </c>
      <c r="C32" s="128">
        <v>0</v>
      </c>
      <c r="D32" s="129">
        <v>0</v>
      </c>
      <c r="E32" s="128">
        <v>0</v>
      </c>
      <c r="F32" s="129">
        <v>0</v>
      </c>
      <c r="G32" s="128">
        <v>0</v>
      </c>
      <c r="H32" s="129">
        <v>0</v>
      </c>
      <c r="I32" s="128">
        <v>0</v>
      </c>
      <c r="J32" s="129">
        <v>0</v>
      </c>
      <c r="K32" s="142">
        <v>0</v>
      </c>
      <c r="L32" s="141">
        <f>SUM(D32,F32,H32,J32)</f>
        <v>0</v>
      </c>
      <c r="M32" s="142">
        <f>SUM(E32,G32,I32,K32)</f>
        <v>0</v>
      </c>
    </row>
    <row r="33" spans="1:13">
      <c r="A33" s="134" t="s">
        <v>154</v>
      </c>
      <c r="B33" s="135">
        <v>0</v>
      </c>
      <c r="C33" s="147">
        <v>0</v>
      </c>
      <c r="D33" s="136">
        <v>0</v>
      </c>
      <c r="E33" s="147">
        <v>0</v>
      </c>
      <c r="F33" s="136">
        <v>0</v>
      </c>
      <c r="G33" s="147">
        <v>0</v>
      </c>
      <c r="H33" s="136">
        <v>0</v>
      </c>
      <c r="I33" s="147">
        <v>0</v>
      </c>
      <c r="J33" s="136">
        <v>0</v>
      </c>
      <c r="K33" s="148">
        <v>0</v>
      </c>
      <c r="L33" s="135">
        <f>SUM(D33,F33,H33,J33)</f>
        <v>0</v>
      </c>
      <c r="M33" s="148">
        <f>SUM(E33,G33,I33,K33)</f>
        <v>0</v>
      </c>
    </row>
    <row r="34" spans="1:13">
      <c r="A34" s="62" t="s">
        <v>155</v>
      </c>
      <c r="B34" s="78">
        <f t="shared" ref="B34:M34" si="6">SUM(B32:B33)</f>
        <v>0</v>
      </c>
      <c r="C34" s="91">
        <f t="shared" si="6"/>
        <v>0</v>
      </c>
      <c r="D34" s="78">
        <f t="shared" si="6"/>
        <v>0</v>
      </c>
      <c r="E34" s="91">
        <f t="shared" si="6"/>
        <v>0</v>
      </c>
      <c r="F34" s="78">
        <f t="shared" si="6"/>
        <v>0</v>
      </c>
      <c r="G34" s="91">
        <f t="shared" si="6"/>
        <v>0</v>
      </c>
      <c r="H34" s="78">
        <f t="shared" si="6"/>
        <v>0</v>
      </c>
      <c r="I34" s="91">
        <f t="shared" si="6"/>
        <v>0</v>
      </c>
      <c r="J34" s="78">
        <f t="shared" si="6"/>
        <v>0</v>
      </c>
      <c r="K34" s="150">
        <f t="shared" si="6"/>
        <v>0</v>
      </c>
      <c r="L34" s="78">
        <f t="shared" si="6"/>
        <v>0</v>
      </c>
      <c r="M34" s="150">
        <f t="shared" si="6"/>
        <v>0</v>
      </c>
    </row>
    <row r="35" spans="1:13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</row>
    <row r="36" spans="1:13">
      <c r="A36" s="126" t="s">
        <v>157</v>
      </c>
      <c r="B36" s="141">
        <v>0</v>
      </c>
      <c r="C36" s="128">
        <v>0</v>
      </c>
      <c r="D36" s="129">
        <v>0</v>
      </c>
      <c r="E36" s="128">
        <v>0</v>
      </c>
      <c r="F36" s="129">
        <v>0</v>
      </c>
      <c r="G36" s="128">
        <v>0</v>
      </c>
      <c r="H36" s="129">
        <v>0</v>
      </c>
      <c r="I36" s="128">
        <v>0</v>
      </c>
      <c r="J36" s="129">
        <v>0</v>
      </c>
      <c r="K36" s="142">
        <v>0</v>
      </c>
      <c r="L36" s="141">
        <f t="shared" ref="L36:M41" si="7">SUM(D36,F36,H36,J36)</f>
        <v>0</v>
      </c>
      <c r="M36" s="142">
        <f t="shared" si="7"/>
        <v>0</v>
      </c>
    </row>
    <row r="37" spans="1:13">
      <c r="A37" s="131" t="s">
        <v>158</v>
      </c>
      <c r="B37" s="127">
        <v>0</v>
      </c>
      <c r="C37" s="128">
        <v>0</v>
      </c>
      <c r="D37" s="129">
        <v>0</v>
      </c>
      <c r="E37" s="128">
        <v>0</v>
      </c>
      <c r="F37" s="129">
        <v>0</v>
      </c>
      <c r="G37" s="128">
        <v>0</v>
      </c>
      <c r="H37" s="129">
        <v>0</v>
      </c>
      <c r="I37" s="128">
        <v>0</v>
      </c>
      <c r="J37" s="129">
        <v>0</v>
      </c>
      <c r="K37" s="130">
        <v>0</v>
      </c>
      <c r="L37" s="127">
        <f t="shared" si="7"/>
        <v>0</v>
      </c>
      <c r="M37" s="130">
        <f t="shared" si="7"/>
        <v>0</v>
      </c>
    </row>
    <row r="38" spans="1:13">
      <c r="A38" s="131" t="s">
        <v>33</v>
      </c>
      <c r="B38" s="127">
        <v>0</v>
      </c>
      <c r="C38" s="128">
        <v>0</v>
      </c>
      <c r="D38" s="129">
        <v>0</v>
      </c>
      <c r="E38" s="128">
        <v>0</v>
      </c>
      <c r="F38" s="129">
        <v>0</v>
      </c>
      <c r="G38" s="128">
        <v>0</v>
      </c>
      <c r="H38" s="129">
        <v>0</v>
      </c>
      <c r="I38" s="128">
        <v>0</v>
      </c>
      <c r="J38" s="129">
        <v>0</v>
      </c>
      <c r="K38" s="130">
        <v>0</v>
      </c>
      <c r="L38" s="127">
        <f t="shared" si="7"/>
        <v>0</v>
      </c>
      <c r="M38" s="130">
        <f t="shared" si="7"/>
        <v>0</v>
      </c>
    </row>
    <row r="39" spans="1:13">
      <c r="A39" s="143" t="s">
        <v>159</v>
      </c>
      <c r="B39" s="144">
        <v>0</v>
      </c>
      <c r="C39" s="145">
        <v>0</v>
      </c>
      <c r="D39" s="146">
        <v>0</v>
      </c>
      <c r="E39" s="145">
        <v>0</v>
      </c>
      <c r="F39" s="146">
        <v>0</v>
      </c>
      <c r="G39" s="145">
        <v>0</v>
      </c>
      <c r="H39" s="146">
        <v>0</v>
      </c>
      <c r="I39" s="145">
        <v>0</v>
      </c>
      <c r="J39" s="146">
        <v>0</v>
      </c>
      <c r="K39" s="56">
        <v>0</v>
      </c>
      <c r="L39" s="144">
        <f t="shared" si="7"/>
        <v>0</v>
      </c>
      <c r="M39" s="56">
        <f t="shared" si="7"/>
        <v>0</v>
      </c>
    </row>
    <row r="40" spans="1:13">
      <c r="A40" s="131" t="s">
        <v>160</v>
      </c>
      <c r="B40" s="127">
        <v>0</v>
      </c>
      <c r="C40" s="128">
        <v>0</v>
      </c>
      <c r="D40" s="129">
        <v>0</v>
      </c>
      <c r="E40" s="128">
        <v>0</v>
      </c>
      <c r="F40" s="129">
        <v>0</v>
      </c>
      <c r="G40" s="128">
        <v>0</v>
      </c>
      <c r="H40" s="129">
        <v>0</v>
      </c>
      <c r="I40" s="128">
        <v>0</v>
      </c>
      <c r="J40" s="129">
        <v>0</v>
      </c>
      <c r="K40" s="130">
        <v>0</v>
      </c>
      <c r="L40" s="127">
        <f t="shared" si="7"/>
        <v>0</v>
      </c>
      <c r="M40" s="130">
        <f t="shared" si="7"/>
        <v>0</v>
      </c>
    </row>
    <row r="41" spans="1:13">
      <c r="A41" s="134" t="s">
        <v>161</v>
      </c>
      <c r="B41" s="135">
        <v>0</v>
      </c>
      <c r="C41" s="147">
        <v>0</v>
      </c>
      <c r="D41" s="136">
        <v>0</v>
      </c>
      <c r="E41" s="147">
        <v>0</v>
      </c>
      <c r="F41" s="136">
        <v>0</v>
      </c>
      <c r="G41" s="147">
        <v>0</v>
      </c>
      <c r="H41" s="136">
        <v>0</v>
      </c>
      <c r="I41" s="147">
        <v>0</v>
      </c>
      <c r="J41" s="136">
        <v>0</v>
      </c>
      <c r="K41" s="148">
        <v>0</v>
      </c>
      <c r="L41" s="135">
        <f t="shared" si="7"/>
        <v>0</v>
      </c>
      <c r="M41" s="148">
        <f t="shared" si="7"/>
        <v>0</v>
      </c>
    </row>
    <row r="42" spans="1:13">
      <c r="A42" s="62" t="s">
        <v>162</v>
      </c>
      <c r="B42" s="78">
        <f t="shared" ref="B42:M42" si="8">SUM(B36:B41)</f>
        <v>0</v>
      </c>
      <c r="C42" s="149">
        <f t="shared" si="8"/>
        <v>0</v>
      </c>
      <c r="D42" s="151">
        <f t="shared" si="8"/>
        <v>0</v>
      </c>
      <c r="E42" s="149">
        <f t="shared" si="8"/>
        <v>0</v>
      </c>
      <c r="F42" s="151">
        <f t="shared" si="8"/>
        <v>0</v>
      </c>
      <c r="G42" s="149">
        <f t="shared" si="8"/>
        <v>0</v>
      </c>
      <c r="H42" s="151">
        <f t="shared" si="8"/>
        <v>0</v>
      </c>
      <c r="I42" s="149">
        <f t="shared" si="8"/>
        <v>0</v>
      </c>
      <c r="J42" s="151">
        <f t="shared" si="8"/>
        <v>0</v>
      </c>
      <c r="K42" s="152">
        <f t="shared" si="8"/>
        <v>0</v>
      </c>
      <c r="L42" s="78">
        <f t="shared" si="8"/>
        <v>0</v>
      </c>
      <c r="M42" s="152">
        <f t="shared" si="8"/>
        <v>0</v>
      </c>
    </row>
    <row r="43" spans="1:13" ht="16.2" thickBot="1">
      <c r="A43" s="137" t="s">
        <v>163</v>
      </c>
      <c r="B43" s="138">
        <f>SUM(B21,B30,B34,B42)</f>
        <v>0</v>
      </c>
      <c r="C43" s="139">
        <f t="shared" ref="C43:K43" si="9">SUM(C21,C30,C34,C42)</f>
        <v>0</v>
      </c>
      <c r="D43" s="138">
        <f t="shared" si="9"/>
        <v>0</v>
      </c>
      <c r="E43" s="139">
        <f t="shared" si="9"/>
        <v>0</v>
      </c>
      <c r="F43" s="138">
        <f t="shared" si="9"/>
        <v>0</v>
      </c>
      <c r="G43" s="139">
        <f t="shared" si="9"/>
        <v>0</v>
      </c>
      <c r="H43" s="138">
        <f t="shared" si="9"/>
        <v>0</v>
      </c>
      <c r="I43" s="139">
        <f t="shared" si="9"/>
        <v>0</v>
      </c>
      <c r="J43" s="138">
        <f t="shared" si="9"/>
        <v>0</v>
      </c>
      <c r="K43" s="138">
        <f t="shared" si="9"/>
        <v>0</v>
      </c>
      <c r="L43" s="138">
        <f>SUM(L21,L30,L34,L42)</f>
        <v>0</v>
      </c>
      <c r="M43" s="138">
        <f>SUM(M21,M30,M34,M42)</f>
        <v>0</v>
      </c>
    </row>
    <row r="44" spans="1:13" ht="15" thickTop="1">
      <c r="A44" s="94" t="s">
        <v>164</v>
      </c>
      <c r="B44" s="95"/>
      <c r="C44" s="48"/>
      <c r="D44" s="95"/>
      <c r="E44" s="48"/>
      <c r="F44" s="95"/>
      <c r="G44" s="48"/>
      <c r="H44" s="95"/>
      <c r="I44" s="48"/>
      <c r="J44" s="95"/>
      <c r="K44" s="48"/>
      <c r="L44" s="95"/>
      <c r="M44" s="48"/>
    </row>
    <row r="45" spans="1:13">
      <c r="A45" s="126" t="s">
        <v>165</v>
      </c>
      <c r="B45" s="141">
        <v>0</v>
      </c>
      <c r="C45" s="128">
        <v>0</v>
      </c>
      <c r="D45" s="129">
        <v>0</v>
      </c>
      <c r="E45" s="128">
        <v>0</v>
      </c>
      <c r="F45" s="129">
        <v>0</v>
      </c>
      <c r="G45" s="128">
        <v>0</v>
      </c>
      <c r="H45" s="129">
        <v>0</v>
      </c>
      <c r="I45" s="128">
        <v>0</v>
      </c>
      <c r="J45" s="129">
        <v>0</v>
      </c>
      <c r="K45" s="142">
        <v>0</v>
      </c>
      <c r="L45" s="141">
        <f>SUM(D45,F45,H45,J45)</f>
        <v>0</v>
      </c>
      <c r="M45" s="142">
        <f>SUM(E45,G45,I45,K45)</f>
        <v>0</v>
      </c>
    </row>
    <row r="46" spans="1:13">
      <c r="A46" s="134" t="s">
        <v>166</v>
      </c>
      <c r="B46" s="135">
        <v>0</v>
      </c>
      <c r="C46" s="147">
        <v>0</v>
      </c>
      <c r="D46" s="136">
        <v>0</v>
      </c>
      <c r="E46" s="147">
        <v>0</v>
      </c>
      <c r="F46" s="136">
        <v>0</v>
      </c>
      <c r="G46" s="147">
        <v>0</v>
      </c>
      <c r="H46" s="136">
        <v>0</v>
      </c>
      <c r="I46" s="147">
        <v>0</v>
      </c>
      <c r="J46" s="136">
        <v>0</v>
      </c>
      <c r="K46" s="148">
        <v>0</v>
      </c>
      <c r="L46" s="135">
        <f>SUM(D46,F46,H46,J46)</f>
        <v>0</v>
      </c>
      <c r="M46" s="148">
        <f>SUM(E46,G46,I46,K46)</f>
        <v>0</v>
      </c>
    </row>
    <row r="47" spans="1:13">
      <c r="A47" s="99" t="s">
        <v>167</v>
      </c>
      <c r="B47" s="153">
        <f t="shared" ref="B47:M47" si="10">SUM(B45:B46)</f>
        <v>0</v>
      </c>
      <c r="C47" s="91">
        <f t="shared" si="10"/>
        <v>0</v>
      </c>
      <c r="D47" s="78">
        <f t="shared" si="10"/>
        <v>0</v>
      </c>
      <c r="E47" s="91">
        <f t="shared" si="10"/>
        <v>0</v>
      </c>
      <c r="F47" s="78">
        <f t="shared" si="10"/>
        <v>0</v>
      </c>
      <c r="G47" s="91">
        <f t="shared" si="10"/>
        <v>0</v>
      </c>
      <c r="H47" s="78">
        <f t="shared" si="10"/>
        <v>0</v>
      </c>
      <c r="I47" s="91">
        <f t="shared" si="10"/>
        <v>0</v>
      </c>
      <c r="J47" s="78">
        <f t="shared" si="10"/>
        <v>0</v>
      </c>
      <c r="K47" s="150">
        <f t="shared" si="10"/>
        <v>0</v>
      </c>
      <c r="L47" s="153">
        <f t="shared" si="10"/>
        <v>0</v>
      </c>
      <c r="M47" s="150">
        <f t="shared" si="10"/>
        <v>0</v>
      </c>
    </row>
    <row r="48" spans="1:13" ht="16.2" thickBot="1">
      <c r="A48" s="137" t="s">
        <v>168</v>
      </c>
      <c r="B48" s="138">
        <f>SUM(B12,B43,B47)</f>
        <v>0</v>
      </c>
      <c r="C48" s="139">
        <f t="shared" ref="C48:K48" si="11">SUM(C12,C43,C47)</f>
        <v>0</v>
      </c>
      <c r="D48" s="138">
        <f t="shared" si="11"/>
        <v>0</v>
      </c>
      <c r="E48" s="139">
        <f t="shared" si="11"/>
        <v>0</v>
      </c>
      <c r="F48" s="138">
        <f t="shared" si="11"/>
        <v>0</v>
      </c>
      <c r="G48" s="139">
        <f t="shared" si="11"/>
        <v>0</v>
      </c>
      <c r="H48" s="138">
        <f t="shared" si="11"/>
        <v>0</v>
      </c>
      <c r="I48" s="139">
        <f t="shared" si="11"/>
        <v>0</v>
      </c>
      <c r="J48" s="138">
        <f t="shared" si="11"/>
        <v>0</v>
      </c>
      <c r="K48" s="138">
        <f t="shared" si="11"/>
        <v>0</v>
      </c>
      <c r="L48" s="138">
        <f>SUM(L12,L43,L47)</f>
        <v>0</v>
      </c>
      <c r="M48" s="138">
        <f>SUM(M12,M43,M47)</f>
        <v>0</v>
      </c>
    </row>
    <row r="49" spans="1:13" ht="15" thickTop="1">
      <c r="A49" s="104"/>
      <c r="B49" s="42"/>
      <c r="C49" s="43"/>
      <c r="D49" s="42"/>
      <c r="E49" s="43"/>
      <c r="F49" s="42"/>
      <c r="G49" s="43"/>
      <c r="H49" s="42"/>
      <c r="I49" s="43"/>
      <c r="J49" s="42"/>
      <c r="K49" s="43"/>
      <c r="L49" s="42"/>
      <c r="M49" s="43"/>
    </row>
  </sheetData>
  <conditionalFormatting sqref="B36:M43 B32:M34 B23:M30 B15:M21">
    <cfRule type="cellIs" dxfId="27" priority="781" operator="lessThan">
      <formula>-0.01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BF7FA-A3EB-48E4-88E7-0C481E111C4E}">
  <sheetPr codeName="FundBalanceSht">
    <tabColor theme="5" tint="0.79998168889431442"/>
  </sheetPr>
  <dimension ref="A1:H704"/>
  <sheetViews>
    <sheetView showGridLines="0" showRowColHeaders="0" workbookViewId="0"/>
  </sheetViews>
  <sheetFormatPr defaultRowHeight="14.4"/>
  <cols>
    <col min="1" max="1" width="5.109375" customWidth="1"/>
    <col min="2" max="3" width="19" customWidth="1"/>
    <col min="4" max="4" width="14.33203125" style="192" customWidth="1"/>
    <col min="5" max="5" width="5.44140625" style="192" customWidth="1"/>
    <col min="6" max="6" width="14.33203125" style="192" customWidth="1"/>
    <col min="7" max="7" width="5.44140625" style="192" customWidth="1"/>
    <col min="8" max="8" width="14.33203125" style="192" customWidth="1"/>
  </cols>
  <sheetData>
    <row r="1" spans="1:8">
      <c r="A1" s="165" t="s">
        <v>1668</v>
      </c>
      <c r="D1"/>
      <c r="E1"/>
      <c r="F1"/>
      <c r="G1"/>
      <c r="H1"/>
    </row>
    <row r="2" spans="1:8">
      <c r="A2" s="165" t="s">
        <v>1524</v>
      </c>
      <c r="D2"/>
      <c r="E2"/>
      <c r="F2"/>
      <c r="G2"/>
      <c r="H2"/>
    </row>
    <row r="3" spans="1:8">
      <c r="A3" s="165"/>
      <c r="D3" s="189" t="s">
        <v>118</v>
      </c>
      <c r="E3"/>
      <c r="F3" s="189" t="s">
        <v>177</v>
      </c>
      <c r="G3"/>
      <c r="H3" s="189" t="s">
        <v>1518</v>
      </c>
    </row>
    <row r="4" spans="1:8">
      <c r="D4" s="190">
        <v>7122</v>
      </c>
      <c r="E4"/>
      <c r="F4" s="190" t="s">
        <v>1524</v>
      </c>
      <c r="G4"/>
      <c r="H4" s="190">
        <v>7487</v>
      </c>
    </row>
    <row r="5" spans="1:8" ht="18">
      <c r="A5" s="191" t="s">
        <v>1669</v>
      </c>
      <c r="D5"/>
      <c r="E5"/>
      <c r="F5"/>
      <c r="G5"/>
      <c r="H5"/>
    </row>
    <row r="7" spans="1:8" ht="15" thickBot="1">
      <c r="A7" s="165" t="s">
        <v>1519</v>
      </c>
      <c r="D7" s="193">
        <v>0</v>
      </c>
      <c r="F7" s="193">
        <f>D7</f>
        <v>0</v>
      </c>
      <c r="H7" s="193">
        <f>D7</f>
        <v>0</v>
      </c>
    </row>
    <row r="8" spans="1:8" ht="15" thickTop="1"/>
    <row r="9" spans="1:8">
      <c r="A9" s="165" t="s">
        <v>1513</v>
      </c>
      <c r="D9" s="194">
        <v>0</v>
      </c>
      <c r="F9" s="194">
        <v>0</v>
      </c>
      <c r="H9" s="194">
        <v>0</v>
      </c>
    </row>
    <row r="11" spans="1:8">
      <c r="A11" s="165" t="s">
        <v>1514</v>
      </c>
      <c r="D11" s="194">
        <v>0</v>
      </c>
      <c r="F11" s="194">
        <v>0</v>
      </c>
      <c r="H11" s="194">
        <v>0</v>
      </c>
    </row>
    <row r="13" spans="1:8">
      <c r="A13" s="165" t="s">
        <v>1520</v>
      </c>
    </row>
    <row r="14" spans="1:8">
      <c r="A14" s="162"/>
      <c r="D14" s="194"/>
    </row>
    <row r="15" spans="1:8">
      <c r="A15" s="162"/>
      <c r="D15" s="195">
        <f>SUM(D13:D14)</f>
        <v>0</v>
      </c>
      <c r="F15" s="195">
        <f>SUM(F13:F14)</f>
        <v>0</v>
      </c>
      <c r="H15" s="195">
        <f>SUM(H13:H14)</f>
        <v>0</v>
      </c>
    </row>
    <row r="17" spans="1:8" ht="15" thickBot="1">
      <c r="A17" s="165" t="s">
        <v>1521</v>
      </c>
      <c r="D17" s="196">
        <f>SUM(D7,D9,D11,D15)</f>
        <v>0</v>
      </c>
      <c r="F17" s="196">
        <f>SUM(F7,F9,F11,F15)</f>
        <v>0</v>
      </c>
      <c r="H17" s="196">
        <f>SUM(H7,H9,H11,H15)</f>
        <v>0</v>
      </c>
    </row>
    <row r="18" spans="1:8" ht="15" thickTop="1"/>
    <row r="19" spans="1:8">
      <c r="A19" s="165" t="s">
        <v>1522</v>
      </c>
    </row>
    <row r="20" spans="1:8">
      <c r="A20" s="197"/>
      <c r="D20" s="194"/>
    </row>
    <row r="21" spans="1:8">
      <c r="D21" s="195">
        <f>SUM(D19:D20)</f>
        <v>0</v>
      </c>
      <c r="F21" s="195">
        <f>SUM(F19:F20)</f>
        <v>0</v>
      </c>
      <c r="H21" s="195">
        <f>SUM(H19:H20)</f>
        <v>0</v>
      </c>
    </row>
    <row r="23" spans="1:8" ht="15" thickBot="1">
      <c r="A23" s="165" t="s">
        <v>1523</v>
      </c>
      <c r="D23" s="193">
        <f>D17+D21</f>
        <v>0</v>
      </c>
      <c r="F23" s="193">
        <f>F17+F21</f>
        <v>0</v>
      </c>
      <c r="H23" s="193">
        <f>H17+H21</f>
        <v>0</v>
      </c>
    </row>
    <row r="24" spans="1:8" ht="15" thickTop="1">
      <c r="A24" s="198"/>
      <c r="B24" s="198"/>
      <c r="C24" s="198"/>
      <c r="D24" s="194"/>
      <c r="E24" s="194"/>
      <c r="F24" s="194"/>
      <c r="G24" s="194"/>
      <c r="H24" s="194"/>
    </row>
    <row r="25" spans="1:8">
      <c r="D25"/>
      <c r="E25"/>
      <c r="F25"/>
      <c r="G25"/>
      <c r="H25"/>
    </row>
    <row r="26" spans="1:8">
      <c r="D26"/>
      <c r="E26"/>
      <c r="F26"/>
      <c r="G26"/>
      <c r="H26"/>
    </row>
    <row r="27" spans="1:8">
      <c r="D27"/>
      <c r="E27"/>
      <c r="F27"/>
      <c r="G27"/>
      <c r="H27"/>
    </row>
    <row r="28" spans="1:8">
      <c r="D28"/>
      <c r="E28"/>
      <c r="F28"/>
      <c r="G28"/>
      <c r="H28"/>
    </row>
    <row r="29" spans="1:8">
      <c r="D29"/>
      <c r="E29"/>
      <c r="F29"/>
      <c r="G29"/>
      <c r="H29"/>
    </row>
    <row r="30" spans="1:8">
      <c r="D30"/>
      <c r="E30"/>
      <c r="F30"/>
      <c r="G30"/>
      <c r="H30"/>
    </row>
    <row r="31" spans="1:8">
      <c r="D31"/>
      <c r="E31"/>
      <c r="F31"/>
      <c r="G31"/>
      <c r="H31"/>
    </row>
    <row r="32" spans="1:8">
      <c r="D32"/>
      <c r="E32"/>
      <c r="F32"/>
      <c r="G32"/>
      <c r="H32"/>
    </row>
    <row r="33" spans="1:8">
      <c r="D33"/>
      <c r="E33"/>
      <c r="F33"/>
      <c r="G33"/>
      <c r="H33"/>
    </row>
    <row r="34" spans="1:8" s="227" customFormat="1">
      <c r="A34"/>
      <c r="B34"/>
      <c r="C34"/>
      <c r="D34"/>
      <c r="E34"/>
      <c r="F34"/>
      <c r="G34"/>
      <c r="H34"/>
    </row>
    <row r="35" spans="1:8" s="227" customFormat="1">
      <c r="A35"/>
      <c r="B35"/>
      <c r="C35"/>
      <c r="D35"/>
      <c r="E35"/>
      <c r="F35"/>
      <c r="G35"/>
      <c r="H35"/>
    </row>
    <row r="36" spans="1:8" s="227" customFormat="1">
      <c r="A36"/>
      <c r="B36"/>
      <c r="C36"/>
      <c r="D36"/>
      <c r="E36"/>
      <c r="F36"/>
      <c r="G36"/>
      <c r="H36"/>
    </row>
    <row r="37" spans="1:8" s="227" customFormat="1">
      <c r="A37"/>
      <c r="B37"/>
      <c r="C37"/>
      <c r="D37"/>
      <c r="E37"/>
      <c r="F37"/>
      <c r="G37"/>
      <c r="H37"/>
    </row>
    <row r="38" spans="1:8" s="227" customFormat="1">
      <c r="A38"/>
      <c r="B38"/>
      <c r="C38"/>
      <c r="D38"/>
      <c r="E38"/>
      <c r="F38"/>
      <c r="G38"/>
      <c r="H38"/>
    </row>
    <row r="39" spans="1:8" s="227" customFormat="1">
      <c r="A39"/>
      <c r="B39"/>
      <c r="C39"/>
      <c r="D39"/>
      <c r="E39"/>
      <c r="F39"/>
      <c r="G39"/>
      <c r="H39"/>
    </row>
    <row r="40" spans="1:8" s="227" customFormat="1">
      <c r="A40"/>
      <c r="B40"/>
      <c r="C40"/>
      <c r="D40"/>
      <c r="E40"/>
      <c r="F40"/>
      <c r="G40"/>
      <c r="H40"/>
    </row>
    <row r="41" spans="1:8" s="227" customFormat="1">
      <c r="A41"/>
      <c r="B41"/>
      <c r="C41"/>
      <c r="D41"/>
      <c r="E41"/>
      <c r="F41"/>
      <c r="G41"/>
      <c r="H41"/>
    </row>
    <row r="42" spans="1:8" s="227" customFormat="1">
      <c r="A42"/>
      <c r="B42"/>
      <c r="C42"/>
      <c r="D42"/>
      <c r="E42"/>
      <c r="F42"/>
      <c r="G42"/>
      <c r="H42"/>
    </row>
    <row r="43" spans="1:8" s="227" customFormat="1">
      <c r="A43"/>
      <c r="B43"/>
      <c r="C43"/>
      <c r="D43"/>
      <c r="E43"/>
      <c r="F43"/>
      <c r="G43"/>
      <c r="H43"/>
    </row>
    <row r="44" spans="1:8" s="227" customFormat="1">
      <c r="A44"/>
      <c r="B44"/>
      <c r="C44"/>
      <c r="D44"/>
      <c r="E44"/>
      <c r="F44"/>
      <c r="G44"/>
      <c r="H44"/>
    </row>
    <row r="45" spans="1:8" s="227" customFormat="1">
      <c r="A45"/>
      <c r="B45"/>
      <c r="C45"/>
      <c r="D45"/>
      <c r="E45"/>
      <c r="F45"/>
      <c r="G45"/>
      <c r="H45"/>
    </row>
    <row r="46" spans="1:8" s="227" customFormat="1">
      <c r="A46"/>
      <c r="B46"/>
      <c r="C46"/>
      <c r="D46"/>
      <c r="E46"/>
      <c r="F46"/>
      <c r="G46"/>
      <c r="H46"/>
    </row>
    <row r="47" spans="1:8" s="227" customFormat="1">
      <c r="A47"/>
      <c r="B47"/>
      <c r="C47"/>
      <c r="D47"/>
      <c r="E47"/>
      <c r="F47"/>
      <c r="G47"/>
      <c r="H47"/>
    </row>
    <row r="48" spans="1:8" s="227" customFormat="1">
      <c r="A48"/>
      <c r="B48"/>
      <c r="C48"/>
      <c r="D48"/>
      <c r="E48"/>
      <c r="F48"/>
      <c r="G48"/>
      <c r="H48"/>
    </row>
    <row r="49" spans="1:8" s="227" customFormat="1">
      <c r="A49"/>
      <c r="B49"/>
      <c r="C49"/>
      <c r="D49"/>
      <c r="E49"/>
      <c r="F49"/>
      <c r="G49"/>
      <c r="H49"/>
    </row>
    <row r="50" spans="1:8" s="226" customFormat="1">
      <c r="A50"/>
      <c r="B50"/>
      <c r="C50"/>
      <c r="D50"/>
      <c r="E50"/>
      <c r="F50"/>
      <c r="G50"/>
      <c r="H50"/>
    </row>
    <row r="51" spans="1:8" s="226" customFormat="1">
      <c r="A51"/>
      <c r="B51"/>
      <c r="C51"/>
      <c r="D51"/>
      <c r="E51"/>
      <c r="F51"/>
      <c r="G51"/>
      <c r="H51"/>
    </row>
    <row r="52" spans="1:8" s="226" customFormat="1">
      <c r="A52"/>
      <c r="B52"/>
      <c r="C52"/>
      <c r="D52"/>
      <c r="E52"/>
      <c r="F52"/>
      <c r="G52"/>
      <c r="H52"/>
    </row>
    <row r="53" spans="1:8" s="226" customFormat="1">
      <c r="A53"/>
      <c r="B53"/>
      <c r="C53"/>
      <c r="D53"/>
      <c r="E53"/>
      <c r="F53"/>
      <c r="G53"/>
      <c r="H53"/>
    </row>
    <row r="54" spans="1:8" s="226" customFormat="1">
      <c r="A54"/>
      <c r="B54"/>
      <c r="C54"/>
      <c r="D54"/>
      <c r="E54"/>
      <c r="F54"/>
      <c r="G54"/>
      <c r="H54"/>
    </row>
    <row r="55" spans="1:8" s="226" customFormat="1">
      <c r="A55"/>
      <c r="B55"/>
      <c r="C55"/>
      <c r="D55"/>
      <c r="E55"/>
      <c r="F55"/>
      <c r="G55"/>
      <c r="H55"/>
    </row>
    <row r="56" spans="1:8" s="226" customFormat="1">
      <c r="A56"/>
      <c r="B56"/>
      <c r="C56"/>
      <c r="D56"/>
      <c r="E56"/>
      <c r="F56"/>
      <c r="G56"/>
      <c r="H56"/>
    </row>
    <row r="57" spans="1:8" s="226" customFormat="1">
      <c r="A57"/>
      <c r="B57"/>
      <c r="C57"/>
      <c r="D57"/>
      <c r="E57"/>
      <c r="F57"/>
      <c r="G57"/>
      <c r="H57"/>
    </row>
    <row r="58" spans="1:8" s="219" customFormat="1">
      <c r="A58"/>
      <c r="B58"/>
      <c r="C58"/>
      <c r="D58"/>
      <c r="E58"/>
      <c r="F58"/>
      <c r="G58"/>
      <c r="H58"/>
    </row>
    <row r="59" spans="1:8" s="219" customFormat="1">
      <c r="A59"/>
      <c r="B59"/>
      <c r="C59"/>
      <c r="D59"/>
      <c r="E59"/>
      <c r="F59"/>
      <c r="G59"/>
      <c r="H59"/>
    </row>
    <row r="60" spans="1:8" s="219" customFormat="1">
      <c r="A60"/>
      <c r="B60"/>
      <c r="C60"/>
      <c r="D60"/>
      <c r="E60"/>
      <c r="F60"/>
      <c r="G60"/>
      <c r="H60"/>
    </row>
    <row r="61" spans="1:8" s="219" customFormat="1">
      <c r="A61"/>
      <c r="B61"/>
      <c r="C61"/>
      <c r="D61"/>
      <c r="E61"/>
      <c r="F61"/>
      <c r="G61"/>
      <c r="H61"/>
    </row>
    <row r="62" spans="1:8" s="219" customFormat="1">
      <c r="A62"/>
      <c r="B62"/>
      <c r="C62"/>
      <c r="D62"/>
      <c r="E62"/>
      <c r="F62"/>
      <c r="G62"/>
      <c r="H62"/>
    </row>
    <row r="63" spans="1:8" s="219" customFormat="1">
      <c r="A63"/>
      <c r="B63"/>
      <c r="C63"/>
      <c r="D63"/>
      <c r="E63"/>
      <c r="F63"/>
      <c r="G63"/>
      <c r="H63"/>
    </row>
    <row r="64" spans="1:8" s="219" customFormat="1">
      <c r="A64"/>
      <c r="B64"/>
      <c r="C64"/>
      <c r="D64"/>
      <c r="E64"/>
      <c r="F64"/>
      <c r="G64"/>
      <c r="H64"/>
    </row>
    <row r="65" spans="1:8" s="219" customFormat="1">
      <c r="A65"/>
      <c r="B65"/>
      <c r="C65"/>
      <c r="D65"/>
      <c r="E65"/>
      <c r="F65"/>
      <c r="G65"/>
      <c r="H65"/>
    </row>
    <row r="66" spans="1:8" s="219" customFormat="1">
      <c r="A66"/>
      <c r="B66"/>
      <c r="C66"/>
      <c r="D66"/>
      <c r="E66"/>
      <c r="F66"/>
      <c r="G66"/>
      <c r="H66"/>
    </row>
    <row r="67" spans="1:8" s="219" customFormat="1">
      <c r="A67"/>
      <c r="B67"/>
      <c r="C67"/>
      <c r="D67"/>
      <c r="E67"/>
      <c r="F67"/>
      <c r="G67"/>
      <c r="H67"/>
    </row>
    <row r="68" spans="1:8" s="219" customFormat="1">
      <c r="A68"/>
      <c r="B68"/>
      <c r="C68"/>
      <c r="D68"/>
      <c r="E68"/>
      <c r="F68"/>
      <c r="G68"/>
      <c r="H68"/>
    </row>
    <row r="69" spans="1:8" s="219" customFormat="1">
      <c r="A69"/>
      <c r="B69"/>
      <c r="C69"/>
      <c r="D69"/>
      <c r="E69"/>
      <c r="F69"/>
      <c r="G69"/>
      <c r="H69"/>
    </row>
    <row r="70" spans="1:8" s="219" customFormat="1">
      <c r="A70"/>
      <c r="B70"/>
      <c r="C70"/>
      <c r="D70"/>
      <c r="E70"/>
      <c r="F70"/>
      <c r="G70"/>
      <c r="H70"/>
    </row>
    <row r="71" spans="1:8" s="219" customFormat="1">
      <c r="A71"/>
      <c r="B71"/>
      <c r="C71"/>
      <c r="D71"/>
      <c r="E71"/>
      <c r="F71"/>
      <c r="G71"/>
      <c r="H71"/>
    </row>
    <row r="72" spans="1:8" s="219" customFormat="1">
      <c r="A72"/>
      <c r="B72"/>
      <c r="C72"/>
      <c r="D72"/>
      <c r="E72"/>
      <c r="F72"/>
      <c r="G72"/>
      <c r="H72"/>
    </row>
    <row r="73" spans="1:8" s="219" customFormat="1">
      <c r="A73"/>
      <c r="B73"/>
      <c r="C73"/>
      <c r="D73"/>
      <c r="E73"/>
      <c r="F73"/>
      <c r="G73"/>
      <c r="H73"/>
    </row>
    <row r="74" spans="1:8" s="219" customFormat="1">
      <c r="A74"/>
      <c r="B74"/>
      <c r="C74"/>
      <c r="D74"/>
      <c r="E74"/>
      <c r="F74"/>
      <c r="G74"/>
      <c r="H74"/>
    </row>
    <row r="75" spans="1:8" s="219" customFormat="1">
      <c r="A75"/>
      <c r="B75"/>
      <c r="C75"/>
      <c r="D75"/>
      <c r="E75"/>
      <c r="F75"/>
      <c r="G75"/>
      <c r="H75"/>
    </row>
    <row r="76" spans="1:8" s="219" customFormat="1">
      <c r="A76"/>
      <c r="B76"/>
      <c r="C76"/>
      <c r="D76"/>
      <c r="E76"/>
      <c r="F76"/>
      <c r="G76"/>
      <c r="H76"/>
    </row>
    <row r="77" spans="1:8" s="219" customFormat="1">
      <c r="A77"/>
      <c r="B77"/>
      <c r="C77"/>
      <c r="D77"/>
      <c r="E77"/>
      <c r="F77"/>
      <c r="G77"/>
      <c r="H77"/>
    </row>
    <row r="78" spans="1:8" s="219" customFormat="1">
      <c r="A78"/>
      <c r="B78"/>
      <c r="C78"/>
      <c r="D78"/>
      <c r="E78"/>
      <c r="F78"/>
      <c r="G78"/>
      <c r="H78"/>
    </row>
    <row r="79" spans="1:8" s="219" customFormat="1">
      <c r="A79"/>
      <c r="B79"/>
      <c r="C79"/>
      <c r="D79"/>
      <c r="E79"/>
      <c r="F79"/>
      <c r="G79"/>
      <c r="H79"/>
    </row>
    <row r="80" spans="1:8" s="219" customFormat="1">
      <c r="A80"/>
      <c r="B80"/>
      <c r="C80"/>
      <c r="D80"/>
      <c r="E80"/>
      <c r="F80"/>
      <c r="G80"/>
      <c r="H80"/>
    </row>
    <row r="81" spans="1:8" s="219" customFormat="1">
      <c r="A81"/>
      <c r="B81"/>
      <c r="C81"/>
      <c r="D81"/>
      <c r="E81"/>
      <c r="F81"/>
      <c r="G81"/>
      <c r="H81"/>
    </row>
    <row r="82" spans="1:8" s="217" customFormat="1">
      <c r="A82"/>
      <c r="B82"/>
      <c r="C82"/>
      <c r="D82"/>
      <c r="E82"/>
      <c r="F82"/>
      <c r="G82"/>
      <c r="H82"/>
    </row>
    <row r="83" spans="1:8" s="217" customFormat="1">
      <c r="A83"/>
      <c r="B83"/>
      <c r="C83"/>
      <c r="D83"/>
      <c r="E83"/>
      <c r="F83"/>
      <c r="G83"/>
      <c r="H83"/>
    </row>
    <row r="84" spans="1:8" s="217" customFormat="1">
      <c r="A84"/>
      <c r="B84"/>
      <c r="C84"/>
      <c r="D84"/>
      <c r="E84"/>
      <c r="F84"/>
      <c r="G84"/>
      <c r="H84"/>
    </row>
    <row r="85" spans="1:8" s="217" customFormat="1">
      <c r="A85"/>
      <c r="B85"/>
      <c r="C85"/>
      <c r="D85"/>
      <c r="E85"/>
      <c r="F85"/>
      <c r="G85"/>
      <c r="H85"/>
    </row>
    <row r="86" spans="1:8" s="217" customFormat="1">
      <c r="A86"/>
      <c r="B86"/>
      <c r="C86"/>
      <c r="D86"/>
      <c r="E86"/>
      <c r="F86"/>
      <c r="G86"/>
      <c r="H86"/>
    </row>
    <row r="87" spans="1:8" s="217" customFormat="1">
      <c r="A87"/>
      <c r="B87"/>
      <c r="C87"/>
      <c r="D87"/>
      <c r="E87"/>
      <c r="F87"/>
      <c r="G87"/>
      <c r="H87"/>
    </row>
    <row r="88" spans="1:8" s="217" customFormat="1">
      <c r="A88"/>
      <c r="B88"/>
      <c r="C88"/>
      <c r="D88"/>
      <c r="E88"/>
      <c r="F88"/>
      <c r="G88"/>
      <c r="H88"/>
    </row>
    <row r="89" spans="1:8" s="217" customFormat="1">
      <c r="A89"/>
      <c r="B89"/>
      <c r="C89"/>
      <c r="D89"/>
      <c r="E89"/>
      <c r="F89"/>
      <c r="G89"/>
      <c r="H89"/>
    </row>
    <row r="90" spans="1:8" s="217" customFormat="1">
      <c r="A90"/>
      <c r="B90"/>
      <c r="C90"/>
      <c r="D90"/>
      <c r="E90"/>
      <c r="F90"/>
      <c r="G90"/>
      <c r="H90"/>
    </row>
    <row r="91" spans="1:8" s="217" customFormat="1">
      <c r="A91"/>
      <c r="B91"/>
      <c r="C91"/>
      <c r="D91"/>
      <c r="E91"/>
      <c r="F91"/>
      <c r="G91"/>
      <c r="H91"/>
    </row>
    <row r="92" spans="1:8" s="217" customFormat="1">
      <c r="A92"/>
      <c r="B92"/>
      <c r="C92"/>
      <c r="D92"/>
      <c r="E92"/>
      <c r="F92"/>
      <c r="G92"/>
      <c r="H92"/>
    </row>
    <row r="93" spans="1:8" s="217" customFormat="1">
      <c r="A93"/>
      <c r="B93"/>
      <c r="C93"/>
      <c r="D93"/>
      <c r="E93"/>
      <c r="F93"/>
      <c r="G93"/>
      <c r="H93"/>
    </row>
    <row r="94" spans="1:8" s="217" customFormat="1">
      <c r="A94"/>
      <c r="B94"/>
      <c r="C94"/>
      <c r="D94"/>
      <c r="E94"/>
      <c r="F94"/>
      <c r="G94"/>
      <c r="H94"/>
    </row>
    <row r="95" spans="1:8" s="217" customFormat="1">
      <c r="A95"/>
      <c r="B95"/>
      <c r="C95"/>
      <c r="D95"/>
      <c r="E95"/>
      <c r="F95"/>
      <c r="G95"/>
      <c r="H95"/>
    </row>
    <row r="96" spans="1:8" s="217" customFormat="1">
      <c r="A96"/>
      <c r="B96"/>
      <c r="C96"/>
      <c r="D96"/>
      <c r="E96"/>
      <c r="F96"/>
      <c r="G96"/>
      <c r="H96"/>
    </row>
    <row r="97" spans="1:8" s="217" customFormat="1">
      <c r="A97"/>
      <c r="B97"/>
      <c r="C97"/>
      <c r="D97"/>
      <c r="E97"/>
      <c r="F97"/>
      <c r="G97"/>
      <c r="H97"/>
    </row>
    <row r="98" spans="1:8" s="217" customFormat="1">
      <c r="A98"/>
      <c r="B98"/>
      <c r="C98"/>
      <c r="D98"/>
      <c r="E98"/>
      <c r="F98"/>
      <c r="G98"/>
      <c r="H98"/>
    </row>
    <row r="99" spans="1:8" s="217" customFormat="1">
      <c r="A99"/>
      <c r="B99"/>
      <c r="C99"/>
      <c r="D99"/>
      <c r="E99"/>
      <c r="F99"/>
      <c r="G99"/>
      <c r="H99"/>
    </row>
    <row r="100" spans="1:8" s="217" customFormat="1">
      <c r="A100"/>
      <c r="B100"/>
      <c r="C100"/>
      <c r="D100"/>
      <c r="E100"/>
      <c r="F100"/>
      <c r="G100"/>
      <c r="H100"/>
    </row>
    <row r="101" spans="1:8" s="217" customFormat="1">
      <c r="A101"/>
      <c r="B101"/>
      <c r="C101"/>
      <c r="D101"/>
      <c r="E101"/>
      <c r="F101"/>
      <c r="G101"/>
      <c r="H101"/>
    </row>
    <row r="102" spans="1:8" s="217" customFormat="1">
      <c r="A102"/>
      <c r="B102"/>
      <c r="C102"/>
      <c r="D102"/>
      <c r="E102"/>
      <c r="F102"/>
      <c r="G102"/>
      <c r="H102"/>
    </row>
    <row r="103" spans="1:8" s="217" customFormat="1">
      <c r="A103"/>
      <c r="B103"/>
      <c r="C103"/>
      <c r="D103"/>
      <c r="E103"/>
      <c r="F103"/>
      <c r="G103"/>
      <c r="H103"/>
    </row>
    <row r="104" spans="1:8" s="217" customFormat="1">
      <c r="A104"/>
      <c r="B104"/>
      <c r="C104"/>
      <c r="D104"/>
      <c r="E104"/>
      <c r="F104"/>
      <c r="G104"/>
      <c r="H104"/>
    </row>
    <row r="105" spans="1:8" s="217" customFormat="1">
      <c r="A105"/>
      <c r="B105"/>
      <c r="C105"/>
      <c r="D105"/>
      <c r="E105"/>
      <c r="F105"/>
      <c r="G105"/>
      <c r="H105"/>
    </row>
    <row r="106" spans="1:8" s="210" customFormat="1">
      <c r="A106"/>
      <c r="B106"/>
      <c r="C106"/>
      <c r="D106"/>
      <c r="E106"/>
      <c r="F106"/>
      <c r="G106"/>
      <c r="H106"/>
    </row>
    <row r="107" spans="1:8" s="210" customFormat="1">
      <c r="A107"/>
      <c r="B107"/>
      <c r="C107"/>
      <c r="D107"/>
      <c r="E107"/>
      <c r="F107"/>
      <c r="G107"/>
      <c r="H107"/>
    </row>
    <row r="108" spans="1:8" s="210" customFormat="1">
      <c r="A108"/>
      <c r="B108"/>
      <c r="C108"/>
      <c r="D108"/>
      <c r="E108"/>
      <c r="F108"/>
      <c r="G108"/>
      <c r="H108"/>
    </row>
    <row r="109" spans="1:8" s="210" customFormat="1">
      <c r="A109"/>
      <c r="B109"/>
      <c r="C109"/>
      <c r="D109"/>
      <c r="E109"/>
      <c r="F109"/>
      <c r="G109"/>
      <c r="H109"/>
    </row>
    <row r="110" spans="1:8" s="210" customFormat="1">
      <c r="A110"/>
      <c r="B110"/>
      <c r="C110"/>
      <c r="D110"/>
      <c r="E110"/>
      <c r="F110"/>
      <c r="G110"/>
      <c r="H110"/>
    </row>
    <row r="111" spans="1:8" s="210" customFormat="1">
      <c r="A111"/>
      <c r="B111"/>
      <c r="C111"/>
      <c r="D111"/>
      <c r="E111"/>
      <c r="F111"/>
      <c r="G111"/>
      <c r="H111"/>
    </row>
    <row r="112" spans="1:8" s="210" customFormat="1">
      <c r="A112"/>
      <c r="B112"/>
      <c r="C112"/>
      <c r="D112"/>
      <c r="E112"/>
      <c r="F112"/>
      <c r="G112"/>
      <c r="H112"/>
    </row>
    <row r="113" spans="1:8" s="210" customFormat="1">
      <c r="A113"/>
      <c r="B113"/>
      <c r="C113"/>
      <c r="D113"/>
      <c r="E113"/>
      <c r="F113"/>
      <c r="G113"/>
      <c r="H113"/>
    </row>
    <row r="114" spans="1:8" s="210" customFormat="1">
      <c r="A114"/>
      <c r="B114"/>
      <c r="C114"/>
      <c r="D114"/>
      <c r="E114"/>
      <c r="F114"/>
      <c r="G114"/>
      <c r="H114"/>
    </row>
    <row r="115" spans="1:8" s="210" customFormat="1">
      <c r="A115"/>
      <c r="B115"/>
      <c r="C115"/>
      <c r="D115"/>
      <c r="E115"/>
      <c r="F115"/>
      <c r="G115"/>
      <c r="H115"/>
    </row>
    <row r="116" spans="1:8" s="210" customFormat="1">
      <c r="A116"/>
      <c r="B116"/>
      <c r="C116"/>
      <c r="D116"/>
      <c r="E116"/>
      <c r="F116"/>
      <c r="G116"/>
      <c r="H116"/>
    </row>
    <row r="117" spans="1:8" s="210" customFormat="1">
      <c r="A117"/>
      <c r="B117"/>
      <c r="C117"/>
      <c r="D117"/>
      <c r="E117"/>
      <c r="F117"/>
      <c r="G117"/>
      <c r="H117"/>
    </row>
    <row r="118" spans="1:8" s="210" customFormat="1">
      <c r="A118"/>
      <c r="B118"/>
      <c r="C118"/>
      <c r="D118"/>
      <c r="E118"/>
      <c r="F118"/>
      <c r="G118"/>
      <c r="H118"/>
    </row>
    <row r="119" spans="1:8" s="210" customFormat="1">
      <c r="A119"/>
      <c r="B119"/>
      <c r="C119"/>
      <c r="D119"/>
      <c r="E119"/>
      <c r="F119"/>
      <c r="G119"/>
      <c r="H119"/>
    </row>
    <row r="120" spans="1:8" s="210" customFormat="1">
      <c r="A120"/>
      <c r="B120"/>
      <c r="C120"/>
      <c r="D120"/>
      <c r="E120"/>
      <c r="F120"/>
      <c r="G120"/>
      <c r="H120"/>
    </row>
    <row r="121" spans="1:8" s="210" customFormat="1">
      <c r="A121"/>
      <c r="B121"/>
      <c r="C121"/>
      <c r="D121"/>
      <c r="E121"/>
      <c r="F121"/>
      <c r="G121"/>
      <c r="H121"/>
    </row>
    <row r="122" spans="1:8" s="210" customFormat="1">
      <c r="A122"/>
      <c r="B122"/>
      <c r="C122"/>
      <c r="D122"/>
      <c r="E122"/>
      <c r="F122"/>
      <c r="G122"/>
      <c r="H122"/>
    </row>
    <row r="123" spans="1:8" s="210" customFormat="1">
      <c r="A123"/>
      <c r="B123"/>
      <c r="C123"/>
      <c r="D123"/>
      <c r="E123"/>
      <c r="F123"/>
      <c r="G123"/>
      <c r="H123"/>
    </row>
    <row r="124" spans="1:8" s="210" customFormat="1">
      <c r="A124"/>
      <c r="B124"/>
      <c r="C124"/>
      <c r="D124"/>
      <c r="E124"/>
      <c r="F124"/>
      <c r="G124"/>
      <c r="H124"/>
    </row>
    <row r="125" spans="1:8" s="210" customFormat="1">
      <c r="A125"/>
      <c r="B125"/>
      <c r="C125"/>
      <c r="D125"/>
      <c r="E125"/>
      <c r="F125"/>
      <c r="G125"/>
      <c r="H125"/>
    </row>
    <row r="126" spans="1:8" s="210" customFormat="1">
      <c r="A126"/>
      <c r="B126"/>
      <c r="C126"/>
      <c r="D126"/>
      <c r="E126"/>
      <c r="F126"/>
      <c r="G126"/>
      <c r="H126"/>
    </row>
    <row r="127" spans="1:8" s="210" customFormat="1">
      <c r="A127"/>
      <c r="B127"/>
      <c r="C127"/>
      <c r="D127"/>
      <c r="E127"/>
      <c r="F127"/>
      <c r="G127"/>
      <c r="H127"/>
    </row>
    <row r="128" spans="1:8" s="210" customFormat="1">
      <c r="A128"/>
      <c r="B128"/>
      <c r="C128"/>
      <c r="D128"/>
      <c r="E128"/>
      <c r="F128"/>
      <c r="G128"/>
      <c r="H128"/>
    </row>
    <row r="129" spans="1:8" s="210" customFormat="1">
      <c r="A129"/>
      <c r="B129"/>
      <c r="C129"/>
      <c r="D129"/>
      <c r="E129"/>
      <c r="F129"/>
      <c r="G129"/>
      <c r="H129"/>
    </row>
    <row r="130" spans="1:8" s="210" customFormat="1">
      <c r="A130"/>
      <c r="B130"/>
      <c r="C130"/>
      <c r="D130"/>
      <c r="E130"/>
      <c r="F130"/>
      <c r="G130"/>
      <c r="H130"/>
    </row>
    <row r="131" spans="1:8" s="210" customFormat="1">
      <c r="A131"/>
      <c r="B131"/>
      <c r="C131"/>
      <c r="D131"/>
      <c r="E131"/>
      <c r="F131"/>
      <c r="G131"/>
      <c r="H131"/>
    </row>
    <row r="132" spans="1:8" s="210" customFormat="1">
      <c r="A132"/>
      <c r="B132"/>
      <c r="C132"/>
      <c r="D132"/>
      <c r="E132"/>
      <c r="F132"/>
      <c r="G132"/>
      <c r="H132"/>
    </row>
    <row r="133" spans="1:8" s="210" customFormat="1">
      <c r="A133"/>
      <c r="B133"/>
      <c r="C133"/>
      <c r="D133"/>
      <c r="E133"/>
      <c r="F133"/>
      <c r="G133"/>
      <c r="H133"/>
    </row>
    <row r="134" spans="1:8" s="210" customFormat="1">
      <c r="A134"/>
      <c r="B134"/>
      <c r="C134"/>
      <c r="D134"/>
      <c r="E134"/>
      <c r="F134"/>
      <c r="G134"/>
      <c r="H134"/>
    </row>
    <row r="135" spans="1:8" s="210" customFormat="1">
      <c r="A135"/>
      <c r="B135"/>
      <c r="C135"/>
      <c r="D135"/>
      <c r="E135"/>
      <c r="F135"/>
      <c r="G135"/>
      <c r="H135"/>
    </row>
    <row r="136" spans="1:8" s="210" customFormat="1">
      <c r="A136"/>
      <c r="B136"/>
      <c r="C136"/>
      <c r="D136"/>
      <c r="E136"/>
      <c r="F136"/>
      <c r="G136"/>
      <c r="H136"/>
    </row>
    <row r="137" spans="1:8" s="210" customFormat="1">
      <c r="A137"/>
      <c r="B137"/>
      <c r="C137"/>
      <c r="D137"/>
      <c r="E137"/>
      <c r="F137"/>
      <c r="G137"/>
      <c r="H137"/>
    </row>
    <row r="138" spans="1:8">
      <c r="D138"/>
      <c r="E138"/>
      <c r="F138"/>
      <c r="G138"/>
      <c r="H138"/>
    </row>
    <row r="139" spans="1:8">
      <c r="D139"/>
      <c r="E139"/>
      <c r="F139"/>
      <c r="G139"/>
      <c r="H139"/>
    </row>
    <row r="140" spans="1:8">
      <c r="D140"/>
      <c r="E140"/>
      <c r="F140"/>
      <c r="G140"/>
      <c r="H140"/>
    </row>
    <row r="141" spans="1:8">
      <c r="D141"/>
      <c r="E141"/>
      <c r="F141"/>
      <c r="G141"/>
      <c r="H141"/>
    </row>
    <row r="142" spans="1:8">
      <c r="D142"/>
      <c r="E142"/>
      <c r="F142"/>
      <c r="G142"/>
      <c r="H142"/>
    </row>
    <row r="143" spans="1:8">
      <c r="D143"/>
      <c r="E143"/>
      <c r="F143"/>
      <c r="G143"/>
      <c r="H143"/>
    </row>
    <row r="144" spans="1:8">
      <c r="D144"/>
      <c r="E144"/>
      <c r="F144"/>
      <c r="G144"/>
      <c r="H144"/>
    </row>
    <row r="145" spans="4:8">
      <c r="D145"/>
      <c r="E145"/>
      <c r="F145"/>
      <c r="G145"/>
      <c r="H145"/>
    </row>
    <row r="146" spans="4:8">
      <c r="D146"/>
      <c r="E146"/>
      <c r="F146"/>
      <c r="G146"/>
      <c r="H146"/>
    </row>
    <row r="147" spans="4:8">
      <c r="D147"/>
      <c r="E147"/>
      <c r="F147"/>
      <c r="G147"/>
      <c r="H147"/>
    </row>
    <row r="148" spans="4:8">
      <c r="D148"/>
      <c r="E148"/>
      <c r="F148"/>
      <c r="G148"/>
      <c r="H148"/>
    </row>
    <row r="149" spans="4:8">
      <c r="D149"/>
      <c r="E149"/>
      <c r="F149"/>
      <c r="G149"/>
      <c r="H149"/>
    </row>
    <row r="150" spans="4:8">
      <c r="D150"/>
      <c r="E150"/>
      <c r="F150"/>
      <c r="G150"/>
      <c r="H150"/>
    </row>
    <row r="151" spans="4:8">
      <c r="D151"/>
      <c r="E151"/>
      <c r="F151"/>
      <c r="G151"/>
      <c r="H151"/>
    </row>
    <row r="152" spans="4:8">
      <c r="D152"/>
      <c r="E152"/>
      <c r="F152"/>
      <c r="G152"/>
      <c r="H152"/>
    </row>
    <row r="153" spans="4:8">
      <c r="D153"/>
      <c r="E153"/>
      <c r="F153"/>
      <c r="G153"/>
      <c r="H153"/>
    </row>
    <row r="154" spans="4:8">
      <c r="D154"/>
      <c r="E154"/>
      <c r="F154"/>
      <c r="G154"/>
      <c r="H154"/>
    </row>
    <row r="155" spans="4:8">
      <c r="D155"/>
      <c r="E155"/>
      <c r="F155"/>
      <c r="G155"/>
      <c r="H155"/>
    </row>
    <row r="156" spans="4:8">
      <c r="D156"/>
      <c r="E156"/>
      <c r="F156"/>
      <c r="G156"/>
      <c r="H156"/>
    </row>
    <row r="157" spans="4:8">
      <c r="D157"/>
      <c r="E157"/>
      <c r="F157"/>
      <c r="G157"/>
      <c r="H157"/>
    </row>
    <row r="158" spans="4:8">
      <c r="D158"/>
      <c r="E158"/>
      <c r="F158"/>
      <c r="G158"/>
      <c r="H158"/>
    </row>
    <row r="159" spans="4:8">
      <c r="D159"/>
      <c r="E159"/>
      <c r="F159"/>
      <c r="G159"/>
      <c r="H159"/>
    </row>
    <row r="160" spans="4:8">
      <c r="D160"/>
      <c r="E160"/>
      <c r="F160"/>
      <c r="G160"/>
      <c r="H160"/>
    </row>
    <row r="161" spans="4:8">
      <c r="D161"/>
      <c r="E161"/>
      <c r="F161"/>
      <c r="G161"/>
      <c r="H161"/>
    </row>
    <row r="162" spans="4:8">
      <c r="D162"/>
      <c r="E162"/>
      <c r="F162"/>
      <c r="G162"/>
      <c r="H162"/>
    </row>
    <row r="163" spans="4:8">
      <c r="D163"/>
      <c r="E163"/>
      <c r="F163"/>
      <c r="G163"/>
      <c r="H163"/>
    </row>
    <row r="164" spans="4:8">
      <c r="D164"/>
      <c r="E164"/>
      <c r="F164"/>
      <c r="G164"/>
      <c r="H164"/>
    </row>
    <row r="165" spans="4:8">
      <c r="D165"/>
      <c r="E165"/>
      <c r="F165"/>
      <c r="G165"/>
      <c r="H165"/>
    </row>
    <row r="166" spans="4:8">
      <c r="D166"/>
      <c r="E166"/>
      <c r="F166"/>
      <c r="G166"/>
      <c r="H166"/>
    </row>
    <row r="167" spans="4:8">
      <c r="D167"/>
      <c r="E167"/>
      <c r="F167"/>
      <c r="G167"/>
      <c r="H167"/>
    </row>
    <row r="168" spans="4:8">
      <c r="D168"/>
      <c r="E168"/>
      <c r="F168"/>
      <c r="G168"/>
      <c r="H168"/>
    </row>
    <row r="169" spans="4:8">
      <c r="D169"/>
      <c r="E169"/>
      <c r="F169"/>
      <c r="G169"/>
      <c r="H169"/>
    </row>
    <row r="170" spans="4:8">
      <c r="D170"/>
      <c r="E170"/>
      <c r="F170"/>
      <c r="G170"/>
      <c r="H170"/>
    </row>
    <row r="171" spans="4:8">
      <c r="D171"/>
      <c r="E171"/>
      <c r="F171"/>
      <c r="G171"/>
      <c r="H171"/>
    </row>
    <row r="172" spans="4:8">
      <c r="D172"/>
      <c r="E172"/>
      <c r="F172"/>
      <c r="G172"/>
      <c r="H172"/>
    </row>
    <row r="173" spans="4:8">
      <c r="D173"/>
      <c r="E173"/>
      <c r="F173"/>
      <c r="G173"/>
      <c r="H173"/>
    </row>
    <row r="174" spans="4:8">
      <c r="D174"/>
      <c r="E174"/>
      <c r="F174"/>
      <c r="G174"/>
      <c r="H174"/>
    </row>
    <row r="175" spans="4:8">
      <c r="D175"/>
      <c r="E175"/>
      <c r="F175"/>
      <c r="G175"/>
      <c r="H175"/>
    </row>
    <row r="176" spans="4:8">
      <c r="D176"/>
      <c r="E176"/>
      <c r="F176"/>
      <c r="G176"/>
      <c r="H176"/>
    </row>
    <row r="177" spans="4:8">
      <c r="D177"/>
      <c r="E177"/>
      <c r="F177"/>
      <c r="G177"/>
      <c r="H177"/>
    </row>
    <row r="178" spans="4:8">
      <c r="D178"/>
      <c r="E178"/>
      <c r="F178"/>
      <c r="G178"/>
      <c r="H178"/>
    </row>
    <row r="179" spans="4:8">
      <c r="D179"/>
      <c r="E179"/>
      <c r="F179"/>
      <c r="G179"/>
      <c r="H179"/>
    </row>
    <row r="180" spans="4:8">
      <c r="D180"/>
      <c r="E180"/>
      <c r="F180"/>
      <c r="G180"/>
      <c r="H180"/>
    </row>
    <row r="181" spans="4:8">
      <c r="D181"/>
      <c r="E181"/>
      <c r="F181"/>
      <c r="G181"/>
      <c r="H181"/>
    </row>
    <row r="182" spans="4:8">
      <c r="D182"/>
      <c r="E182"/>
      <c r="F182"/>
      <c r="G182"/>
      <c r="H182"/>
    </row>
    <row r="183" spans="4:8">
      <c r="D183"/>
      <c r="E183"/>
      <c r="F183"/>
      <c r="G183"/>
      <c r="H183"/>
    </row>
    <row r="184" spans="4:8">
      <c r="D184"/>
      <c r="E184"/>
      <c r="F184"/>
      <c r="G184"/>
      <c r="H184"/>
    </row>
    <row r="185" spans="4:8">
      <c r="D185"/>
      <c r="E185"/>
      <c r="F185"/>
      <c r="G185"/>
      <c r="H185"/>
    </row>
    <row r="186" spans="4:8">
      <c r="D186"/>
      <c r="E186"/>
      <c r="F186"/>
      <c r="G186"/>
      <c r="H186"/>
    </row>
    <row r="187" spans="4:8">
      <c r="D187"/>
      <c r="E187"/>
      <c r="F187"/>
      <c r="G187"/>
      <c r="H187"/>
    </row>
    <row r="188" spans="4:8">
      <c r="D188"/>
      <c r="E188"/>
      <c r="F188"/>
      <c r="G188"/>
      <c r="H188"/>
    </row>
    <row r="189" spans="4:8">
      <c r="D189"/>
      <c r="E189"/>
      <c r="F189"/>
      <c r="G189"/>
      <c r="H189"/>
    </row>
    <row r="190" spans="4:8">
      <c r="D190"/>
      <c r="E190"/>
      <c r="F190"/>
      <c r="G190"/>
      <c r="H190"/>
    </row>
    <row r="191" spans="4:8">
      <c r="D191"/>
      <c r="E191"/>
      <c r="F191"/>
      <c r="G191"/>
      <c r="H191"/>
    </row>
    <row r="192" spans="4:8">
      <c r="D192"/>
      <c r="E192"/>
      <c r="F192"/>
      <c r="G192"/>
      <c r="H192"/>
    </row>
    <row r="193" spans="4:8">
      <c r="D193"/>
      <c r="E193"/>
      <c r="F193"/>
      <c r="G193"/>
      <c r="H193"/>
    </row>
    <row r="194" spans="4:8">
      <c r="D194"/>
      <c r="E194"/>
      <c r="F194"/>
      <c r="G194"/>
      <c r="H194"/>
    </row>
    <row r="195" spans="4:8">
      <c r="D195"/>
      <c r="E195"/>
      <c r="F195"/>
      <c r="G195"/>
      <c r="H195"/>
    </row>
    <row r="196" spans="4:8">
      <c r="D196"/>
      <c r="E196"/>
      <c r="F196"/>
      <c r="G196"/>
      <c r="H196"/>
    </row>
    <row r="197" spans="4:8">
      <c r="D197"/>
      <c r="E197"/>
      <c r="F197"/>
      <c r="G197"/>
      <c r="H197"/>
    </row>
    <row r="198" spans="4:8">
      <c r="D198"/>
      <c r="E198"/>
      <c r="F198"/>
      <c r="G198"/>
      <c r="H198"/>
    </row>
    <row r="199" spans="4:8">
      <c r="D199"/>
      <c r="E199"/>
      <c r="F199"/>
      <c r="G199"/>
      <c r="H199"/>
    </row>
    <row r="200" spans="4:8">
      <c r="D200"/>
      <c r="E200"/>
      <c r="F200"/>
      <c r="G200"/>
      <c r="H200"/>
    </row>
    <row r="201" spans="4:8">
      <c r="D201"/>
      <c r="E201"/>
      <c r="F201"/>
      <c r="G201"/>
      <c r="H201"/>
    </row>
    <row r="202" spans="4:8">
      <c r="D202"/>
      <c r="E202"/>
      <c r="F202"/>
      <c r="G202"/>
      <c r="H202"/>
    </row>
    <row r="203" spans="4:8">
      <c r="D203"/>
      <c r="E203"/>
      <c r="F203"/>
      <c r="G203"/>
      <c r="H203"/>
    </row>
    <row r="204" spans="4:8">
      <c r="D204"/>
      <c r="E204"/>
      <c r="F204"/>
      <c r="G204"/>
      <c r="H204"/>
    </row>
    <row r="205" spans="4:8">
      <c r="D205"/>
      <c r="E205"/>
      <c r="F205"/>
      <c r="G205"/>
      <c r="H205"/>
    </row>
    <row r="206" spans="4:8">
      <c r="D206"/>
      <c r="E206"/>
      <c r="F206"/>
      <c r="G206"/>
      <c r="H206"/>
    </row>
    <row r="207" spans="4:8">
      <c r="D207"/>
      <c r="E207"/>
      <c r="F207"/>
      <c r="G207"/>
      <c r="H207"/>
    </row>
    <row r="208" spans="4:8">
      <c r="D208"/>
      <c r="E208"/>
      <c r="F208"/>
      <c r="G208"/>
      <c r="H208"/>
    </row>
    <row r="209" spans="4:8">
      <c r="D209"/>
      <c r="E209"/>
      <c r="F209"/>
      <c r="G209"/>
      <c r="H209"/>
    </row>
    <row r="210" spans="4:8">
      <c r="D210"/>
      <c r="E210"/>
      <c r="F210"/>
      <c r="G210"/>
      <c r="H210"/>
    </row>
    <row r="211" spans="4:8">
      <c r="D211"/>
      <c r="E211"/>
      <c r="F211"/>
      <c r="G211"/>
      <c r="H211"/>
    </row>
    <row r="212" spans="4:8">
      <c r="D212"/>
      <c r="E212"/>
      <c r="F212"/>
      <c r="G212"/>
      <c r="H212"/>
    </row>
    <row r="213" spans="4:8">
      <c r="D213"/>
      <c r="E213"/>
      <c r="F213"/>
      <c r="G213"/>
      <c r="H213"/>
    </row>
    <row r="214" spans="4:8">
      <c r="D214"/>
      <c r="E214"/>
      <c r="F214"/>
      <c r="G214"/>
      <c r="H214"/>
    </row>
    <row r="215" spans="4:8">
      <c r="D215"/>
      <c r="E215"/>
      <c r="F215"/>
      <c r="G215"/>
      <c r="H215"/>
    </row>
    <row r="216" spans="4:8">
      <c r="D216"/>
      <c r="E216"/>
      <c r="F216"/>
      <c r="G216"/>
      <c r="H216"/>
    </row>
    <row r="217" spans="4:8">
      <c r="D217"/>
      <c r="E217"/>
      <c r="F217"/>
      <c r="G217"/>
      <c r="H217"/>
    </row>
    <row r="218" spans="4:8">
      <c r="D218"/>
      <c r="E218"/>
      <c r="F218"/>
      <c r="G218"/>
      <c r="H218"/>
    </row>
    <row r="219" spans="4:8">
      <c r="D219"/>
      <c r="E219"/>
      <c r="F219"/>
      <c r="G219"/>
      <c r="H219"/>
    </row>
    <row r="220" spans="4:8">
      <c r="D220"/>
      <c r="E220"/>
      <c r="F220"/>
      <c r="G220"/>
      <c r="H220"/>
    </row>
    <row r="221" spans="4:8">
      <c r="D221"/>
      <c r="E221"/>
      <c r="F221"/>
      <c r="G221"/>
      <c r="H221"/>
    </row>
    <row r="222" spans="4:8">
      <c r="D222"/>
      <c r="E222"/>
      <c r="F222"/>
      <c r="G222"/>
      <c r="H222"/>
    </row>
    <row r="223" spans="4:8">
      <c r="D223"/>
      <c r="E223"/>
      <c r="F223"/>
      <c r="G223"/>
      <c r="H223"/>
    </row>
    <row r="224" spans="4:8">
      <c r="D224"/>
      <c r="E224"/>
      <c r="F224"/>
      <c r="G224"/>
      <c r="H224"/>
    </row>
    <row r="225" spans="4:8">
      <c r="D225"/>
      <c r="E225"/>
      <c r="F225"/>
      <c r="G225"/>
      <c r="H225"/>
    </row>
    <row r="226" spans="4:8">
      <c r="D226"/>
      <c r="E226"/>
      <c r="F226"/>
      <c r="G226"/>
      <c r="H226"/>
    </row>
    <row r="227" spans="4:8">
      <c r="D227"/>
      <c r="E227"/>
      <c r="F227"/>
      <c r="G227"/>
      <c r="H227"/>
    </row>
    <row r="228" spans="4:8">
      <c r="D228"/>
      <c r="E228"/>
      <c r="F228"/>
      <c r="G228"/>
      <c r="H228"/>
    </row>
    <row r="229" spans="4:8">
      <c r="D229"/>
      <c r="E229"/>
      <c r="F229"/>
      <c r="G229"/>
      <c r="H229"/>
    </row>
    <row r="230" spans="4:8">
      <c r="D230"/>
      <c r="E230"/>
      <c r="F230"/>
      <c r="G230"/>
      <c r="H230"/>
    </row>
    <row r="231" spans="4:8">
      <c r="D231"/>
      <c r="E231"/>
      <c r="F231"/>
      <c r="G231"/>
      <c r="H231"/>
    </row>
    <row r="232" spans="4:8">
      <c r="D232"/>
      <c r="E232"/>
      <c r="F232"/>
      <c r="G232"/>
      <c r="H232"/>
    </row>
    <row r="233" spans="4:8">
      <c r="D233"/>
      <c r="E233"/>
      <c r="F233"/>
      <c r="G233"/>
      <c r="H233"/>
    </row>
    <row r="234" spans="4:8">
      <c r="D234"/>
      <c r="E234"/>
      <c r="F234"/>
      <c r="G234"/>
      <c r="H234"/>
    </row>
    <row r="235" spans="4:8">
      <c r="D235"/>
      <c r="E235"/>
      <c r="F235"/>
      <c r="G235"/>
      <c r="H235"/>
    </row>
    <row r="236" spans="4:8">
      <c r="D236"/>
      <c r="E236"/>
      <c r="F236"/>
      <c r="G236"/>
      <c r="H236"/>
    </row>
    <row r="237" spans="4:8">
      <c r="D237"/>
      <c r="E237"/>
      <c r="F237"/>
      <c r="G237"/>
      <c r="H237"/>
    </row>
    <row r="238" spans="4:8">
      <c r="D238"/>
      <c r="E238"/>
      <c r="F238"/>
      <c r="G238"/>
      <c r="H238"/>
    </row>
    <row r="239" spans="4:8">
      <c r="D239"/>
      <c r="E239"/>
      <c r="F239"/>
      <c r="G239"/>
      <c r="H239"/>
    </row>
    <row r="240" spans="4:8">
      <c r="D240"/>
      <c r="E240"/>
      <c r="F240"/>
      <c r="G240"/>
      <c r="H240"/>
    </row>
    <row r="241" spans="4:8">
      <c r="D241"/>
      <c r="E241"/>
      <c r="F241"/>
      <c r="G241"/>
      <c r="H241"/>
    </row>
    <row r="242" spans="4:8">
      <c r="D242"/>
      <c r="E242"/>
      <c r="F242"/>
      <c r="G242"/>
      <c r="H242"/>
    </row>
    <row r="243" spans="4:8">
      <c r="D243"/>
      <c r="E243"/>
      <c r="F243"/>
      <c r="G243"/>
      <c r="H243"/>
    </row>
    <row r="244" spans="4:8">
      <c r="D244"/>
      <c r="E244"/>
      <c r="F244"/>
      <c r="G244"/>
      <c r="H244"/>
    </row>
    <row r="245" spans="4:8">
      <c r="D245"/>
      <c r="E245"/>
      <c r="F245"/>
      <c r="G245"/>
      <c r="H245"/>
    </row>
    <row r="246" spans="4:8">
      <c r="D246"/>
      <c r="E246"/>
      <c r="F246"/>
      <c r="G246"/>
      <c r="H246"/>
    </row>
    <row r="247" spans="4:8">
      <c r="D247"/>
      <c r="E247"/>
      <c r="F247"/>
      <c r="G247"/>
      <c r="H247"/>
    </row>
    <row r="248" spans="4:8">
      <c r="D248"/>
      <c r="E248"/>
      <c r="F248"/>
      <c r="G248"/>
      <c r="H248"/>
    </row>
    <row r="249" spans="4:8">
      <c r="D249"/>
      <c r="E249"/>
      <c r="F249"/>
      <c r="G249"/>
      <c r="H249"/>
    </row>
    <row r="250" spans="4:8">
      <c r="D250"/>
      <c r="E250"/>
      <c r="F250"/>
      <c r="G250"/>
      <c r="H250"/>
    </row>
    <row r="251" spans="4:8">
      <c r="D251"/>
      <c r="E251"/>
      <c r="F251"/>
      <c r="G251"/>
      <c r="H251"/>
    </row>
    <row r="252" spans="4:8">
      <c r="D252"/>
      <c r="E252"/>
      <c r="F252"/>
      <c r="G252"/>
      <c r="H252"/>
    </row>
    <row r="253" spans="4:8">
      <c r="D253"/>
      <c r="E253"/>
      <c r="F253"/>
      <c r="G253"/>
      <c r="H253"/>
    </row>
    <row r="254" spans="4:8">
      <c r="D254"/>
      <c r="E254"/>
      <c r="F254"/>
      <c r="G254"/>
      <c r="H254"/>
    </row>
    <row r="255" spans="4:8">
      <c r="D255"/>
      <c r="E255"/>
      <c r="F255"/>
      <c r="G255"/>
      <c r="H255"/>
    </row>
    <row r="256" spans="4:8">
      <c r="D256"/>
      <c r="E256"/>
      <c r="F256"/>
      <c r="G256"/>
      <c r="H256"/>
    </row>
    <row r="257" spans="4:8">
      <c r="D257"/>
      <c r="E257"/>
      <c r="F257"/>
      <c r="G257"/>
      <c r="H257"/>
    </row>
    <row r="258" spans="4:8">
      <c r="D258"/>
      <c r="E258"/>
      <c r="F258"/>
      <c r="G258"/>
      <c r="H258"/>
    </row>
    <row r="259" spans="4:8">
      <c r="D259"/>
      <c r="E259"/>
      <c r="F259"/>
      <c r="G259"/>
      <c r="H259"/>
    </row>
    <row r="260" spans="4:8">
      <c r="D260"/>
      <c r="E260"/>
      <c r="F260"/>
      <c r="G260"/>
      <c r="H260"/>
    </row>
    <row r="261" spans="4:8">
      <c r="D261"/>
      <c r="E261"/>
      <c r="F261"/>
      <c r="G261"/>
      <c r="H261"/>
    </row>
    <row r="262" spans="4:8">
      <c r="D262"/>
      <c r="E262"/>
      <c r="F262"/>
      <c r="G262"/>
      <c r="H262"/>
    </row>
    <row r="263" spans="4:8">
      <c r="D263"/>
      <c r="E263"/>
      <c r="F263"/>
      <c r="G263"/>
      <c r="H263"/>
    </row>
    <row r="264" spans="4:8">
      <c r="D264"/>
      <c r="E264"/>
      <c r="F264"/>
      <c r="G264"/>
      <c r="H264"/>
    </row>
    <row r="265" spans="4:8">
      <c r="D265"/>
      <c r="E265"/>
      <c r="F265"/>
      <c r="G265"/>
      <c r="H265"/>
    </row>
    <row r="266" spans="4:8">
      <c r="D266"/>
      <c r="E266"/>
      <c r="F266"/>
      <c r="G266"/>
      <c r="H266"/>
    </row>
    <row r="267" spans="4:8">
      <c r="D267"/>
      <c r="E267"/>
      <c r="F267"/>
      <c r="G267"/>
      <c r="H267"/>
    </row>
    <row r="268" spans="4:8">
      <c r="D268"/>
      <c r="E268"/>
      <c r="F268"/>
      <c r="G268"/>
      <c r="H268"/>
    </row>
    <row r="269" spans="4:8">
      <c r="D269"/>
      <c r="E269"/>
      <c r="F269"/>
      <c r="G269"/>
      <c r="H269"/>
    </row>
    <row r="270" spans="4:8">
      <c r="D270"/>
      <c r="E270"/>
      <c r="F270"/>
      <c r="G270"/>
      <c r="H270"/>
    </row>
    <row r="271" spans="4:8">
      <c r="D271"/>
      <c r="E271"/>
      <c r="F271"/>
      <c r="G271"/>
      <c r="H271"/>
    </row>
    <row r="272" spans="4:8">
      <c r="D272"/>
      <c r="E272"/>
      <c r="F272"/>
      <c r="G272"/>
      <c r="H272"/>
    </row>
    <row r="273" spans="4:8">
      <c r="D273"/>
      <c r="E273"/>
      <c r="F273"/>
      <c r="G273"/>
      <c r="H273"/>
    </row>
    <row r="274" spans="4:8">
      <c r="D274"/>
      <c r="E274"/>
      <c r="F274"/>
      <c r="G274"/>
      <c r="H274"/>
    </row>
    <row r="275" spans="4:8">
      <c r="D275"/>
      <c r="E275"/>
      <c r="F275"/>
      <c r="G275"/>
      <c r="H275"/>
    </row>
    <row r="276" spans="4:8">
      <c r="D276"/>
      <c r="E276"/>
      <c r="F276"/>
      <c r="G276"/>
      <c r="H276"/>
    </row>
    <row r="277" spans="4:8">
      <c r="D277"/>
      <c r="E277"/>
      <c r="F277"/>
      <c r="G277"/>
      <c r="H277"/>
    </row>
    <row r="278" spans="4:8">
      <c r="D278"/>
      <c r="E278"/>
      <c r="F278"/>
      <c r="G278"/>
      <c r="H278"/>
    </row>
    <row r="279" spans="4:8">
      <c r="D279"/>
      <c r="E279"/>
      <c r="F279"/>
      <c r="G279"/>
      <c r="H279"/>
    </row>
    <row r="280" spans="4:8">
      <c r="D280"/>
      <c r="E280"/>
      <c r="F280"/>
      <c r="G280"/>
      <c r="H280"/>
    </row>
    <row r="281" spans="4:8">
      <c r="D281"/>
      <c r="E281"/>
      <c r="F281"/>
      <c r="G281"/>
      <c r="H281"/>
    </row>
    <row r="282" spans="4:8">
      <c r="D282"/>
      <c r="E282"/>
      <c r="F282"/>
      <c r="G282"/>
      <c r="H282"/>
    </row>
    <row r="283" spans="4:8">
      <c r="D283"/>
      <c r="E283"/>
      <c r="F283"/>
      <c r="G283"/>
      <c r="H283"/>
    </row>
    <row r="284" spans="4:8">
      <c r="D284"/>
      <c r="E284"/>
      <c r="F284"/>
      <c r="G284"/>
      <c r="H284"/>
    </row>
    <row r="285" spans="4:8">
      <c r="D285"/>
      <c r="E285"/>
      <c r="F285"/>
      <c r="G285"/>
      <c r="H285"/>
    </row>
    <row r="286" spans="4:8">
      <c r="D286"/>
      <c r="E286"/>
      <c r="F286"/>
      <c r="G286"/>
      <c r="H286"/>
    </row>
    <row r="287" spans="4:8">
      <c r="D287"/>
      <c r="E287"/>
      <c r="F287"/>
      <c r="G287"/>
      <c r="H287"/>
    </row>
    <row r="288" spans="4:8">
      <c r="D288"/>
      <c r="E288"/>
      <c r="F288"/>
      <c r="G288"/>
      <c r="H288"/>
    </row>
    <row r="289" spans="4:8">
      <c r="D289"/>
      <c r="E289"/>
      <c r="F289"/>
      <c r="G289"/>
      <c r="H289"/>
    </row>
    <row r="290" spans="4:8">
      <c r="D290"/>
      <c r="E290"/>
      <c r="F290"/>
      <c r="G290"/>
      <c r="H290"/>
    </row>
    <row r="291" spans="4:8">
      <c r="D291"/>
      <c r="E291"/>
      <c r="F291"/>
      <c r="G291"/>
      <c r="H291"/>
    </row>
    <row r="292" spans="4:8">
      <c r="D292"/>
      <c r="E292"/>
      <c r="F292"/>
      <c r="G292"/>
      <c r="H292"/>
    </row>
    <row r="293" spans="4:8">
      <c r="D293"/>
      <c r="E293"/>
      <c r="F293"/>
      <c r="G293"/>
      <c r="H293"/>
    </row>
    <row r="294" spans="4:8">
      <c r="D294"/>
      <c r="E294"/>
      <c r="F294"/>
      <c r="G294"/>
      <c r="H294"/>
    </row>
    <row r="295" spans="4:8">
      <c r="D295"/>
      <c r="E295"/>
      <c r="F295"/>
      <c r="G295"/>
      <c r="H295"/>
    </row>
    <row r="296" spans="4:8">
      <c r="D296"/>
      <c r="E296"/>
      <c r="F296"/>
      <c r="G296"/>
      <c r="H296"/>
    </row>
    <row r="297" spans="4:8">
      <c r="D297"/>
      <c r="E297"/>
      <c r="F297"/>
      <c r="G297"/>
      <c r="H297"/>
    </row>
    <row r="298" spans="4:8">
      <c r="D298"/>
      <c r="E298"/>
      <c r="F298"/>
      <c r="G298"/>
      <c r="H298"/>
    </row>
    <row r="299" spans="4:8">
      <c r="D299"/>
      <c r="E299"/>
      <c r="F299"/>
      <c r="G299"/>
      <c r="H299"/>
    </row>
    <row r="300" spans="4:8">
      <c r="D300"/>
      <c r="E300"/>
      <c r="F300"/>
      <c r="G300"/>
      <c r="H300"/>
    </row>
    <row r="301" spans="4:8">
      <c r="D301"/>
      <c r="E301"/>
      <c r="F301"/>
      <c r="G301"/>
      <c r="H301"/>
    </row>
    <row r="302" spans="4:8">
      <c r="D302"/>
      <c r="E302"/>
      <c r="F302"/>
      <c r="G302"/>
      <c r="H302"/>
    </row>
    <row r="303" spans="4:8">
      <c r="D303"/>
      <c r="E303"/>
      <c r="F303"/>
      <c r="G303"/>
      <c r="H303"/>
    </row>
    <row r="304" spans="4:8">
      <c r="D304"/>
      <c r="E304"/>
      <c r="F304"/>
      <c r="G304"/>
      <c r="H304"/>
    </row>
    <row r="305" spans="4:8">
      <c r="D305"/>
      <c r="E305"/>
      <c r="F305"/>
      <c r="G305"/>
      <c r="H305"/>
    </row>
    <row r="306" spans="4:8">
      <c r="D306"/>
      <c r="E306"/>
      <c r="F306"/>
      <c r="G306"/>
      <c r="H306"/>
    </row>
    <row r="307" spans="4:8">
      <c r="D307"/>
      <c r="E307"/>
      <c r="F307"/>
      <c r="G307"/>
      <c r="H307"/>
    </row>
    <row r="308" spans="4:8">
      <c r="D308"/>
      <c r="E308"/>
      <c r="F308"/>
      <c r="G308"/>
      <c r="H308"/>
    </row>
    <row r="309" spans="4:8">
      <c r="D309"/>
      <c r="E309"/>
      <c r="F309"/>
      <c r="G309"/>
      <c r="H309"/>
    </row>
    <row r="310" spans="4:8">
      <c r="D310"/>
      <c r="E310"/>
      <c r="F310"/>
      <c r="G310"/>
      <c r="H310"/>
    </row>
    <row r="311" spans="4:8">
      <c r="D311"/>
      <c r="E311"/>
      <c r="F311"/>
      <c r="G311"/>
      <c r="H311"/>
    </row>
    <row r="312" spans="4:8">
      <c r="D312"/>
      <c r="E312"/>
      <c r="F312"/>
      <c r="G312"/>
      <c r="H312"/>
    </row>
    <row r="313" spans="4:8">
      <c r="D313"/>
      <c r="E313"/>
      <c r="F313"/>
      <c r="G313"/>
      <c r="H313"/>
    </row>
    <row r="314" spans="4:8">
      <c r="D314"/>
      <c r="E314"/>
      <c r="F314"/>
      <c r="G314"/>
      <c r="H314"/>
    </row>
    <row r="315" spans="4:8">
      <c r="D315"/>
      <c r="E315"/>
      <c r="F315"/>
      <c r="G315"/>
      <c r="H315"/>
    </row>
    <row r="316" spans="4:8">
      <c r="D316"/>
      <c r="E316"/>
      <c r="F316"/>
      <c r="G316"/>
      <c r="H316"/>
    </row>
    <row r="317" spans="4:8">
      <c r="D317"/>
      <c r="E317"/>
      <c r="F317"/>
      <c r="G317"/>
      <c r="H317"/>
    </row>
    <row r="318" spans="4:8">
      <c r="D318"/>
      <c r="E318"/>
      <c r="F318"/>
      <c r="G318"/>
      <c r="H318"/>
    </row>
    <row r="319" spans="4:8">
      <c r="D319"/>
      <c r="E319"/>
      <c r="F319"/>
      <c r="G319"/>
      <c r="H319"/>
    </row>
    <row r="320" spans="4:8">
      <c r="D320"/>
      <c r="E320"/>
      <c r="F320"/>
      <c r="G320"/>
      <c r="H320"/>
    </row>
    <row r="321" spans="4:8">
      <c r="D321"/>
      <c r="E321"/>
      <c r="F321"/>
      <c r="G321"/>
      <c r="H321"/>
    </row>
    <row r="322" spans="4:8">
      <c r="D322"/>
      <c r="E322"/>
      <c r="F322"/>
      <c r="G322"/>
      <c r="H322"/>
    </row>
    <row r="323" spans="4:8">
      <c r="D323"/>
      <c r="E323"/>
      <c r="F323"/>
      <c r="G323"/>
      <c r="H323"/>
    </row>
    <row r="324" spans="4:8">
      <c r="D324"/>
      <c r="E324"/>
      <c r="F324"/>
      <c r="G324"/>
      <c r="H324"/>
    </row>
    <row r="325" spans="4:8">
      <c r="D325"/>
      <c r="E325"/>
      <c r="F325"/>
      <c r="G325"/>
      <c r="H325"/>
    </row>
    <row r="326" spans="4:8">
      <c r="D326"/>
      <c r="E326"/>
      <c r="F326"/>
      <c r="G326"/>
      <c r="H326"/>
    </row>
    <row r="327" spans="4:8">
      <c r="D327"/>
      <c r="E327"/>
      <c r="F327"/>
      <c r="G327"/>
      <c r="H327"/>
    </row>
    <row r="328" spans="4:8">
      <c r="D328"/>
      <c r="E328"/>
      <c r="F328"/>
      <c r="G328"/>
      <c r="H328"/>
    </row>
    <row r="329" spans="4:8">
      <c r="D329"/>
      <c r="E329"/>
      <c r="F329"/>
      <c r="G329"/>
      <c r="H329"/>
    </row>
    <row r="330" spans="4:8">
      <c r="D330"/>
      <c r="E330"/>
      <c r="F330"/>
      <c r="G330"/>
      <c r="H330"/>
    </row>
    <row r="331" spans="4:8">
      <c r="D331"/>
      <c r="E331"/>
      <c r="F331"/>
      <c r="G331"/>
      <c r="H331"/>
    </row>
    <row r="332" spans="4:8">
      <c r="D332"/>
      <c r="E332"/>
      <c r="F332"/>
      <c r="G332"/>
      <c r="H332"/>
    </row>
    <row r="333" spans="4:8">
      <c r="D333"/>
      <c r="E333"/>
      <c r="F333"/>
      <c r="G333"/>
      <c r="H333"/>
    </row>
    <row r="334" spans="4:8">
      <c r="D334"/>
      <c r="E334"/>
      <c r="F334"/>
      <c r="G334"/>
      <c r="H334"/>
    </row>
    <row r="335" spans="4:8">
      <c r="D335"/>
      <c r="E335"/>
      <c r="F335"/>
      <c r="G335"/>
      <c r="H335"/>
    </row>
    <row r="336" spans="4:8">
      <c r="D336"/>
      <c r="E336"/>
      <c r="F336"/>
      <c r="G336"/>
      <c r="H336"/>
    </row>
    <row r="337" spans="4:8">
      <c r="D337"/>
      <c r="E337"/>
      <c r="F337"/>
      <c r="G337"/>
      <c r="H337"/>
    </row>
    <row r="338" spans="4:8">
      <c r="D338"/>
      <c r="E338"/>
      <c r="F338"/>
      <c r="G338"/>
      <c r="H338"/>
    </row>
    <row r="339" spans="4:8">
      <c r="D339"/>
      <c r="E339"/>
      <c r="F339"/>
      <c r="G339"/>
      <c r="H339"/>
    </row>
    <row r="340" spans="4:8">
      <c r="D340"/>
      <c r="E340"/>
      <c r="F340"/>
      <c r="G340"/>
      <c r="H340"/>
    </row>
    <row r="341" spans="4:8">
      <c r="D341"/>
      <c r="E341"/>
      <c r="F341"/>
      <c r="G341"/>
      <c r="H341"/>
    </row>
    <row r="342" spans="4:8">
      <c r="D342"/>
      <c r="E342"/>
      <c r="F342"/>
      <c r="G342"/>
      <c r="H342"/>
    </row>
    <row r="343" spans="4:8">
      <c r="D343"/>
      <c r="E343"/>
      <c r="F343"/>
      <c r="G343"/>
      <c r="H343"/>
    </row>
    <row r="344" spans="4:8">
      <c r="D344"/>
      <c r="E344"/>
      <c r="F344"/>
      <c r="G344"/>
      <c r="H344"/>
    </row>
    <row r="345" spans="4:8">
      <c r="D345"/>
      <c r="E345"/>
      <c r="F345"/>
      <c r="G345"/>
      <c r="H345"/>
    </row>
    <row r="346" spans="4:8">
      <c r="D346"/>
      <c r="E346"/>
      <c r="F346"/>
      <c r="G346"/>
      <c r="H346"/>
    </row>
    <row r="347" spans="4:8">
      <c r="D347"/>
      <c r="E347"/>
      <c r="F347"/>
      <c r="G347"/>
      <c r="H347"/>
    </row>
    <row r="348" spans="4:8">
      <c r="D348"/>
      <c r="E348"/>
      <c r="F348"/>
      <c r="G348"/>
      <c r="H348"/>
    </row>
    <row r="349" spans="4:8">
      <c r="D349"/>
      <c r="E349"/>
      <c r="F349"/>
      <c r="G349"/>
      <c r="H349"/>
    </row>
    <row r="350" spans="4:8">
      <c r="D350"/>
      <c r="E350"/>
      <c r="F350"/>
      <c r="G350"/>
      <c r="H350"/>
    </row>
    <row r="351" spans="4:8">
      <c r="D351"/>
      <c r="E351"/>
      <c r="F351"/>
      <c r="G351"/>
      <c r="H351"/>
    </row>
    <row r="352" spans="4:8">
      <c r="D352"/>
      <c r="E352"/>
      <c r="F352"/>
      <c r="G352"/>
      <c r="H352"/>
    </row>
    <row r="353" spans="4:8">
      <c r="D353"/>
      <c r="E353"/>
      <c r="F353"/>
      <c r="G353"/>
      <c r="H353"/>
    </row>
    <row r="354" spans="4:8">
      <c r="D354"/>
      <c r="E354"/>
      <c r="F354"/>
      <c r="G354"/>
      <c r="H354"/>
    </row>
    <row r="355" spans="4:8">
      <c r="D355"/>
      <c r="E355"/>
      <c r="F355"/>
      <c r="G355"/>
      <c r="H355"/>
    </row>
    <row r="356" spans="4:8">
      <c r="D356"/>
      <c r="E356"/>
      <c r="F356"/>
      <c r="G356"/>
      <c r="H356"/>
    </row>
    <row r="357" spans="4:8">
      <c r="D357"/>
      <c r="E357"/>
      <c r="F357"/>
      <c r="G357"/>
      <c r="H357"/>
    </row>
    <row r="358" spans="4:8">
      <c r="D358"/>
      <c r="E358"/>
      <c r="F358"/>
      <c r="G358"/>
      <c r="H358"/>
    </row>
    <row r="359" spans="4:8">
      <c r="D359"/>
      <c r="E359"/>
      <c r="F359"/>
      <c r="G359"/>
      <c r="H359"/>
    </row>
    <row r="360" spans="4:8">
      <c r="D360"/>
      <c r="E360"/>
      <c r="F360"/>
      <c r="G360"/>
      <c r="H360"/>
    </row>
    <row r="361" spans="4:8">
      <c r="D361"/>
      <c r="E361"/>
      <c r="F361"/>
      <c r="G361"/>
      <c r="H361"/>
    </row>
    <row r="362" spans="4:8">
      <c r="D362"/>
      <c r="E362"/>
      <c r="F362"/>
      <c r="G362"/>
      <c r="H362"/>
    </row>
    <row r="363" spans="4:8">
      <c r="D363"/>
      <c r="E363"/>
      <c r="F363"/>
      <c r="G363"/>
      <c r="H363"/>
    </row>
    <row r="364" spans="4:8">
      <c r="D364"/>
      <c r="E364"/>
      <c r="F364"/>
      <c r="G364"/>
      <c r="H364"/>
    </row>
    <row r="365" spans="4:8">
      <c r="D365"/>
      <c r="E365"/>
      <c r="F365"/>
      <c r="G365"/>
      <c r="H365"/>
    </row>
    <row r="366" spans="4:8">
      <c r="D366"/>
      <c r="E366"/>
      <c r="F366"/>
      <c r="G366"/>
      <c r="H366"/>
    </row>
    <row r="367" spans="4:8">
      <c r="D367"/>
      <c r="E367"/>
      <c r="F367"/>
      <c r="G367"/>
      <c r="H367"/>
    </row>
    <row r="368" spans="4:8">
      <c r="D368"/>
      <c r="E368"/>
      <c r="F368"/>
      <c r="G368"/>
      <c r="H368"/>
    </row>
    <row r="369" spans="4:8">
      <c r="D369"/>
      <c r="E369"/>
      <c r="F369"/>
      <c r="G369"/>
      <c r="H369"/>
    </row>
    <row r="370" spans="4:8">
      <c r="D370"/>
      <c r="E370"/>
      <c r="F370"/>
      <c r="G370"/>
      <c r="H370"/>
    </row>
    <row r="371" spans="4:8">
      <c r="D371"/>
      <c r="E371"/>
      <c r="F371"/>
      <c r="G371"/>
      <c r="H371"/>
    </row>
    <row r="372" spans="4:8">
      <c r="D372"/>
      <c r="E372"/>
      <c r="F372"/>
      <c r="G372"/>
      <c r="H372"/>
    </row>
    <row r="373" spans="4:8">
      <c r="D373"/>
      <c r="E373"/>
      <c r="F373"/>
      <c r="G373"/>
      <c r="H373"/>
    </row>
    <row r="374" spans="4:8">
      <c r="D374"/>
      <c r="E374"/>
      <c r="F374"/>
      <c r="G374"/>
      <c r="H374"/>
    </row>
    <row r="375" spans="4:8">
      <c r="D375"/>
      <c r="E375"/>
      <c r="F375"/>
      <c r="G375"/>
      <c r="H375"/>
    </row>
    <row r="376" spans="4:8">
      <c r="D376"/>
      <c r="E376"/>
      <c r="F376"/>
      <c r="G376"/>
      <c r="H376"/>
    </row>
    <row r="377" spans="4:8">
      <c r="D377"/>
      <c r="E377"/>
      <c r="F377"/>
      <c r="G377"/>
      <c r="H377"/>
    </row>
    <row r="378" spans="4:8">
      <c r="D378"/>
      <c r="E378"/>
      <c r="F378"/>
      <c r="G378"/>
      <c r="H378"/>
    </row>
    <row r="379" spans="4:8">
      <c r="D379"/>
      <c r="E379"/>
      <c r="F379"/>
      <c r="G379"/>
      <c r="H379"/>
    </row>
    <row r="380" spans="4:8">
      <c r="D380"/>
      <c r="E380"/>
      <c r="F380"/>
      <c r="G380"/>
      <c r="H380"/>
    </row>
    <row r="381" spans="4:8">
      <c r="D381"/>
      <c r="E381"/>
      <c r="F381"/>
      <c r="G381"/>
      <c r="H381"/>
    </row>
    <row r="382" spans="4:8">
      <c r="D382"/>
      <c r="E382"/>
      <c r="F382"/>
      <c r="G382"/>
      <c r="H382"/>
    </row>
    <row r="383" spans="4:8">
      <c r="D383"/>
      <c r="E383"/>
      <c r="F383"/>
      <c r="G383"/>
      <c r="H383"/>
    </row>
    <row r="384" spans="4:8">
      <c r="D384"/>
      <c r="E384"/>
      <c r="F384"/>
      <c r="G384"/>
      <c r="H384"/>
    </row>
    <row r="385" spans="4:8">
      <c r="D385"/>
      <c r="E385"/>
      <c r="F385"/>
      <c r="G385"/>
      <c r="H385"/>
    </row>
    <row r="386" spans="4:8">
      <c r="D386"/>
      <c r="E386"/>
      <c r="F386"/>
      <c r="G386"/>
      <c r="H386"/>
    </row>
    <row r="387" spans="4:8">
      <c r="D387"/>
      <c r="E387"/>
      <c r="F387"/>
      <c r="G387"/>
      <c r="H387"/>
    </row>
    <row r="388" spans="4:8">
      <c r="D388"/>
      <c r="E388"/>
      <c r="F388"/>
      <c r="G388"/>
      <c r="H388"/>
    </row>
    <row r="389" spans="4:8">
      <c r="D389"/>
      <c r="E389"/>
      <c r="F389"/>
      <c r="G389"/>
      <c r="H389"/>
    </row>
    <row r="390" spans="4:8">
      <c r="D390"/>
      <c r="E390"/>
      <c r="F390"/>
      <c r="G390"/>
      <c r="H390"/>
    </row>
    <row r="391" spans="4:8">
      <c r="D391"/>
      <c r="E391"/>
      <c r="F391"/>
      <c r="G391"/>
      <c r="H391"/>
    </row>
    <row r="392" spans="4:8">
      <c r="D392"/>
      <c r="E392"/>
      <c r="F392"/>
      <c r="G392"/>
      <c r="H392"/>
    </row>
    <row r="393" spans="4:8">
      <c r="D393"/>
      <c r="E393"/>
      <c r="F393"/>
      <c r="G393"/>
      <c r="H393"/>
    </row>
    <row r="394" spans="4:8">
      <c r="D394"/>
      <c r="E394"/>
      <c r="F394"/>
      <c r="G394"/>
      <c r="H394"/>
    </row>
    <row r="395" spans="4:8">
      <c r="D395"/>
      <c r="E395"/>
      <c r="F395"/>
      <c r="G395"/>
      <c r="H395"/>
    </row>
    <row r="396" spans="4:8">
      <c r="D396"/>
      <c r="E396"/>
      <c r="F396"/>
      <c r="G396"/>
      <c r="H396"/>
    </row>
    <row r="397" spans="4:8">
      <c r="D397"/>
      <c r="E397"/>
      <c r="F397"/>
      <c r="G397"/>
      <c r="H397"/>
    </row>
    <row r="398" spans="4:8">
      <c r="D398"/>
      <c r="E398"/>
      <c r="F398"/>
      <c r="G398"/>
      <c r="H398"/>
    </row>
    <row r="399" spans="4:8">
      <c r="D399"/>
      <c r="E399"/>
      <c r="F399"/>
      <c r="G399"/>
      <c r="H399"/>
    </row>
    <row r="400" spans="4:8">
      <c r="D400"/>
      <c r="E400"/>
      <c r="F400"/>
      <c r="G400"/>
      <c r="H400"/>
    </row>
    <row r="401" spans="4:8">
      <c r="D401"/>
      <c r="E401"/>
      <c r="F401"/>
      <c r="G401"/>
      <c r="H401"/>
    </row>
    <row r="402" spans="4:8">
      <c r="D402"/>
      <c r="E402"/>
      <c r="F402"/>
      <c r="G402"/>
      <c r="H402"/>
    </row>
    <row r="403" spans="4:8">
      <c r="D403"/>
      <c r="E403"/>
      <c r="F403"/>
      <c r="G403"/>
      <c r="H403"/>
    </row>
    <row r="404" spans="4:8">
      <c r="D404"/>
      <c r="E404"/>
      <c r="F404"/>
      <c r="G404"/>
      <c r="H404"/>
    </row>
    <row r="405" spans="4:8">
      <c r="D405"/>
      <c r="E405"/>
      <c r="F405"/>
      <c r="G405"/>
      <c r="H405"/>
    </row>
    <row r="406" spans="4:8">
      <c r="D406"/>
      <c r="E406"/>
      <c r="F406"/>
      <c r="G406"/>
      <c r="H406"/>
    </row>
    <row r="407" spans="4:8">
      <c r="D407"/>
      <c r="E407"/>
      <c r="F407"/>
      <c r="G407"/>
      <c r="H407"/>
    </row>
    <row r="408" spans="4:8">
      <c r="D408"/>
      <c r="E408"/>
      <c r="F408"/>
      <c r="G408"/>
      <c r="H408"/>
    </row>
    <row r="409" spans="4:8">
      <c r="D409"/>
      <c r="E409"/>
      <c r="F409"/>
      <c r="G409"/>
      <c r="H409"/>
    </row>
    <row r="410" spans="4:8">
      <c r="D410"/>
      <c r="E410"/>
      <c r="F410"/>
      <c r="G410"/>
      <c r="H410"/>
    </row>
    <row r="411" spans="4:8">
      <c r="D411"/>
      <c r="E411"/>
      <c r="F411"/>
      <c r="G411"/>
      <c r="H411"/>
    </row>
    <row r="412" spans="4:8">
      <c r="D412"/>
      <c r="E412"/>
      <c r="F412"/>
      <c r="G412"/>
      <c r="H412"/>
    </row>
    <row r="413" spans="4:8">
      <c r="D413"/>
      <c r="E413"/>
      <c r="F413"/>
      <c r="G413"/>
      <c r="H413"/>
    </row>
    <row r="414" spans="4:8">
      <c r="D414"/>
      <c r="E414"/>
      <c r="F414"/>
      <c r="G414"/>
      <c r="H414"/>
    </row>
    <row r="415" spans="4:8">
      <c r="D415"/>
      <c r="E415"/>
      <c r="F415"/>
      <c r="G415"/>
      <c r="H415"/>
    </row>
    <row r="416" spans="4:8">
      <c r="D416"/>
      <c r="E416"/>
      <c r="F416"/>
      <c r="G416"/>
      <c r="H416"/>
    </row>
    <row r="417" spans="4:8">
      <c r="D417"/>
      <c r="E417"/>
      <c r="F417"/>
      <c r="G417"/>
      <c r="H417"/>
    </row>
    <row r="418" spans="4:8">
      <c r="D418"/>
      <c r="E418"/>
      <c r="F418"/>
      <c r="G418"/>
      <c r="H418"/>
    </row>
    <row r="419" spans="4:8">
      <c r="D419"/>
      <c r="E419"/>
      <c r="F419"/>
      <c r="G419"/>
      <c r="H419"/>
    </row>
    <row r="420" spans="4:8">
      <c r="D420"/>
      <c r="E420"/>
      <c r="F420"/>
      <c r="G420"/>
      <c r="H420"/>
    </row>
    <row r="421" spans="4:8">
      <c r="D421"/>
      <c r="E421"/>
      <c r="F421"/>
      <c r="G421"/>
      <c r="H421"/>
    </row>
    <row r="422" spans="4:8">
      <c r="D422"/>
      <c r="E422"/>
      <c r="F422"/>
      <c r="G422"/>
      <c r="H422"/>
    </row>
    <row r="423" spans="4:8">
      <c r="D423"/>
      <c r="E423"/>
      <c r="F423"/>
      <c r="G423"/>
      <c r="H423"/>
    </row>
    <row r="424" spans="4:8">
      <c r="D424"/>
      <c r="E424"/>
      <c r="F424"/>
      <c r="G424"/>
      <c r="H424"/>
    </row>
    <row r="425" spans="4:8">
      <c r="D425"/>
      <c r="E425"/>
      <c r="F425"/>
      <c r="G425"/>
      <c r="H425"/>
    </row>
    <row r="426" spans="4:8">
      <c r="D426"/>
      <c r="E426"/>
      <c r="F426"/>
      <c r="G426"/>
      <c r="H426"/>
    </row>
    <row r="427" spans="4:8">
      <c r="D427"/>
      <c r="E427"/>
      <c r="F427"/>
      <c r="G427"/>
      <c r="H427"/>
    </row>
    <row r="428" spans="4:8">
      <c r="D428"/>
      <c r="E428"/>
      <c r="F428"/>
      <c r="G428"/>
      <c r="H428"/>
    </row>
    <row r="429" spans="4:8">
      <c r="D429"/>
      <c r="E429"/>
      <c r="F429"/>
      <c r="G429"/>
      <c r="H429"/>
    </row>
    <row r="430" spans="4:8">
      <c r="D430"/>
      <c r="E430"/>
      <c r="F430"/>
      <c r="G430"/>
      <c r="H430"/>
    </row>
    <row r="431" spans="4:8">
      <c r="D431"/>
      <c r="E431"/>
      <c r="F431"/>
      <c r="G431"/>
      <c r="H431"/>
    </row>
    <row r="432" spans="4:8">
      <c r="D432"/>
      <c r="E432"/>
      <c r="F432"/>
      <c r="G432"/>
      <c r="H432"/>
    </row>
    <row r="433" spans="4:8">
      <c r="D433"/>
      <c r="E433"/>
      <c r="F433"/>
      <c r="G433"/>
      <c r="H433"/>
    </row>
    <row r="434" spans="4:8">
      <c r="D434"/>
      <c r="E434"/>
      <c r="F434"/>
      <c r="G434"/>
      <c r="H434"/>
    </row>
    <row r="435" spans="4:8">
      <c r="D435"/>
      <c r="E435"/>
      <c r="F435"/>
      <c r="G435"/>
      <c r="H435"/>
    </row>
    <row r="436" spans="4:8">
      <c r="D436"/>
      <c r="E436"/>
      <c r="F436"/>
      <c r="G436"/>
      <c r="H436"/>
    </row>
    <row r="437" spans="4:8">
      <c r="D437"/>
      <c r="E437"/>
      <c r="F437"/>
      <c r="G437"/>
      <c r="H437"/>
    </row>
    <row r="438" spans="4:8">
      <c r="D438"/>
      <c r="E438"/>
      <c r="F438"/>
      <c r="G438"/>
      <c r="H438"/>
    </row>
    <row r="439" spans="4:8">
      <c r="D439"/>
      <c r="E439"/>
      <c r="F439"/>
      <c r="G439"/>
      <c r="H439"/>
    </row>
    <row r="440" spans="4:8">
      <c r="D440"/>
      <c r="E440"/>
      <c r="F440"/>
      <c r="G440"/>
      <c r="H440"/>
    </row>
    <row r="441" spans="4:8">
      <c r="D441"/>
      <c r="E441"/>
      <c r="F441"/>
      <c r="G441"/>
      <c r="H441"/>
    </row>
    <row r="442" spans="4:8">
      <c r="D442"/>
      <c r="E442"/>
      <c r="F442"/>
      <c r="G442"/>
      <c r="H442"/>
    </row>
    <row r="443" spans="4:8">
      <c r="D443"/>
      <c r="E443"/>
      <c r="F443"/>
      <c r="G443"/>
      <c r="H443"/>
    </row>
    <row r="444" spans="4:8">
      <c r="D444"/>
      <c r="E444"/>
      <c r="F444"/>
      <c r="G444"/>
      <c r="H444"/>
    </row>
    <row r="445" spans="4:8">
      <c r="D445"/>
      <c r="E445"/>
      <c r="F445"/>
      <c r="G445"/>
      <c r="H445"/>
    </row>
    <row r="446" spans="4:8">
      <c r="D446"/>
      <c r="E446"/>
      <c r="F446"/>
      <c r="G446"/>
      <c r="H446"/>
    </row>
    <row r="447" spans="4:8">
      <c r="D447"/>
      <c r="E447"/>
      <c r="F447"/>
      <c r="G447"/>
      <c r="H447"/>
    </row>
    <row r="448" spans="4:8">
      <c r="D448"/>
      <c r="E448"/>
      <c r="F448"/>
      <c r="G448"/>
      <c r="H448"/>
    </row>
    <row r="449" spans="4:8">
      <c r="D449"/>
      <c r="E449"/>
      <c r="F449"/>
      <c r="G449"/>
      <c r="H449"/>
    </row>
    <row r="450" spans="4:8">
      <c r="D450"/>
      <c r="E450"/>
      <c r="F450"/>
      <c r="G450"/>
      <c r="H450"/>
    </row>
    <row r="451" spans="4:8">
      <c r="D451"/>
      <c r="E451"/>
      <c r="F451"/>
      <c r="G451"/>
      <c r="H451"/>
    </row>
    <row r="452" spans="4:8">
      <c r="D452"/>
      <c r="E452"/>
      <c r="F452"/>
      <c r="G452"/>
      <c r="H452"/>
    </row>
    <row r="453" spans="4:8">
      <c r="D453"/>
      <c r="E453"/>
      <c r="F453"/>
      <c r="G453"/>
      <c r="H453"/>
    </row>
    <row r="454" spans="4:8">
      <c r="D454"/>
      <c r="E454"/>
      <c r="F454"/>
      <c r="G454"/>
      <c r="H454"/>
    </row>
    <row r="455" spans="4:8">
      <c r="D455"/>
      <c r="E455"/>
      <c r="F455"/>
      <c r="G455"/>
      <c r="H455"/>
    </row>
    <row r="456" spans="4:8">
      <c r="D456"/>
      <c r="E456"/>
      <c r="F456"/>
      <c r="G456"/>
      <c r="H456"/>
    </row>
    <row r="457" spans="4:8">
      <c r="D457"/>
      <c r="E457"/>
      <c r="F457"/>
      <c r="G457"/>
      <c r="H457"/>
    </row>
    <row r="458" spans="4:8">
      <c r="D458"/>
      <c r="E458"/>
      <c r="F458"/>
      <c r="G458"/>
      <c r="H458"/>
    </row>
    <row r="459" spans="4:8">
      <c r="D459"/>
      <c r="E459"/>
      <c r="F459"/>
      <c r="G459"/>
      <c r="H459"/>
    </row>
    <row r="460" spans="4:8">
      <c r="D460"/>
      <c r="E460"/>
      <c r="F460"/>
      <c r="G460"/>
      <c r="H460"/>
    </row>
    <row r="461" spans="4:8">
      <c r="D461"/>
      <c r="E461"/>
      <c r="F461"/>
      <c r="G461"/>
      <c r="H461"/>
    </row>
    <row r="462" spans="4:8">
      <c r="D462"/>
      <c r="E462"/>
      <c r="F462"/>
      <c r="G462"/>
      <c r="H462"/>
    </row>
    <row r="463" spans="4:8">
      <c r="D463"/>
      <c r="E463"/>
      <c r="F463"/>
      <c r="G463"/>
      <c r="H463"/>
    </row>
    <row r="464" spans="4:8">
      <c r="D464"/>
      <c r="E464"/>
      <c r="F464"/>
      <c r="G464"/>
      <c r="H464"/>
    </row>
    <row r="465" spans="4:8">
      <c r="D465"/>
      <c r="E465"/>
      <c r="F465"/>
      <c r="G465"/>
      <c r="H465"/>
    </row>
    <row r="466" spans="4:8">
      <c r="D466"/>
      <c r="E466"/>
      <c r="F466"/>
      <c r="G466"/>
      <c r="H466"/>
    </row>
    <row r="467" spans="4:8">
      <c r="D467"/>
      <c r="E467"/>
      <c r="F467"/>
      <c r="G467"/>
      <c r="H467"/>
    </row>
    <row r="468" spans="4:8">
      <c r="D468"/>
      <c r="E468"/>
      <c r="F468"/>
      <c r="G468"/>
      <c r="H468"/>
    </row>
    <row r="469" spans="4:8">
      <c r="D469"/>
      <c r="E469"/>
      <c r="F469"/>
      <c r="G469"/>
      <c r="H469"/>
    </row>
    <row r="470" spans="4:8">
      <c r="D470"/>
      <c r="E470"/>
      <c r="F470"/>
      <c r="G470"/>
      <c r="H470"/>
    </row>
    <row r="471" spans="4:8">
      <c r="D471"/>
      <c r="E471"/>
      <c r="F471"/>
      <c r="G471"/>
      <c r="H471"/>
    </row>
    <row r="472" spans="4:8">
      <c r="D472"/>
      <c r="E472"/>
      <c r="F472"/>
      <c r="G472"/>
      <c r="H472"/>
    </row>
    <row r="473" spans="4:8">
      <c r="D473"/>
      <c r="E473"/>
      <c r="F473"/>
      <c r="G473"/>
      <c r="H473"/>
    </row>
    <row r="474" spans="4:8">
      <c r="D474"/>
      <c r="E474"/>
      <c r="F474"/>
      <c r="G474"/>
      <c r="H474"/>
    </row>
    <row r="475" spans="4:8">
      <c r="D475"/>
      <c r="E475"/>
      <c r="F475"/>
      <c r="G475"/>
      <c r="H475"/>
    </row>
    <row r="476" spans="4:8">
      <c r="D476"/>
      <c r="E476"/>
      <c r="F476"/>
      <c r="G476"/>
      <c r="H476"/>
    </row>
    <row r="477" spans="4:8">
      <c r="D477"/>
      <c r="E477"/>
      <c r="F477"/>
      <c r="G477"/>
      <c r="H477"/>
    </row>
    <row r="478" spans="4:8">
      <c r="D478"/>
      <c r="E478"/>
      <c r="F478"/>
      <c r="G478"/>
      <c r="H478"/>
    </row>
    <row r="479" spans="4:8">
      <c r="D479"/>
      <c r="E479"/>
      <c r="F479"/>
      <c r="G479"/>
      <c r="H479"/>
    </row>
    <row r="480" spans="4:8">
      <c r="D480"/>
      <c r="E480"/>
      <c r="F480"/>
      <c r="G480"/>
      <c r="H480"/>
    </row>
    <row r="481" spans="4:8">
      <c r="D481"/>
      <c r="E481"/>
      <c r="F481"/>
      <c r="G481"/>
      <c r="H481"/>
    </row>
    <row r="482" spans="4:8">
      <c r="D482"/>
      <c r="E482"/>
      <c r="F482"/>
      <c r="G482"/>
      <c r="H482"/>
    </row>
    <row r="483" spans="4:8">
      <c r="D483"/>
      <c r="E483"/>
      <c r="F483"/>
      <c r="G483"/>
      <c r="H483"/>
    </row>
    <row r="484" spans="4:8">
      <c r="D484"/>
      <c r="E484"/>
      <c r="F484"/>
      <c r="G484"/>
      <c r="H484"/>
    </row>
    <row r="485" spans="4:8">
      <c r="D485"/>
      <c r="E485"/>
      <c r="F485"/>
      <c r="G485"/>
      <c r="H485"/>
    </row>
    <row r="486" spans="4:8">
      <c r="D486"/>
      <c r="E486"/>
      <c r="F486"/>
      <c r="G486"/>
      <c r="H486"/>
    </row>
    <row r="487" spans="4:8">
      <c r="D487"/>
      <c r="E487"/>
      <c r="F487"/>
      <c r="G487"/>
      <c r="H487"/>
    </row>
    <row r="488" spans="4:8">
      <c r="D488"/>
      <c r="E488"/>
      <c r="F488"/>
      <c r="G488"/>
      <c r="H488"/>
    </row>
    <row r="489" spans="4:8">
      <c r="D489"/>
      <c r="E489"/>
      <c r="F489"/>
      <c r="G489"/>
      <c r="H489"/>
    </row>
    <row r="490" spans="4:8">
      <c r="D490"/>
      <c r="E490"/>
      <c r="F490"/>
      <c r="G490"/>
      <c r="H490"/>
    </row>
    <row r="491" spans="4:8">
      <c r="D491"/>
      <c r="E491"/>
      <c r="F491"/>
      <c r="G491"/>
      <c r="H491"/>
    </row>
    <row r="492" spans="4:8">
      <c r="D492"/>
      <c r="E492"/>
      <c r="F492"/>
      <c r="G492"/>
      <c r="H492"/>
    </row>
    <row r="493" spans="4:8">
      <c r="D493"/>
      <c r="E493"/>
      <c r="F493"/>
      <c r="G493"/>
      <c r="H493"/>
    </row>
    <row r="494" spans="4:8">
      <c r="D494"/>
      <c r="E494"/>
      <c r="F494"/>
      <c r="G494"/>
      <c r="H494"/>
    </row>
    <row r="495" spans="4:8">
      <c r="D495"/>
      <c r="E495"/>
      <c r="F495"/>
      <c r="G495"/>
      <c r="H495"/>
    </row>
    <row r="496" spans="4:8">
      <c r="D496"/>
      <c r="E496"/>
      <c r="F496"/>
      <c r="G496"/>
      <c r="H496"/>
    </row>
    <row r="497" spans="4:8">
      <c r="D497"/>
      <c r="E497"/>
      <c r="F497"/>
      <c r="G497"/>
      <c r="H497"/>
    </row>
    <row r="498" spans="4:8">
      <c r="D498"/>
      <c r="E498"/>
      <c r="F498"/>
      <c r="G498"/>
      <c r="H498"/>
    </row>
    <row r="499" spans="4:8">
      <c r="D499"/>
      <c r="E499"/>
      <c r="F499"/>
      <c r="G499"/>
      <c r="H499"/>
    </row>
    <row r="500" spans="4:8">
      <c r="D500"/>
      <c r="E500"/>
      <c r="F500"/>
      <c r="G500"/>
      <c r="H500"/>
    </row>
    <row r="501" spans="4:8">
      <c r="D501"/>
      <c r="E501"/>
      <c r="F501"/>
      <c r="G501"/>
      <c r="H501"/>
    </row>
    <row r="502" spans="4:8">
      <c r="D502"/>
      <c r="E502"/>
      <c r="F502"/>
      <c r="G502"/>
      <c r="H502"/>
    </row>
    <row r="503" spans="4:8">
      <c r="D503"/>
      <c r="E503"/>
      <c r="F503"/>
      <c r="G503"/>
      <c r="H503"/>
    </row>
    <row r="504" spans="4:8">
      <c r="D504"/>
      <c r="E504"/>
      <c r="F504"/>
      <c r="G504"/>
      <c r="H504"/>
    </row>
    <row r="505" spans="4:8">
      <c r="D505"/>
      <c r="E505"/>
      <c r="F505"/>
      <c r="G505"/>
      <c r="H505"/>
    </row>
    <row r="506" spans="4:8">
      <c r="D506"/>
      <c r="E506"/>
      <c r="F506"/>
      <c r="G506"/>
      <c r="H506"/>
    </row>
    <row r="507" spans="4:8">
      <c r="D507"/>
      <c r="E507"/>
      <c r="F507"/>
      <c r="G507"/>
      <c r="H507"/>
    </row>
    <row r="508" spans="4:8">
      <c r="D508"/>
      <c r="E508"/>
      <c r="F508"/>
      <c r="G508"/>
      <c r="H508"/>
    </row>
    <row r="509" spans="4:8">
      <c r="D509"/>
      <c r="E509"/>
      <c r="F509"/>
      <c r="G509"/>
      <c r="H509"/>
    </row>
    <row r="510" spans="4:8">
      <c r="D510"/>
      <c r="E510"/>
      <c r="F510"/>
      <c r="G510"/>
      <c r="H510"/>
    </row>
    <row r="511" spans="4:8">
      <c r="D511"/>
      <c r="E511"/>
      <c r="F511"/>
      <c r="G511"/>
      <c r="H511"/>
    </row>
    <row r="512" spans="4:8">
      <c r="D512"/>
      <c r="E512"/>
      <c r="F512"/>
      <c r="G512"/>
      <c r="H512"/>
    </row>
    <row r="513" spans="4:8">
      <c r="D513"/>
      <c r="E513"/>
      <c r="F513"/>
      <c r="G513"/>
      <c r="H513"/>
    </row>
    <row r="514" spans="4:8">
      <c r="D514"/>
      <c r="E514"/>
      <c r="F514"/>
      <c r="G514"/>
      <c r="H514"/>
    </row>
    <row r="515" spans="4:8">
      <c r="D515"/>
      <c r="E515"/>
      <c r="F515"/>
      <c r="G515"/>
      <c r="H515"/>
    </row>
    <row r="516" spans="4:8">
      <c r="D516"/>
      <c r="E516"/>
      <c r="F516"/>
      <c r="G516"/>
      <c r="H516"/>
    </row>
    <row r="517" spans="4:8">
      <c r="D517"/>
      <c r="E517"/>
      <c r="F517"/>
      <c r="G517"/>
      <c r="H517"/>
    </row>
    <row r="518" spans="4:8">
      <c r="D518"/>
      <c r="E518"/>
      <c r="F518"/>
      <c r="G518"/>
      <c r="H518"/>
    </row>
    <row r="519" spans="4:8">
      <c r="D519"/>
      <c r="E519"/>
      <c r="F519"/>
      <c r="G519"/>
      <c r="H519"/>
    </row>
    <row r="520" spans="4:8">
      <c r="D520"/>
      <c r="E520"/>
      <c r="F520"/>
      <c r="G520"/>
      <c r="H520"/>
    </row>
    <row r="521" spans="4:8">
      <c r="D521"/>
      <c r="E521"/>
      <c r="F521"/>
      <c r="G521"/>
      <c r="H521"/>
    </row>
    <row r="522" spans="4:8">
      <c r="D522"/>
      <c r="E522"/>
      <c r="F522"/>
      <c r="G522"/>
      <c r="H522"/>
    </row>
    <row r="523" spans="4:8">
      <c r="D523"/>
      <c r="E523"/>
      <c r="F523"/>
      <c r="G523"/>
      <c r="H523"/>
    </row>
    <row r="524" spans="4:8">
      <c r="D524"/>
      <c r="E524"/>
      <c r="F524"/>
      <c r="G524"/>
      <c r="H524"/>
    </row>
    <row r="525" spans="4:8">
      <c r="D525"/>
      <c r="E525"/>
      <c r="F525"/>
      <c r="G525"/>
      <c r="H525"/>
    </row>
    <row r="526" spans="4:8">
      <c r="D526"/>
      <c r="E526"/>
      <c r="F526"/>
      <c r="G526"/>
      <c r="H526"/>
    </row>
    <row r="527" spans="4:8">
      <c r="D527"/>
      <c r="E527"/>
      <c r="F527"/>
      <c r="G527"/>
      <c r="H527"/>
    </row>
    <row r="528" spans="4:8">
      <c r="D528"/>
      <c r="E528"/>
      <c r="F528"/>
      <c r="G528"/>
      <c r="H528"/>
    </row>
    <row r="529" spans="4:8">
      <c r="D529"/>
      <c r="E529"/>
      <c r="F529"/>
      <c r="G529"/>
      <c r="H529"/>
    </row>
    <row r="530" spans="4:8">
      <c r="D530"/>
      <c r="E530"/>
      <c r="F530"/>
      <c r="G530"/>
      <c r="H530"/>
    </row>
    <row r="531" spans="4:8">
      <c r="D531"/>
      <c r="E531"/>
      <c r="F531"/>
      <c r="G531"/>
      <c r="H531"/>
    </row>
    <row r="532" spans="4:8">
      <c r="D532"/>
      <c r="E532"/>
      <c r="F532"/>
      <c r="G532"/>
      <c r="H532"/>
    </row>
    <row r="533" spans="4:8">
      <c r="D533"/>
      <c r="E533"/>
      <c r="F533"/>
      <c r="G533"/>
      <c r="H533"/>
    </row>
    <row r="534" spans="4:8">
      <c r="D534"/>
      <c r="E534"/>
      <c r="F534"/>
      <c r="G534"/>
      <c r="H534"/>
    </row>
    <row r="535" spans="4:8">
      <c r="D535"/>
      <c r="E535"/>
      <c r="F535"/>
      <c r="G535"/>
      <c r="H535"/>
    </row>
    <row r="536" spans="4:8">
      <c r="D536"/>
      <c r="E536"/>
      <c r="F536"/>
      <c r="G536"/>
      <c r="H536"/>
    </row>
    <row r="537" spans="4:8">
      <c r="D537"/>
      <c r="E537"/>
      <c r="F537"/>
      <c r="G537"/>
      <c r="H537"/>
    </row>
    <row r="538" spans="4:8">
      <c r="D538"/>
      <c r="E538"/>
      <c r="F538"/>
      <c r="G538"/>
      <c r="H538"/>
    </row>
    <row r="539" spans="4:8">
      <c r="D539"/>
      <c r="E539"/>
      <c r="F539"/>
      <c r="G539"/>
      <c r="H539"/>
    </row>
    <row r="540" spans="4:8">
      <c r="D540"/>
      <c r="E540"/>
      <c r="F540"/>
      <c r="G540"/>
      <c r="H540"/>
    </row>
    <row r="541" spans="4:8">
      <c r="D541"/>
      <c r="E541"/>
      <c r="F541"/>
      <c r="G541"/>
      <c r="H541"/>
    </row>
    <row r="542" spans="4:8">
      <c r="D542"/>
      <c r="E542"/>
      <c r="F542"/>
      <c r="G542"/>
      <c r="H542"/>
    </row>
    <row r="543" spans="4:8">
      <c r="D543"/>
      <c r="E543"/>
      <c r="F543"/>
      <c r="G543"/>
      <c r="H543"/>
    </row>
    <row r="544" spans="4:8">
      <c r="D544"/>
      <c r="E544"/>
      <c r="F544"/>
      <c r="G544"/>
      <c r="H544"/>
    </row>
    <row r="545" spans="4:8">
      <c r="D545"/>
      <c r="E545"/>
      <c r="F545"/>
      <c r="G545"/>
      <c r="H545"/>
    </row>
    <row r="546" spans="4:8">
      <c r="D546"/>
      <c r="E546"/>
      <c r="F546"/>
      <c r="G546"/>
      <c r="H546"/>
    </row>
    <row r="547" spans="4:8">
      <c r="D547"/>
      <c r="E547"/>
      <c r="F547"/>
      <c r="G547"/>
      <c r="H547"/>
    </row>
    <row r="548" spans="4:8">
      <c r="D548"/>
      <c r="E548"/>
      <c r="F548"/>
      <c r="G548"/>
      <c r="H548"/>
    </row>
    <row r="549" spans="4:8">
      <c r="D549"/>
      <c r="E549"/>
      <c r="F549"/>
      <c r="G549"/>
      <c r="H549"/>
    </row>
    <row r="550" spans="4:8">
      <c r="D550"/>
      <c r="E550"/>
      <c r="F550"/>
      <c r="G550"/>
      <c r="H550"/>
    </row>
    <row r="551" spans="4:8">
      <c r="D551"/>
      <c r="E551"/>
      <c r="F551"/>
      <c r="G551"/>
      <c r="H551"/>
    </row>
    <row r="552" spans="4:8">
      <c r="D552"/>
      <c r="E552"/>
      <c r="F552"/>
      <c r="G552"/>
      <c r="H552"/>
    </row>
    <row r="553" spans="4:8">
      <c r="D553"/>
      <c r="E553"/>
      <c r="F553"/>
      <c r="G553"/>
      <c r="H553"/>
    </row>
    <row r="554" spans="4:8">
      <c r="D554"/>
      <c r="E554"/>
      <c r="F554"/>
      <c r="G554"/>
      <c r="H554"/>
    </row>
    <row r="555" spans="4:8">
      <c r="D555"/>
      <c r="E555"/>
      <c r="F555"/>
      <c r="G555"/>
      <c r="H555"/>
    </row>
    <row r="556" spans="4:8">
      <c r="D556"/>
      <c r="E556"/>
      <c r="F556"/>
      <c r="G556"/>
      <c r="H556"/>
    </row>
    <row r="557" spans="4:8">
      <c r="D557"/>
      <c r="E557"/>
      <c r="F557"/>
      <c r="G557"/>
      <c r="H557"/>
    </row>
    <row r="558" spans="4:8">
      <c r="D558"/>
      <c r="E558"/>
      <c r="F558"/>
      <c r="G558"/>
      <c r="H558"/>
    </row>
    <row r="559" spans="4:8">
      <c r="D559"/>
      <c r="E559"/>
      <c r="F559"/>
      <c r="G559"/>
      <c r="H559"/>
    </row>
    <row r="560" spans="4:8">
      <c r="D560"/>
      <c r="E560"/>
      <c r="F560"/>
      <c r="G560"/>
      <c r="H560"/>
    </row>
    <row r="561" spans="4:8">
      <c r="D561"/>
      <c r="E561"/>
      <c r="F561"/>
      <c r="G561"/>
      <c r="H561"/>
    </row>
    <row r="562" spans="4:8">
      <c r="D562"/>
      <c r="E562"/>
      <c r="F562"/>
      <c r="G562"/>
      <c r="H562"/>
    </row>
    <row r="563" spans="4:8">
      <c r="D563"/>
      <c r="E563"/>
      <c r="F563"/>
      <c r="G563"/>
      <c r="H563"/>
    </row>
    <row r="564" spans="4:8">
      <c r="D564"/>
      <c r="E564"/>
      <c r="F564"/>
      <c r="G564"/>
      <c r="H564"/>
    </row>
    <row r="565" spans="4:8">
      <c r="D565"/>
      <c r="E565"/>
      <c r="F565"/>
      <c r="G565"/>
      <c r="H565"/>
    </row>
    <row r="566" spans="4:8">
      <c r="D566"/>
      <c r="E566"/>
      <c r="F566"/>
      <c r="G566"/>
      <c r="H566"/>
    </row>
    <row r="567" spans="4:8">
      <c r="D567"/>
      <c r="E567"/>
      <c r="F567"/>
      <c r="G567"/>
      <c r="H567"/>
    </row>
    <row r="568" spans="4:8">
      <c r="D568"/>
      <c r="E568"/>
      <c r="F568"/>
      <c r="G568"/>
      <c r="H568"/>
    </row>
    <row r="569" spans="4:8">
      <c r="D569"/>
      <c r="E569"/>
      <c r="F569"/>
      <c r="G569"/>
      <c r="H569"/>
    </row>
    <row r="570" spans="4:8">
      <c r="D570"/>
      <c r="E570"/>
      <c r="F570"/>
      <c r="G570"/>
      <c r="H570"/>
    </row>
    <row r="571" spans="4:8">
      <c r="D571"/>
      <c r="E571"/>
      <c r="F571"/>
      <c r="G571"/>
      <c r="H571"/>
    </row>
    <row r="572" spans="4:8">
      <c r="D572"/>
      <c r="E572"/>
      <c r="F572"/>
      <c r="G572"/>
      <c r="H572"/>
    </row>
    <row r="573" spans="4:8">
      <c r="D573"/>
      <c r="E573"/>
      <c r="F573"/>
      <c r="G573"/>
      <c r="H573"/>
    </row>
    <row r="574" spans="4:8">
      <c r="D574"/>
      <c r="E574"/>
      <c r="F574"/>
      <c r="G574"/>
      <c r="H574"/>
    </row>
    <row r="575" spans="4:8">
      <c r="D575"/>
      <c r="E575"/>
      <c r="F575"/>
      <c r="G575"/>
      <c r="H575"/>
    </row>
    <row r="576" spans="4:8">
      <c r="D576"/>
      <c r="E576"/>
      <c r="F576"/>
      <c r="G576"/>
      <c r="H576"/>
    </row>
    <row r="577" spans="4:8">
      <c r="D577"/>
      <c r="E577"/>
      <c r="F577"/>
      <c r="G577"/>
      <c r="H577"/>
    </row>
    <row r="578" spans="4:8">
      <c r="D578"/>
      <c r="E578"/>
      <c r="F578"/>
      <c r="G578"/>
      <c r="H578"/>
    </row>
    <row r="579" spans="4:8">
      <c r="D579"/>
      <c r="E579"/>
      <c r="F579"/>
      <c r="G579"/>
      <c r="H579"/>
    </row>
    <row r="580" spans="4:8">
      <c r="D580"/>
      <c r="E580"/>
      <c r="F580"/>
      <c r="G580"/>
      <c r="H580"/>
    </row>
    <row r="581" spans="4:8">
      <c r="D581"/>
      <c r="E581"/>
      <c r="F581"/>
      <c r="G581"/>
      <c r="H581"/>
    </row>
    <row r="582" spans="4:8">
      <c r="D582"/>
      <c r="E582"/>
      <c r="F582"/>
      <c r="G582"/>
      <c r="H582"/>
    </row>
    <row r="583" spans="4:8">
      <c r="D583"/>
      <c r="E583"/>
      <c r="F583"/>
      <c r="G583"/>
      <c r="H583"/>
    </row>
    <row r="584" spans="4:8">
      <c r="D584"/>
      <c r="E584"/>
      <c r="F584"/>
      <c r="G584"/>
      <c r="H584"/>
    </row>
    <row r="585" spans="4:8">
      <c r="D585"/>
      <c r="E585"/>
      <c r="F585"/>
      <c r="G585"/>
      <c r="H585"/>
    </row>
    <row r="586" spans="4:8">
      <c r="D586"/>
      <c r="E586"/>
      <c r="F586"/>
      <c r="G586"/>
      <c r="H586"/>
    </row>
    <row r="587" spans="4:8">
      <c r="D587"/>
      <c r="E587"/>
      <c r="F587"/>
      <c r="G587"/>
      <c r="H587"/>
    </row>
    <row r="588" spans="4:8">
      <c r="D588"/>
      <c r="E588"/>
      <c r="F588"/>
      <c r="G588"/>
      <c r="H588"/>
    </row>
    <row r="589" spans="4:8">
      <c r="D589"/>
      <c r="E589"/>
      <c r="F589"/>
      <c r="G589"/>
      <c r="H589"/>
    </row>
    <row r="590" spans="4:8">
      <c r="D590"/>
      <c r="E590"/>
      <c r="F590"/>
      <c r="G590"/>
      <c r="H590"/>
    </row>
    <row r="591" spans="4:8">
      <c r="D591"/>
      <c r="E591"/>
      <c r="F591"/>
      <c r="G591"/>
      <c r="H591"/>
    </row>
    <row r="592" spans="4:8">
      <c r="D592"/>
      <c r="E592"/>
      <c r="F592"/>
      <c r="G592"/>
      <c r="H592"/>
    </row>
    <row r="593" spans="4:8">
      <c r="D593"/>
      <c r="E593"/>
      <c r="F593"/>
      <c r="G593"/>
      <c r="H593"/>
    </row>
    <row r="594" spans="4:8">
      <c r="D594"/>
      <c r="E594"/>
      <c r="F594"/>
      <c r="G594"/>
      <c r="H594"/>
    </row>
    <row r="595" spans="4:8">
      <c r="D595"/>
      <c r="E595"/>
      <c r="F595"/>
      <c r="G595"/>
      <c r="H595"/>
    </row>
    <row r="596" spans="4:8">
      <c r="D596"/>
      <c r="E596"/>
      <c r="F596"/>
      <c r="G596"/>
      <c r="H596"/>
    </row>
    <row r="597" spans="4:8">
      <c r="D597"/>
      <c r="E597"/>
      <c r="F597"/>
      <c r="G597"/>
      <c r="H597"/>
    </row>
    <row r="598" spans="4:8">
      <c r="D598"/>
      <c r="E598"/>
      <c r="F598"/>
      <c r="G598"/>
      <c r="H598"/>
    </row>
    <row r="599" spans="4:8">
      <c r="D599"/>
      <c r="E599"/>
      <c r="F599"/>
      <c r="G599"/>
      <c r="H599"/>
    </row>
    <row r="600" spans="4:8">
      <c r="D600"/>
      <c r="E600"/>
      <c r="F600"/>
      <c r="G600"/>
      <c r="H600"/>
    </row>
    <row r="601" spans="4:8">
      <c r="D601"/>
      <c r="E601"/>
      <c r="F601"/>
      <c r="G601"/>
      <c r="H601"/>
    </row>
    <row r="602" spans="4:8">
      <c r="D602"/>
      <c r="E602"/>
      <c r="F602"/>
      <c r="G602"/>
      <c r="H602"/>
    </row>
    <row r="603" spans="4:8">
      <c r="D603"/>
      <c r="E603"/>
      <c r="F603"/>
      <c r="G603"/>
      <c r="H603"/>
    </row>
    <row r="604" spans="4:8">
      <c r="D604"/>
      <c r="E604"/>
      <c r="F604"/>
      <c r="G604"/>
      <c r="H604"/>
    </row>
    <row r="605" spans="4:8">
      <c r="D605"/>
      <c r="E605"/>
      <c r="F605"/>
      <c r="G605"/>
      <c r="H605"/>
    </row>
    <row r="606" spans="4:8">
      <c r="D606"/>
      <c r="E606"/>
      <c r="F606"/>
      <c r="G606"/>
      <c r="H606"/>
    </row>
    <row r="607" spans="4:8">
      <c r="D607"/>
      <c r="E607"/>
      <c r="F607"/>
      <c r="G607"/>
      <c r="H607"/>
    </row>
    <row r="608" spans="4:8">
      <c r="D608"/>
      <c r="E608"/>
      <c r="F608"/>
      <c r="G608"/>
      <c r="H608"/>
    </row>
    <row r="609" spans="4:8">
      <c r="D609"/>
      <c r="E609"/>
      <c r="F609"/>
      <c r="G609"/>
      <c r="H609"/>
    </row>
    <row r="610" spans="4:8">
      <c r="D610"/>
      <c r="E610"/>
      <c r="F610"/>
      <c r="G610"/>
      <c r="H610"/>
    </row>
    <row r="611" spans="4:8">
      <c r="D611"/>
      <c r="E611"/>
      <c r="F611"/>
      <c r="G611"/>
      <c r="H611"/>
    </row>
    <row r="612" spans="4:8">
      <c r="D612"/>
      <c r="E612"/>
      <c r="F612"/>
      <c r="G612"/>
      <c r="H612"/>
    </row>
    <row r="613" spans="4:8">
      <c r="D613"/>
      <c r="E613"/>
      <c r="F613"/>
      <c r="G613"/>
      <c r="H613"/>
    </row>
    <row r="614" spans="4:8">
      <c r="D614"/>
      <c r="E614"/>
      <c r="F614"/>
      <c r="G614"/>
      <c r="H614"/>
    </row>
    <row r="615" spans="4:8">
      <c r="D615"/>
      <c r="E615"/>
      <c r="F615"/>
      <c r="G615"/>
      <c r="H615"/>
    </row>
    <row r="616" spans="4:8">
      <c r="D616"/>
      <c r="E616"/>
      <c r="F616"/>
      <c r="G616"/>
      <c r="H616"/>
    </row>
    <row r="617" spans="4:8">
      <c r="D617"/>
      <c r="E617"/>
      <c r="F617"/>
      <c r="G617"/>
      <c r="H617"/>
    </row>
    <row r="618" spans="4:8">
      <c r="D618"/>
      <c r="E618"/>
      <c r="F618"/>
      <c r="G618"/>
      <c r="H618"/>
    </row>
    <row r="619" spans="4:8">
      <c r="D619"/>
      <c r="E619"/>
      <c r="F619"/>
      <c r="G619"/>
      <c r="H619"/>
    </row>
    <row r="620" spans="4:8">
      <c r="D620"/>
      <c r="E620"/>
      <c r="F620"/>
      <c r="G620"/>
      <c r="H620"/>
    </row>
    <row r="621" spans="4:8">
      <c r="D621"/>
      <c r="E621"/>
      <c r="F621"/>
      <c r="G621"/>
      <c r="H621"/>
    </row>
    <row r="622" spans="4:8">
      <c r="D622"/>
      <c r="E622"/>
      <c r="F622"/>
      <c r="G622"/>
      <c r="H622"/>
    </row>
    <row r="623" spans="4:8">
      <c r="D623"/>
      <c r="E623"/>
      <c r="F623"/>
      <c r="G623"/>
      <c r="H623"/>
    </row>
    <row r="624" spans="4:8">
      <c r="D624"/>
      <c r="E624"/>
      <c r="F624"/>
      <c r="G624"/>
      <c r="H624"/>
    </row>
    <row r="625" spans="4:8">
      <c r="D625"/>
      <c r="E625"/>
      <c r="F625"/>
      <c r="G625"/>
      <c r="H625"/>
    </row>
    <row r="626" spans="4:8">
      <c r="D626"/>
      <c r="E626"/>
      <c r="F626"/>
      <c r="G626"/>
      <c r="H626"/>
    </row>
    <row r="627" spans="4:8">
      <c r="D627"/>
      <c r="E627"/>
      <c r="F627"/>
      <c r="G627"/>
      <c r="H627"/>
    </row>
    <row r="628" spans="4:8">
      <c r="D628"/>
      <c r="E628"/>
      <c r="F628"/>
      <c r="G628"/>
      <c r="H628"/>
    </row>
    <row r="629" spans="4:8">
      <c r="D629"/>
      <c r="E629"/>
      <c r="F629"/>
      <c r="G629"/>
      <c r="H629"/>
    </row>
    <row r="630" spans="4:8">
      <c r="D630"/>
      <c r="E630"/>
      <c r="F630"/>
      <c r="G630"/>
      <c r="H630"/>
    </row>
    <row r="631" spans="4:8">
      <c r="D631"/>
      <c r="E631"/>
      <c r="F631"/>
      <c r="G631"/>
      <c r="H631"/>
    </row>
    <row r="632" spans="4:8">
      <c r="D632"/>
      <c r="E632"/>
      <c r="F632"/>
      <c r="G632"/>
      <c r="H632"/>
    </row>
    <row r="633" spans="4:8">
      <c r="D633"/>
      <c r="E633"/>
      <c r="F633"/>
      <c r="G633"/>
      <c r="H633"/>
    </row>
    <row r="634" spans="4:8">
      <c r="D634"/>
      <c r="E634"/>
      <c r="F634"/>
      <c r="G634"/>
      <c r="H634"/>
    </row>
    <row r="635" spans="4:8">
      <c r="D635"/>
      <c r="E635"/>
      <c r="F635"/>
      <c r="G635"/>
      <c r="H635"/>
    </row>
    <row r="636" spans="4:8">
      <c r="D636"/>
      <c r="E636"/>
      <c r="F636"/>
      <c r="G636"/>
      <c r="H636"/>
    </row>
    <row r="637" spans="4:8">
      <c r="D637"/>
      <c r="E637"/>
      <c r="F637"/>
      <c r="G637"/>
      <c r="H637"/>
    </row>
    <row r="638" spans="4:8">
      <c r="D638"/>
      <c r="E638"/>
      <c r="F638"/>
      <c r="G638"/>
      <c r="H638"/>
    </row>
    <row r="639" spans="4:8">
      <c r="D639"/>
      <c r="E639"/>
      <c r="F639"/>
      <c r="G639"/>
      <c r="H639"/>
    </row>
    <row r="640" spans="4:8">
      <c r="D640"/>
      <c r="E640"/>
      <c r="F640"/>
      <c r="G640"/>
      <c r="H640"/>
    </row>
    <row r="641" spans="4:8">
      <c r="D641"/>
      <c r="E641"/>
      <c r="F641"/>
      <c r="G641"/>
      <c r="H641"/>
    </row>
    <row r="642" spans="4:8">
      <c r="D642"/>
      <c r="E642"/>
      <c r="F642"/>
      <c r="G642"/>
      <c r="H642"/>
    </row>
    <row r="643" spans="4:8">
      <c r="D643"/>
      <c r="E643"/>
      <c r="F643"/>
      <c r="G643"/>
      <c r="H643"/>
    </row>
    <row r="644" spans="4:8">
      <c r="D644"/>
      <c r="E644"/>
      <c r="F644"/>
      <c r="G644"/>
      <c r="H644"/>
    </row>
    <row r="645" spans="4:8">
      <c r="D645"/>
      <c r="E645"/>
      <c r="F645"/>
      <c r="G645"/>
      <c r="H645"/>
    </row>
    <row r="646" spans="4:8">
      <c r="D646"/>
      <c r="E646"/>
      <c r="F646"/>
      <c r="G646"/>
      <c r="H646"/>
    </row>
    <row r="647" spans="4:8">
      <c r="D647"/>
      <c r="E647"/>
      <c r="F647"/>
      <c r="G647"/>
      <c r="H647"/>
    </row>
    <row r="648" spans="4:8">
      <c r="D648"/>
      <c r="E648"/>
      <c r="F648"/>
      <c r="G648"/>
      <c r="H648"/>
    </row>
    <row r="649" spans="4:8">
      <c r="D649"/>
      <c r="E649"/>
      <c r="F649"/>
      <c r="G649"/>
      <c r="H649"/>
    </row>
    <row r="650" spans="4:8">
      <c r="D650"/>
      <c r="E650"/>
      <c r="F650"/>
      <c r="G650"/>
      <c r="H650"/>
    </row>
    <row r="651" spans="4:8">
      <c r="D651"/>
      <c r="E651"/>
      <c r="F651"/>
      <c r="G651"/>
      <c r="H651"/>
    </row>
    <row r="652" spans="4:8">
      <c r="D652"/>
      <c r="E652"/>
      <c r="F652"/>
      <c r="G652"/>
      <c r="H652"/>
    </row>
    <row r="653" spans="4:8">
      <c r="D653"/>
      <c r="E653"/>
      <c r="F653"/>
      <c r="G653"/>
      <c r="H653"/>
    </row>
    <row r="654" spans="4:8">
      <c r="D654"/>
      <c r="E654"/>
      <c r="F654"/>
      <c r="G654"/>
      <c r="H654"/>
    </row>
    <row r="655" spans="4:8">
      <c r="D655"/>
      <c r="E655"/>
      <c r="F655"/>
      <c r="G655"/>
      <c r="H655"/>
    </row>
    <row r="656" spans="4:8">
      <c r="D656"/>
      <c r="E656"/>
      <c r="F656"/>
      <c r="G656"/>
      <c r="H656"/>
    </row>
    <row r="657" spans="4:8">
      <c r="D657"/>
      <c r="E657"/>
      <c r="F657"/>
      <c r="G657"/>
      <c r="H657"/>
    </row>
    <row r="658" spans="4:8">
      <c r="D658"/>
      <c r="E658"/>
      <c r="F658"/>
      <c r="G658"/>
      <c r="H658"/>
    </row>
    <row r="659" spans="4:8">
      <c r="D659"/>
      <c r="E659"/>
      <c r="F659"/>
      <c r="G659"/>
      <c r="H659"/>
    </row>
    <row r="660" spans="4:8">
      <c r="D660"/>
      <c r="E660"/>
      <c r="F660"/>
      <c r="G660"/>
      <c r="H660"/>
    </row>
    <row r="661" spans="4:8">
      <c r="D661"/>
      <c r="E661"/>
      <c r="F661"/>
      <c r="G661"/>
      <c r="H661"/>
    </row>
    <row r="662" spans="4:8">
      <c r="D662"/>
      <c r="E662"/>
      <c r="F662"/>
      <c r="G662"/>
      <c r="H662"/>
    </row>
    <row r="663" spans="4:8">
      <c r="D663"/>
      <c r="E663"/>
      <c r="F663"/>
      <c r="G663"/>
      <c r="H663"/>
    </row>
    <row r="664" spans="4:8">
      <c r="D664"/>
      <c r="E664"/>
      <c r="F664"/>
      <c r="G664"/>
      <c r="H664"/>
    </row>
    <row r="665" spans="4:8">
      <c r="D665"/>
      <c r="E665"/>
      <c r="F665"/>
      <c r="G665"/>
      <c r="H665"/>
    </row>
    <row r="666" spans="4:8">
      <c r="D666"/>
      <c r="E666"/>
      <c r="F666"/>
      <c r="G666"/>
      <c r="H666"/>
    </row>
    <row r="667" spans="4:8">
      <c r="D667"/>
      <c r="E667"/>
      <c r="F667"/>
      <c r="G667"/>
      <c r="H667"/>
    </row>
    <row r="668" spans="4:8">
      <c r="D668"/>
      <c r="E668"/>
      <c r="F668"/>
      <c r="G668"/>
      <c r="H668"/>
    </row>
    <row r="669" spans="4:8">
      <c r="D669"/>
      <c r="E669"/>
      <c r="F669"/>
      <c r="G669"/>
      <c r="H669"/>
    </row>
    <row r="670" spans="4:8">
      <c r="D670"/>
      <c r="E670"/>
      <c r="F670"/>
      <c r="G670"/>
      <c r="H670"/>
    </row>
    <row r="671" spans="4:8">
      <c r="D671"/>
      <c r="E671"/>
      <c r="F671"/>
      <c r="G671"/>
      <c r="H671"/>
    </row>
    <row r="672" spans="4:8">
      <c r="D672"/>
      <c r="E672"/>
      <c r="F672"/>
      <c r="G672"/>
      <c r="H672"/>
    </row>
    <row r="673" spans="4:8">
      <c r="D673"/>
      <c r="E673"/>
      <c r="F673"/>
      <c r="G673"/>
      <c r="H673"/>
    </row>
    <row r="674" spans="4:8">
      <c r="D674"/>
      <c r="E674"/>
      <c r="F674"/>
      <c r="G674"/>
      <c r="H674"/>
    </row>
    <row r="675" spans="4:8">
      <c r="D675"/>
      <c r="E675"/>
      <c r="F675"/>
      <c r="G675"/>
      <c r="H675"/>
    </row>
    <row r="676" spans="4:8">
      <c r="D676"/>
      <c r="E676"/>
      <c r="F676"/>
      <c r="G676"/>
      <c r="H676"/>
    </row>
    <row r="677" spans="4:8">
      <c r="D677"/>
      <c r="E677"/>
      <c r="F677"/>
      <c r="G677"/>
      <c r="H677"/>
    </row>
    <row r="678" spans="4:8">
      <c r="D678"/>
      <c r="E678"/>
      <c r="F678"/>
      <c r="G678"/>
      <c r="H678"/>
    </row>
    <row r="679" spans="4:8">
      <c r="D679"/>
      <c r="E679"/>
      <c r="F679"/>
      <c r="G679"/>
      <c r="H679"/>
    </row>
    <row r="680" spans="4:8">
      <c r="D680"/>
      <c r="E680"/>
      <c r="F680"/>
      <c r="G680"/>
      <c r="H680"/>
    </row>
    <row r="681" spans="4:8">
      <c r="D681"/>
      <c r="E681"/>
      <c r="F681"/>
      <c r="G681"/>
      <c r="H681"/>
    </row>
    <row r="682" spans="4:8">
      <c r="D682"/>
      <c r="E682"/>
      <c r="F682"/>
      <c r="G682"/>
      <c r="H682"/>
    </row>
    <row r="683" spans="4:8">
      <c r="D683"/>
      <c r="E683"/>
      <c r="F683"/>
      <c r="G683"/>
      <c r="H683"/>
    </row>
    <row r="684" spans="4:8">
      <c r="D684"/>
      <c r="E684"/>
      <c r="F684"/>
      <c r="G684"/>
      <c r="H684"/>
    </row>
    <row r="685" spans="4:8">
      <c r="D685"/>
      <c r="E685"/>
      <c r="F685"/>
      <c r="G685"/>
      <c r="H685"/>
    </row>
    <row r="686" spans="4:8">
      <c r="D686"/>
      <c r="E686"/>
      <c r="F686"/>
      <c r="G686"/>
      <c r="H686"/>
    </row>
    <row r="687" spans="4:8">
      <c r="D687"/>
      <c r="E687"/>
      <c r="F687"/>
      <c r="G687"/>
      <c r="H687"/>
    </row>
    <row r="688" spans="4:8">
      <c r="D688"/>
      <c r="E688"/>
      <c r="F688"/>
      <c r="G688"/>
      <c r="H688"/>
    </row>
    <row r="689" spans="4:8">
      <c r="D689"/>
      <c r="E689"/>
      <c r="F689"/>
      <c r="G689"/>
      <c r="H689"/>
    </row>
    <row r="690" spans="4:8">
      <c r="D690"/>
      <c r="E690"/>
      <c r="F690"/>
      <c r="G690"/>
      <c r="H690"/>
    </row>
    <row r="691" spans="4:8">
      <c r="D691"/>
      <c r="E691"/>
      <c r="F691"/>
      <c r="G691"/>
      <c r="H691"/>
    </row>
    <row r="692" spans="4:8">
      <c r="D692"/>
      <c r="E692"/>
      <c r="F692"/>
      <c r="G692"/>
      <c r="H692"/>
    </row>
    <row r="693" spans="4:8">
      <c r="D693"/>
      <c r="E693"/>
      <c r="F693"/>
      <c r="G693"/>
      <c r="H693"/>
    </row>
    <row r="694" spans="4:8">
      <c r="D694"/>
      <c r="E694"/>
      <c r="F694"/>
      <c r="G694"/>
      <c r="H694"/>
    </row>
    <row r="695" spans="4:8">
      <c r="D695"/>
      <c r="E695"/>
      <c r="F695"/>
      <c r="G695"/>
      <c r="H695"/>
    </row>
    <row r="696" spans="4:8">
      <c r="D696"/>
      <c r="E696"/>
      <c r="F696"/>
      <c r="G696"/>
      <c r="H696"/>
    </row>
    <row r="697" spans="4:8">
      <c r="D697"/>
      <c r="E697"/>
      <c r="F697"/>
      <c r="G697"/>
      <c r="H697"/>
    </row>
    <row r="698" spans="4:8">
      <c r="D698"/>
      <c r="E698"/>
      <c r="F698"/>
      <c r="G698"/>
      <c r="H698"/>
    </row>
    <row r="699" spans="4:8">
      <c r="D699"/>
      <c r="E699"/>
      <c r="F699"/>
      <c r="G699"/>
      <c r="H699"/>
    </row>
    <row r="700" spans="4:8">
      <c r="D700"/>
      <c r="E700"/>
      <c r="F700"/>
      <c r="G700"/>
      <c r="H700"/>
    </row>
    <row r="701" spans="4:8">
      <c r="D701"/>
      <c r="E701"/>
      <c r="F701"/>
      <c r="G701"/>
      <c r="H701"/>
    </row>
    <row r="702" spans="4:8">
      <c r="D702"/>
      <c r="E702"/>
      <c r="F702"/>
      <c r="G702"/>
      <c r="H702"/>
    </row>
    <row r="703" spans="4:8">
      <c r="D703"/>
      <c r="E703"/>
      <c r="F703"/>
      <c r="G703"/>
      <c r="H703"/>
    </row>
    <row r="704" spans="4:8">
      <c r="D704"/>
      <c r="E704"/>
      <c r="F704"/>
      <c r="G704"/>
      <c r="H704"/>
    </row>
  </sheetData>
  <conditionalFormatting sqref="D7 F7 H7">
    <cfRule type="cellIs" dxfId="26" priority="18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BCF71-821B-4CDF-BEF1-B94DAEEB8972}">
  <sheetPr codeName="RevExpAll">
    <tabColor theme="5" tint="0.79998168889431442"/>
  </sheetPr>
  <dimension ref="A1:I46"/>
  <sheetViews>
    <sheetView showGridLines="0" workbookViewId="0"/>
  </sheetViews>
  <sheetFormatPr defaultRowHeight="14.4"/>
  <cols>
    <col min="1" max="1" width="29.33203125" style="200" customWidth="1"/>
    <col min="2" max="2" width="14.6640625" style="199" customWidth="1"/>
    <col min="3" max="5" width="14.33203125" style="199" customWidth="1"/>
    <col min="6" max="6" width="14.33203125" style="228" customWidth="1"/>
    <col min="7" max="8" width="14.33203125" style="199" customWidth="1"/>
    <col min="9" max="9" width="14.33203125" style="228" customWidth="1"/>
  </cols>
  <sheetData>
    <row r="1" spans="1:9">
      <c r="A1" s="172" t="s">
        <v>1524</v>
      </c>
      <c r="B1" s="269" t="s">
        <v>1668</v>
      </c>
      <c r="C1" s="269"/>
      <c r="D1" s="269"/>
      <c r="E1" s="269"/>
      <c r="F1" s="269"/>
      <c r="G1" s="269"/>
      <c r="H1" s="269"/>
      <c r="I1" s="269"/>
    </row>
    <row r="2" spans="1:9">
      <c r="A2" s="173"/>
      <c r="B2" s="270"/>
      <c r="C2" s="270"/>
      <c r="D2" s="270"/>
      <c r="E2" s="270"/>
      <c r="F2" s="270"/>
      <c r="G2" s="270"/>
      <c r="H2" s="270"/>
      <c r="I2" s="270"/>
    </row>
    <row r="3" spans="1:9">
      <c r="A3" s="174"/>
      <c r="B3" s="175" t="s">
        <v>118</v>
      </c>
      <c r="C3" s="176" t="s">
        <v>121</v>
      </c>
      <c r="D3" s="177" t="s">
        <v>1509</v>
      </c>
      <c r="E3" s="178" t="s">
        <v>121</v>
      </c>
      <c r="F3" s="179" t="s">
        <v>1510</v>
      </c>
      <c r="G3" s="177" t="s">
        <v>165</v>
      </c>
      <c r="H3" s="180" t="s">
        <v>1511</v>
      </c>
      <c r="I3" s="179" t="s">
        <v>119</v>
      </c>
    </row>
    <row r="4" spans="1:9">
      <c r="A4" s="181" t="s">
        <v>1512</v>
      </c>
      <c r="B4" s="182" t="s">
        <v>1513</v>
      </c>
      <c r="C4" s="183" t="s">
        <v>1513</v>
      </c>
      <c r="D4" s="184" t="s">
        <v>1514</v>
      </c>
      <c r="E4" s="184" t="s">
        <v>1514</v>
      </c>
      <c r="F4" s="185" t="s">
        <v>123</v>
      </c>
      <c r="G4" s="184" t="s">
        <v>1515</v>
      </c>
      <c r="H4" s="186" t="s">
        <v>1516</v>
      </c>
      <c r="I4" s="185" t="s">
        <v>1517</v>
      </c>
    </row>
    <row r="5" spans="1:9">
      <c r="A5" s="235"/>
      <c r="B5" s="187"/>
      <c r="C5" s="187"/>
      <c r="D5" s="187"/>
      <c r="E5" s="187"/>
      <c r="F5" s="232"/>
      <c r="G5" s="187"/>
      <c r="H5" s="187"/>
      <c r="I5" s="232"/>
    </row>
    <row r="6" spans="1:9">
      <c r="A6" s="188"/>
      <c r="F6" s="233"/>
      <c r="I6" s="233"/>
    </row>
    <row r="7" spans="1:9">
      <c r="A7" s="188"/>
      <c r="F7" s="233"/>
      <c r="I7" s="233"/>
    </row>
    <row r="8" spans="1:9">
      <c r="A8" s="188"/>
      <c r="F8" s="233"/>
      <c r="I8" s="233"/>
    </row>
    <row r="9" spans="1:9">
      <c r="A9" s="188"/>
      <c r="F9" s="233"/>
      <c r="I9" s="233"/>
    </row>
    <row r="10" spans="1:9">
      <c r="A10" s="188"/>
      <c r="F10" s="233"/>
      <c r="I10" s="233"/>
    </row>
    <row r="11" spans="1:9">
      <c r="A11" s="188"/>
      <c r="F11" s="233"/>
      <c r="I11" s="233"/>
    </row>
    <row r="12" spans="1:9">
      <c r="A12" s="188"/>
      <c r="F12" s="233"/>
      <c r="I12" s="233"/>
    </row>
    <row r="13" spans="1:9">
      <c r="A13" s="188"/>
      <c r="F13" s="233"/>
      <c r="I13" s="233"/>
    </row>
    <row r="14" spans="1:9">
      <c r="A14" s="188"/>
      <c r="F14" s="233"/>
      <c r="I14" s="233"/>
    </row>
    <row r="15" spans="1:9">
      <c r="A15" s="188"/>
      <c r="F15" s="233"/>
      <c r="I15" s="233"/>
    </row>
    <row r="16" spans="1:9">
      <c r="A16" s="188"/>
      <c r="F16" s="233"/>
      <c r="I16" s="233"/>
    </row>
    <row r="17" spans="1:9">
      <c r="A17" s="188"/>
      <c r="F17" s="233"/>
      <c r="I17" s="233"/>
    </row>
    <row r="18" spans="1:9">
      <c r="A18" s="188"/>
      <c r="F18" s="233"/>
      <c r="I18" s="233"/>
    </row>
    <row r="19" spans="1:9">
      <c r="A19" s="188"/>
      <c r="F19" s="234"/>
      <c r="I19" s="234"/>
    </row>
    <row r="20" spans="1:9">
      <c r="A20" s="188"/>
      <c r="F20" s="234"/>
      <c r="I20" s="234"/>
    </row>
    <row r="21" spans="1:9">
      <c r="A21" s="188"/>
      <c r="F21" s="234"/>
      <c r="I21" s="234"/>
    </row>
    <row r="22" spans="1:9">
      <c r="A22" s="188"/>
      <c r="F22" s="234"/>
      <c r="I22" s="234"/>
    </row>
    <row r="23" spans="1:9">
      <c r="A23" s="188"/>
      <c r="F23" s="234"/>
      <c r="I23" s="234"/>
    </row>
    <row r="24" spans="1:9">
      <c r="A24" s="188"/>
      <c r="F24" s="233"/>
      <c r="I24" s="233"/>
    </row>
    <row r="25" spans="1:9">
      <c r="A25" s="188"/>
      <c r="F25" s="233"/>
      <c r="I25" s="233"/>
    </row>
    <row r="26" spans="1:9">
      <c r="A26" s="188"/>
      <c r="F26" s="233"/>
      <c r="I26" s="233"/>
    </row>
    <row r="27" spans="1:9">
      <c r="A27" s="188"/>
    </row>
    <row r="28" spans="1:9">
      <c r="A28" s="188"/>
    </row>
    <row r="29" spans="1:9">
      <c r="A29" s="188"/>
    </row>
    <row r="30" spans="1:9">
      <c r="A30" s="188"/>
    </row>
    <row r="31" spans="1:9">
      <c r="A31" s="188"/>
    </row>
    <row r="32" spans="1:9">
      <c r="A32" s="188"/>
    </row>
    <row r="33" spans="1:1">
      <c r="A33" s="188"/>
    </row>
    <row r="34" spans="1:1">
      <c r="A34" s="188"/>
    </row>
    <row r="35" spans="1:1">
      <c r="A35" s="188"/>
    </row>
    <row r="36" spans="1:1">
      <c r="A36" s="188"/>
    </row>
    <row r="37" spans="1:1">
      <c r="A37" s="188"/>
    </row>
    <row r="38" spans="1:1">
      <c r="A38" s="188"/>
    </row>
    <row r="39" spans="1:1">
      <c r="A39" s="188"/>
    </row>
    <row r="40" spans="1:1">
      <c r="A40" s="188"/>
    </row>
    <row r="41" spans="1:1">
      <c r="A41" s="188"/>
    </row>
    <row r="42" spans="1:1">
      <c r="A42" s="188"/>
    </row>
    <row r="43" spans="1:1">
      <c r="A43" s="188"/>
    </row>
    <row r="44" spans="1:1">
      <c r="A44" s="188"/>
    </row>
    <row r="45" spans="1:1">
      <c r="A45" s="188"/>
    </row>
    <row r="46" spans="1:1">
      <c r="A46" s="188"/>
    </row>
  </sheetData>
  <mergeCells count="2">
    <mergeCell ref="B1:I1"/>
    <mergeCell ref="B2:I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8B9C0-4DBC-43BB-8A21-9069D4C51437}">
  <sheetPr codeName="RollUp">
    <pageSetUpPr fitToPage="1"/>
  </sheetPr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4.4" outlineLevelRow="1" outlineLevelCol="1"/>
  <cols>
    <col min="1" max="1" width="30.77734375" style="229" customWidth="1"/>
    <col min="2" max="2" width="15.109375" style="229" bestFit="1" customWidth="1"/>
    <col min="3" max="5" width="11.33203125" style="229" hidden="1" customWidth="1" outlineLevel="1"/>
    <col min="6" max="6" width="16.21875" style="229" bestFit="1" customWidth="1" collapsed="1"/>
    <col min="7" max="9" width="13.21875" style="229" hidden="1" customWidth="1" outlineLevel="1"/>
    <col min="10" max="10" width="16.21875" style="229" bestFit="1" customWidth="1" collapsed="1"/>
    <col min="11" max="13" width="13.21875" style="229" hidden="1" customWidth="1" outlineLevel="1"/>
    <col min="14" max="14" width="16.21875" style="229" bestFit="1" customWidth="1" collapsed="1"/>
    <col min="15" max="17" width="14.5546875" style="229" hidden="1" customWidth="1" outlineLevel="1"/>
    <col min="18" max="18" width="16.21875" style="229" bestFit="1" customWidth="1" collapsed="1"/>
    <col min="19" max="21" width="13.44140625" style="229" hidden="1" customWidth="1" outlineLevel="1"/>
    <col min="22" max="22" width="13.33203125" style="229" bestFit="1" customWidth="1" collapsed="1"/>
    <col min="23" max="25" width="12.33203125" style="229" hidden="1" customWidth="1" outlineLevel="1"/>
    <col min="26" max="26" width="8.88671875" style="229" collapsed="1"/>
    <col min="27" max="52" width="8.88671875" style="229"/>
  </cols>
  <sheetData>
    <row r="1" spans="1:52" ht="15.6">
      <c r="A1" s="111" t="str" cm="1">
        <f t="array" ref="A1">CCName('Create Report'!E8)</f>
        <v>KVCU Radio Station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V1" s="230"/>
      <c r="W1" s="230"/>
      <c r="X1" s="230"/>
      <c r="Y1" s="230"/>
    </row>
    <row r="2" spans="1:52" ht="15.6">
      <c r="A2" s="113" t="s">
        <v>1698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V2" s="231"/>
      <c r="W2" s="231"/>
      <c r="X2" s="231"/>
      <c r="Y2" s="231"/>
    </row>
    <row r="3" spans="1:52" ht="14.4" customHeight="1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21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1694</v>
      </c>
      <c r="D5" s="120" t="s">
        <v>1696</v>
      </c>
      <c r="E5" s="120" t="s">
        <v>1695</v>
      </c>
      <c r="F5" s="119"/>
      <c r="G5" s="120" t="s">
        <v>1694</v>
      </c>
      <c r="H5" s="120" t="s">
        <v>1696</v>
      </c>
      <c r="I5" s="120" t="s">
        <v>1695</v>
      </c>
      <c r="J5" s="119"/>
      <c r="K5" s="120" t="s">
        <v>1694</v>
      </c>
      <c r="L5" s="120" t="s">
        <v>1696</v>
      </c>
      <c r="M5" s="120" t="s">
        <v>1695</v>
      </c>
      <c r="N5" s="119"/>
      <c r="O5" s="120" t="s">
        <v>1694</v>
      </c>
      <c r="P5" s="120" t="s">
        <v>1696</v>
      </c>
      <c r="Q5" s="120" t="s">
        <v>1695</v>
      </c>
      <c r="R5" s="119"/>
      <c r="S5" s="119" t="s">
        <v>1694</v>
      </c>
      <c r="T5" s="119" t="s">
        <v>1696</v>
      </c>
      <c r="U5" s="119" t="s">
        <v>1695</v>
      </c>
      <c r="V5" s="119"/>
      <c r="W5" s="119" t="s">
        <v>1694</v>
      </c>
      <c r="X5" s="119" t="s">
        <v>1696</v>
      </c>
      <c r="Y5" s="119" t="s">
        <v>1695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t="14.4" hidden="1" customHeight="1" outlineLevel="1">
      <c r="A8" s="126" t="s">
        <v>130</v>
      </c>
      <c r="B8" s="127">
        <f>RollUpSum(8,2)</f>
        <v>0</v>
      </c>
      <c r="C8" s="128">
        <f>RollUpSum(8,3)</f>
        <v>-147042</v>
      </c>
      <c r="D8" s="250">
        <f>RollUpSum(8,4)</f>
        <v>-145841</v>
      </c>
      <c r="E8" s="246">
        <f>RollUpSum(8,5)</f>
        <v>-143892</v>
      </c>
      <c r="F8" s="129">
        <f>RollUpSum(8,6)</f>
        <v>-72794.938699999999</v>
      </c>
      <c r="G8" s="128">
        <f>RollUpSum(8,7)</f>
        <v>-73521</v>
      </c>
      <c r="H8" s="250">
        <f>RollUpSum(8,8)</f>
        <v>-72920</v>
      </c>
      <c r="I8" s="246">
        <f>RollUpSum(8,9)</f>
        <v>-71946</v>
      </c>
      <c r="J8" s="129">
        <f>RollUpSum(8,10)</f>
        <v>0</v>
      </c>
      <c r="K8" s="128">
        <f>RollUpSum(8,11)</f>
        <v>0</v>
      </c>
      <c r="L8" s="250">
        <f>RollUpSum(8,12)</f>
        <v>0</v>
      </c>
      <c r="M8" s="246">
        <f>RollUpSum(8,13)</f>
        <v>0</v>
      </c>
      <c r="N8" s="129">
        <f>RollUpSum(8,14)</f>
        <v>-72795.271999999997</v>
      </c>
      <c r="O8" s="128">
        <f>RollUpSum(8,15)</f>
        <v>-73521</v>
      </c>
      <c r="P8" s="250">
        <f>RollUpSum(8,16)</f>
        <v>-72921</v>
      </c>
      <c r="Q8" s="246">
        <f>RollUpSum(8,17)</f>
        <v>-71946</v>
      </c>
      <c r="R8" s="129">
        <f>RollUpSum(8,18)</f>
        <v>0</v>
      </c>
      <c r="S8" s="130">
        <f>RollUpSum(8,19)</f>
        <v>0</v>
      </c>
      <c r="T8" s="241">
        <f>RollUpSum(8,20)</f>
        <v>0</v>
      </c>
      <c r="U8" s="236">
        <f>RollUpSum(8,21)</f>
        <v>0</v>
      </c>
      <c r="V8" s="127">
        <f>RollUpSum(8,22)</f>
        <v>-145590.2107</v>
      </c>
      <c r="W8" s="130">
        <f>RollUpSum(8,23)</f>
        <v>-147042</v>
      </c>
      <c r="X8" s="241">
        <f>RollUpSum(8,24)</f>
        <v>-145841</v>
      </c>
      <c r="Y8" s="236">
        <f>RollUpSum(8,25)</f>
        <v>-143892</v>
      </c>
    </row>
    <row r="9" spans="1:52" ht="14.4" hidden="1" customHeight="1" outlineLevel="1">
      <c r="A9" s="131" t="s">
        <v>131</v>
      </c>
      <c r="B9" s="127">
        <f>RollUpSum(9,2)</f>
        <v>0</v>
      </c>
      <c r="C9" s="132">
        <f>RollUpSum(9,3)</f>
        <v>0</v>
      </c>
      <c r="D9" s="251">
        <f>RollUpSum(9,4)</f>
        <v>0</v>
      </c>
      <c r="E9" s="247">
        <f>RollUpSum(9,5)</f>
        <v>0</v>
      </c>
      <c r="F9" s="129">
        <f>RollUpSum(9,6)</f>
        <v>0</v>
      </c>
      <c r="G9" s="132">
        <f>RollUpSum(9,7)</f>
        <v>0</v>
      </c>
      <c r="H9" s="251">
        <f>RollUpSum(9,8)</f>
        <v>0</v>
      </c>
      <c r="I9" s="247">
        <f>RollUpSum(9,9)</f>
        <v>0</v>
      </c>
      <c r="J9" s="129">
        <f>RollUpSum(9,10)</f>
        <v>0</v>
      </c>
      <c r="K9" s="132">
        <f>RollUpSum(9,11)</f>
        <v>0</v>
      </c>
      <c r="L9" s="251">
        <f>RollUpSum(9,12)</f>
        <v>0</v>
      </c>
      <c r="M9" s="247">
        <f>RollUpSum(9,13)</f>
        <v>0</v>
      </c>
      <c r="N9" s="129">
        <f>RollUpSum(9,14)</f>
        <v>0</v>
      </c>
      <c r="O9" s="132">
        <f>RollUpSum(9,15)</f>
        <v>0</v>
      </c>
      <c r="P9" s="251">
        <f>RollUpSum(9,16)</f>
        <v>0</v>
      </c>
      <c r="Q9" s="247">
        <f>RollUpSum(9,17)</f>
        <v>0</v>
      </c>
      <c r="R9" s="129">
        <f>RollUpSum(9,18)</f>
        <v>0</v>
      </c>
      <c r="S9" s="133">
        <f>RollUpSum(9,19)</f>
        <v>0</v>
      </c>
      <c r="T9" s="242">
        <f>RollUpSum(9,20)</f>
        <v>0</v>
      </c>
      <c r="U9" s="237">
        <f>RollUpSum(9,21)</f>
        <v>0</v>
      </c>
      <c r="V9" s="127">
        <f>RollUpSum(9,22)</f>
        <v>0</v>
      </c>
      <c r="W9" s="133">
        <f>RollUpSum(9,23)</f>
        <v>0</v>
      </c>
      <c r="X9" s="242">
        <f>RollUpSum(9,24)</f>
        <v>0</v>
      </c>
      <c r="Y9" s="237">
        <f>RollUpSum(9,25)</f>
        <v>0</v>
      </c>
    </row>
    <row r="10" spans="1:52" ht="14.4" hidden="1" customHeight="1" outlineLevel="1">
      <c r="A10" s="131" t="s">
        <v>132</v>
      </c>
      <c r="B10" s="127">
        <f>RollUpSum(10,2)</f>
        <v>0</v>
      </c>
      <c r="C10" s="132">
        <f>RollUpSum(10,3)</f>
        <v>0</v>
      </c>
      <c r="D10" s="251">
        <f>RollUpSum(10,4)</f>
        <v>0</v>
      </c>
      <c r="E10" s="247">
        <f>RollUpSum(10,5)</f>
        <v>0</v>
      </c>
      <c r="F10" s="129">
        <f>RollUpSum(10,6)</f>
        <v>0</v>
      </c>
      <c r="G10" s="132">
        <f>RollUpSum(10,7)</f>
        <v>0</v>
      </c>
      <c r="H10" s="251">
        <f>RollUpSum(10,8)</f>
        <v>0</v>
      </c>
      <c r="I10" s="247">
        <f>RollUpSum(10,9)</f>
        <v>0</v>
      </c>
      <c r="J10" s="129">
        <f>RollUpSum(10,10)</f>
        <v>0</v>
      </c>
      <c r="K10" s="132">
        <f>RollUpSum(10,11)</f>
        <v>0</v>
      </c>
      <c r="L10" s="251">
        <f>RollUpSum(10,12)</f>
        <v>0</v>
      </c>
      <c r="M10" s="247">
        <f>RollUpSum(10,13)</f>
        <v>0</v>
      </c>
      <c r="N10" s="129">
        <f>RollUpSum(10,14)</f>
        <v>0</v>
      </c>
      <c r="O10" s="132">
        <f>RollUpSum(10,15)</f>
        <v>0</v>
      </c>
      <c r="P10" s="251">
        <f>RollUpSum(10,16)</f>
        <v>0</v>
      </c>
      <c r="Q10" s="247">
        <f>RollUpSum(10,17)</f>
        <v>0</v>
      </c>
      <c r="R10" s="129">
        <f>RollUpSum(10,18)</f>
        <v>0</v>
      </c>
      <c r="S10" s="133">
        <f>RollUpSum(10,19)</f>
        <v>0</v>
      </c>
      <c r="T10" s="242">
        <f>RollUpSum(10,20)</f>
        <v>0</v>
      </c>
      <c r="U10" s="237">
        <f>RollUpSum(10,21)</f>
        <v>0</v>
      </c>
      <c r="V10" s="127">
        <f>RollUpSum(10,22)</f>
        <v>0</v>
      </c>
      <c r="W10" s="133">
        <f>RollUpSum(10,23)</f>
        <v>0</v>
      </c>
      <c r="X10" s="242">
        <f>RollUpSum(10,24)</f>
        <v>0</v>
      </c>
      <c r="Y10" s="237">
        <f>RollUpSum(10,25)</f>
        <v>0</v>
      </c>
    </row>
    <row r="11" spans="1:52" ht="14.4" hidden="1" customHeight="1" outlineLevel="1">
      <c r="A11" s="134" t="s">
        <v>133</v>
      </c>
      <c r="B11" s="135">
        <f>RollUpSum(11,2)</f>
        <v>0</v>
      </c>
      <c r="C11" s="132">
        <f>RollUpSum(11,3)</f>
        <v>0</v>
      </c>
      <c r="D11" s="251">
        <f>RollUpSum(11,4)</f>
        <v>0</v>
      </c>
      <c r="E11" s="247">
        <f>RollUpSum(11,5)</f>
        <v>0</v>
      </c>
      <c r="F11" s="136">
        <f>RollUpSum(11,6)</f>
        <v>0</v>
      </c>
      <c r="G11" s="132">
        <f>RollUpSum(11,7)</f>
        <v>0</v>
      </c>
      <c r="H11" s="251">
        <f>RollUpSum(11,8)</f>
        <v>0</v>
      </c>
      <c r="I11" s="247">
        <f>RollUpSum(11,9)</f>
        <v>0</v>
      </c>
      <c r="J11" s="136">
        <f>RollUpSum(11,10)</f>
        <v>0</v>
      </c>
      <c r="K11" s="132">
        <f>RollUpSum(11,11)</f>
        <v>0</v>
      </c>
      <c r="L11" s="251">
        <f>RollUpSum(11,12)</f>
        <v>0</v>
      </c>
      <c r="M11" s="247">
        <f>RollUpSum(11,13)</f>
        <v>0</v>
      </c>
      <c r="N11" s="136">
        <f>RollUpSum(11,14)</f>
        <v>0</v>
      </c>
      <c r="O11" s="132">
        <f>RollUpSum(11,15)</f>
        <v>0</v>
      </c>
      <c r="P11" s="251">
        <f>RollUpSum(11,16)</f>
        <v>0</v>
      </c>
      <c r="Q11" s="247">
        <f>RollUpSum(11,17)</f>
        <v>0</v>
      </c>
      <c r="R11" s="136">
        <f>RollUpSum(11,18)</f>
        <v>-36791.038800000002</v>
      </c>
      <c r="S11" s="133">
        <f>RollUpSum(11,19)</f>
        <v>0</v>
      </c>
      <c r="T11" s="242">
        <f>RollUpSum(11,20)</f>
        <v>-46552.04</v>
      </c>
      <c r="U11" s="237">
        <f>RollUpSum(11,21)</f>
        <v>-63822.18</v>
      </c>
      <c r="V11" s="135">
        <f>RollUpSum(11,22)</f>
        <v>-36791.038800000002</v>
      </c>
      <c r="W11" s="133">
        <f>RollUpSum(11,23)</f>
        <v>0</v>
      </c>
      <c r="X11" s="242">
        <f>RollUpSum(11,24)</f>
        <v>-46552.04</v>
      </c>
      <c r="Y11" s="237">
        <f>RollUpSum(11,25)</f>
        <v>-63822.18</v>
      </c>
    </row>
    <row r="12" spans="1:52" ht="16.2" collapsed="1" thickBot="1">
      <c r="A12" s="137" t="s">
        <v>134</v>
      </c>
      <c r="B12" s="138">
        <f>SUM(B8:B11)</f>
        <v>0</v>
      </c>
      <c r="C12" s="139">
        <f t="shared" ref="C12:U12" si="0">SUM(C8:C11)</f>
        <v>-147042</v>
      </c>
      <c r="D12" s="139">
        <f t="shared" si="0"/>
        <v>-145841</v>
      </c>
      <c r="E12" s="139">
        <f t="shared" si="0"/>
        <v>-143892</v>
      </c>
      <c r="F12" s="138">
        <f t="shared" si="0"/>
        <v>-72794.938699999999</v>
      </c>
      <c r="G12" s="139">
        <f t="shared" si="0"/>
        <v>-73521</v>
      </c>
      <c r="H12" s="139">
        <f t="shared" si="0"/>
        <v>-72920</v>
      </c>
      <c r="I12" s="139">
        <f t="shared" si="0"/>
        <v>-71946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-72795.271999999997</v>
      </c>
      <c r="O12" s="139">
        <f t="shared" si="0"/>
        <v>-73521</v>
      </c>
      <c r="P12" s="139">
        <f t="shared" si="0"/>
        <v>-72921</v>
      </c>
      <c r="Q12" s="139">
        <f t="shared" si="0"/>
        <v>-71946</v>
      </c>
      <c r="R12" s="138">
        <f t="shared" si="0"/>
        <v>-36791.038800000002</v>
      </c>
      <c r="S12" s="138">
        <f t="shared" si="0"/>
        <v>0</v>
      </c>
      <c r="T12" s="138">
        <f t="shared" si="0"/>
        <v>-46552.04</v>
      </c>
      <c r="U12" s="138">
        <f t="shared" si="0"/>
        <v>-63822.18</v>
      </c>
      <c r="V12" s="138">
        <f>SUM(V8:V11)</f>
        <v>-182381.24950000001</v>
      </c>
      <c r="W12" s="138">
        <f>SUM(W8:W11)</f>
        <v>-147042</v>
      </c>
      <c r="X12" s="138">
        <f>SUM(X8:X11)</f>
        <v>-192393.04</v>
      </c>
      <c r="Y12" s="138">
        <f>SUM(Y8:Y11)</f>
        <v>-207714.18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t="14.4" hidden="1" customHeight="1" outlineLevel="1">
      <c r="A15" s="126" t="s">
        <v>136</v>
      </c>
      <c r="B15" s="141">
        <f>RollUpSum(15,2)</f>
        <v>0</v>
      </c>
      <c r="C15" s="128">
        <f>RollUpSum(15,3)</f>
        <v>0</v>
      </c>
      <c r="D15" s="250">
        <f>RollUpSum(15,4)</f>
        <v>0</v>
      </c>
      <c r="E15" s="246">
        <f>RollUpSum(15,5)</f>
        <v>0</v>
      </c>
      <c r="F15" s="129">
        <f>RollUpSum(15,6)</f>
        <v>0</v>
      </c>
      <c r="G15" s="128">
        <f>RollUpSum(15,7)</f>
        <v>0</v>
      </c>
      <c r="H15" s="250">
        <f>RollUpSum(15,8)</f>
        <v>0</v>
      </c>
      <c r="I15" s="246">
        <f>RollUpSum(15,9)</f>
        <v>0</v>
      </c>
      <c r="J15" s="129">
        <f>RollUpSum(15,10)</f>
        <v>0</v>
      </c>
      <c r="K15" s="128">
        <f>RollUpSum(15,11)</f>
        <v>0</v>
      </c>
      <c r="L15" s="250">
        <f>RollUpSum(15,12)</f>
        <v>0</v>
      </c>
      <c r="M15" s="246">
        <f>RollUpSum(15,13)</f>
        <v>0</v>
      </c>
      <c r="N15" s="129">
        <f>RollUpSum(15,14)</f>
        <v>0</v>
      </c>
      <c r="O15" s="128">
        <f>RollUpSum(15,15)</f>
        <v>0</v>
      </c>
      <c r="P15" s="250">
        <f>RollUpSum(15,16)</f>
        <v>0</v>
      </c>
      <c r="Q15" s="246">
        <f>RollUpSum(15,17)</f>
        <v>0</v>
      </c>
      <c r="R15" s="129">
        <f>RollUpSum(15,18)</f>
        <v>0</v>
      </c>
      <c r="S15" s="142">
        <f>RollUpSum(15,19)</f>
        <v>0</v>
      </c>
      <c r="T15" s="243">
        <f>RollUpSum(15,20)</f>
        <v>0</v>
      </c>
      <c r="U15" s="238">
        <f>RollUpSum(15,21)</f>
        <v>0</v>
      </c>
      <c r="V15" s="141">
        <f>RollUpSum(15,22)</f>
        <v>0</v>
      </c>
      <c r="W15" s="142">
        <f>RollUpSum(15,23)</f>
        <v>0</v>
      </c>
      <c r="X15" s="243">
        <f>RollUpSum(15,24)</f>
        <v>0</v>
      </c>
      <c r="Y15" s="238">
        <f>RollUpSum(15,25)</f>
        <v>0</v>
      </c>
    </row>
    <row r="16" spans="1:52" ht="14.4" hidden="1" customHeight="1" outlineLevel="1">
      <c r="A16" s="131" t="s">
        <v>137</v>
      </c>
      <c r="B16" s="127">
        <f>RollUpSum(16,2)</f>
        <v>0</v>
      </c>
      <c r="C16" s="128">
        <f>RollUpSum(16,3)</f>
        <v>0</v>
      </c>
      <c r="D16" s="250">
        <f>RollUpSum(16,4)</f>
        <v>0</v>
      </c>
      <c r="E16" s="246">
        <f>RollUpSum(16,5)</f>
        <v>0</v>
      </c>
      <c r="F16" s="129">
        <f>RollUpSum(16,6)</f>
        <v>0</v>
      </c>
      <c r="G16" s="128">
        <f>RollUpSum(16,7)</f>
        <v>0</v>
      </c>
      <c r="H16" s="250">
        <f>RollUpSum(16,8)</f>
        <v>0</v>
      </c>
      <c r="I16" s="246">
        <f>RollUpSum(16,9)</f>
        <v>0</v>
      </c>
      <c r="J16" s="129">
        <f>RollUpSum(16,10)</f>
        <v>0</v>
      </c>
      <c r="K16" s="128">
        <f>RollUpSum(16,11)</f>
        <v>0</v>
      </c>
      <c r="L16" s="250">
        <f>RollUpSum(16,12)</f>
        <v>0</v>
      </c>
      <c r="M16" s="246">
        <f>RollUpSum(16,13)</f>
        <v>0</v>
      </c>
      <c r="N16" s="129">
        <f>RollUpSum(16,14)</f>
        <v>0</v>
      </c>
      <c r="O16" s="128">
        <f>RollUpSum(16,15)</f>
        <v>0</v>
      </c>
      <c r="P16" s="250">
        <f>RollUpSum(16,16)</f>
        <v>0</v>
      </c>
      <c r="Q16" s="246">
        <f>RollUpSum(16,17)</f>
        <v>0</v>
      </c>
      <c r="R16" s="129">
        <f>RollUpSum(16,18)</f>
        <v>0</v>
      </c>
      <c r="S16" s="130">
        <f>RollUpSum(16,19)</f>
        <v>0</v>
      </c>
      <c r="T16" s="241">
        <f>RollUpSum(16,20)</f>
        <v>0</v>
      </c>
      <c r="U16" s="236">
        <f>RollUpSum(16,21)</f>
        <v>0</v>
      </c>
      <c r="V16" s="127">
        <f>RollUpSum(16,22)</f>
        <v>0</v>
      </c>
      <c r="W16" s="130">
        <f>RollUpSum(16,23)</f>
        <v>0</v>
      </c>
      <c r="X16" s="241">
        <f>RollUpSum(16,24)</f>
        <v>0</v>
      </c>
      <c r="Y16" s="236">
        <f>RollUpSum(16,25)</f>
        <v>0</v>
      </c>
    </row>
    <row r="17" spans="1:25" ht="14.4" hidden="1" customHeight="1" outlineLevel="1">
      <c r="A17" s="143" t="s">
        <v>138</v>
      </c>
      <c r="B17" s="144">
        <f>RollUpSum(17,2)</f>
        <v>0</v>
      </c>
      <c r="C17" s="145">
        <f>RollUpSum(17,3)</f>
        <v>80188</v>
      </c>
      <c r="D17" s="252">
        <f>RollUpSum(17,4)</f>
        <v>80188</v>
      </c>
      <c r="E17" s="248">
        <f>RollUpSum(17,5)</f>
        <v>78707</v>
      </c>
      <c r="F17" s="146">
        <f>RollUpSum(17,6)</f>
        <v>9277.2306000000008</v>
      </c>
      <c r="G17" s="145">
        <f>RollUpSum(17,7)</f>
        <v>14720.75</v>
      </c>
      <c r="H17" s="252">
        <f>RollUpSum(17,8)</f>
        <v>5819.13</v>
      </c>
      <c r="I17" s="248">
        <f>RollUpSum(17,9)</f>
        <v>7292.09</v>
      </c>
      <c r="J17" s="146">
        <f>RollUpSum(17,10)</f>
        <v>16196.237999999999</v>
      </c>
      <c r="K17" s="145">
        <f>RollUpSum(17,11)</f>
        <v>16973.38</v>
      </c>
      <c r="L17" s="252">
        <f>RollUpSum(17,12)</f>
        <v>19469.09</v>
      </c>
      <c r="M17" s="248">
        <f>RollUpSum(17,13)</f>
        <v>12146.73</v>
      </c>
      <c r="N17" s="146">
        <f>RollUpSum(17,14)</f>
        <v>11599.120699999999</v>
      </c>
      <c r="O17" s="145">
        <f>RollUpSum(17,15)</f>
        <v>15456.66</v>
      </c>
      <c r="P17" s="252">
        <f>RollUpSum(17,16)</f>
        <v>12168.89</v>
      </c>
      <c r="Q17" s="248">
        <f>RollUpSum(17,17)</f>
        <v>7172.16</v>
      </c>
      <c r="R17" s="146">
        <f>RollUpSum(17,18)</f>
        <v>20901.794300000001</v>
      </c>
      <c r="S17" s="56">
        <f>RollUpSum(17,19)</f>
        <v>30453.55</v>
      </c>
      <c r="T17" s="244">
        <f>RollUpSum(17,20)</f>
        <v>21315.07</v>
      </c>
      <c r="U17" s="239">
        <f>RollUpSum(17,21)</f>
        <v>10937.39</v>
      </c>
      <c r="V17" s="144">
        <f>RollUpSum(17,22)</f>
        <v>57974.383600000001</v>
      </c>
      <c r="W17" s="56">
        <f>RollUpSum(17,23)</f>
        <v>77604.34</v>
      </c>
      <c r="X17" s="244">
        <f>RollUpSum(17,24)</f>
        <v>58772.18</v>
      </c>
      <c r="Y17" s="239">
        <f>RollUpSum(17,25)</f>
        <v>37548.370000000003</v>
      </c>
    </row>
    <row r="18" spans="1:25" ht="14.4" hidden="1" customHeight="1" outlineLevel="1">
      <c r="A18" s="131" t="s">
        <v>139</v>
      </c>
      <c r="B18" s="127">
        <f>RollUpSum(18,2)</f>
        <v>0</v>
      </c>
      <c r="C18" s="128">
        <f>RollUpSum(18,3)</f>
        <v>0</v>
      </c>
      <c r="D18" s="250">
        <f>RollUpSum(18,4)</f>
        <v>0</v>
      </c>
      <c r="E18" s="246">
        <f>RollUpSum(18,5)</f>
        <v>0</v>
      </c>
      <c r="F18" s="129">
        <f>RollUpSum(18,6)</f>
        <v>0</v>
      </c>
      <c r="G18" s="128">
        <f>RollUpSum(18,7)</f>
        <v>0</v>
      </c>
      <c r="H18" s="250">
        <f>RollUpSum(18,8)</f>
        <v>0</v>
      </c>
      <c r="I18" s="246">
        <f>RollUpSum(18,9)</f>
        <v>0</v>
      </c>
      <c r="J18" s="129">
        <f>RollUpSum(18,10)</f>
        <v>0</v>
      </c>
      <c r="K18" s="128">
        <f>RollUpSum(18,11)</f>
        <v>0</v>
      </c>
      <c r="L18" s="250">
        <f>RollUpSum(18,12)</f>
        <v>0</v>
      </c>
      <c r="M18" s="246">
        <f>RollUpSum(18,13)</f>
        <v>0</v>
      </c>
      <c r="N18" s="129">
        <f>RollUpSum(18,14)</f>
        <v>0</v>
      </c>
      <c r="O18" s="128">
        <f>RollUpSum(18,15)</f>
        <v>0</v>
      </c>
      <c r="P18" s="250">
        <f>RollUpSum(18,16)</f>
        <v>0</v>
      </c>
      <c r="Q18" s="246">
        <f>RollUpSum(18,17)</f>
        <v>0</v>
      </c>
      <c r="R18" s="129">
        <f>RollUpSum(18,18)</f>
        <v>0</v>
      </c>
      <c r="S18" s="130">
        <f>RollUpSum(18,19)</f>
        <v>0</v>
      </c>
      <c r="T18" s="241">
        <f>RollUpSum(18,20)</f>
        <v>0</v>
      </c>
      <c r="U18" s="236">
        <f>RollUpSum(18,21)</f>
        <v>0</v>
      </c>
      <c r="V18" s="127">
        <f>RollUpSum(18,22)</f>
        <v>0</v>
      </c>
      <c r="W18" s="130">
        <f>RollUpSum(18,23)</f>
        <v>0</v>
      </c>
      <c r="X18" s="241">
        <f>RollUpSum(18,24)</f>
        <v>0</v>
      </c>
      <c r="Y18" s="236">
        <f>RollUpSum(18,25)</f>
        <v>0</v>
      </c>
    </row>
    <row r="19" spans="1:25" ht="14.4" hidden="1" customHeight="1" outlineLevel="1">
      <c r="A19" s="131" t="s">
        <v>140</v>
      </c>
      <c r="B19" s="127">
        <f>RollUpSum(19,2)</f>
        <v>0</v>
      </c>
      <c r="C19" s="128">
        <f>RollUpSum(19,3)</f>
        <v>0</v>
      </c>
      <c r="D19" s="250">
        <f>RollUpSum(19,4)</f>
        <v>0</v>
      </c>
      <c r="E19" s="246">
        <f>RollUpSum(19,5)</f>
        <v>0</v>
      </c>
      <c r="F19" s="129">
        <f>RollUpSum(19,6)</f>
        <v>0</v>
      </c>
      <c r="G19" s="128">
        <f>RollUpSum(19,7)</f>
        <v>0</v>
      </c>
      <c r="H19" s="250">
        <f>RollUpSum(19,8)</f>
        <v>0</v>
      </c>
      <c r="I19" s="246">
        <f>RollUpSum(19,9)</f>
        <v>0</v>
      </c>
      <c r="J19" s="129">
        <f>RollUpSum(19,10)</f>
        <v>0</v>
      </c>
      <c r="K19" s="128">
        <f>RollUpSum(19,11)</f>
        <v>0</v>
      </c>
      <c r="L19" s="250">
        <f>RollUpSum(19,12)</f>
        <v>0</v>
      </c>
      <c r="M19" s="246">
        <f>RollUpSum(19,13)</f>
        <v>0</v>
      </c>
      <c r="N19" s="129">
        <f>RollUpSum(19,14)</f>
        <v>0</v>
      </c>
      <c r="O19" s="128">
        <f>RollUpSum(19,15)</f>
        <v>0</v>
      </c>
      <c r="P19" s="250">
        <f>RollUpSum(19,16)</f>
        <v>0</v>
      </c>
      <c r="Q19" s="246">
        <f>RollUpSum(19,17)</f>
        <v>0</v>
      </c>
      <c r="R19" s="129">
        <f>RollUpSum(19,18)</f>
        <v>0</v>
      </c>
      <c r="S19" s="130">
        <f>RollUpSum(19,19)</f>
        <v>0</v>
      </c>
      <c r="T19" s="241">
        <f>RollUpSum(19,20)</f>
        <v>0</v>
      </c>
      <c r="U19" s="236">
        <f>RollUpSum(19,21)</f>
        <v>0</v>
      </c>
      <c r="V19" s="127">
        <f>RollUpSum(19,22)</f>
        <v>0</v>
      </c>
      <c r="W19" s="130">
        <f>RollUpSum(19,23)</f>
        <v>0</v>
      </c>
      <c r="X19" s="241">
        <f>RollUpSum(19,24)</f>
        <v>0</v>
      </c>
      <c r="Y19" s="236">
        <f>RollUpSum(19,25)</f>
        <v>0</v>
      </c>
    </row>
    <row r="20" spans="1:25" ht="14.4" hidden="1" customHeight="1" outlineLevel="1">
      <c r="A20" s="134" t="s">
        <v>141</v>
      </c>
      <c r="B20" s="135">
        <f>RollUpSum(20,2)</f>
        <v>0</v>
      </c>
      <c r="C20" s="147">
        <f>RollUpSum(20,3)</f>
        <v>882</v>
      </c>
      <c r="D20" s="253">
        <f>RollUpSum(20,4)</f>
        <v>802</v>
      </c>
      <c r="E20" s="249">
        <f>RollUpSum(20,5)</f>
        <v>787</v>
      </c>
      <c r="F20" s="136">
        <f>RollUpSum(20,6)</f>
        <v>93.799099999999996</v>
      </c>
      <c r="G20" s="147">
        <f>RollUpSum(20,7)</f>
        <v>161.93</v>
      </c>
      <c r="H20" s="253">
        <f>RollUpSum(20,8)</f>
        <v>46.56</v>
      </c>
      <c r="I20" s="249">
        <f>RollUpSum(20,9)</f>
        <v>72.91</v>
      </c>
      <c r="J20" s="136">
        <f>RollUpSum(20,10)</f>
        <v>154.64179999999999</v>
      </c>
      <c r="K20" s="147">
        <f>RollUpSum(20,11)</f>
        <v>186.71</v>
      </c>
      <c r="L20" s="253">
        <f>RollUpSum(20,12)</f>
        <v>155.75</v>
      </c>
      <c r="M20" s="249">
        <f>RollUpSum(20,13)</f>
        <v>121.47</v>
      </c>
      <c r="N20" s="136">
        <f>RollUpSum(20,14)</f>
        <v>113.0355</v>
      </c>
      <c r="O20" s="147">
        <f>RollUpSum(20,15)</f>
        <v>170.03</v>
      </c>
      <c r="P20" s="253">
        <f>RollUpSum(20,16)</f>
        <v>97.36</v>
      </c>
      <c r="Q20" s="249">
        <f>RollUpSum(20,17)</f>
        <v>71.72</v>
      </c>
      <c r="R20" s="136">
        <f>RollUpSum(20,18)</f>
        <v>204.9546</v>
      </c>
      <c r="S20" s="148">
        <f>RollUpSum(20,19)</f>
        <v>334.98</v>
      </c>
      <c r="T20" s="245">
        <f>RollUpSum(20,20)</f>
        <v>170.52</v>
      </c>
      <c r="U20" s="240">
        <f>RollUpSum(20,21)</f>
        <v>109.37</v>
      </c>
      <c r="V20" s="135">
        <f>RollUpSum(20,22)</f>
        <v>566.43100000000004</v>
      </c>
      <c r="W20" s="148">
        <f>RollUpSum(20,23)</f>
        <v>853.65</v>
      </c>
      <c r="X20" s="245">
        <f>RollUpSum(20,24)</f>
        <v>470.19</v>
      </c>
      <c r="Y20" s="240">
        <f>RollUpSum(20,25)</f>
        <v>375.47</v>
      </c>
    </row>
    <row r="21" spans="1:25" collapsed="1">
      <c r="A21" s="62" t="s">
        <v>142</v>
      </c>
      <c r="B21" s="78">
        <f t="shared" ref="B21:Y21" si="1">SUM(B15:B20)</f>
        <v>0</v>
      </c>
      <c r="C21" s="91">
        <f t="shared" si="1"/>
        <v>81070</v>
      </c>
      <c r="D21" s="91">
        <f t="shared" si="1"/>
        <v>80990</v>
      </c>
      <c r="E21" s="91">
        <f t="shared" si="1"/>
        <v>79494</v>
      </c>
      <c r="F21" s="78">
        <f t="shared" si="1"/>
        <v>9371.029700000001</v>
      </c>
      <c r="G21" s="149">
        <f t="shared" si="1"/>
        <v>14882.68</v>
      </c>
      <c r="H21" s="149">
        <f t="shared" si="1"/>
        <v>5865.6900000000005</v>
      </c>
      <c r="I21" s="149">
        <f t="shared" si="1"/>
        <v>7365</v>
      </c>
      <c r="J21" s="78">
        <f t="shared" si="1"/>
        <v>16350.879799999999</v>
      </c>
      <c r="K21" s="91">
        <f t="shared" si="1"/>
        <v>17160.09</v>
      </c>
      <c r="L21" s="91">
        <f t="shared" si="1"/>
        <v>19624.84</v>
      </c>
      <c r="M21" s="91">
        <f t="shared" si="1"/>
        <v>12268.199999999999</v>
      </c>
      <c r="N21" s="78">
        <f t="shared" si="1"/>
        <v>11712.156199999999</v>
      </c>
      <c r="O21" s="91">
        <f t="shared" si="1"/>
        <v>15626.69</v>
      </c>
      <c r="P21" s="91">
        <f t="shared" si="1"/>
        <v>12266.25</v>
      </c>
      <c r="Q21" s="91">
        <f t="shared" si="1"/>
        <v>7243.88</v>
      </c>
      <c r="R21" s="78">
        <f t="shared" si="1"/>
        <v>21106.748900000002</v>
      </c>
      <c r="S21" s="150">
        <f t="shared" si="1"/>
        <v>30788.53</v>
      </c>
      <c r="T21" s="150">
        <f t="shared" si="1"/>
        <v>21485.59</v>
      </c>
      <c r="U21" s="150">
        <f t="shared" si="1"/>
        <v>11046.76</v>
      </c>
      <c r="V21" s="78">
        <f t="shared" si="1"/>
        <v>58540.814599999998</v>
      </c>
      <c r="W21" s="150">
        <f t="shared" si="1"/>
        <v>78457.989999999991</v>
      </c>
      <c r="X21" s="150">
        <f t="shared" si="1"/>
        <v>59242.37</v>
      </c>
      <c r="Y21" s="150">
        <f t="shared" si="1"/>
        <v>37923.840000000004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t="14.4" hidden="1" customHeight="1" outlineLevel="1">
      <c r="A23" s="126" t="s">
        <v>144</v>
      </c>
      <c r="B23" s="141">
        <f>RollUpSum(23,2)</f>
        <v>0</v>
      </c>
      <c r="C23" s="128">
        <f>RollUpSum(23,3)</f>
        <v>40181</v>
      </c>
      <c r="D23" s="250">
        <f>RollUpSum(23,4)</f>
        <v>44065</v>
      </c>
      <c r="E23" s="246">
        <f>RollUpSum(23,5)</f>
        <v>35377</v>
      </c>
      <c r="F23" s="129">
        <f>RollUpSum(23,6)</f>
        <v>0</v>
      </c>
      <c r="G23" s="128">
        <f>RollUpSum(23,7)</f>
        <v>0</v>
      </c>
      <c r="H23" s="250">
        <f>RollUpSum(23,8)</f>
        <v>0</v>
      </c>
      <c r="I23" s="246">
        <f>RollUpSum(23,9)</f>
        <v>0</v>
      </c>
      <c r="J23" s="129">
        <f>RollUpSum(23,10)</f>
        <v>0</v>
      </c>
      <c r="K23" s="128">
        <f>RollUpSum(23,11)</f>
        <v>0</v>
      </c>
      <c r="L23" s="250">
        <f>RollUpSum(23,12)</f>
        <v>0</v>
      </c>
      <c r="M23" s="246">
        <f>RollUpSum(23,13)</f>
        <v>0</v>
      </c>
      <c r="N23" s="129">
        <f>RollUpSum(23,14)</f>
        <v>0</v>
      </c>
      <c r="O23" s="128">
        <f>RollUpSum(23,15)</f>
        <v>0</v>
      </c>
      <c r="P23" s="250">
        <f>RollUpSum(23,16)</f>
        <v>0</v>
      </c>
      <c r="Q23" s="246">
        <f>RollUpSum(23,17)</f>
        <v>0</v>
      </c>
      <c r="R23" s="129">
        <f>RollUpSum(23,18)</f>
        <v>0</v>
      </c>
      <c r="S23" s="142">
        <f>RollUpSum(23,19)</f>
        <v>0</v>
      </c>
      <c r="T23" s="243">
        <f>RollUpSum(23,20)</f>
        <v>0</v>
      </c>
      <c r="U23" s="238">
        <f>RollUpSum(23,21)</f>
        <v>0</v>
      </c>
      <c r="V23" s="141">
        <f>RollUpSum(23,22)</f>
        <v>0</v>
      </c>
      <c r="W23" s="142">
        <f>RollUpSum(23,23)</f>
        <v>0</v>
      </c>
      <c r="X23" s="243">
        <f>RollUpSum(23,24)</f>
        <v>0</v>
      </c>
      <c r="Y23" s="238">
        <f>RollUpSum(23,25)</f>
        <v>0</v>
      </c>
    </row>
    <row r="24" spans="1:25" ht="14.4" hidden="1" customHeight="1" outlineLevel="1">
      <c r="A24" s="131" t="s">
        <v>145</v>
      </c>
      <c r="B24" s="127">
        <f>RollUpSum(24,2)</f>
        <v>0</v>
      </c>
      <c r="C24" s="128">
        <f>RollUpSum(24,3)</f>
        <v>7652</v>
      </c>
      <c r="D24" s="250">
        <f>RollUpSum(24,4)</f>
        <v>0</v>
      </c>
      <c r="E24" s="246">
        <f>RollUpSum(24,5)</f>
        <v>0</v>
      </c>
      <c r="F24" s="129">
        <f>RollUpSum(24,6)</f>
        <v>0</v>
      </c>
      <c r="G24" s="128">
        <f>RollUpSum(24,7)</f>
        <v>0</v>
      </c>
      <c r="H24" s="250">
        <f>RollUpSum(24,8)</f>
        <v>0</v>
      </c>
      <c r="I24" s="246">
        <f>RollUpSum(24,9)</f>
        <v>0</v>
      </c>
      <c r="J24" s="129">
        <f>RollUpSum(24,10)</f>
        <v>0</v>
      </c>
      <c r="K24" s="128">
        <f>RollUpSum(24,11)</f>
        <v>0</v>
      </c>
      <c r="L24" s="250">
        <f>RollUpSum(24,12)</f>
        <v>0</v>
      </c>
      <c r="M24" s="246">
        <f>RollUpSum(24,13)</f>
        <v>0</v>
      </c>
      <c r="N24" s="129">
        <f>RollUpSum(24,14)</f>
        <v>0</v>
      </c>
      <c r="O24" s="128">
        <f>RollUpSum(24,15)</f>
        <v>0</v>
      </c>
      <c r="P24" s="250">
        <f>RollUpSum(24,16)</f>
        <v>0</v>
      </c>
      <c r="Q24" s="246">
        <f>RollUpSum(24,17)</f>
        <v>0</v>
      </c>
      <c r="R24" s="129">
        <f>RollUpSum(24,18)</f>
        <v>0</v>
      </c>
      <c r="S24" s="130">
        <f>RollUpSum(24,19)</f>
        <v>0</v>
      </c>
      <c r="T24" s="241">
        <f>RollUpSum(24,20)</f>
        <v>0</v>
      </c>
      <c r="U24" s="236">
        <f>RollUpSum(24,21)</f>
        <v>0</v>
      </c>
      <c r="V24" s="127">
        <f>RollUpSum(24,22)</f>
        <v>0</v>
      </c>
      <c r="W24" s="130">
        <f>RollUpSum(24,23)</f>
        <v>0</v>
      </c>
      <c r="X24" s="241">
        <f>RollUpSum(24,24)</f>
        <v>0</v>
      </c>
      <c r="Y24" s="236">
        <f>RollUpSum(24,25)</f>
        <v>0</v>
      </c>
    </row>
    <row r="25" spans="1:25" ht="14.4" hidden="1" customHeight="1" outlineLevel="1">
      <c r="A25" s="131" t="s">
        <v>146</v>
      </c>
      <c r="B25" s="127">
        <f>RollUpSum(25,2)</f>
        <v>0</v>
      </c>
      <c r="C25" s="128">
        <f>RollUpSum(25,3)</f>
        <v>0</v>
      </c>
      <c r="D25" s="250">
        <f>RollUpSum(25,4)</f>
        <v>0</v>
      </c>
      <c r="E25" s="246">
        <f>RollUpSum(25,5)</f>
        <v>0</v>
      </c>
      <c r="F25" s="129">
        <f>RollUpSum(25,6)</f>
        <v>1870.288</v>
      </c>
      <c r="G25" s="128">
        <f>RollUpSum(25,7)</f>
        <v>2810.98</v>
      </c>
      <c r="H25" s="250">
        <f>RollUpSum(25,8)</f>
        <v>174.24</v>
      </c>
      <c r="I25" s="246">
        <f>RollUpSum(25,9)</f>
        <v>2625.7</v>
      </c>
      <c r="J25" s="129">
        <f>RollUpSum(25,10)</f>
        <v>518.31479999999999</v>
      </c>
      <c r="K25" s="128">
        <f>RollUpSum(25,11)</f>
        <v>195.99</v>
      </c>
      <c r="L25" s="250">
        <f>RollUpSum(25,12)</f>
        <v>318.24</v>
      </c>
      <c r="M25" s="246">
        <f>RollUpSum(25,13)</f>
        <v>1040.73</v>
      </c>
      <c r="N25" s="129">
        <f>RollUpSum(25,14)</f>
        <v>562.53440000000001</v>
      </c>
      <c r="O25" s="128">
        <f>RollUpSum(25,15)</f>
        <v>1317.68</v>
      </c>
      <c r="P25" s="250">
        <f>RollUpSum(25,16)</f>
        <v>174.24</v>
      </c>
      <c r="Q25" s="246">
        <f>RollUpSum(25,17)</f>
        <v>195.7</v>
      </c>
      <c r="R25" s="129">
        <f>RollUpSum(25,18)</f>
        <v>4904.1809999999996</v>
      </c>
      <c r="S25" s="130">
        <f>RollUpSum(25,19)</f>
        <v>6344.88</v>
      </c>
      <c r="T25" s="241">
        <f>RollUpSum(25,20)</f>
        <v>1040.08</v>
      </c>
      <c r="U25" s="236">
        <f>RollUpSum(25,21)</f>
        <v>7327.73</v>
      </c>
      <c r="V25" s="127">
        <f>RollUpSum(25,22)</f>
        <v>7855.3181000000004</v>
      </c>
      <c r="W25" s="130">
        <f>RollUpSum(25,23)</f>
        <v>10669.53</v>
      </c>
      <c r="X25" s="241">
        <f>RollUpSum(25,24)</f>
        <v>1706.8</v>
      </c>
      <c r="Y25" s="236">
        <f>RollUpSum(25,25)</f>
        <v>11189.86</v>
      </c>
    </row>
    <row r="26" spans="1:25" ht="14.4" hidden="1" customHeight="1" outlineLevel="1">
      <c r="A26" s="131" t="s">
        <v>147</v>
      </c>
      <c r="B26" s="127">
        <f>RollUpSum(26,2)</f>
        <v>0</v>
      </c>
      <c r="C26" s="128">
        <f>RollUpSum(26,3)</f>
        <v>0</v>
      </c>
      <c r="D26" s="250">
        <f>RollUpSum(26,4)</f>
        <v>0</v>
      </c>
      <c r="E26" s="246">
        <f>RollUpSum(26,5)</f>
        <v>0</v>
      </c>
      <c r="F26" s="129">
        <f>RollUpSum(26,6)</f>
        <v>0</v>
      </c>
      <c r="G26" s="128">
        <f>RollUpSum(26,7)</f>
        <v>0</v>
      </c>
      <c r="H26" s="250">
        <f>RollUpSum(26,8)</f>
        <v>0</v>
      </c>
      <c r="I26" s="246">
        <f>RollUpSum(26,9)</f>
        <v>0</v>
      </c>
      <c r="J26" s="129">
        <f>RollUpSum(26,10)</f>
        <v>25.989699999999999</v>
      </c>
      <c r="K26" s="128">
        <f>RollUpSum(26,11)</f>
        <v>0</v>
      </c>
      <c r="L26" s="250">
        <f>RollUpSum(26,12)</f>
        <v>30.97</v>
      </c>
      <c r="M26" s="246">
        <f>RollUpSum(26,13)</f>
        <v>47</v>
      </c>
      <c r="N26" s="129">
        <f>RollUpSum(26,14)</f>
        <v>61.326099999999997</v>
      </c>
      <c r="O26" s="128">
        <f>RollUpSum(26,15)</f>
        <v>146</v>
      </c>
      <c r="P26" s="250">
        <f>RollUpSum(26,16)</f>
        <v>37.979999999999997</v>
      </c>
      <c r="Q26" s="246">
        <f>RollUpSum(26,17)</f>
        <v>0</v>
      </c>
      <c r="R26" s="129">
        <f>RollUpSum(26,18)</f>
        <v>326.91340000000002</v>
      </c>
      <c r="S26" s="130">
        <f>RollUpSum(26,19)</f>
        <v>0</v>
      </c>
      <c r="T26" s="241">
        <f>RollUpSum(26,20)</f>
        <v>779.55</v>
      </c>
      <c r="U26" s="236">
        <f>RollUpSum(26,21)</f>
        <v>201.2</v>
      </c>
      <c r="V26" s="127">
        <f>RollUpSum(26,22)</f>
        <v>414.22919999999999</v>
      </c>
      <c r="W26" s="130">
        <f>RollUpSum(26,23)</f>
        <v>146</v>
      </c>
      <c r="X26" s="241">
        <f>RollUpSum(26,24)</f>
        <v>848.5</v>
      </c>
      <c r="Y26" s="236">
        <f>RollUpSum(26,25)</f>
        <v>248.2</v>
      </c>
    </row>
    <row r="27" spans="1:25" ht="14.4" hidden="1" customHeight="1" outlineLevel="1">
      <c r="A27" s="131" t="s">
        <v>148</v>
      </c>
      <c r="B27" s="127">
        <f>RollUpSum(27,2)</f>
        <v>0</v>
      </c>
      <c r="C27" s="128">
        <f>RollUpSum(27,3)</f>
        <v>0</v>
      </c>
      <c r="D27" s="250">
        <f>RollUpSum(27,4)</f>
        <v>0</v>
      </c>
      <c r="E27" s="246">
        <f>RollUpSum(27,5)</f>
        <v>0</v>
      </c>
      <c r="F27" s="129">
        <f>RollUpSum(27,6)</f>
        <v>0</v>
      </c>
      <c r="G27" s="128">
        <f>RollUpSum(27,7)</f>
        <v>0</v>
      </c>
      <c r="H27" s="250">
        <f>RollUpSum(27,8)</f>
        <v>0</v>
      </c>
      <c r="I27" s="246">
        <f>RollUpSum(27,9)</f>
        <v>0</v>
      </c>
      <c r="J27" s="129">
        <f>RollUpSum(27,10)</f>
        <v>2217.3112000000001</v>
      </c>
      <c r="K27" s="128">
        <f>RollUpSum(27,11)</f>
        <v>6652</v>
      </c>
      <c r="L27" s="250">
        <f>RollUpSum(27,12)</f>
        <v>0</v>
      </c>
      <c r="M27" s="246">
        <f>RollUpSum(27,13)</f>
        <v>0</v>
      </c>
      <c r="N27" s="129">
        <f>RollUpSum(27,14)</f>
        <v>123.7488</v>
      </c>
      <c r="O27" s="128">
        <f>RollUpSum(27,15)</f>
        <v>0</v>
      </c>
      <c r="P27" s="250">
        <f>RollUpSum(27,16)</f>
        <v>371.25</v>
      </c>
      <c r="Q27" s="246">
        <f>RollUpSum(27,17)</f>
        <v>0</v>
      </c>
      <c r="R27" s="129">
        <f>RollUpSum(27,18)</f>
        <v>94.915700000000001</v>
      </c>
      <c r="S27" s="130">
        <f>RollUpSum(27,19)</f>
        <v>0</v>
      </c>
      <c r="T27" s="241">
        <f>RollUpSum(27,20)</f>
        <v>0</v>
      </c>
      <c r="U27" s="236">
        <f>RollUpSum(27,21)</f>
        <v>284.75</v>
      </c>
      <c r="V27" s="127">
        <f>RollUpSum(27,22)</f>
        <v>2435.9756000000002</v>
      </c>
      <c r="W27" s="130">
        <f>RollUpSum(27,23)</f>
        <v>6652</v>
      </c>
      <c r="X27" s="241">
        <f>RollUpSum(27,24)</f>
        <v>371.25</v>
      </c>
      <c r="Y27" s="236">
        <f>RollUpSum(27,25)</f>
        <v>284.75</v>
      </c>
    </row>
    <row r="28" spans="1:25" ht="14.4" hidden="1" customHeight="1" outlineLevel="1">
      <c r="A28" s="131" t="s">
        <v>149</v>
      </c>
      <c r="B28" s="127">
        <f>RollUpSum(28,2)</f>
        <v>0</v>
      </c>
      <c r="C28" s="128">
        <f>RollUpSum(28,3)</f>
        <v>0</v>
      </c>
      <c r="D28" s="250">
        <f>RollUpSum(28,4)</f>
        <v>0</v>
      </c>
      <c r="E28" s="246">
        <f>RollUpSum(28,5)</f>
        <v>0</v>
      </c>
      <c r="F28" s="129">
        <f>RollUpSum(28,6)</f>
        <v>1.95</v>
      </c>
      <c r="G28" s="128">
        <f>RollUpSum(28,7)</f>
        <v>1.8</v>
      </c>
      <c r="H28" s="250">
        <f>RollUpSum(28,8)</f>
        <v>2.4300000000000002</v>
      </c>
      <c r="I28" s="246">
        <f>RollUpSum(28,9)</f>
        <v>1.62</v>
      </c>
      <c r="J28" s="129">
        <f>RollUpSum(28,10)</f>
        <v>2683.4798000000001</v>
      </c>
      <c r="K28" s="128">
        <f>RollUpSum(28,11)</f>
        <v>0</v>
      </c>
      <c r="L28" s="250">
        <f>RollUpSum(28,12)</f>
        <v>5680.86</v>
      </c>
      <c r="M28" s="246">
        <f>RollUpSum(28,13)</f>
        <v>2369.66</v>
      </c>
      <c r="N28" s="129">
        <f>RollUpSum(28,14)</f>
        <v>878.96450000000004</v>
      </c>
      <c r="O28" s="128">
        <f>RollUpSum(28,15)</f>
        <v>19.600000000000001</v>
      </c>
      <c r="P28" s="250">
        <f>RollUpSum(28,16)</f>
        <v>0</v>
      </c>
      <c r="Q28" s="246">
        <f>RollUpSum(28,17)</f>
        <v>2617.3200000000002</v>
      </c>
      <c r="R28" s="129">
        <f>RollUpSum(28,18)</f>
        <v>2128.3654000000001</v>
      </c>
      <c r="S28" s="130">
        <f>RollUpSum(28,19)</f>
        <v>0</v>
      </c>
      <c r="T28" s="241">
        <f>RollUpSum(28,20)</f>
        <v>6383.36</v>
      </c>
      <c r="U28" s="236">
        <f>RollUpSum(28,21)</f>
        <v>1.8</v>
      </c>
      <c r="V28" s="127">
        <f>RollUpSum(28,22)</f>
        <v>5692.7596999999996</v>
      </c>
      <c r="W28" s="130">
        <f>RollUpSum(28,23)</f>
        <v>21.4</v>
      </c>
      <c r="X28" s="241">
        <f>RollUpSum(28,24)</f>
        <v>12066.65</v>
      </c>
      <c r="Y28" s="236">
        <f>RollUpSum(28,25)</f>
        <v>4990.3999999999996</v>
      </c>
    </row>
    <row r="29" spans="1:25" ht="14.4" hidden="1" customHeight="1" outlineLevel="1">
      <c r="A29" s="134" t="s">
        <v>150</v>
      </c>
      <c r="B29" s="135">
        <f>RollUpSum(29,2)</f>
        <v>0</v>
      </c>
      <c r="C29" s="147">
        <f>RollUpSum(29,3)</f>
        <v>0</v>
      </c>
      <c r="D29" s="253">
        <f>RollUpSum(29,4)</f>
        <v>0</v>
      </c>
      <c r="E29" s="249">
        <f>RollUpSum(29,5)</f>
        <v>0</v>
      </c>
      <c r="F29" s="136">
        <f>RollUpSum(29,6)</f>
        <v>3706.9529000000002</v>
      </c>
      <c r="G29" s="147">
        <f>RollUpSum(29,7)</f>
        <v>8020.99</v>
      </c>
      <c r="H29" s="253">
        <f>RollUpSum(29,8)</f>
        <v>750</v>
      </c>
      <c r="I29" s="249">
        <f>RollUpSum(29,9)</f>
        <v>2349.98</v>
      </c>
      <c r="J29" s="136">
        <f>RollUpSum(29,10)</f>
        <v>3363.893</v>
      </c>
      <c r="K29" s="147">
        <f>RollUpSum(29,11)</f>
        <v>1923.93</v>
      </c>
      <c r="L29" s="253">
        <f>RollUpSum(29,12)</f>
        <v>2832.85</v>
      </c>
      <c r="M29" s="249">
        <f>RollUpSum(29,13)</f>
        <v>5335</v>
      </c>
      <c r="N29" s="136">
        <f>RollUpSum(29,14)</f>
        <v>4573.9376000000002</v>
      </c>
      <c r="O29" s="147">
        <f>RollUpSum(29,15)</f>
        <v>3496.95</v>
      </c>
      <c r="P29" s="253">
        <f>RollUpSum(29,16)</f>
        <v>4925</v>
      </c>
      <c r="Q29" s="249">
        <f>RollUpSum(29,17)</f>
        <v>5300</v>
      </c>
      <c r="R29" s="136">
        <f>RollUpSum(29,18)</f>
        <v>9902.5210000000006</v>
      </c>
      <c r="S29" s="148">
        <f>RollUpSum(29,19)</f>
        <v>14629.13</v>
      </c>
      <c r="T29" s="245">
        <f>RollUpSum(29,20)</f>
        <v>9819</v>
      </c>
      <c r="U29" s="240">
        <f>RollUpSum(29,21)</f>
        <v>5259.73</v>
      </c>
      <c r="V29" s="135">
        <f>RollUpSum(29,22)</f>
        <v>21547.304499999998</v>
      </c>
      <c r="W29" s="148">
        <f>RollUpSum(29,23)</f>
        <v>28071</v>
      </c>
      <c r="X29" s="245">
        <f>RollUpSum(29,24)</f>
        <v>18326.849999999999</v>
      </c>
      <c r="Y29" s="240">
        <f>RollUpSum(29,25)</f>
        <v>18244.71</v>
      </c>
    </row>
    <row r="30" spans="1:25" collapsed="1">
      <c r="A30" s="62" t="s">
        <v>151</v>
      </c>
      <c r="B30" s="78">
        <f t="shared" ref="B30:Y30" si="2">SUM(B23:B29)</f>
        <v>0</v>
      </c>
      <c r="C30" s="91">
        <f t="shared" si="2"/>
        <v>47833</v>
      </c>
      <c r="D30" s="91">
        <f t="shared" si="2"/>
        <v>44065</v>
      </c>
      <c r="E30" s="91">
        <f t="shared" si="2"/>
        <v>35377</v>
      </c>
      <c r="F30" s="78">
        <f t="shared" si="2"/>
        <v>5579.1909000000005</v>
      </c>
      <c r="G30" s="91">
        <f t="shared" si="2"/>
        <v>10833.77</v>
      </c>
      <c r="H30" s="91">
        <f t="shared" si="2"/>
        <v>926.67000000000007</v>
      </c>
      <c r="I30" s="91">
        <f t="shared" si="2"/>
        <v>4977.2999999999993</v>
      </c>
      <c r="J30" s="78">
        <f t="shared" si="2"/>
        <v>8808.9884999999995</v>
      </c>
      <c r="K30" s="91">
        <f t="shared" si="2"/>
        <v>8771.92</v>
      </c>
      <c r="L30" s="91">
        <f t="shared" si="2"/>
        <v>8862.92</v>
      </c>
      <c r="M30" s="91">
        <f t="shared" si="2"/>
        <v>8792.39</v>
      </c>
      <c r="N30" s="78">
        <f t="shared" si="2"/>
        <v>6200.5114000000003</v>
      </c>
      <c r="O30" s="91">
        <f t="shared" si="2"/>
        <v>4980.2299999999996</v>
      </c>
      <c r="P30" s="91">
        <f t="shared" si="2"/>
        <v>5508.47</v>
      </c>
      <c r="Q30" s="91">
        <f t="shared" si="2"/>
        <v>8113.02</v>
      </c>
      <c r="R30" s="78">
        <f t="shared" si="2"/>
        <v>17356.896500000003</v>
      </c>
      <c r="S30" s="150">
        <f t="shared" si="2"/>
        <v>20974.01</v>
      </c>
      <c r="T30" s="150">
        <f t="shared" si="2"/>
        <v>18021.989999999998</v>
      </c>
      <c r="U30" s="150">
        <f t="shared" si="2"/>
        <v>13075.21</v>
      </c>
      <c r="V30" s="78">
        <f t="shared" si="2"/>
        <v>37945.587099999997</v>
      </c>
      <c r="W30" s="150">
        <f t="shared" si="2"/>
        <v>45559.93</v>
      </c>
      <c r="X30" s="150">
        <f t="shared" si="2"/>
        <v>33320.050000000003</v>
      </c>
      <c r="Y30" s="150">
        <f t="shared" si="2"/>
        <v>34957.919999999998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t="14.4" hidden="1" customHeight="1" outlineLevel="1">
      <c r="A32" s="126" t="s">
        <v>153</v>
      </c>
      <c r="B32" s="141">
        <f>RollUpSum(32,2)</f>
        <v>0</v>
      </c>
      <c r="C32" s="128">
        <f>RollUpSum(32,3)</f>
        <v>7652</v>
      </c>
      <c r="D32" s="250">
        <f>RollUpSum(32,4)</f>
        <v>1500</v>
      </c>
      <c r="E32" s="246">
        <f>RollUpSum(32,5)</f>
        <v>1500</v>
      </c>
      <c r="F32" s="129">
        <f>RollUpSum(32,6)</f>
        <v>0</v>
      </c>
      <c r="G32" s="128">
        <f>RollUpSum(32,7)</f>
        <v>0</v>
      </c>
      <c r="H32" s="250">
        <f>RollUpSum(32,8)</f>
        <v>0</v>
      </c>
      <c r="I32" s="246">
        <f>RollUpSum(32,9)</f>
        <v>0</v>
      </c>
      <c r="J32" s="129">
        <f>RollUpSum(32,10)</f>
        <v>0</v>
      </c>
      <c r="K32" s="128">
        <f>RollUpSum(32,11)</f>
        <v>0</v>
      </c>
      <c r="L32" s="250">
        <f>RollUpSum(32,12)</f>
        <v>0</v>
      </c>
      <c r="M32" s="246">
        <f>RollUpSum(32,13)</f>
        <v>0</v>
      </c>
      <c r="N32" s="129">
        <f>RollUpSum(32,14)</f>
        <v>0</v>
      </c>
      <c r="O32" s="128">
        <f>RollUpSum(32,15)</f>
        <v>0</v>
      </c>
      <c r="P32" s="250">
        <f>RollUpSum(32,16)</f>
        <v>0</v>
      </c>
      <c r="Q32" s="246">
        <f>RollUpSum(32,17)</f>
        <v>0</v>
      </c>
      <c r="R32" s="129">
        <f>RollUpSum(32,18)</f>
        <v>2618.3805000000002</v>
      </c>
      <c r="S32" s="142">
        <f>RollUpSum(32,19)</f>
        <v>371.19</v>
      </c>
      <c r="T32" s="243">
        <f>RollUpSum(32,20)</f>
        <v>5394.08</v>
      </c>
      <c r="U32" s="238">
        <f>RollUpSum(32,21)</f>
        <v>2089.9499999999998</v>
      </c>
      <c r="V32" s="141">
        <f>RollUpSum(32,22)</f>
        <v>2618.3805000000002</v>
      </c>
      <c r="W32" s="142">
        <f>RollUpSum(32,23)</f>
        <v>371.19</v>
      </c>
      <c r="X32" s="243">
        <f>RollUpSum(32,24)</f>
        <v>5394.08</v>
      </c>
      <c r="Y32" s="238">
        <f>RollUpSum(32,25)</f>
        <v>2089.9499999999998</v>
      </c>
    </row>
    <row r="33" spans="1:25" ht="14.4" hidden="1" customHeight="1" outlineLevel="1">
      <c r="A33" s="134" t="s">
        <v>154</v>
      </c>
      <c r="B33" s="135">
        <f>RollUpSum(33,2)</f>
        <v>0</v>
      </c>
      <c r="C33" s="147">
        <f>RollUpSum(33,3)</f>
        <v>0</v>
      </c>
      <c r="D33" s="253">
        <f>RollUpSum(33,4)</f>
        <v>0</v>
      </c>
      <c r="E33" s="249">
        <f>RollUpSum(33,5)</f>
        <v>0</v>
      </c>
      <c r="F33" s="136">
        <f>RollUpSum(33,6)</f>
        <v>0</v>
      </c>
      <c r="G33" s="147">
        <f>RollUpSum(33,7)</f>
        <v>0</v>
      </c>
      <c r="H33" s="253">
        <f>RollUpSum(33,8)</f>
        <v>0</v>
      </c>
      <c r="I33" s="249">
        <f>RollUpSum(33,9)</f>
        <v>0</v>
      </c>
      <c r="J33" s="136">
        <f>RollUpSum(33,10)</f>
        <v>0</v>
      </c>
      <c r="K33" s="147">
        <f>RollUpSum(33,11)</f>
        <v>0</v>
      </c>
      <c r="L33" s="253">
        <f>RollUpSum(33,12)</f>
        <v>0</v>
      </c>
      <c r="M33" s="249">
        <f>RollUpSum(33,13)</f>
        <v>0</v>
      </c>
      <c r="N33" s="136">
        <f>RollUpSum(33,14)</f>
        <v>0</v>
      </c>
      <c r="O33" s="147">
        <f>RollUpSum(33,15)</f>
        <v>0</v>
      </c>
      <c r="P33" s="253">
        <f>RollUpSum(33,16)</f>
        <v>0</v>
      </c>
      <c r="Q33" s="249">
        <f>RollUpSum(33,17)</f>
        <v>0</v>
      </c>
      <c r="R33" s="136">
        <f>RollUpSum(33,18)</f>
        <v>28.333100000000002</v>
      </c>
      <c r="S33" s="148">
        <f>RollUpSum(33,19)</f>
        <v>0</v>
      </c>
      <c r="T33" s="245">
        <f>RollUpSum(33,20)</f>
        <v>85</v>
      </c>
      <c r="U33" s="240">
        <f>RollUpSum(33,21)</f>
        <v>0</v>
      </c>
      <c r="V33" s="135">
        <f>RollUpSum(33,22)</f>
        <v>28.333100000000002</v>
      </c>
      <c r="W33" s="148">
        <f>RollUpSum(33,23)</f>
        <v>0</v>
      </c>
      <c r="X33" s="245">
        <f>RollUpSum(33,24)</f>
        <v>85</v>
      </c>
      <c r="Y33" s="240">
        <f>RollUpSum(33,25)</f>
        <v>0</v>
      </c>
    </row>
    <row r="34" spans="1:25" collapsed="1">
      <c r="A34" s="62" t="s">
        <v>155</v>
      </c>
      <c r="B34" s="78">
        <f t="shared" ref="B34:Y34" si="3">SUM(B32:B33)</f>
        <v>0</v>
      </c>
      <c r="C34" s="91">
        <f t="shared" si="3"/>
        <v>7652</v>
      </c>
      <c r="D34" s="91">
        <f t="shared" si="3"/>
        <v>1500</v>
      </c>
      <c r="E34" s="91">
        <f t="shared" si="3"/>
        <v>1500</v>
      </c>
      <c r="F34" s="78">
        <f t="shared" si="3"/>
        <v>0</v>
      </c>
      <c r="G34" s="91">
        <f t="shared" si="3"/>
        <v>0</v>
      </c>
      <c r="H34" s="91">
        <f t="shared" si="3"/>
        <v>0</v>
      </c>
      <c r="I34" s="91">
        <f t="shared" si="3"/>
        <v>0</v>
      </c>
      <c r="J34" s="78">
        <f t="shared" si="3"/>
        <v>0</v>
      </c>
      <c r="K34" s="91">
        <f t="shared" si="3"/>
        <v>0</v>
      </c>
      <c r="L34" s="91">
        <f t="shared" si="3"/>
        <v>0</v>
      </c>
      <c r="M34" s="91">
        <f t="shared" si="3"/>
        <v>0</v>
      </c>
      <c r="N34" s="78">
        <f t="shared" si="3"/>
        <v>0</v>
      </c>
      <c r="O34" s="91">
        <f t="shared" si="3"/>
        <v>0</v>
      </c>
      <c r="P34" s="91">
        <f t="shared" si="3"/>
        <v>0</v>
      </c>
      <c r="Q34" s="91">
        <f t="shared" si="3"/>
        <v>0</v>
      </c>
      <c r="R34" s="78">
        <f t="shared" si="3"/>
        <v>2646.7136</v>
      </c>
      <c r="S34" s="150">
        <f t="shared" si="3"/>
        <v>371.19</v>
      </c>
      <c r="T34" s="150">
        <f t="shared" si="3"/>
        <v>5479.08</v>
      </c>
      <c r="U34" s="150">
        <f t="shared" si="3"/>
        <v>2089.9499999999998</v>
      </c>
      <c r="V34" s="78">
        <f t="shared" si="3"/>
        <v>2646.7136</v>
      </c>
      <c r="W34" s="150">
        <f t="shared" si="3"/>
        <v>371.19</v>
      </c>
      <c r="X34" s="150">
        <f t="shared" si="3"/>
        <v>5479.08</v>
      </c>
      <c r="Y34" s="150">
        <f t="shared" si="3"/>
        <v>2089.9499999999998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t="14.4" hidden="1" customHeight="1" outlineLevel="1">
      <c r="A36" s="126" t="s">
        <v>157</v>
      </c>
      <c r="B36" s="141">
        <f>RollUpSum(36,2)</f>
        <v>0</v>
      </c>
      <c r="C36" s="128">
        <f>RollUpSum(36,3)</f>
        <v>0</v>
      </c>
      <c r="D36" s="250">
        <f>RollUpSum(36,4)</f>
        <v>0</v>
      </c>
      <c r="E36" s="246">
        <f>RollUpSum(36,5)</f>
        <v>0</v>
      </c>
      <c r="F36" s="129">
        <f>RollUpSum(36,6)</f>
        <v>0</v>
      </c>
      <c r="G36" s="128">
        <f>RollUpSum(36,7)</f>
        <v>0</v>
      </c>
      <c r="H36" s="250">
        <f>RollUpSum(36,8)</f>
        <v>0</v>
      </c>
      <c r="I36" s="246">
        <f>RollUpSum(36,9)</f>
        <v>0</v>
      </c>
      <c r="J36" s="129">
        <f>RollUpSum(36,10)</f>
        <v>0</v>
      </c>
      <c r="K36" s="128">
        <f>RollUpSum(36,11)</f>
        <v>0</v>
      </c>
      <c r="L36" s="250">
        <f>RollUpSum(36,12)</f>
        <v>0</v>
      </c>
      <c r="M36" s="246">
        <f>RollUpSum(36,13)</f>
        <v>0</v>
      </c>
      <c r="N36" s="129">
        <f>RollUpSum(36,14)</f>
        <v>0</v>
      </c>
      <c r="O36" s="128">
        <f>RollUpSum(36,15)</f>
        <v>0</v>
      </c>
      <c r="P36" s="250">
        <f>RollUpSum(36,16)</f>
        <v>0</v>
      </c>
      <c r="Q36" s="246">
        <f>RollUpSum(36,17)</f>
        <v>0</v>
      </c>
      <c r="R36" s="129">
        <f>RollUpSum(36,18)</f>
        <v>0</v>
      </c>
      <c r="S36" s="142">
        <f>RollUpSum(36,19)</f>
        <v>0</v>
      </c>
      <c r="T36" s="243">
        <f>RollUpSum(36,20)</f>
        <v>0</v>
      </c>
      <c r="U36" s="238">
        <f>RollUpSum(36,21)</f>
        <v>0</v>
      </c>
      <c r="V36" s="141">
        <f>RollUpSum(36,22)</f>
        <v>0</v>
      </c>
      <c r="W36" s="142">
        <f>RollUpSum(36,23)</f>
        <v>0</v>
      </c>
      <c r="X36" s="243">
        <f>RollUpSum(36,24)</f>
        <v>0</v>
      </c>
      <c r="Y36" s="238">
        <f>RollUpSum(36,25)</f>
        <v>0</v>
      </c>
    </row>
    <row r="37" spans="1:25" ht="14.4" hidden="1" customHeight="1" outlineLevel="1">
      <c r="A37" s="131" t="s">
        <v>158</v>
      </c>
      <c r="B37" s="127">
        <f>RollUpSum(37,2)</f>
        <v>0</v>
      </c>
      <c r="C37" s="128">
        <f>RollUpSum(37,3)</f>
        <v>0</v>
      </c>
      <c r="D37" s="250">
        <f>RollUpSum(37,4)</f>
        <v>0</v>
      </c>
      <c r="E37" s="246">
        <f>RollUpSum(37,5)</f>
        <v>0</v>
      </c>
      <c r="F37" s="129">
        <f>RollUpSum(37,6)</f>
        <v>492.42840000000001</v>
      </c>
      <c r="G37" s="128">
        <f>RollUpSum(37,7)</f>
        <v>1477.3</v>
      </c>
      <c r="H37" s="250">
        <f>RollUpSum(37,8)</f>
        <v>0</v>
      </c>
      <c r="I37" s="246">
        <f>RollUpSum(37,9)</f>
        <v>0</v>
      </c>
      <c r="J37" s="129">
        <f>RollUpSum(37,10)</f>
        <v>646.25019999999995</v>
      </c>
      <c r="K37" s="128">
        <f>RollUpSum(37,11)</f>
        <v>1938.77</v>
      </c>
      <c r="L37" s="250">
        <f>RollUpSum(37,12)</f>
        <v>0</v>
      </c>
      <c r="M37" s="246">
        <f>RollUpSum(37,13)</f>
        <v>0</v>
      </c>
      <c r="N37" s="129">
        <f>RollUpSum(37,14)</f>
        <v>640.77359999999999</v>
      </c>
      <c r="O37" s="128">
        <f>RollUpSum(37,15)</f>
        <v>1922.34</v>
      </c>
      <c r="P37" s="250">
        <f>RollUpSum(37,16)</f>
        <v>0</v>
      </c>
      <c r="Q37" s="246">
        <f>RollUpSum(37,17)</f>
        <v>0</v>
      </c>
      <c r="R37" s="129">
        <f>RollUpSum(37,18)</f>
        <v>799.86530000000005</v>
      </c>
      <c r="S37" s="130">
        <f>RollUpSum(37,19)</f>
        <v>2399.62</v>
      </c>
      <c r="T37" s="241">
        <f>RollUpSum(37,20)</f>
        <v>0</v>
      </c>
      <c r="U37" s="236">
        <f>RollUpSum(37,21)</f>
        <v>0</v>
      </c>
      <c r="V37" s="127">
        <f>RollUpSum(37,22)</f>
        <v>2579.3175000000001</v>
      </c>
      <c r="W37" s="130">
        <f>RollUpSum(37,23)</f>
        <v>7738.03</v>
      </c>
      <c r="X37" s="241">
        <f>RollUpSum(37,24)</f>
        <v>0</v>
      </c>
      <c r="Y37" s="236">
        <f>RollUpSum(37,25)</f>
        <v>0</v>
      </c>
    </row>
    <row r="38" spans="1:25" ht="14.4" hidden="1" customHeight="1" outlineLevel="1">
      <c r="A38" s="131" t="s">
        <v>33</v>
      </c>
      <c r="B38" s="127">
        <f>RollUpSum(38,2)</f>
        <v>0</v>
      </c>
      <c r="C38" s="128">
        <f>RollUpSum(38,3)</f>
        <v>0</v>
      </c>
      <c r="D38" s="250">
        <f>RollUpSum(38,4)</f>
        <v>10000</v>
      </c>
      <c r="E38" s="246">
        <f>RollUpSum(38,5)</f>
        <v>18688</v>
      </c>
      <c r="F38" s="129">
        <f>RollUpSum(38,6)</f>
        <v>0</v>
      </c>
      <c r="G38" s="128">
        <f>RollUpSum(38,7)</f>
        <v>0</v>
      </c>
      <c r="H38" s="250">
        <f>RollUpSum(38,8)</f>
        <v>0</v>
      </c>
      <c r="I38" s="246">
        <f>RollUpSum(38,9)</f>
        <v>0</v>
      </c>
      <c r="J38" s="129">
        <f>RollUpSum(38,10)</f>
        <v>0</v>
      </c>
      <c r="K38" s="128">
        <f>RollUpSum(38,11)</f>
        <v>0</v>
      </c>
      <c r="L38" s="250">
        <f>RollUpSum(38,12)</f>
        <v>0</v>
      </c>
      <c r="M38" s="246">
        <f>RollUpSum(38,13)</f>
        <v>0</v>
      </c>
      <c r="N38" s="129">
        <f>RollUpSum(38,14)</f>
        <v>0</v>
      </c>
      <c r="O38" s="128">
        <f>RollUpSum(38,15)</f>
        <v>0</v>
      </c>
      <c r="P38" s="250">
        <f>RollUpSum(38,16)</f>
        <v>0</v>
      </c>
      <c r="Q38" s="246">
        <f>RollUpSum(38,17)</f>
        <v>0</v>
      </c>
      <c r="R38" s="129">
        <f>RollUpSum(38,18)</f>
        <v>0</v>
      </c>
      <c r="S38" s="130">
        <f>RollUpSum(38,19)</f>
        <v>0</v>
      </c>
      <c r="T38" s="241">
        <f>RollUpSum(38,20)</f>
        <v>0</v>
      </c>
      <c r="U38" s="236">
        <f>RollUpSum(38,21)</f>
        <v>0</v>
      </c>
      <c r="V38" s="127">
        <f>RollUpSum(38,22)</f>
        <v>0</v>
      </c>
      <c r="W38" s="130">
        <f>RollUpSum(38,23)</f>
        <v>0</v>
      </c>
      <c r="X38" s="241">
        <f>RollUpSum(38,24)</f>
        <v>0</v>
      </c>
      <c r="Y38" s="236">
        <f>RollUpSum(38,25)</f>
        <v>0</v>
      </c>
    </row>
    <row r="39" spans="1:25" ht="14.4" hidden="1" customHeight="1" outlineLevel="1">
      <c r="A39" s="143" t="s">
        <v>159</v>
      </c>
      <c r="B39" s="144">
        <f>RollUpSum(39,2)</f>
        <v>0</v>
      </c>
      <c r="C39" s="145">
        <f>RollUpSum(39,3)</f>
        <v>0</v>
      </c>
      <c r="D39" s="252">
        <f>RollUpSum(39,4)</f>
        <v>0</v>
      </c>
      <c r="E39" s="248">
        <f>RollUpSum(39,5)</f>
        <v>0</v>
      </c>
      <c r="F39" s="146">
        <f>RollUpSum(39,6)</f>
        <v>0</v>
      </c>
      <c r="G39" s="145">
        <f>RollUpSum(39,7)</f>
        <v>0</v>
      </c>
      <c r="H39" s="252">
        <f>RollUpSum(39,8)</f>
        <v>0</v>
      </c>
      <c r="I39" s="248">
        <f>RollUpSum(39,9)</f>
        <v>0</v>
      </c>
      <c r="J39" s="146">
        <f>RollUpSum(39,10)</f>
        <v>0</v>
      </c>
      <c r="K39" s="145">
        <f>RollUpSum(39,11)</f>
        <v>0</v>
      </c>
      <c r="L39" s="252">
        <f>RollUpSum(39,12)</f>
        <v>0</v>
      </c>
      <c r="M39" s="248">
        <f>RollUpSum(39,13)</f>
        <v>0</v>
      </c>
      <c r="N39" s="146">
        <f>RollUpSum(39,14)</f>
        <v>0</v>
      </c>
      <c r="O39" s="145">
        <f>RollUpSum(39,15)</f>
        <v>0</v>
      </c>
      <c r="P39" s="252">
        <f>RollUpSum(39,16)</f>
        <v>0</v>
      </c>
      <c r="Q39" s="248">
        <f>RollUpSum(39,17)</f>
        <v>0</v>
      </c>
      <c r="R39" s="146">
        <f>RollUpSum(39,18)</f>
        <v>0</v>
      </c>
      <c r="S39" s="56">
        <f>RollUpSum(39,19)</f>
        <v>0</v>
      </c>
      <c r="T39" s="244">
        <f>RollUpSum(39,20)</f>
        <v>0</v>
      </c>
      <c r="U39" s="239">
        <f>RollUpSum(39,21)</f>
        <v>0</v>
      </c>
      <c r="V39" s="144">
        <f>RollUpSum(39,22)</f>
        <v>0</v>
      </c>
      <c r="W39" s="56">
        <f>RollUpSum(39,23)</f>
        <v>0</v>
      </c>
      <c r="X39" s="244">
        <f>RollUpSum(39,24)</f>
        <v>0</v>
      </c>
      <c r="Y39" s="239">
        <f>RollUpSum(39,25)</f>
        <v>0</v>
      </c>
    </row>
    <row r="40" spans="1:25" ht="14.4" hidden="1" customHeight="1" outlineLevel="1">
      <c r="A40" s="131" t="s">
        <v>160</v>
      </c>
      <c r="B40" s="127">
        <f>RollUpSum(40,2)</f>
        <v>0</v>
      </c>
      <c r="C40" s="128">
        <f>RollUpSum(40,3)</f>
        <v>9640</v>
      </c>
      <c r="D40" s="250">
        <f>RollUpSum(40,4)</f>
        <v>8589</v>
      </c>
      <c r="E40" s="246">
        <f>RollUpSum(40,5)</f>
        <v>8158</v>
      </c>
      <c r="F40" s="129">
        <f>RollUpSum(40,6)</f>
        <v>1051.7828</v>
      </c>
      <c r="G40" s="128">
        <f>RollUpSum(40,7)</f>
        <v>1919.89</v>
      </c>
      <c r="H40" s="250">
        <f>RollUpSum(40,8)</f>
        <v>459.16</v>
      </c>
      <c r="I40" s="246">
        <f>RollUpSum(40,9)</f>
        <v>776.33</v>
      </c>
      <c r="J40" s="129">
        <f>RollUpSum(40,10)</f>
        <v>1739.3725999999999</v>
      </c>
      <c r="K40" s="128">
        <f>RollUpSum(40,11)</f>
        <v>1967.68</v>
      </c>
      <c r="L40" s="250">
        <f>RollUpSum(40,12)</f>
        <v>1925.78</v>
      </c>
      <c r="M40" s="246">
        <f>RollUpSum(40,13)</f>
        <v>1324.71</v>
      </c>
      <c r="N40" s="129">
        <f>RollUpSum(40,14)</f>
        <v>1252.6875</v>
      </c>
      <c r="O40" s="128">
        <f>RollUpSum(40,15)</f>
        <v>1590.57</v>
      </c>
      <c r="P40" s="250">
        <f>RollUpSum(40,16)</f>
        <v>1201.57</v>
      </c>
      <c r="Q40" s="246">
        <f>RollUpSum(40,17)</f>
        <v>965.96</v>
      </c>
      <c r="R40" s="129">
        <f>RollUpSum(40,18)</f>
        <v>2846.6015000000002</v>
      </c>
      <c r="S40" s="130">
        <f>RollUpSum(40,19)</f>
        <v>3850.06</v>
      </c>
      <c r="T40" s="241">
        <f>RollUpSum(40,20)</f>
        <v>3041.1</v>
      </c>
      <c r="U40" s="236">
        <f>RollUpSum(40,21)</f>
        <v>1648.73</v>
      </c>
      <c r="V40" s="127">
        <f>RollUpSum(40,22)</f>
        <v>6890.4444000000003</v>
      </c>
      <c r="W40" s="130">
        <f>RollUpSum(40,23)</f>
        <v>9328.2000000000007</v>
      </c>
      <c r="X40" s="241">
        <f>RollUpSum(40,24)</f>
        <v>6627.61</v>
      </c>
      <c r="Y40" s="236">
        <f>RollUpSum(40,25)</f>
        <v>4715.7299999999996</v>
      </c>
    </row>
    <row r="41" spans="1:25" ht="14.4" hidden="1" customHeight="1" outlineLevel="1">
      <c r="A41" s="134" t="s">
        <v>161</v>
      </c>
      <c r="B41" s="135">
        <f>RollUpSum(41,2)</f>
        <v>0</v>
      </c>
      <c r="C41" s="147">
        <f>RollUpSum(41,3)</f>
        <v>846</v>
      </c>
      <c r="D41" s="253">
        <f>RollUpSum(41,4)</f>
        <v>696</v>
      </c>
      <c r="E41" s="249">
        <f>RollUpSum(41,5)</f>
        <v>675</v>
      </c>
      <c r="F41" s="136">
        <f>RollUpSum(41,6)</f>
        <v>91.219099999999997</v>
      </c>
      <c r="G41" s="147">
        <f>RollUpSum(41,7)</f>
        <v>168.6</v>
      </c>
      <c r="H41" s="253">
        <f>RollUpSum(41,8)</f>
        <v>42.11</v>
      </c>
      <c r="I41" s="249">
        <f>RollUpSum(41,9)</f>
        <v>62.95</v>
      </c>
      <c r="J41" s="136">
        <f>RollUpSum(41,10)</f>
        <v>152.2818</v>
      </c>
      <c r="K41" s="147">
        <f>RollUpSum(41,11)</f>
        <v>172.8</v>
      </c>
      <c r="L41" s="253">
        <f>RollUpSum(41,12)</f>
        <v>176.63</v>
      </c>
      <c r="M41" s="249">
        <f>RollUpSum(41,13)</f>
        <v>107.42</v>
      </c>
      <c r="N41" s="136">
        <f>RollUpSum(41,14)</f>
        <v>109.40219999999999</v>
      </c>
      <c r="O41" s="147">
        <f>RollUpSum(41,15)</f>
        <v>139.68</v>
      </c>
      <c r="P41" s="253">
        <f>RollUpSum(41,16)</f>
        <v>110.2</v>
      </c>
      <c r="Q41" s="249">
        <f>RollUpSum(41,17)</f>
        <v>78.33</v>
      </c>
      <c r="R41" s="136">
        <f>RollUpSum(41,18)</f>
        <v>250.23079999999999</v>
      </c>
      <c r="S41" s="148">
        <f>RollUpSum(41,19)</f>
        <v>338.11</v>
      </c>
      <c r="T41" s="245">
        <f>RollUpSum(41,20)</f>
        <v>278.91000000000003</v>
      </c>
      <c r="U41" s="240">
        <f>RollUpSum(41,21)</f>
        <v>133.68</v>
      </c>
      <c r="V41" s="135">
        <f>RollUpSum(41,22)</f>
        <v>603.13400000000001</v>
      </c>
      <c r="W41" s="148">
        <f>RollUpSum(41,23)</f>
        <v>819.19</v>
      </c>
      <c r="X41" s="245">
        <f>RollUpSum(41,24)</f>
        <v>607.85</v>
      </c>
      <c r="Y41" s="240">
        <f>RollUpSum(41,25)</f>
        <v>382.38</v>
      </c>
    </row>
    <row r="42" spans="1:25" collapsed="1">
      <c r="A42" s="62" t="s">
        <v>162</v>
      </c>
      <c r="B42" s="78">
        <f t="shared" ref="B42:Y42" si="4">SUM(B36:B41)</f>
        <v>0</v>
      </c>
      <c r="C42" s="149">
        <f t="shared" si="4"/>
        <v>10486</v>
      </c>
      <c r="D42" s="149">
        <f t="shared" si="4"/>
        <v>19285</v>
      </c>
      <c r="E42" s="149">
        <f t="shared" si="4"/>
        <v>27521</v>
      </c>
      <c r="F42" s="151">
        <f t="shared" si="4"/>
        <v>1635.4303</v>
      </c>
      <c r="G42" s="149">
        <f t="shared" si="4"/>
        <v>3565.79</v>
      </c>
      <c r="H42" s="149">
        <f t="shared" si="4"/>
        <v>501.27000000000004</v>
      </c>
      <c r="I42" s="149">
        <f t="shared" si="4"/>
        <v>839.28000000000009</v>
      </c>
      <c r="J42" s="151">
        <f t="shared" si="4"/>
        <v>2537.9046000000003</v>
      </c>
      <c r="K42" s="149">
        <f t="shared" si="4"/>
        <v>4079.25</v>
      </c>
      <c r="L42" s="149">
        <f t="shared" si="4"/>
        <v>2102.41</v>
      </c>
      <c r="M42" s="149">
        <f t="shared" si="4"/>
        <v>1432.13</v>
      </c>
      <c r="N42" s="151">
        <f t="shared" si="4"/>
        <v>2002.8633</v>
      </c>
      <c r="O42" s="149">
        <f t="shared" si="4"/>
        <v>3652.5899999999997</v>
      </c>
      <c r="P42" s="149">
        <f t="shared" si="4"/>
        <v>1311.77</v>
      </c>
      <c r="Q42" s="149">
        <f t="shared" si="4"/>
        <v>1044.29</v>
      </c>
      <c r="R42" s="151">
        <f t="shared" si="4"/>
        <v>3896.6976</v>
      </c>
      <c r="S42" s="152">
        <f t="shared" si="4"/>
        <v>6587.79</v>
      </c>
      <c r="T42" s="152">
        <f t="shared" si="4"/>
        <v>3320.0099999999998</v>
      </c>
      <c r="U42" s="152">
        <f t="shared" si="4"/>
        <v>1782.41</v>
      </c>
      <c r="V42" s="78">
        <f t="shared" si="4"/>
        <v>10072.895900000001</v>
      </c>
      <c r="W42" s="152">
        <f t="shared" si="4"/>
        <v>17885.419999999998</v>
      </c>
      <c r="X42" s="152">
        <f t="shared" si="4"/>
        <v>7235.46</v>
      </c>
      <c r="Y42" s="152">
        <f t="shared" si="4"/>
        <v>5098.1099999999997</v>
      </c>
    </row>
    <row r="43" spans="1:25" ht="16.2" thickBot="1">
      <c r="A43" s="137" t="s">
        <v>163</v>
      </c>
      <c r="B43" s="138">
        <f>SUM(B21,B30,B34,B42)</f>
        <v>0</v>
      </c>
      <c r="C43" s="139">
        <f t="shared" ref="C43:U43" si="5">SUM(C21,C30,C34,C42)</f>
        <v>147041</v>
      </c>
      <c r="D43" s="139">
        <f t="shared" si="5"/>
        <v>145840</v>
      </c>
      <c r="E43" s="139">
        <f t="shared" si="5"/>
        <v>143892</v>
      </c>
      <c r="F43" s="138">
        <f t="shared" si="5"/>
        <v>16585.650900000001</v>
      </c>
      <c r="G43" s="139">
        <f t="shared" si="5"/>
        <v>29282.240000000002</v>
      </c>
      <c r="H43" s="139">
        <f t="shared" si="5"/>
        <v>7293.630000000001</v>
      </c>
      <c r="I43" s="139">
        <f t="shared" si="5"/>
        <v>13181.58</v>
      </c>
      <c r="J43" s="138">
        <f t="shared" si="5"/>
        <v>27697.7729</v>
      </c>
      <c r="K43" s="139">
        <f t="shared" si="5"/>
        <v>30011.260000000002</v>
      </c>
      <c r="L43" s="139">
        <f t="shared" si="5"/>
        <v>30590.170000000002</v>
      </c>
      <c r="M43" s="139">
        <f t="shared" si="5"/>
        <v>22492.719999999998</v>
      </c>
      <c r="N43" s="138">
        <f t="shared" si="5"/>
        <v>19915.530900000002</v>
      </c>
      <c r="O43" s="139">
        <f t="shared" si="5"/>
        <v>24259.51</v>
      </c>
      <c r="P43" s="139">
        <f t="shared" si="5"/>
        <v>19086.490000000002</v>
      </c>
      <c r="Q43" s="139">
        <f t="shared" si="5"/>
        <v>16401.190000000002</v>
      </c>
      <c r="R43" s="138">
        <f t="shared" si="5"/>
        <v>45007.056600000011</v>
      </c>
      <c r="S43" s="138">
        <f t="shared" si="5"/>
        <v>58721.52</v>
      </c>
      <c r="T43" s="138">
        <f t="shared" si="5"/>
        <v>48306.670000000006</v>
      </c>
      <c r="U43" s="138">
        <f t="shared" si="5"/>
        <v>27994.33</v>
      </c>
      <c r="V43" s="138">
        <f>SUM(V21,V30,V34,V42)</f>
        <v>109206.01119999999</v>
      </c>
      <c r="W43" s="138">
        <f>SUM(W21,W30,W34,W42)</f>
        <v>142274.52999999997</v>
      </c>
      <c r="X43" s="138">
        <f>SUM(X21,X30,X34,X42)</f>
        <v>105276.96000000002</v>
      </c>
      <c r="Y43" s="138">
        <f>SUM(Y21,Y30,Y34,Y42)</f>
        <v>80069.820000000007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t="14.4" hidden="1" customHeight="1" outlineLevel="1">
      <c r="A45" s="126" t="s">
        <v>165</v>
      </c>
      <c r="B45" s="141">
        <f>RollUpSum(45,2)</f>
        <v>0</v>
      </c>
      <c r="C45" s="128">
        <f>RollUpSum(45,3)</f>
        <v>0</v>
      </c>
      <c r="D45" s="250">
        <f>RollUpSum(45,4)</f>
        <v>0</v>
      </c>
      <c r="E45" s="246">
        <f>RollUpSum(45,5)</f>
        <v>0</v>
      </c>
      <c r="F45" s="129">
        <f>RollUpSum(45,6)</f>
        <v>28584.934099999999</v>
      </c>
      <c r="G45" s="128">
        <f>RollUpSum(45,7)</f>
        <v>37265</v>
      </c>
      <c r="H45" s="250">
        <f>RollUpSum(45,8)</f>
        <v>36054.660000000003</v>
      </c>
      <c r="I45" s="246">
        <f>RollUpSum(45,9)</f>
        <v>12436</v>
      </c>
      <c r="J45" s="129">
        <f>RollUpSum(45,10)</f>
        <v>0</v>
      </c>
      <c r="K45" s="128">
        <f>RollUpSum(45,11)</f>
        <v>0</v>
      </c>
      <c r="L45" s="250">
        <f>RollUpSum(45,12)</f>
        <v>0</v>
      </c>
      <c r="M45" s="246">
        <f>RollUpSum(45,13)</f>
        <v>0</v>
      </c>
      <c r="N45" s="129">
        <f>RollUpSum(45,14)</f>
        <v>0</v>
      </c>
      <c r="O45" s="128">
        <f>RollUpSum(45,15)</f>
        <v>0</v>
      </c>
      <c r="P45" s="250">
        <f>RollUpSum(45,16)</f>
        <v>0</v>
      </c>
      <c r="Q45" s="246">
        <f>RollUpSum(45,17)</f>
        <v>0</v>
      </c>
      <c r="R45" s="129">
        <f>RollUpSum(45,18)</f>
        <v>36791.038800000002</v>
      </c>
      <c r="S45" s="142">
        <f>RollUpSum(45,19)</f>
        <v>0</v>
      </c>
      <c r="T45" s="243">
        <f>RollUpSum(45,20)</f>
        <v>46552.04</v>
      </c>
      <c r="U45" s="238">
        <f>RollUpSum(45,21)</f>
        <v>63822.18</v>
      </c>
      <c r="V45" s="141">
        <f>RollUpSum(45,22)</f>
        <v>65375.972900000001</v>
      </c>
      <c r="W45" s="142">
        <f>RollUpSum(45,23)</f>
        <v>37265</v>
      </c>
      <c r="X45" s="243">
        <f>RollUpSum(45,24)</f>
        <v>82606.7</v>
      </c>
      <c r="Y45" s="238">
        <f>RollUpSum(45,25)</f>
        <v>76258.179999999993</v>
      </c>
    </row>
    <row r="46" spans="1:25" ht="14.4" hidden="1" customHeight="1" outlineLevel="1">
      <c r="A46" s="134" t="s">
        <v>166</v>
      </c>
      <c r="B46" s="135">
        <f>RollUpSum(46,2)</f>
        <v>0</v>
      </c>
      <c r="C46" s="147">
        <f>RollUpSum(46,3)</f>
        <v>0</v>
      </c>
      <c r="D46" s="253">
        <f>RollUpSum(46,4)</f>
        <v>0</v>
      </c>
      <c r="E46" s="249">
        <f>RollUpSum(46,5)</f>
        <v>0</v>
      </c>
      <c r="F46" s="136">
        <f>RollUpSum(46,6)</f>
        <v>0</v>
      </c>
      <c r="G46" s="147">
        <f>RollUpSum(46,7)</f>
        <v>0</v>
      </c>
      <c r="H46" s="253">
        <f>RollUpSum(46,8)</f>
        <v>0</v>
      </c>
      <c r="I46" s="249">
        <f>RollUpSum(46,9)</f>
        <v>0</v>
      </c>
      <c r="J46" s="136">
        <f>RollUpSum(46,10)</f>
        <v>0</v>
      </c>
      <c r="K46" s="147">
        <f>RollUpSum(46,11)</f>
        <v>0</v>
      </c>
      <c r="L46" s="253">
        <f>RollUpSum(46,12)</f>
        <v>0</v>
      </c>
      <c r="M46" s="249">
        <f>RollUpSum(46,13)</f>
        <v>0</v>
      </c>
      <c r="N46" s="136">
        <f>RollUpSum(46,14)</f>
        <v>0</v>
      </c>
      <c r="O46" s="147">
        <f>RollUpSum(46,15)</f>
        <v>0</v>
      </c>
      <c r="P46" s="253">
        <f>RollUpSum(46,16)</f>
        <v>0</v>
      </c>
      <c r="Q46" s="249">
        <f>RollUpSum(46,17)</f>
        <v>0</v>
      </c>
      <c r="R46" s="136">
        <f>RollUpSum(46,18)</f>
        <v>0</v>
      </c>
      <c r="S46" s="148">
        <f>RollUpSum(46,19)</f>
        <v>0</v>
      </c>
      <c r="T46" s="245">
        <f>RollUpSum(46,20)</f>
        <v>0</v>
      </c>
      <c r="U46" s="240">
        <f>RollUpSum(46,21)</f>
        <v>0</v>
      </c>
      <c r="V46" s="135">
        <f>RollUpSum(46,22)</f>
        <v>0</v>
      </c>
      <c r="W46" s="148">
        <f>RollUpSum(46,23)</f>
        <v>0</v>
      </c>
      <c r="X46" s="245">
        <f>RollUpSum(46,24)</f>
        <v>0</v>
      </c>
      <c r="Y46" s="240">
        <f>RollUpSum(46,25)</f>
        <v>0</v>
      </c>
    </row>
    <row r="47" spans="1:25" collapsed="1">
      <c r="A47" s="99" t="s">
        <v>167</v>
      </c>
      <c r="B47" s="153">
        <f t="shared" ref="B47:Y47" si="6">SUM(B45:B46)</f>
        <v>0</v>
      </c>
      <c r="C47" s="91">
        <f t="shared" si="6"/>
        <v>0</v>
      </c>
      <c r="D47" s="91">
        <f t="shared" si="6"/>
        <v>0</v>
      </c>
      <c r="E47" s="91">
        <f t="shared" si="6"/>
        <v>0</v>
      </c>
      <c r="F47" s="78">
        <f t="shared" si="6"/>
        <v>28584.934099999999</v>
      </c>
      <c r="G47" s="91">
        <f t="shared" si="6"/>
        <v>37265</v>
      </c>
      <c r="H47" s="91">
        <f t="shared" si="6"/>
        <v>36054.660000000003</v>
      </c>
      <c r="I47" s="91">
        <f t="shared" si="6"/>
        <v>12436</v>
      </c>
      <c r="J47" s="78">
        <f t="shared" si="6"/>
        <v>0</v>
      </c>
      <c r="K47" s="91">
        <f t="shared" si="6"/>
        <v>0</v>
      </c>
      <c r="L47" s="91">
        <f t="shared" si="6"/>
        <v>0</v>
      </c>
      <c r="M47" s="91">
        <f t="shared" si="6"/>
        <v>0</v>
      </c>
      <c r="N47" s="78">
        <f t="shared" si="6"/>
        <v>0</v>
      </c>
      <c r="O47" s="91">
        <f t="shared" si="6"/>
        <v>0</v>
      </c>
      <c r="P47" s="91">
        <f t="shared" si="6"/>
        <v>0</v>
      </c>
      <c r="Q47" s="91">
        <f t="shared" si="6"/>
        <v>0</v>
      </c>
      <c r="R47" s="78">
        <f t="shared" si="6"/>
        <v>36791.038800000002</v>
      </c>
      <c r="S47" s="150">
        <f t="shared" si="6"/>
        <v>0</v>
      </c>
      <c r="T47" s="150">
        <f t="shared" si="6"/>
        <v>46552.04</v>
      </c>
      <c r="U47" s="150">
        <f t="shared" si="6"/>
        <v>63822.18</v>
      </c>
      <c r="V47" s="153">
        <f t="shared" si="6"/>
        <v>65375.972900000001</v>
      </c>
      <c r="W47" s="150">
        <f t="shared" si="6"/>
        <v>37265</v>
      </c>
      <c r="X47" s="150">
        <f t="shared" si="6"/>
        <v>82606.7</v>
      </c>
      <c r="Y47" s="150">
        <f t="shared" si="6"/>
        <v>76258.179999999993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7">SUM(C12,C43,C47)</f>
        <v>-1</v>
      </c>
      <c r="D48" s="139">
        <f t="shared" si="7"/>
        <v>-1</v>
      </c>
      <c r="E48" s="139">
        <f t="shared" si="7"/>
        <v>0</v>
      </c>
      <c r="F48" s="138">
        <f t="shared" si="7"/>
        <v>-27624.3537</v>
      </c>
      <c r="G48" s="139">
        <f t="shared" si="7"/>
        <v>-6973.7599999999948</v>
      </c>
      <c r="H48" s="139">
        <f t="shared" si="7"/>
        <v>-29571.709999999992</v>
      </c>
      <c r="I48" s="139">
        <f t="shared" si="7"/>
        <v>-46328.42</v>
      </c>
      <c r="J48" s="138">
        <f t="shared" si="7"/>
        <v>27697.7729</v>
      </c>
      <c r="K48" s="139">
        <f t="shared" si="7"/>
        <v>30011.260000000002</v>
      </c>
      <c r="L48" s="139">
        <f t="shared" si="7"/>
        <v>30590.170000000002</v>
      </c>
      <c r="M48" s="139">
        <f t="shared" si="7"/>
        <v>22492.719999999998</v>
      </c>
      <c r="N48" s="138">
        <f t="shared" si="7"/>
        <v>-52879.741099999999</v>
      </c>
      <c r="O48" s="139">
        <f t="shared" si="7"/>
        <v>-49261.490000000005</v>
      </c>
      <c r="P48" s="139">
        <f t="shared" si="7"/>
        <v>-53834.509999999995</v>
      </c>
      <c r="Q48" s="139">
        <f t="shared" si="7"/>
        <v>-55544.81</v>
      </c>
      <c r="R48" s="138">
        <f t="shared" si="7"/>
        <v>45007.056600000011</v>
      </c>
      <c r="S48" s="138">
        <f t="shared" si="7"/>
        <v>58721.52</v>
      </c>
      <c r="T48" s="138">
        <f t="shared" si="7"/>
        <v>48306.670000000006</v>
      </c>
      <c r="U48" s="138">
        <f t="shared" si="7"/>
        <v>27994.33</v>
      </c>
      <c r="V48" s="138">
        <f>SUM(V12,V43,V47)</f>
        <v>-7799.2654000000111</v>
      </c>
      <c r="W48" s="138">
        <f>SUM(W12,W43,W47)</f>
        <v>32497.52999999997</v>
      </c>
      <c r="X48" s="138">
        <f>SUM(X12,X43,X47)</f>
        <v>-4509.3799999999901</v>
      </c>
      <c r="Y48" s="138">
        <f>SUM(Y12,Y43,Y47)</f>
        <v>-51386.179999999993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25" priority="13" operator="lessThan">
      <formula>-0.01</formula>
    </cfRule>
  </conditionalFormatting>
  <conditionalFormatting sqref="Y15:Y21 Y23:Y30 Y32:Y34 Y36:Y43">
    <cfRule type="cellIs" dxfId="24" priority="12" operator="lessThan">
      <formula>-0.01</formula>
    </cfRule>
  </conditionalFormatting>
  <conditionalFormatting sqref="X15:X21 X23:X30 X32:X34 X36:X43">
    <cfRule type="cellIs" dxfId="23" priority="11" operator="lessThan">
      <formula>-0.01</formula>
    </cfRule>
  </conditionalFormatting>
  <conditionalFormatting sqref="U15:U21 U23:U30 U32:U34 U36:U43">
    <cfRule type="cellIs" dxfId="22" priority="10" operator="lessThan">
      <formula>-0.01</formula>
    </cfRule>
  </conditionalFormatting>
  <conditionalFormatting sqref="T15:T21 T23:T30 T32:T34 T36:T43">
    <cfRule type="cellIs" dxfId="21" priority="9" operator="lessThan">
      <formula>-0.01</formula>
    </cfRule>
  </conditionalFormatting>
  <conditionalFormatting sqref="Q15:Q21 Q23:Q30 Q32:Q34 Q36:Q43">
    <cfRule type="cellIs" dxfId="20" priority="8" operator="lessThan">
      <formula>-0.01</formula>
    </cfRule>
  </conditionalFormatting>
  <conditionalFormatting sqref="P15:P21 P23:P30 P32:P34 P36:P43">
    <cfRule type="cellIs" dxfId="19" priority="7" operator="lessThan">
      <formula>-0.01</formula>
    </cfRule>
  </conditionalFormatting>
  <conditionalFormatting sqref="M15:M21 M23:M30 M32:M34 M36:M43">
    <cfRule type="cellIs" dxfId="18" priority="6" operator="lessThan">
      <formula>-0.01</formula>
    </cfRule>
  </conditionalFormatting>
  <conditionalFormatting sqref="L15:L21 L23:L30 L32:L34 L36:L43">
    <cfRule type="cellIs" dxfId="17" priority="5" operator="lessThan">
      <formula>-0.01</formula>
    </cfRule>
  </conditionalFormatting>
  <conditionalFormatting sqref="I15:I21 I23:I30 I32:I34 I36:I43">
    <cfRule type="cellIs" dxfId="16" priority="4" operator="lessThan">
      <formula>-0.01</formula>
    </cfRule>
  </conditionalFormatting>
  <conditionalFormatting sqref="H15:H21 H23:H30 H32:H34 H36:H43">
    <cfRule type="cellIs" dxfId="15" priority="3" operator="lessThan">
      <formula>-0.01</formula>
    </cfRule>
  </conditionalFormatting>
  <conditionalFormatting sqref="E15:E21 E23:E30 E32:E34 E36:E43">
    <cfRule type="cellIs" dxfId="14" priority="2" operator="lessThan">
      <formula>-0.01</formula>
    </cfRule>
  </conditionalFormatting>
  <conditionalFormatting sqref="D15:D21 D23:D30 D32:D34 D36:D43">
    <cfRule type="cellIs" dxfId="13" priority="1" operator="lessThan">
      <formula>-0.01</formula>
    </cfRule>
  </conditionalFormatting>
  <pageMargins left="0.7" right="0.7" top="0.75" bottom="0.75" header="0.3" footer="0.3"/>
  <pageSetup scale="3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6575-4F99-4F5E-AA0A-E3DBA7324790}">
  <sheetPr codeName="Sheet1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44" sqref="J44"/>
    </sheetView>
  </sheetViews>
  <sheetFormatPr defaultRowHeight="14.4" outlineLevelRow="1" outlineLevelCol="1"/>
  <cols>
    <col min="1" max="1" width="30.77734375" style="229" customWidth="1"/>
    <col min="2" max="2" width="15.109375" style="229" bestFit="1" customWidth="1"/>
    <col min="3" max="5" width="11.33203125" style="229" hidden="1" customWidth="1" outlineLevel="1"/>
    <col min="6" max="6" width="16.21875" style="229" bestFit="1" customWidth="1" collapsed="1"/>
    <col min="7" max="9" width="13.21875" style="229" hidden="1" customWidth="1" outlineLevel="1"/>
    <col min="10" max="10" width="16.21875" style="229" bestFit="1" customWidth="1" collapsed="1"/>
    <col min="11" max="13" width="13.21875" style="229" hidden="1" customWidth="1" outlineLevel="1"/>
    <col min="14" max="14" width="16.21875" style="229" bestFit="1" customWidth="1" collapsed="1"/>
    <col min="15" max="17" width="14.5546875" style="229" hidden="1" customWidth="1" outlineLevel="1"/>
    <col min="18" max="18" width="16.21875" style="229" bestFit="1" customWidth="1" collapsed="1"/>
    <col min="19" max="21" width="13.44140625" style="229" hidden="1" customWidth="1" outlineLevel="1"/>
    <col min="22" max="22" width="13.33203125" style="229" bestFit="1" customWidth="1" collapsed="1"/>
    <col min="23" max="25" width="12.33203125" style="229" hidden="1" customWidth="1" outlineLevel="1"/>
    <col min="26" max="26" width="8.88671875" style="229" collapsed="1"/>
    <col min="27" max="52" width="8.88671875" style="229"/>
  </cols>
  <sheetData>
    <row r="1" spans="1:52" ht="15.6">
      <c r="A1" s="111" t="s">
        <v>1697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V1" s="230"/>
      <c r="W1" s="230"/>
      <c r="X1" s="230"/>
      <c r="Y1" s="230"/>
    </row>
    <row r="2" spans="1:52" ht="15.6">
      <c r="A2" s="113" t="s">
        <v>820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V2" s="231"/>
      <c r="W2" s="231"/>
      <c r="X2" s="231"/>
      <c r="Y2" s="231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21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1694</v>
      </c>
      <c r="D5" s="120" t="s">
        <v>1696</v>
      </c>
      <c r="E5" s="120" t="s">
        <v>1695</v>
      </c>
      <c r="F5" s="119"/>
      <c r="G5" s="120" t="s">
        <v>1694</v>
      </c>
      <c r="H5" s="120" t="s">
        <v>1696</v>
      </c>
      <c r="I5" s="120" t="s">
        <v>1695</v>
      </c>
      <c r="J5" s="119"/>
      <c r="K5" s="120" t="s">
        <v>1694</v>
      </c>
      <c r="L5" s="120" t="s">
        <v>1696</v>
      </c>
      <c r="M5" s="120" t="s">
        <v>1695</v>
      </c>
      <c r="N5" s="119"/>
      <c r="O5" s="120" t="s">
        <v>1694</v>
      </c>
      <c r="P5" s="120" t="s">
        <v>1696</v>
      </c>
      <c r="Q5" s="120" t="s">
        <v>1695</v>
      </c>
      <c r="R5" s="119"/>
      <c r="S5" s="119" t="s">
        <v>1694</v>
      </c>
      <c r="T5" s="119" t="s">
        <v>1696</v>
      </c>
      <c r="U5" s="119" t="s">
        <v>1695</v>
      </c>
      <c r="V5" s="119"/>
      <c r="W5" s="119" t="s">
        <v>1694</v>
      </c>
      <c r="X5" s="119" t="s">
        <v>1696</v>
      </c>
      <c r="Y5" s="119" t="s">
        <v>1695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0</v>
      </c>
      <c r="C8" s="128">
        <v>-147042</v>
      </c>
      <c r="D8" s="250">
        <v>-145841</v>
      </c>
      <c r="E8" s="246">
        <v>-143892</v>
      </c>
      <c r="F8" s="129">
        <v>-72794.938710000002</v>
      </c>
      <c r="G8" s="128">
        <v>-73521</v>
      </c>
      <c r="H8" s="250">
        <v>-72920</v>
      </c>
      <c r="I8" s="246">
        <v>-71946</v>
      </c>
      <c r="J8" s="129">
        <v>0</v>
      </c>
      <c r="K8" s="128">
        <v>0</v>
      </c>
      <c r="L8" s="250">
        <v>0</v>
      </c>
      <c r="M8" s="246">
        <v>0</v>
      </c>
      <c r="N8" s="129">
        <v>-72795.272039999996</v>
      </c>
      <c r="O8" s="128">
        <v>-73521</v>
      </c>
      <c r="P8" s="250">
        <v>-72921</v>
      </c>
      <c r="Q8" s="246">
        <v>-71946</v>
      </c>
      <c r="R8" s="129">
        <v>0</v>
      </c>
      <c r="S8" s="130">
        <v>0</v>
      </c>
      <c r="T8" s="241">
        <v>0</v>
      </c>
      <c r="U8" s="236">
        <v>0</v>
      </c>
      <c r="V8" s="127">
        <f t="shared" ref="V8:Y11" si="0">SUM(F8,J8,N8,R8)</f>
        <v>-145590.21075</v>
      </c>
      <c r="W8" s="130">
        <f t="shared" si="0"/>
        <v>-147042</v>
      </c>
      <c r="X8" s="241">
        <f t="shared" si="0"/>
        <v>-145841</v>
      </c>
      <c r="Y8" s="236">
        <f t="shared" si="0"/>
        <v>-143892</v>
      </c>
    </row>
    <row r="9" spans="1:52" hidden="1" outlineLevel="1">
      <c r="A9" s="131" t="s">
        <v>131</v>
      </c>
      <c r="B9" s="127">
        <v>0</v>
      </c>
      <c r="C9" s="132">
        <v>0</v>
      </c>
      <c r="D9" s="251">
        <v>0</v>
      </c>
      <c r="E9" s="247">
        <v>0</v>
      </c>
      <c r="F9" s="129">
        <v>0</v>
      </c>
      <c r="G9" s="132">
        <v>0</v>
      </c>
      <c r="H9" s="251">
        <v>0</v>
      </c>
      <c r="I9" s="247">
        <v>0</v>
      </c>
      <c r="J9" s="129">
        <v>0</v>
      </c>
      <c r="K9" s="132">
        <v>0</v>
      </c>
      <c r="L9" s="251">
        <v>0</v>
      </c>
      <c r="M9" s="247">
        <v>0</v>
      </c>
      <c r="N9" s="129">
        <v>0</v>
      </c>
      <c r="O9" s="132">
        <v>0</v>
      </c>
      <c r="P9" s="251">
        <v>0</v>
      </c>
      <c r="Q9" s="247">
        <v>0</v>
      </c>
      <c r="R9" s="129">
        <v>0</v>
      </c>
      <c r="S9" s="133">
        <v>0</v>
      </c>
      <c r="T9" s="242">
        <v>0</v>
      </c>
      <c r="U9" s="237">
        <v>0</v>
      </c>
      <c r="V9" s="127">
        <f t="shared" si="0"/>
        <v>0</v>
      </c>
      <c r="W9" s="133">
        <f t="shared" si="0"/>
        <v>0</v>
      </c>
      <c r="X9" s="242">
        <f t="shared" si="0"/>
        <v>0</v>
      </c>
      <c r="Y9" s="237">
        <f t="shared" si="0"/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51">
        <v>0</v>
      </c>
      <c r="E10" s="247">
        <v>0</v>
      </c>
      <c r="F10" s="129">
        <v>0</v>
      </c>
      <c r="G10" s="132">
        <v>0</v>
      </c>
      <c r="H10" s="251">
        <v>0</v>
      </c>
      <c r="I10" s="247">
        <v>0</v>
      </c>
      <c r="J10" s="129">
        <v>0</v>
      </c>
      <c r="K10" s="132">
        <v>0</v>
      </c>
      <c r="L10" s="251">
        <v>0</v>
      </c>
      <c r="M10" s="247">
        <v>0</v>
      </c>
      <c r="N10" s="129">
        <v>0</v>
      </c>
      <c r="O10" s="132">
        <v>0</v>
      </c>
      <c r="P10" s="251">
        <v>0</v>
      </c>
      <c r="Q10" s="247">
        <v>0</v>
      </c>
      <c r="R10" s="129">
        <v>0</v>
      </c>
      <c r="S10" s="133">
        <v>0</v>
      </c>
      <c r="T10" s="242">
        <v>0</v>
      </c>
      <c r="U10" s="237">
        <v>0</v>
      </c>
      <c r="V10" s="127">
        <f t="shared" si="0"/>
        <v>0</v>
      </c>
      <c r="W10" s="133">
        <f t="shared" si="0"/>
        <v>0</v>
      </c>
      <c r="X10" s="242">
        <f t="shared" si="0"/>
        <v>0</v>
      </c>
      <c r="Y10" s="237">
        <f t="shared" si="0"/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51">
        <v>0</v>
      </c>
      <c r="E11" s="247">
        <v>0</v>
      </c>
      <c r="F11" s="136">
        <v>0</v>
      </c>
      <c r="G11" s="132">
        <v>0</v>
      </c>
      <c r="H11" s="251">
        <v>0</v>
      </c>
      <c r="I11" s="247">
        <v>0</v>
      </c>
      <c r="J11" s="136">
        <v>0</v>
      </c>
      <c r="K11" s="132">
        <v>0</v>
      </c>
      <c r="L11" s="251">
        <v>0</v>
      </c>
      <c r="M11" s="247">
        <v>0</v>
      </c>
      <c r="N11" s="136">
        <v>0</v>
      </c>
      <c r="O11" s="132">
        <v>0</v>
      </c>
      <c r="P11" s="251">
        <v>0</v>
      </c>
      <c r="Q11" s="247">
        <v>0</v>
      </c>
      <c r="R11" s="136">
        <v>-36791.038752600005</v>
      </c>
      <c r="S11" s="133">
        <v>0</v>
      </c>
      <c r="T11" s="242">
        <v>-46552.04</v>
      </c>
      <c r="U11" s="237">
        <v>-63822.18</v>
      </c>
      <c r="V11" s="135">
        <f t="shared" si="0"/>
        <v>-36791.038752600005</v>
      </c>
      <c r="W11" s="133">
        <f t="shared" si="0"/>
        <v>0</v>
      </c>
      <c r="X11" s="242">
        <f t="shared" si="0"/>
        <v>-46552.04</v>
      </c>
      <c r="Y11" s="237">
        <f t="shared" si="0"/>
        <v>-63822.18</v>
      </c>
    </row>
    <row r="12" spans="1:52" ht="16.2" collapsed="1" thickBot="1">
      <c r="A12" s="137" t="s">
        <v>134</v>
      </c>
      <c r="B12" s="138">
        <f>SUM(B8:B11)</f>
        <v>0</v>
      </c>
      <c r="C12" s="139">
        <f t="shared" ref="C12:U12" si="1">SUM(C8:C11)</f>
        <v>-147042</v>
      </c>
      <c r="D12" s="139">
        <f t="shared" si="1"/>
        <v>-145841</v>
      </c>
      <c r="E12" s="139">
        <f t="shared" si="1"/>
        <v>-143892</v>
      </c>
      <c r="F12" s="138">
        <f t="shared" si="1"/>
        <v>-72794.938710000002</v>
      </c>
      <c r="G12" s="139">
        <f t="shared" si="1"/>
        <v>-73521</v>
      </c>
      <c r="H12" s="139">
        <f t="shared" si="1"/>
        <v>-72920</v>
      </c>
      <c r="I12" s="139">
        <f t="shared" si="1"/>
        <v>-71946</v>
      </c>
      <c r="J12" s="138">
        <f t="shared" si="1"/>
        <v>0</v>
      </c>
      <c r="K12" s="139">
        <f t="shared" si="1"/>
        <v>0</v>
      </c>
      <c r="L12" s="139">
        <f t="shared" si="1"/>
        <v>0</v>
      </c>
      <c r="M12" s="139">
        <f t="shared" si="1"/>
        <v>0</v>
      </c>
      <c r="N12" s="138">
        <f t="shared" si="1"/>
        <v>-72795.272039999996</v>
      </c>
      <c r="O12" s="139">
        <f t="shared" si="1"/>
        <v>-73521</v>
      </c>
      <c r="P12" s="139">
        <f t="shared" si="1"/>
        <v>-72921</v>
      </c>
      <c r="Q12" s="139">
        <f t="shared" si="1"/>
        <v>-71946</v>
      </c>
      <c r="R12" s="138">
        <f t="shared" si="1"/>
        <v>-36791.038752600005</v>
      </c>
      <c r="S12" s="138">
        <f t="shared" si="1"/>
        <v>0</v>
      </c>
      <c r="T12" s="138">
        <f t="shared" si="1"/>
        <v>-46552.04</v>
      </c>
      <c r="U12" s="138">
        <f t="shared" si="1"/>
        <v>-63822.18</v>
      </c>
      <c r="V12" s="138">
        <f>SUM(V8:V11)</f>
        <v>-182381.2495026</v>
      </c>
      <c r="W12" s="138">
        <f>SUM(W8:W11)</f>
        <v>-147042</v>
      </c>
      <c r="X12" s="138">
        <f>SUM(X8:X11)</f>
        <v>-192393.04</v>
      </c>
      <c r="Y12" s="138">
        <f>SUM(Y8:Y11)</f>
        <v>-207714.18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50">
        <v>0</v>
      </c>
      <c r="E15" s="246">
        <v>0</v>
      </c>
      <c r="F15" s="129">
        <v>0</v>
      </c>
      <c r="G15" s="128">
        <v>0</v>
      </c>
      <c r="H15" s="250">
        <v>0</v>
      </c>
      <c r="I15" s="246">
        <v>0</v>
      </c>
      <c r="J15" s="129">
        <v>0</v>
      </c>
      <c r="K15" s="128">
        <v>0</v>
      </c>
      <c r="L15" s="250">
        <v>0</v>
      </c>
      <c r="M15" s="246">
        <v>0</v>
      </c>
      <c r="N15" s="129">
        <v>0</v>
      </c>
      <c r="O15" s="128">
        <v>0</v>
      </c>
      <c r="P15" s="250">
        <v>0</v>
      </c>
      <c r="Q15" s="246">
        <v>0</v>
      </c>
      <c r="R15" s="129">
        <v>0</v>
      </c>
      <c r="S15" s="142">
        <v>0</v>
      </c>
      <c r="T15" s="243">
        <v>0</v>
      </c>
      <c r="U15" s="238">
        <v>0</v>
      </c>
      <c r="V15" s="141">
        <f t="shared" ref="V15:Y20" si="2">SUM(F15,J15,N15,R15)</f>
        <v>0</v>
      </c>
      <c r="W15" s="142">
        <f t="shared" si="2"/>
        <v>0</v>
      </c>
      <c r="X15" s="243">
        <f t="shared" si="2"/>
        <v>0</v>
      </c>
      <c r="Y15" s="238">
        <f t="shared" si="2"/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50">
        <v>0</v>
      </c>
      <c r="E16" s="246">
        <v>0</v>
      </c>
      <c r="F16" s="129">
        <v>0</v>
      </c>
      <c r="G16" s="128">
        <v>0</v>
      </c>
      <c r="H16" s="250">
        <v>0</v>
      </c>
      <c r="I16" s="246">
        <v>0</v>
      </c>
      <c r="J16" s="129">
        <v>0</v>
      </c>
      <c r="K16" s="128">
        <v>0</v>
      </c>
      <c r="L16" s="250">
        <v>0</v>
      </c>
      <c r="M16" s="246">
        <v>0</v>
      </c>
      <c r="N16" s="129">
        <v>0</v>
      </c>
      <c r="O16" s="128">
        <v>0</v>
      </c>
      <c r="P16" s="250">
        <v>0</v>
      </c>
      <c r="Q16" s="246">
        <v>0</v>
      </c>
      <c r="R16" s="129">
        <v>0</v>
      </c>
      <c r="S16" s="130">
        <v>0</v>
      </c>
      <c r="T16" s="241">
        <v>0</v>
      </c>
      <c r="U16" s="236">
        <v>0</v>
      </c>
      <c r="V16" s="127">
        <f t="shared" si="2"/>
        <v>0</v>
      </c>
      <c r="W16" s="130">
        <f t="shared" si="2"/>
        <v>0</v>
      </c>
      <c r="X16" s="241">
        <f t="shared" si="2"/>
        <v>0</v>
      </c>
      <c r="Y16" s="236">
        <f t="shared" si="2"/>
        <v>0</v>
      </c>
    </row>
    <row r="17" spans="1:25" hidden="1" outlineLevel="1">
      <c r="A17" s="143" t="s">
        <v>138</v>
      </c>
      <c r="B17" s="144">
        <v>0</v>
      </c>
      <c r="C17" s="145">
        <v>80188</v>
      </c>
      <c r="D17" s="252">
        <v>80188</v>
      </c>
      <c r="E17" s="248">
        <v>78707</v>
      </c>
      <c r="F17" s="146">
        <v>9277.2305601000007</v>
      </c>
      <c r="G17" s="145">
        <v>14720.75</v>
      </c>
      <c r="H17" s="252">
        <v>5819.13</v>
      </c>
      <c r="I17" s="248">
        <v>7292.09</v>
      </c>
      <c r="J17" s="146">
        <v>16196.238036000001</v>
      </c>
      <c r="K17" s="145">
        <v>16973.38</v>
      </c>
      <c r="L17" s="252">
        <v>19469.09</v>
      </c>
      <c r="M17" s="248">
        <v>12146.73</v>
      </c>
      <c r="N17" s="146">
        <v>11599.1206743</v>
      </c>
      <c r="O17" s="145">
        <v>15456.66</v>
      </c>
      <c r="P17" s="252">
        <v>12168.89</v>
      </c>
      <c r="Q17" s="248">
        <v>7172.16</v>
      </c>
      <c r="R17" s="146">
        <v>20901.794313300001</v>
      </c>
      <c r="S17" s="56">
        <v>30453.55</v>
      </c>
      <c r="T17" s="244">
        <v>21315.07</v>
      </c>
      <c r="U17" s="239">
        <v>10937.39</v>
      </c>
      <c r="V17" s="144">
        <f t="shared" si="2"/>
        <v>57974.383583700001</v>
      </c>
      <c r="W17" s="56">
        <f t="shared" si="2"/>
        <v>77604.34</v>
      </c>
      <c r="X17" s="244">
        <f t="shared" si="2"/>
        <v>58772.18</v>
      </c>
      <c r="Y17" s="239">
        <f t="shared" si="2"/>
        <v>37548.369999999995</v>
      </c>
    </row>
    <row r="18" spans="1:25" hidden="1" outlineLevel="1">
      <c r="A18" s="131" t="s">
        <v>139</v>
      </c>
      <c r="B18" s="127">
        <v>0</v>
      </c>
      <c r="C18" s="128">
        <v>0</v>
      </c>
      <c r="D18" s="250">
        <v>0</v>
      </c>
      <c r="E18" s="246">
        <v>0</v>
      </c>
      <c r="F18" s="129">
        <v>0</v>
      </c>
      <c r="G18" s="128">
        <v>0</v>
      </c>
      <c r="H18" s="250">
        <v>0</v>
      </c>
      <c r="I18" s="246">
        <v>0</v>
      </c>
      <c r="J18" s="129">
        <v>0</v>
      </c>
      <c r="K18" s="128">
        <v>0</v>
      </c>
      <c r="L18" s="250">
        <v>0</v>
      </c>
      <c r="M18" s="246">
        <v>0</v>
      </c>
      <c r="N18" s="129">
        <v>0</v>
      </c>
      <c r="O18" s="128">
        <v>0</v>
      </c>
      <c r="P18" s="250">
        <v>0</v>
      </c>
      <c r="Q18" s="246">
        <v>0</v>
      </c>
      <c r="R18" s="129">
        <v>0</v>
      </c>
      <c r="S18" s="130">
        <v>0</v>
      </c>
      <c r="T18" s="241">
        <v>0</v>
      </c>
      <c r="U18" s="236">
        <v>0</v>
      </c>
      <c r="V18" s="127">
        <f t="shared" si="2"/>
        <v>0</v>
      </c>
      <c r="W18" s="130">
        <f t="shared" si="2"/>
        <v>0</v>
      </c>
      <c r="X18" s="241">
        <f t="shared" si="2"/>
        <v>0</v>
      </c>
      <c r="Y18" s="236">
        <f t="shared" si="2"/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50">
        <v>0</v>
      </c>
      <c r="E19" s="246">
        <v>0</v>
      </c>
      <c r="F19" s="129">
        <v>0</v>
      </c>
      <c r="G19" s="128">
        <v>0</v>
      </c>
      <c r="H19" s="250">
        <v>0</v>
      </c>
      <c r="I19" s="246">
        <v>0</v>
      </c>
      <c r="J19" s="129">
        <v>0</v>
      </c>
      <c r="K19" s="128">
        <v>0</v>
      </c>
      <c r="L19" s="250">
        <v>0</v>
      </c>
      <c r="M19" s="246">
        <v>0</v>
      </c>
      <c r="N19" s="129">
        <v>0</v>
      </c>
      <c r="O19" s="128">
        <v>0</v>
      </c>
      <c r="P19" s="250">
        <v>0</v>
      </c>
      <c r="Q19" s="246">
        <v>0</v>
      </c>
      <c r="R19" s="129">
        <v>0</v>
      </c>
      <c r="S19" s="130">
        <v>0</v>
      </c>
      <c r="T19" s="241">
        <v>0</v>
      </c>
      <c r="U19" s="236">
        <v>0</v>
      </c>
      <c r="V19" s="127">
        <f t="shared" si="2"/>
        <v>0</v>
      </c>
      <c r="W19" s="130">
        <f t="shared" si="2"/>
        <v>0</v>
      </c>
      <c r="X19" s="241">
        <f t="shared" si="2"/>
        <v>0</v>
      </c>
      <c r="Y19" s="236">
        <f t="shared" si="2"/>
        <v>0</v>
      </c>
    </row>
    <row r="20" spans="1:25" hidden="1" outlineLevel="1">
      <c r="A20" s="134" t="s">
        <v>141</v>
      </c>
      <c r="B20" s="135">
        <v>0</v>
      </c>
      <c r="C20" s="147">
        <v>882</v>
      </c>
      <c r="D20" s="253">
        <v>802</v>
      </c>
      <c r="E20" s="249">
        <v>787</v>
      </c>
      <c r="F20" s="136">
        <v>93.799062000000021</v>
      </c>
      <c r="G20" s="147">
        <v>161.93</v>
      </c>
      <c r="H20" s="253">
        <v>46.56</v>
      </c>
      <c r="I20" s="249">
        <v>72.91</v>
      </c>
      <c r="J20" s="136">
        <v>154.6417869</v>
      </c>
      <c r="K20" s="147">
        <v>186.71</v>
      </c>
      <c r="L20" s="253">
        <v>155.75</v>
      </c>
      <c r="M20" s="249">
        <v>121.47</v>
      </c>
      <c r="N20" s="136">
        <v>113.0355363</v>
      </c>
      <c r="O20" s="147">
        <v>170.03</v>
      </c>
      <c r="P20" s="253">
        <v>97.36</v>
      </c>
      <c r="Q20" s="249">
        <v>71.72</v>
      </c>
      <c r="R20" s="136">
        <v>204.95461710000001</v>
      </c>
      <c r="S20" s="148">
        <v>334.98</v>
      </c>
      <c r="T20" s="245">
        <v>170.52</v>
      </c>
      <c r="U20" s="240">
        <v>109.37</v>
      </c>
      <c r="V20" s="135">
        <f t="shared" si="2"/>
        <v>566.43100230000005</v>
      </c>
      <c r="W20" s="148">
        <f t="shared" si="2"/>
        <v>853.65</v>
      </c>
      <c r="X20" s="245">
        <f t="shared" si="2"/>
        <v>470.19000000000005</v>
      </c>
      <c r="Y20" s="240">
        <f t="shared" si="2"/>
        <v>375.47</v>
      </c>
    </row>
    <row r="21" spans="1:25" collapsed="1">
      <c r="A21" s="62" t="s">
        <v>142</v>
      </c>
      <c r="B21" s="78">
        <f t="shared" ref="B21:Y21" si="3">SUM(B15:B20)</f>
        <v>0</v>
      </c>
      <c r="C21" s="91">
        <f t="shared" si="3"/>
        <v>81070</v>
      </c>
      <c r="D21" s="91">
        <f t="shared" si="3"/>
        <v>80990</v>
      </c>
      <c r="E21" s="91">
        <f t="shared" si="3"/>
        <v>79494</v>
      </c>
      <c r="F21" s="78">
        <f t="shared" si="3"/>
        <v>9371.0296221000008</v>
      </c>
      <c r="G21" s="149">
        <f t="shared" si="3"/>
        <v>14882.68</v>
      </c>
      <c r="H21" s="149">
        <f t="shared" si="3"/>
        <v>5865.6900000000005</v>
      </c>
      <c r="I21" s="149">
        <f t="shared" si="3"/>
        <v>7365</v>
      </c>
      <c r="J21" s="78">
        <f t="shared" si="3"/>
        <v>16350.8798229</v>
      </c>
      <c r="K21" s="91">
        <f t="shared" si="3"/>
        <v>17160.09</v>
      </c>
      <c r="L21" s="91">
        <f t="shared" si="3"/>
        <v>19624.84</v>
      </c>
      <c r="M21" s="91">
        <f t="shared" si="3"/>
        <v>12268.199999999999</v>
      </c>
      <c r="N21" s="78">
        <f t="shared" si="3"/>
        <v>11712.1562106</v>
      </c>
      <c r="O21" s="91">
        <f t="shared" si="3"/>
        <v>15626.69</v>
      </c>
      <c r="P21" s="91">
        <f t="shared" si="3"/>
        <v>12266.25</v>
      </c>
      <c r="Q21" s="91">
        <f t="shared" si="3"/>
        <v>7243.88</v>
      </c>
      <c r="R21" s="78">
        <f t="shared" si="3"/>
        <v>21106.748930400001</v>
      </c>
      <c r="S21" s="150">
        <f t="shared" si="3"/>
        <v>30788.53</v>
      </c>
      <c r="T21" s="150">
        <f t="shared" si="3"/>
        <v>21485.59</v>
      </c>
      <c r="U21" s="150">
        <f t="shared" si="3"/>
        <v>11046.76</v>
      </c>
      <c r="V21" s="78">
        <f t="shared" si="3"/>
        <v>58540.814586</v>
      </c>
      <c r="W21" s="150">
        <f t="shared" si="3"/>
        <v>78457.989999999991</v>
      </c>
      <c r="X21" s="150">
        <f t="shared" si="3"/>
        <v>59242.37</v>
      </c>
      <c r="Y21" s="150">
        <f t="shared" si="3"/>
        <v>37923.839999999997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0</v>
      </c>
      <c r="C23" s="128">
        <v>40181</v>
      </c>
      <c r="D23" s="250">
        <v>44065</v>
      </c>
      <c r="E23" s="246">
        <v>35377</v>
      </c>
      <c r="F23" s="129">
        <v>0</v>
      </c>
      <c r="G23" s="128">
        <v>0</v>
      </c>
      <c r="H23" s="250">
        <v>0</v>
      </c>
      <c r="I23" s="246">
        <v>0</v>
      </c>
      <c r="J23" s="129">
        <v>0</v>
      </c>
      <c r="K23" s="128">
        <v>0</v>
      </c>
      <c r="L23" s="250">
        <v>0</v>
      </c>
      <c r="M23" s="246">
        <v>0</v>
      </c>
      <c r="N23" s="129">
        <v>0</v>
      </c>
      <c r="O23" s="128">
        <v>0</v>
      </c>
      <c r="P23" s="250">
        <v>0</v>
      </c>
      <c r="Q23" s="246">
        <v>0</v>
      </c>
      <c r="R23" s="129">
        <v>0</v>
      </c>
      <c r="S23" s="142">
        <v>0</v>
      </c>
      <c r="T23" s="243">
        <v>0</v>
      </c>
      <c r="U23" s="238">
        <v>0</v>
      </c>
      <c r="V23" s="141">
        <f t="shared" ref="V23:Y29" si="4">SUM(F23,J23,N23,R23)</f>
        <v>0</v>
      </c>
      <c r="W23" s="142">
        <f t="shared" si="4"/>
        <v>0</v>
      </c>
      <c r="X23" s="243">
        <f t="shared" si="4"/>
        <v>0</v>
      </c>
      <c r="Y23" s="238">
        <f t="shared" si="4"/>
        <v>0</v>
      </c>
    </row>
    <row r="24" spans="1:25" hidden="1" outlineLevel="1">
      <c r="A24" s="131" t="s">
        <v>145</v>
      </c>
      <c r="B24" s="127">
        <v>0</v>
      </c>
      <c r="C24" s="128">
        <v>7652</v>
      </c>
      <c r="D24" s="250">
        <v>0</v>
      </c>
      <c r="E24" s="246">
        <v>0</v>
      </c>
      <c r="F24" s="129">
        <v>0</v>
      </c>
      <c r="G24" s="128">
        <v>0</v>
      </c>
      <c r="H24" s="250">
        <v>0</v>
      </c>
      <c r="I24" s="246">
        <v>0</v>
      </c>
      <c r="J24" s="129">
        <v>0</v>
      </c>
      <c r="K24" s="128">
        <v>0</v>
      </c>
      <c r="L24" s="250">
        <v>0</v>
      </c>
      <c r="M24" s="246">
        <v>0</v>
      </c>
      <c r="N24" s="129">
        <v>0</v>
      </c>
      <c r="O24" s="128">
        <v>0</v>
      </c>
      <c r="P24" s="250">
        <v>0</v>
      </c>
      <c r="Q24" s="246">
        <v>0</v>
      </c>
      <c r="R24" s="129">
        <v>0</v>
      </c>
      <c r="S24" s="130">
        <v>0</v>
      </c>
      <c r="T24" s="241">
        <v>0</v>
      </c>
      <c r="U24" s="236">
        <v>0</v>
      </c>
      <c r="V24" s="127">
        <f t="shared" si="4"/>
        <v>0</v>
      </c>
      <c r="W24" s="130">
        <f t="shared" si="4"/>
        <v>0</v>
      </c>
      <c r="X24" s="241">
        <f t="shared" si="4"/>
        <v>0</v>
      </c>
      <c r="Y24" s="236">
        <f t="shared" si="4"/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50">
        <v>0</v>
      </c>
      <c r="E25" s="246">
        <v>0</v>
      </c>
      <c r="F25" s="129">
        <v>1870.2879635999998</v>
      </c>
      <c r="G25" s="128">
        <v>2810.98</v>
      </c>
      <c r="H25" s="250">
        <v>174.24</v>
      </c>
      <c r="I25" s="246">
        <v>2625.7</v>
      </c>
      <c r="J25" s="129">
        <v>518.31481680000002</v>
      </c>
      <c r="K25" s="128">
        <v>195.99</v>
      </c>
      <c r="L25" s="250">
        <v>318.24</v>
      </c>
      <c r="M25" s="246">
        <v>1040.73</v>
      </c>
      <c r="N25" s="129">
        <v>562.53437460000009</v>
      </c>
      <c r="O25" s="128">
        <v>1317.68</v>
      </c>
      <c r="P25" s="250">
        <v>174.24</v>
      </c>
      <c r="Q25" s="246">
        <v>195.7</v>
      </c>
      <c r="R25" s="129">
        <v>4904.1809577000004</v>
      </c>
      <c r="S25" s="130">
        <v>6344.88</v>
      </c>
      <c r="T25" s="241">
        <v>1040.08</v>
      </c>
      <c r="U25" s="236">
        <v>7327.73</v>
      </c>
      <c r="V25" s="127">
        <f t="shared" si="4"/>
        <v>7855.3181126999998</v>
      </c>
      <c r="W25" s="130">
        <f t="shared" si="4"/>
        <v>10669.53</v>
      </c>
      <c r="X25" s="241">
        <f t="shared" si="4"/>
        <v>1706.8</v>
      </c>
      <c r="Y25" s="236">
        <f t="shared" si="4"/>
        <v>11189.859999999999</v>
      </c>
    </row>
    <row r="26" spans="1:25" hidden="1" outlineLevel="1">
      <c r="A26" s="131" t="s">
        <v>147</v>
      </c>
      <c r="B26" s="127">
        <v>0</v>
      </c>
      <c r="C26" s="128">
        <v>0</v>
      </c>
      <c r="D26" s="250">
        <v>0</v>
      </c>
      <c r="E26" s="246">
        <v>0</v>
      </c>
      <c r="F26" s="129">
        <v>0</v>
      </c>
      <c r="G26" s="128">
        <v>0</v>
      </c>
      <c r="H26" s="250">
        <v>0</v>
      </c>
      <c r="I26" s="246">
        <v>0</v>
      </c>
      <c r="J26" s="129">
        <v>25.989740099999999</v>
      </c>
      <c r="K26" s="128">
        <v>0</v>
      </c>
      <c r="L26" s="250">
        <v>30.97</v>
      </c>
      <c r="M26" s="246">
        <v>47</v>
      </c>
      <c r="N26" s="129">
        <v>61.326053400000006</v>
      </c>
      <c r="O26" s="128">
        <v>146</v>
      </c>
      <c r="P26" s="250">
        <v>37.979999999999997</v>
      </c>
      <c r="Q26" s="246">
        <v>0</v>
      </c>
      <c r="R26" s="129">
        <v>326.91339749999997</v>
      </c>
      <c r="S26" s="130">
        <v>0</v>
      </c>
      <c r="T26" s="241">
        <v>779.55</v>
      </c>
      <c r="U26" s="236">
        <v>201.2</v>
      </c>
      <c r="V26" s="127">
        <f t="shared" si="4"/>
        <v>414.22919100000001</v>
      </c>
      <c r="W26" s="130">
        <f t="shared" si="4"/>
        <v>146</v>
      </c>
      <c r="X26" s="241">
        <f t="shared" si="4"/>
        <v>848.5</v>
      </c>
      <c r="Y26" s="236">
        <f t="shared" si="4"/>
        <v>248.2</v>
      </c>
    </row>
    <row r="27" spans="1:25" hidden="1" outlineLevel="1">
      <c r="A27" s="131" t="s">
        <v>148</v>
      </c>
      <c r="B27" s="127">
        <v>0</v>
      </c>
      <c r="C27" s="128">
        <v>0</v>
      </c>
      <c r="D27" s="250">
        <v>0</v>
      </c>
      <c r="E27" s="246">
        <v>0</v>
      </c>
      <c r="F27" s="129">
        <v>0</v>
      </c>
      <c r="G27" s="128">
        <v>0</v>
      </c>
      <c r="H27" s="250">
        <v>0</v>
      </c>
      <c r="I27" s="246">
        <v>0</v>
      </c>
      <c r="J27" s="129">
        <v>2217.3111600000002</v>
      </c>
      <c r="K27" s="128">
        <v>6652</v>
      </c>
      <c r="L27" s="250">
        <v>0</v>
      </c>
      <c r="M27" s="246">
        <v>0</v>
      </c>
      <c r="N27" s="129">
        <v>123.74876250000001</v>
      </c>
      <c r="O27" s="128">
        <v>0</v>
      </c>
      <c r="P27" s="250">
        <v>371.25</v>
      </c>
      <c r="Q27" s="246">
        <v>0</v>
      </c>
      <c r="R27" s="129">
        <v>94.9157175</v>
      </c>
      <c r="S27" s="130">
        <v>0</v>
      </c>
      <c r="T27" s="241">
        <v>0</v>
      </c>
      <c r="U27" s="236">
        <v>284.75</v>
      </c>
      <c r="V27" s="127">
        <f t="shared" si="4"/>
        <v>2435.9756400000001</v>
      </c>
      <c r="W27" s="130">
        <f t="shared" si="4"/>
        <v>6652</v>
      </c>
      <c r="X27" s="241">
        <f t="shared" si="4"/>
        <v>371.25</v>
      </c>
      <c r="Y27" s="236">
        <f t="shared" si="4"/>
        <v>284.75</v>
      </c>
    </row>
    <row r="28" spans="1:25" hidden="1" outlineLevel="1">
      <c r="A28" s="131" t="s">
        <v>149</v>
      </c>
      <c r="B28" s="127">
        <v>0</v>
      </c>
      <c r="C28" s="128">
        <v>0</v>
      </c>
      <c r="D28" s="250">
        <v>0</v>
      </c>
      <c r="E28" s="246">
        <v>0</v>
      </c>
      <c r="F28" s="129">
        <v>1.9499805000000001</v>
      </c>
      <c r="G28" s="128">
        <v>1.8</v>
      </c>
      <c r="H28" s="250">
        <v>2.4300000000000002</v>
      </c>
      <c r="I28" s="246">
        <v>1.62</v>
      </c>
      <c r="J28" s="129">
        <v>2683.4798316000001</v>
      </c>
      <c r="K28" s="128">
        <v>0</v>
      </c>
      <c r="L28" s="250">
        <v>5680.86</v>
      </c>
      <c r="M28" s="246">
        <v>2369.66</v>
      </c>
      <c r="N28" s="129">
        <v>878.96454360000007</v>
      </c>
      <c r="O28" s="128">
        <v>19.600000000000001</v>
      </c>
      <c r="P28" s="250">
        <v>0</v>
      </c>
      <c r="Q28" s="246">
        <v>2617.3200000000002</v>
      </c>
      <c r="R28" s="129">
        <v>2128.3653828000001</v>
      </c>
      <c r="S28" s="130">
        <v>0</v>
      </c>
      <c r="T28" s="241">
        <v>6383.36</v>
      </c>
      <c r="U28" s="236">
        <v>1.8</v>
      </c>
      <c r="V28" s="127">
        <f t="shared" si="4"/>
        <v>5692.7597385000008</v>
      </c>
      <c r="W28" s="130">
        <f t="shared" si="4"/>
        <v>21.400000000000002</v>
      </c>
      <c r="X28" s="241">
        <f t="shared" si="4"/>
        <v>12066.65</v>
      </c>
      <c r="Y28" s="236">
        <f t="shared" si="4"/>
        <v>4990.4000000000005</v>
      </c>
    </row>
    <row r="29" spans="1:25" hidden="1" outlineLevel="1">
      <c r="A29" s="134" t="s">
        <v>150</v>
      </c>
      <c r="B29" s="135">
        <v>0</v>
      </c>
      <c r="C29" s="147">
        <v>0</v>
      </c>
      <c r="D29" s="253">
        <v>0</v>
      </c>
      <c r="E29" s="249">
        <v>0</v>
      </c>
      <c r="F29" s="136">
        <v>3706.9529301000002</v>
      </c>
      <c r="G29" s="147">
        <v>8020.99</v>
      </c>
      <c r="H29" s="253">
        <v>750</v>
      </c>
      <c r="I29" s="249">
        <v>2349.98</v>
      </c>
      <c r="J29" s="136">
        <v>3363.8930274000004</v>
      </c>
      <c r="K29" s="147">
        <v>1923.93</v>
      </c>
      <c r="L29" s="253">
        <v>2832.85</v>
      </c>
      <c r="M29" s="249">
        <v>5335</v>
      </c>
      <c r="N29" s="136">
        <v>4573.9375935000007</v>
      </c>
      <c r="O29" s="147">
        <v>3496.95</v>
      </c>
      <c r="P29" s="253">
        <v>4925</v>
      </c>
      <c r="Q29" s="249">
        <v>5300</v>
      </c>
      <c r="R29" s="136">
        <v>9902.5209737999994</v>
      </c>
      <c r="S29" s="148">
        <v>14629.13</v>
      </c>
      <c r="T29" s="245">
        <v>9819</v>
      </c>
      <c r="U29" s="240">
        <v>5259.73</v>
      </c>
      <c r="V29" s="135">
        <f t="shared" si="4"/>
        <v>21547.304524799998</v>
      </c>
      <c r="W29" s="148">
        <f t="shared" si="4"/>
        <v>28071</v>
      </c>
      <c r="X29" s="245">
        <f t="shared" si="4"/>
        <v>18326.849999999999</v>
      </c>
      <c r="Y29" s="240">
        <f t="shared" si="4"/>
        <v>18244.71</v>
      </c>
    </row>
    <row r="30" spans="1:25" collapsed="1">
      <c r="A30" s="62" t="s">
        <v>151</v>
      </c>
      <c r="B30" s="78">
        <f t="shared" ref="B30:Y30" si="5">SUM(B23:B29)</f>
        <v>0</v>
      </c>
      <c r="C30" s="91">
        <f t="shared" si="5"/>
        <v>47833</v>
      </c>
      <c r="D30" s="91">
        <f t="shared" si="5"/>
        <v>44065</v>
      </c>
      <c r="E30" s="91">
        <f t="shared" si="5"/>
        <v>35377</v>
      </c>
      <c r="F30" s="78">
        <f t="shared" si="5"/>
        <v>5579.1908741999996</v>
      </c>
      <c r="G30" s="91">
        <f t="shared" si="5"/>
        <v>10833.77</v>
      </c>
      <c r="H30" s="91">
        <f t="shared" si="5"/>
        <v>926.67000000000007</v>
      </c>
      <c r="I30" s="91">
        <f t="shared" si="5"/>
        <v>4977.2999999999993</v>
      </c>
      <c r="J30" s="78">
        <f t="shared" si="5"/>
        <v>8808.9885759000008</v>
      </c>
      <c r="K30" s="91">
        <f t="shared" si="5"/>
        <v>8771.92</v>
      </c>
      <c r="L30" s="91">
        <f t="shared" si="5"/>
        <v>8862.92</v>
      </c>
      <c r="M30" s="91">
        <f t="shared" si="5"/>
        <v>8792.39</v>
      </c>
      <c r="N30" s="78">
        <f t="shared" si="5"/>
        <v>6200.5113276000011</v>
      </c>
      <c r="O30" s="91">
        <f t="shared" si="5"/>
        <v>4980.2299999999996</v>
      </c>
      <c r="P30" s="91">
        <f t="shared" si="5"/>
        <v>5508.47</v>
      </c>
      <c r="Q30" s="91">
        <f t="shared" si="5"/>
        <v>8113.02</v>
      </c>
      <c r="R30" s="78">
        <f t="shared" si="5"/>
        <v>17356.896429300003</v>
      </c>
      <c r="S30" s="150">
        <f t="shared" si="5"/>
        <v>20974.01</v>
      </c>
      <c r="T30" s="150">
        <f t="shared" si="5"/>
        <v>18021.989999999998</v>
      </c>
      <c r="U30" s="150">
        <f t="shared" si="5"/>
        <v>13075.21</v>
      </c>
      <c r="V30" s="78">
        <f t="shared" si="5"/>
        <v>37945.587206999997</v>
      </c>
      <c r="W30" s="150">
        <f t="shared" si="5"/>
        <v>45559.93</v>
      </c>
      <c r="X30" s="150">
        <f t="shared" si="5"/>
        <v>33320.050000000003</v>
      </c>
      <c r="Y30" s="150">
        <f t="shared" si="5"/>
        <v>34957.919999999998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7652</v>
      </c>
      <c r="D32" s="250">
        <v>1500</v>
      </c>
      <c r="E32" s="246">
        <v>1500</v>
      </c>
      <c r="F32" s="129">
        <v>0</v>
      </c>
      <c r="G32" s="128">
        <v>0</v>
      </c>
      <c r="H32" s="250">
        <v>0</v>
      </c>
      <c r="I32" s="246">
        <v>0</v>
      </c>
      <c r="J32" s="129">
        <v>0</v>
      </c>
      <c r="K32" s="128">
        <v>0</v>
      </c>
      <c r="L32" s="250">
        <v>0</v>
      </c>
      <c r="M32" s="246">
        <v>0</v>
      </c>
      <c r="N32" s="129">
        <v>0</v>
      </c>
      <c r="O32" s="128">
        <v>0</v>
      </c>
      <c r="P32" s="250">
        <v>0</v>
      </c>
      <c r="Q32" s="246">
        <v>0</v>
      </c>
      <c r="R32" s="129">
        <v>2618.3804826000001</v>
      </c>
      <c r="S32" s="142">
        <v>371.19</v>
      </c>
      <c r="T32" s="243">
        <v>5394.08</v>
      </c>
      <c r="U32" s="238">
        <v>2089.9499999999998</v>
      </c>
      <c r="V32" s="141">
        <f t="shared" ref="V32:Y33" si="6">SUM(F32,J32,N32,R32)</f>
        <v>2618.3804826000001</v>
      </c>
      <c r="W32" s="142">
        <f t="shared" si="6"/>
        <v>371.19</v>
      </c>
      <c r="X32" s="243">
        <f t="shared" si="6"/>
        <v>5394.08</v>
      </c>
      <c r="Y32" s="238">
        <f t="shared" si="6"/>
        <v>2089.9499999999998</v>
      </c>
    </row>
    <row r="33" spans="1:25" hidden="1" outlineLevel="1">
      <c r="A33" s="134" t="s">
        <v>154</v>
      </c>
      <c r="B33" s="135">
        <v>0</v>
      </c>
      <c r="C33" s="147">
        <v>0</v>
      </c>
      <c r="D33" s="253">
        <v>0</v>
      </c>
      <c r="E33" s="249">
        <v>0</v>
      </c>
      <c r="F33" s="136">
        <v>0</v>
      </c>
      <c r="G33" s="147">
        <v>0</v>
      </c>
      <c r="H33" s="253">
        <v>0</v>
      </c>
      <c r="I33" s="249">
        <v>0</v>
      </c>
      <c r="J33" s="136">
        <v>0</v>
      </c>
      <c r="K33" s="147">
        <v>0</v>
      </c>
      <c r="L33" s="253">
        <v>0</v>
      </c>
      <c r="M33" s="249">
        <v>0</v>
      </c>
      <c r="N33" s="136">
        <v>0</v>
      </c>
      <c r="O33" s="147">
        <v>0</v>
      </c>
      <c r="P33" s="253">
        <v>0</v>
      </c>
      <c r="Q33" s="249">
        <v>0</v>
      </c>
      <c r="R33" s="136">
        <v>28.33305</v>
      </c>
      <c r="S33" s="148">
        <v>0</v>
      </c>
      <c r="T33" s="245">
        <v>85</v>
      </c>
      <c r="U33" s="240">
        <v>0</v>
      </c>
      <c r="V33" s="135">
        <f t="shared" si="6"/>
        <v>28.33305</v>
      </c>
      <c r="W33" s="148">
        <f t="shared" si="6"/>
        <v>0</v>
      </c>
      <c r="X33" s="245">
        <f t="shared" si="6"/>
        <v>85</v>
      </c>
      <c r="Y33" s="240">
        <f t="shared" si="6"/>
        <v>0</v>
      </c>
    </row>
    <row r="34" spans="1:25" collapsed="1">
      <c r="A34" s="62" t="s">
        <v>155</v>
      </c>
      <c r="B34" s="78">
        <f t="shared" ref="B34:Y34" si="7">SUM(B32:B33)</f>
        <v>0</v>
      </c>
      <c r="C34" s="91">
        <f t="shared" si="7"/>
        <v>7652</v>
      </c>
      <c r="D34" s="91">
        <f t="shared" si="7"/>
        <v>1500</v>
      </c>
      <c r="E34" s="91">
        <f t="shared" si="7"/>
        <v>1500</v>
      </c>
      <c r="F34" s="78">
        <f t="shared" si="7"/>
        <v>0</v>
      </c>
      <c r="G34" s="91">
        <f t="shared" si="7"/>
        <v>0</v>
      </c>
      <c r="H34" s="91">
        <f t="shared" si="7"/>
        <v>0</v>
      </c>
      <c r="I34" s="91">
        <f t="shared" si="7"/>
        <v>0</v>
      </c>
      <c r="J34" s="78">
        <f t="shared" si="7"/>
        <v>0</v>
      </c>
      <c r="K34" s="91">
        <f t="shared" si="7"/>
        <v>0</v>
      </c>
      <c r="L34" s="91">
        <f t="shared" si="7"/>
        <v>0</v>
      </c>
      <c r="M34" s="91">
        <f t="shared" si="7"/>
        <v>0</v>
      </c>
      <c r="N34" s="78">
        <f t="shared" si="7"/>
        <v>0</v>
      </c>
      <c r="O34" s="91">
        <f t="shared" si="7"/>
        <v>0</v>
      </c>
      <c r="P34" s="91">
        <f t="shared" si="7"/>
        <v>0</v>
      </c>
      <c r="Q34" s="91">
        <f t="shared" si="7"/>
        <v>0</v>
      </c>
      <c r="R34" s="78">
        <f t="shared" si="7"/>
        <v>2646.7135326000002</v>
      </c>
      <c r="S34" s="150">
        <f t="shared" si="7"/>
        <v>371.19</v>
      </c>
      <c r="T34" s="150">
        <f t="shared" si="7"/>
        <v>5479.08</v>
      </c>
      <c r="U34" s="150">
        <f t="shared" si="7"/>
        <v>2089.9499999999998</v>
      </c>
      <c r="V34" s="78">
        <f t="shared" si="7"/>
        <v>2646.7135326000002</v>
      </c>
      <c r="W34" s="150">
        <f t="shared" si="7"/>
        <v>371.19</v>
      </c>
      <c r="X34" s="150">
        <f t="shared" si="7"/>
        <v>5479.08</v>
      </c>
      <c r="Y34" s="150">
        <f t="shared" si="7"/>
        <v>2089.9499999999998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50">
        <v>0</v>
      </c>
      <c r="E36" s="246">
        <v>0</v>
      </c>
      <c r="F36" s="129">
        <v>0</v>
      </c>
      <c r="G36" s="128">
        <v>0</v>
      </c>
      <c r="H36" s="250">
        <v>0</v>
      </c>
      <c r="I36" s="246">
        <v>0</v>
      </c>
      <c r="J36" s="129">
        <v>0</v>
      </c>
      <c r="K36" s="128">
        <v>0</v>
      </c>
      <c r="L36" s="250">
        <v>0</v>
      </c>
      <c r="M36" s="246">
        <v>0</v>
      </c>
      <c r="N36" s="129">
        <v>0</v>
      </c>
      <c r="O36" s="128">
        <v>0</v>
      </c>
      <c r="P36" s="250">
        <v>0</v>
      </c>
      <c r="Q36" s="246">
        <v>0</v>
      </c>
      <c r="R36" s="129">
        <v>0</v>
      </c>
      <c r="S36" s="142">
        <v>0</v>
      </c>
      <c r="T36" s="243">
        <v>0</v>
      </c>
      <c r="U36" s="238">
        <v>0</v>
      </c>
      <c r="V36" s="141">
        <f t="shared" ref="V36:Y41" si="8">SUM(F36,J36,N36,R36)</f>
        <v>0</v>
      </c>
      <c r="W36" s="142">
        <f t="shared" si="8"/>
        <v>0</v>
      </c>
      <c r="X36" s="243">
        <f t="shared" si="8"/>
        <v>0</v>
      </c>
      <c r="Y36" s="238">
        <f t="shared" si="8"/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50">
        <v>0</v>
      </c>
      <c r="E37" s="246">
        <v>0</v>
      </c>
      <c r="F37" s="129">
        <v>492.42840899999999</v>
      </c>
      <c r="G37" s="128">
        <v>1477.3</v>
      </c>
      <c r="H37" s="250">
        <v>0</v>
      </c>
      <c r="I37" s="246">
        <v>0</v>
      </c>
      <c r="J37" s="129">
        <v>646.25020410000002</v>
      </c>
      <c r="K37" s="128">
        <v>1938.77</v>
      </c>
      <c r="L37" s="250">
        <v>0</v>
      </c>
      <c r="M37" s="246">
        <v>0</v>
      </c>
      <c r="N37" s="129">
        <v>640.77359220000005</v>
      </c>
      <c r="O37" s="128">
        <v>1922.34</v>
      </c>
      <c r="P37" s="250">
        <v>0</v>
      </c>
      <c r="Q37" s="246">
        <v>0</v>
      </c>
      <c r="R37" s="129">
        <v>799.86533459999998</v>
      </c>
      <c r="S37" s="130">
        <v>2399.62</v>
      </c>
      <c r="T37" s="241">
        <v>0</v>
      </c>
      <c r="U37" s="236">
        <v>0</v>
      </c>
      <c r="V37" s="127">
        <f t="shared" si="8"/>
        <v>2579.3175399000002</v>
      </c>
      <c r="W37" s="130">
        <f t="shared" si="8"/>
        <v>7738.03</v>
      </c>
      <c r="X37" s="241">
        <f t="shared" si="8"/>
        <v>0</v>
      </c>
      <c r="Y37" s="236">
        <f t="shared" si="8"/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50">
        <v>10000</v>
      </c>
      <c r="E38" s="246">
        <v>18688</v>
      </c>
      <c r="F38" s="129">
        <v>0</v>
      </c>
      <c r="G38" s="128">
        <v>0</v>
      </c>
      <c r="H38" s="250">
        <v>0</v>
      </c>
      <c r="I38" s="246">
        <v>0</v>
      </c>
      <c r="J38" s="129">
        <v>0</v>
      </c>
      <c r="K38" s="128">
        <v>0</v>
      </c>
      <c r="L38" s="250">
        <v>0</v>
      </c>
      <c r="M38" s="246">
        <v>0</v>
      </c>
      <c r="N38" s="129">
        <v>0</v>
      </c>
      <c r="O38" s="128">
        <v>0</v>
      </c>
      <c r="P38" s="250">
        <v>0</v>
      </c>
      <c r="Q38" s="246">
        <v>0</v>
      </c>
      <c r="R38" s="129">
        <v>0</v>
      </c>
      <c r="S38" s="130">
        <v>0</v>
      </c>
      <c r="T38" s="241">
        <v>0</v>
      </c>
      <c r="U38" s="236">
        <v>0</v>
      </c>
      <c r="V38" s="127">
        <f t="shared" si="8"/>
        <v>0</v>
      </c>
      <c r="W38" s="130">
        <f t="shared" si="8"/>
        <v>0</v>
      </c>
      <c r="X38" s="241">
        <f t="shared" si="8"/>
        <v>0</v>
      </c>
      <c r="Y38" s="236">
        <f t="shared" si="8"/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52">
        <v>0</v>
      </c>
      <c r="E39" s="248">
        <v>0</v>
      </c>
      <c r="F39" s="146">
        <v>0</v>
      </c>
      <c r="G39" s="145">
        <v>0</v>
      </c>
      <c r="H39" s="252">
        <v>0</v>
      </c>
      <c r="I39" s="248">
        <v>0</v>
      </c>
      <c r="J39" s="146">
        <v>0</v>
      </c>
      <c r="K39" s="145">
        <v>0</v>
      </c>
      <c r="L39" s="252">
        <v>0</v>
      </c>
      <c r="M39" s="248">
        <v>0</v>
      </c>
      <c r="N39" s="146">
        <v>0</v>
      </c>
      <c r="O39" s="145">
        <v>0</v>
      </c>
      <c r="P39" s="252">
        <v>0</v>
      </c>
      <c r="Q39" s="248">
        <v>0</v>
      </c>
      <c r="R39" s="146">
        <v>0</v>
      </c>
      <c r="S39" s="56">
        <v>0</v>
      </c>
      <c r="T39" s="244">
        <v>0</v>
      </c>
      <c r="U39" s="239">
        <v>0</v>
      </c>
      <c r="V39" s="144">
        <f t="shared" si="8"/>
        <v>0</v>
      </c>
      <c r="W39" s="56">
        <f t="shared" si="8"/>
        <v>0</v>
      </c>
      <c r="X39" s="244">
        <f t="shared" si="8"/>
        <v>0</v>
      </c>
      <c r="Y39" s="239">
        <f t="shared" si="8"/>
        <v>0</v>
      </c>
    </row>
    <row r="40" spans="1:25" hidden="1" outlineLevel="1">
      <c r="A40" s="131" t="s">
        <v>160</v>
      </c>
      <c r="B40" s="127">
        <v>0</v>
      </c>
      <c r="C40" s="128">
        <v>9640</v>
      </c>
      <c r="D40" s="250">
        <v>8589</v>
      </c>
      <c r="E40" s="246">
        <v>8158</v>
      </c>
      <c r="F40" s="129">
        <v>1051.7828154000001</v>
      </c>
      <c r="G40" s="128">
        <v>1919.89</v>
      </c>
      <c r="H40" s="250">
        <v>459.16</v>
      </c>
      <c r="I40" s="246">
        <v>776.33</v>
      </c>
      <c r="J40" s="129">
        <v>1739.3726061</v>
      </c>
      <c r="K40" s="128">
        <v>1967.68</v>
      </c>
      <c r="L40" s="250">
        <v>1925.78</v>
      </c>
      <c r="M40" s="246">
        <v>1324.71</v>
      </c>
      <c r="N40" s="129">
        <v>1252.687473</v>
      </c>
      <c r="O40" s="128">
        <v>1590.57</v>
      </c>
      <c r="P40" s="250">
        <v>1201.57</v>
      </c>
      <c r="Q40" s="246">
        <v>965.96</v>
      </c>
      <c r="R40" s="129">
        <v>2846.6015337000003</v>
      </c>
      <c r="S40" s="130">
        <v>3850.06</v>
      </c>
      <c r="T40" s="241">
        <v>3041.1</v>
      </c>
      <c r="U40" s="236">
        <v>1648.73</v>
      </c>
      <c r="V40" s="127">
        <f t="shared" si="8"/>
        <v>6890.4444282000004</v>
      </c>
      <c r="W40" s="130">
        <f t="shared" si="8"/>
        <v>9328.2000000000007</v>
      </c>
      <c r="X40" s="241">
        <f t="shared" si="8"/>
        <v>6627.6100000000006</v>
      </c>
      <c r="Y40" s="236">
        <f t="shared" si="8"/>
        <v>4715.7299999999996</v>
      </c>
    </row>
    <row r="41" spans="1:25" hidden="1" outlineLevel="1">
      <c r="A41" s="134" t="s">
        <v>161</v>
      </c>
      <c r="B41" s="135">
        <v>0</v>
      </c>
      <c r="C41" s="147">
        <v>846</v>
      </c>
      <c r="D41" s="253">
        <v>696</v>
      </c>
      <c r="E41" s="249">
        <v>675</v>
      </c>
      <c r="F41" s="136">
        <v>91.219087800000011</v>
      </c>
      <c r="G41" s="147">
        <v>168.6</v>
      </c>
      <c r="H41" s="253">
        <v>42.11</v>
      </c>
      <c r="I41" s="249">
        <v>62.95</v>
      </c>
      <c r="J41" s="136">
        <v>152.28181050000001</v>
      </c>
      <c r="K41" s="147">
        <v>172.8</v>
      </c>
      <c r="L41" s="253">
        <v>176.63</v>
      </c>
      <c r="M41" s="249">
        <v>107.42</v>
      </c>
      <c r="N41" s="136">
        <v>109.40223930000001</v>
      </c>
      <c r="O41" s="147">
        <v>139.68</v>
      </c>
      <c r="P41" s="253">
        <v>110.2</v>
      </c>
      <c r="Q41" s="249">
        <v>78.33</v>
      </c>
      <c r="R41" s="136">
        <v>250.23083100000002</v>
      </c>
      <c r="S41" s="148">
        <v>338.11</v>
      </c>
      <c r="T41" s="245">
        <v>278.91000000000003</v>
      </c>
      <c r="U41" s="240">
        <v>133.68</v>
      </c>
      <c r="V41" s="135">
        <f t="shared" si="8"/>
        <v>603.13396860000012</v>
      </c>
      <c r="W41" s="148">
        <f t="shared" si="8"/>
        <v>819.19</v>
      </c>
      <c r="X41" s="245">
        <f t="shared" si="8"/>
        <v>607.85</v>
      </c>
      <c r="Y41" s="240">
        <f t="shared" si="8"/>
        <v>382.38</v>
      </c>
    </row>
    <row r="42" spans="1:25" collapsed="1">
      <c r="A42" s="62" t="s">
        <v>162</v>
      </c>
      <c r="B42" s="78">
        <f t="shared" ref="B42:Y42" si="9">SUM(B36:B41)</f>
        <v>0</v>
      </c>
      <c r="C42" s="149">
        <f t="shared" si="9"/>
        <v>10486</v>
      </c>
      <c r="D42" s="149">
        <f t="shared" si="9"/>
        <v>19285</v>
      </c>
      <c r="E42" s="149">
        <f t="shared" si="9"/>
        <v>27521</v>
      </c>
      <c r="F42" s="151">
        <f t="shared" si="9"/>
        <v>1635.4303122000001</v>
      </c>
      <c r="G42" s="149">
        <f t="shared" si="9"/>
        <v>3565.79</v>
      </c>
      <c r="H42" s="149">
        <f t="shared" si="9"/>
        <v>501.27000000000004</v>
      </c>
      <c r="I42" s="149">
        <f t="shared" si="9"/>
        <v>839.28000000000009</v>
      </c>
      <c r="J42" s="151">
        <f t="shared" si="9"/>
        <v>2537.9046207000001</v>
      </c>
      <c r="K42" s="149">
        <f t="shared" si="9"/>
        <v>4079.25</v>
      </c>
      <c r="L42" s="149">
        <f t="shared" si="9"/>
        <v>2102.41</v>
      </c>
      <c r="M42" s="149">
        <f t="shared" si="9"/>
        <v>1432.13</v>
      </c>
      <c r="N42" s="151">
        <f t="shared" si="9"/>
        <v>2002.8633045000001</v>
      </c>
      <c r="O42" s="149">
        <f t="shared" si="9"/>
        <v>3652.5899999999997</v>
      </c>
      <c r="P42" s="149">
        <f t="shared" si="9"/>
        <v>1311.77</v>
      </c>
      <c r="Q42" s="149">
        <f t="shared" si="9"/>
        <v>1044.29</v>
      </c>
      <c r="R42" s="151">
        <f t="shared" si="9"/>
        <v>3896.6976993000003</v>
      </c>
      <c r="S42" s="152">
        <f t="shared" si="9"/>
        <v>6587.79</v>
      </c>
      <c r="T42" s="152">
        <f t="shared" si="9"/>
        <v>3320.0099999999998</v>
      </c>
      <c r="U42" s="152">
        <f t="shared" si="9"/>
        <v>1782.41</v>
      </c>
      <c r="V42" s="78">
        <f t="shared" si="9"/>
        <v>10072.895936699999</v>
      </c>
      <c r="W42" s="152">
        <f t="shared" si="9"/>
        <v>17885.419999999998</v>
      </c>
      <c r="X42" s="152">
        <f t="shared" si="9"/>
        <v>7235.4600000000009</v>
      </c>
      <c r="Y42" s="152">
        <f t="shared" si="9"/>
        <v>5098.1099999999997</v>
      </c>
    </row>
    <row r="43" spans="1:25" ht="16.2" thickBot="1">
      <c r="A43" s="137" t="s">
        <v>163</v>
      </c>
      <c r="B43" s="138">
        <f>SUM(B21,B30,B34,B42)</f>
        <v>0</v>
      </c>
      <c r="C43" s="139">
        <f t="shared" ref="C43:U43" si="10">SUM(C21,C30,C34,C42)</f>
        <v>147041</v>
      </c>
      <c r="D43" s="139">
        <f t="shared" si="10"/>
        <v>145840</v>
      </c>
      <c r="E43" s="139">
        <f t="shared" si="10"/>
        <v>143892</v>
      </c>
      <c r="F43" s="138">
        <f t="shared" si="10"/>
        <v>16585.650808500002</v>
      </c>
      <c r="G43" s="139">
        <f t="shared" si="10"/>
        <v>29282.240000000002</v>
      </c>
      <c r="H43" s="139">
        <f t="shared" si="10"/>
        <v>7293.630000000001</v>
      </c>
      <c r="I43" s="139">
        <f t="shared" si="10"/>
        <v>13181.58</v>
      </c>
      <c r="J43" s="138">
        <f t="shared" si="10"/>
        <v>27697.7730195</v>
      </c>
      <c r="K43" s="139">
        <f t="shared" si="10"/>
        <v>30011.260000000002</v>
      </c>
      <c r="L43" s="139">
        <f t="shared" si="10"/>
        <v>30590.170000000002</v>
      </c>
      <c r="M43" s="139">
        <f t="shared" si="10"/>
        <v>22492.719999999998</v>
      </c>
      <c r="N43" s="138">
        <f t="shared" si="10"/>
        <v>19915.530842700002</v>
      </c>
      <c r="O43" s="139">
        <f t="shared" si="10"/>
        <v>24259.51</v>
      </c>
      <c r="P43" s="139">
        <f t="shared" si="10"/>
        <v>19086.490000000002</v>
      </c>
      <c r="Q43" s="139">
        <f t="shared" si="10"/>
        <v>16401.190000000002</v>
      </c>
      <c r="R43" s="138">
        <f t="shared" si="10"/>
        <v>45007.056591600005</v>
      </c>
      <c r="S43" s="138">
        <f t="shared" si="10"/>
        <v>58721.52</v>
      </c>
      <c r="T43" s="138">
        <f t="shared" si="10"/>
        <v>48306.670000000006</v>
      </c>
      <c r="U43" s="138">
        <f t="shared" si="10"/>
        <v>27994.33</v>
      </c>
      <c r="V43" s="138">
        <f>SUM(V21,V30,V34,V42)</f>
        <v>109206.01126229999</v>
      </c>
      <c r="W43" s="138">
        <f>SUM(W21,W30,W34,W42)</f>
        <v>142274.52999999997</v>
      </c>
      <c r="X43" s="138">
        <f>SUM(X21,X30,X34,X42)</f>
        <v>105276.96000000002</v>
      </c>
      <c r="Y43" s="138">
        <f>SUM(Y21,Y30,Y34,Y42)</f>
        <v>80069.819999999992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50">
        <v>0</v>
      </c>
      <c r="E45" s="246">
        <v>0</v>
      </c>
      <c r="F45" s="129">
        <v>28584.934147800002</v>
      </c>
      <c r="G45" s="128">
        <v>37265</v>
      </c>
      <c r="H45" s="250">
        <v>36054.660000000003</v>
      </c>
      <c r="I45" s="246">
        <v>12436</v>
      </c>
      <c r="J45" s="129">
        <v>0</v>
      </c>
      <c r="K45" s="128">
        <v>0</v>
      </c>
      <c r="L45" s="250">
        <v>0</v>
      </c>
      <c r="M45" s="246">
        <v>0</v>
      </c>
      <c r="N45" s="129">
        <v>0</v>
      </c>
      <c r="O45" s="128">
        <v>0</v>
      </c>
      <c r="P45" s="250">
        <v>0</v>
      </c>
      <c r="Q45" s="246">
        <v>0</v>
      </c>
      <c r="R45" s="129">
        <v>36791.038752600005</v>
      </c>
      <c r="S45" s="142">
        <v>0</v>
      </c>
      <c r="T45" s="243">
        <v>46552.04</v>
      </c>
      <c r="U45" s="238">
        <v>63822.18</v>
      </c>
      <c r="V45" s="141">
        <f t="shared" ref="V45:Y46" si="11">SUM(F45,J45,N45,R45)</f>
        <v>65375.972900400011</v>
      </c>
      <c r="W45" s="142">
        <f t="shared" si="11"/>
        <v>37265</v>
      </c>
      <c r="X45" s="243">
        <f t="shared" si="11"/>
        <v>82606.700000000012</v>
      </c>
      <c r="Y45" s="238">
        <f t="shared" si="11"/>
        <v>76258.179999999993</v>
      </c>
    </row>
    <row r="46" spans="1:25" hidden="1" outlineLevel="1">
      <c r="A46" s="134" t="s">
        <v>166</v>
      </c>
      <c r="B46" s="135">
        <v>0</v>
      </c>
      <c r="C46" s="147">
        <v>0</v>
      </c>
      <c r="D46" s="253">
        <v>0</v>
      </c>
      <c r="E46" s="249">
        <v>0</v>
      </c>
      <c r="F46" s="136">
        <v>0</v>
      </c>
      <c r="G46" s="147">
        <v>0</v>
      </c>
      <c r="H46" s="253">
        <v>0</v>
      </c>
      <c r="I46" s="249">
        <v>0</v>
      </c>
      <c r="J46" s="136">
        <v>0</v>
      </c>
      <c r="K46" s="147">
        <v>0</v>
      </c>
      <c r="L46" s="253">
        <v>0</v>
      </c>
      <c r="M46" s="249">
        <v>0</v>
      </c>
      <c r="N46" s="136">
        <v>0</v>
      </c>
      <c r="O46" s="147">
        <v>0</v>
      </c>
      <c r="P46" s="253">
        <v>0</v>
      </c>
      <c r="Q46" s="249">
        <v>0</v>
      </c>
      <c r="R46" s="136">
        <v>0</v>
      </c>
      <c r="S46" s="148">
        <v>0</v>
      </c>
      <c r="T46" s="245">
        <v>0</v>
      </c>
      <c r="U46" s="240">
        <v>0</v>
      </c>
      <c r="V46" s="135">
        <f t="shared" si="11"/>
        <v>0</v>
      </c>
      <c r="W46" s="148">
        <f t="shared" si="11"/>
        <v>0</v>
      </c>
      <c r="X46" s="245">
        <f t="shared" si="11"/>
        <v>0</v>
      </c>
      <c r="Y46" s="240">
        <f t="shared" si="11"/>
        <v>0</v>
      </c>
    </row>
    <row r="47" spans="1:25" collapsed="1">
      <c r="A47" s="99" t="s">
        <v>167</v>
      </c>
      <c r="B47" s="153">
        <f t="shared" ref="B47:Y47" si="12">SUM(B45:B46)</f>
        <v>0</v>
      </c>
      <c r="C47" s="91">
        <f t="shared" si="12"/>
        <v>0</v>
      </c>
      <c r="D47" s="91">
        <f t="shared" si="12"/>
        <v>0</v>
      </c>
      <c r="E47" s="91">
        <f t="shared" si="12"/>
        <v>0</v>
      </c>
      <c r="F47" s="78">
        <f t="shared" si="12"/>
        <v>28584.934147800002</v>
      </c>
      <c r="G47" s="91">
        <f t="shared" si="12"/>
        <v>37265</v>
      </c>
      <c r="H47" s="91">
        <f t="shared" si="12"/>
        <v>36054.660000000003</v>
      </c>
      <c r="I47" s="91">
        <f t="shared" si="12"/>
        <v>12436</v>
      </c>
      <c r="J47" s="78">
        <f t="shared" si="12"/>
        <v>0</v>
      </c>
      <c r="K47" s="91">
        <f t="shared" si="12"/>
        <v>0</v>
      </c>
      <c r="L47" s="91">
        <f t="shared" si="12"/>
        <v>0</v>
      </c>
      <c r="M47" s="91">
        <f t="shared" si="12"/>
        <v>0</v>
      </c>
      <c r="N47" s="78">
        <f t="shared" si="12"/>
        <v>0</v>
      </c>
      <c r="O47" s="91">
        <f t="shared" si="12"/>
        <v>0</v>
      </c>
      <c r="P47" s="91">
        <f t="shared" si="12"/>
        <v>0</v>
      </c>
      <c r="Q47" s="91">
        <f t="shared" si="12"/>
        <v>0</v>
      </c>
      <c r="R47" s="78">
        <f t="shared" si="12"/>
        <v>36791.038752600005</v>
      </c>
      <c r="S47" s="150">
        <f t="shared" si="12"/>
        <v>0</v>
      </c>
      <c r="T47" s="150">
        <f t="shared" si="12"/>
        <v>46552.04</v>
      </c>
      <c r="U47" s="150">
        <f t="shared" si="12"/>
        <v>63822.18</v>
      </c>
      <c r="V47" s="153">
        <f t="shared" si="12"/>
        <v>65375.972900400011</v>
      </c>
      <c r="W47" s="150">
        <f t="shared" si="12"/>
        <v>37265</v>
      </c>
      <c r="X47" s="150">
        <f t="shared" si="12"/>
        <v>82606.700000000012</v>
      </c>
      <c r="Y47" s="150">
        <f t="shared" si="12"/>
        <v>76258.179999999993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13">SUM(C12,C43,C47)</f>
        <v>-1</v>
      </c>
      <c r="D48" s="139">
        <f t="shared" si="13"/>
        <v>-1</v>
      </c>
      <c r="E48" s="139">
        <f t="shared" si="13"/>
        <v>0</v>
      </c>
      <c r="F48" s="138">
        <f t="shared" si="13"/>
        <v>-27624.353753699997</v>
      </c>
      <c r="G48" s="139">
        <f t="shared" si="13"/>
        <v>-6973.7599999999948</v>
      </c>
      <c r="H48" s="139">
        <f t="shared" si="13"/>
        <v>-29571.709999999992</v>
      </c>
      <c r="I48" s="139">
        <f t="shared" si="13"/>
        <v>-46328.42</v>
      </c>
      <c r="J48" s="138">
        <f t="shared" si="13"/>
        <v>27697.7730195</v>
      </c>
      <c r="K48" s="139">
        <f t="shared" si="13"/>
        <v>30011.260000000002</v>
      </c>
      <c r="L48" s="139">
        <f t="shared" si="13"/>
        <v>30590.170000000002</v>
      </c>
      <c r="M48" s="139">
        <f t="shared" si="13"/>
        <v>22492.719999999998</v>
      </c>
      <c r="N48" s="138">
        <f t="shared" si="13"/>
        <v>-52879.741197299998</v>
      </c>
      <c r="O48" s="139">
        <f t="shared" si="13"/>
        <v>-49261.490000000005</v>
      </c>
      <c r="P48" s="139">
        <f t="shared" si="13"/>
        <v>-53834.509999999995</v>
      </c>
      <c r="Q48" s="139">
        <f t="shared" si="13"/>
        <v>-55544.81</v>
      </c>
      <c r="R48" s="138">
        <f t="shared" si="13"/>
        <v>45007.056591600005</v>
      </c>
      <c r="S48" s="138">
        <f t="shared" si="13"/>
        <v>58721.52</v>
      </c>
      <c r="T48" s="138">
        <f t="shared" si="13"/>
        <v>48306.670000000006</v>
      </c>
      <c r="U48" s="138">
        <f t="shared" si="13"/>
        <v>27994.33</v>
      </c>
      <c r="V48" s="138">
        <f>SUM(V12,V43,V47)</f>
        <v>-7799.2653398999973</v>
      </c>
      <c r="W48" s="138">
        <f>SUM(W12,W43,W47)</f>
        <v>32497.52999999997</v>
      </c>
      <c r="X48" s="138">
        <f>SUM(X12,X43,X47)</f>
        <v>-4509.3799999999756</v>
      </c>
      <c r="Y48" s="138">
        <f>SUM(Y12,Y43,Y47)</f>
        <v>-51386.180000000008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12" priority="13" operator="lessThan">
      <formula>-0.01</formula>
    </cfRule>
  </conditionalFormatting>
  <conditionalFormatting sqref="Y15:Y21 Y23:Y30 Y32:Y34 Y36:Y43">
    <cfRule type="cellIs" dxfId="11" priority="12" operator="lessThan">
      <formula>-0.01</formula>
    </cfRule>
  </conditionalFormatting>
  <conditionalFormatting sqref="X15:X21 X23:X30 X32:X34 X36:X43">
    <cfRule type="cellIs" dxfId="10" priority="11" operator="lessThan">
      <formula>-0.01</formula>
    </cfRule>
  </conditionalFormatting>
  <conditionalFormatting sqref="U15:U21 U23:U30 U32:U34 U36:U43">
    <cfRule type="cellIs" dxfId="9" priority="10" operator="lessThan">
      <formula>-0.01</formula>
    </cfRule>
  </conditionalFormatting>
  <conditionalFormatting sqref="T15:T21 T23:T30 T32:T34 T36:T43">
    <cfRule type="cellIs" dxfId="8" priority="9" operator="lessThan">
      <formula>-0.01</formula>
    </cfRule>
  </conditionalFormatting>
  <conditionalFormatting sqref="Q15:Q21 Q23:Q30 Q32:Q34 Q36:Q43">
    <cfRule type="cellIs" dxfId="7" priority="8" operator="lessThan">
      <formula>-0.01</formula>
    </cfRule>
  </conditionalFormatting>
  <conditionalFormatting sqref="P15:P21 P23:P30 P32:P34 P36:P43">
    <cfRule type="cellIs" dxfId="6" priority="7" operator="lessThan">
      <formula>-0.01</formula>
    </cfRule>
  </conditionalFormatting>
  <conditionalFormatting sqref="M15:M21 M23:M30 M32:M34 M36:M43">
    <cfRule type="cellIs" dxfId="5" priority="6" operator="lessThan">
      <formula>-0.01</formula>
    </cfRule>
  </conditionalFormatting>
  <conditionalFormatting sqref="L15:L21 L23:L30 L32:L34 L36:L43">
    <cfRule type="cellIs" dxfId="4" priority="5" operator="lessThan">
      <formula>-0.01</formula>
    </cfRule>
  </conditionalFormatting>
  <conditionalFormatting sqref="I15:I21 I23:I30 I32:I34 I36:I43">
    <cfRule type="cellIs" dxfId="3" priority="4" operator="lessThan">
      <formula>-0.01</formula>
    </cfRule>
  </conditionalFormatting>
  <conditionalFormatting sqref="H15:H21 H23:H30 H32:H34 H36:H43">
    <cfRule type="cellIs" dxfId="2" priority="3" operator="lessThan">
      <formula>-0.01</formula>
    </cfRule>
  </conditionalFormatting>
  <conditionalFormatting sqref="E15:E21 E23:E30 E32:E34 E36:E43">
    <cfRule type="cellIs" dxfId="1" priority="2" operator="lessThan">
      <formula>-0.01</formula>
    </cfRule>
  </conditionalFormatting>
  <conditionalFormatting sqref="D15:D21 D23:D30 D32:D34 D36:D43">
    <cfRule type="cellIs" dxfId="0" priority="1" operator="lessThan">
      <formula>-0.01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Create Report</vt:lpstr>
      <vt:lpstr>Data</vt:lpstr>
      <vt:lpstr>GroupedData</vt:lpstr>
      <vt:lpstr>Account Codes</vt:lpstr>
      <vt:lpstr>Consolidation Lists</vt:lpstr>
      <vt:lpstr>QR Draft</vt:lpstr>
      <vt:lpstr>SB Draft</vt:lpstr>
      <vt:lpstr>Fund Balance</vt:lpstr>
      <vt:lpstr>Rev.Exp All Pgms</vt:lpstr>
      <vt:lpstr>Roll Up</vt:lpstr>
      <vt:lpstr>KVCU Operations</vt:lpstr>
      <vt:lpstr>rngACCTs</vt:lpstr>
      <vt:lpstr>rngArray</vt:lpstr>
      <vt:lpstr>rngContents</vt:lpstr>
      <vt:lpstr>rngFBs</vt:lpstr>
      <vt:lpstr>rngSKIP</vt:lpstr>
      <vt:lpstr>rngWeights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grega</dc:creator>
  <cp:lastModifiedBy>grega</cp:lastModifiedBy>
  <cp:lastPrinted>2020-09-20T03:40:41Z</cp:lastPrinted>
  <dcterms:created xsi:type="dcterms:W3CDTF">2020-08-02T19:34:08Z</dcterms:created>
  <dcterms:modified xsi:type="dcterms:W3CDTF">2020-10-10T02:25:51Z</dcterms:modified>
</cp:coreProperties>
</file>